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ortega\Documents\UiPath\oportunidad-generar-core-v2\Info complementaria\"/>
    </mc:Choice>
  </mc:AlternateContent>
  <xr:revisionPtr revIDLastSave="0" documentId="13_ncr:1_{1651FE8F-91BD-4D7F-879C-BE98F21C2374}" xr6:coauthVersionLast="47" xr6:coauthVersionMax="47" xr10:uidLastSave="{00000000-0000-0000-0000-000000000000}"/>
  <bookViews>
    <workbookView xWindow="1860" yWindow="1860" windowWidth="14400" windowHeight="8170" tabRatio="740" activeTab="5" xr2:uid="{00000000-000D-0000-FFFF-FFFF00000000}"/>
  </bookViews>
  <sheets>
    <sheet name="Project Infor" sheetId="1" r:id="rId1"/>
    <sheet name="Cost Overview" sheetId="2" r:id="rId2"/>
    <sheet name="Resources" sheetId="3" r:id="rId3"/>
    <sheet name="Cost Planning" sheetId="4" r:id="rId4"/>
    <sheet name="Monthly View" sheetId="5" r:id="rId5"/>
    <sheet name="Cost Summary" sheetId="6" r:id="rId6"/>
    <sheet name="Ayuda" sheetId="7" r:id="rId7"/>
    <sheet name="aux Billing Plan" sheetId="8" r:id="rId8"/>
    <sheet name="aux Forecast" sheetId="9" r:id="rId9"/>
    <sheet name="aux UTE" sheetId="10" r:id="rId10"/>
    <sheet name="aux Calendarios" sheetId="11" r:id="rId11"/>
    <sheet name="Trazabilidad_RPA" sheetId="12" r:id="rId12"/>
  </sheets>
  <definedNames>
    <definedName name="_xlnm._FilterDatabase" localSheetId="7" hidden="1">'aux Billing Plan'!$B$7:$E$7</definedName>
    <definedName name="_xlnm._FilterDatabase" localSheetId="10" hidden="1">'aux Calendarios'!$B$6</definedName>
    <definedName name="_xlnm._FilterDatabase" localSheetId="9" hidden="1">'aux UTE'!$B$12:$E$12</definedName>
    <definedName name="_xlnm._FilterDatabase" localSheetId="3" hidden="1">'Cost Planning'!$B$63:$E$63</definedName>
    <definedName name="_xlnm._FilterDatabase" localSheetId="2" hidden="1">Resources!$B$6:$E$6</definedName>
    <definedName name="costerecursosbaselineactual">'Cost Overview'!$G$8</definedName>
    <definedName name="costerecursostotalplanificado">costerecursosbaselineactual-'Cost Planning'!$I$5</definedName>
    <definedName name="FECHA">'Project Infor'!$D$6</definedName>
    <definedName name="FIN">'Project Infor'!$C$9</definedName>
    <definedName name="Inicio">'Project Infor'!$C$8</definedName>
    <definedName name="margendirectobaselineactual">'Cost Overview'!$F$8-'Cost Overview'!$M$8</definedName>
    <definedName name="margendirectofinal">margendirectobaselineactual+'Cost Planning'!$I$5+'Cost Planning'!$E$47+'Cost Planning'!$E$48+'Cost Planning'!$I$50+'Cost Planning'!$I$61</definedName>
    <definedName name="pedidobaselineactual">'Cost Overview'!$F$8</definedName>
    <definedName name="UTILIZACION">0.93</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2" i="11" l="1"/>
  <c r="AA62" i="11"/>
  <c r="Z62" i="11"/>
  <c r="Y62" i="11"/>
  <c r="X62" i="11"/>
  <c r="W62" i="11"/>
  <c r="V62" i="11"/>
  <c r="U62" i="11"/>
  <c r="T62" i="11"/>
  <c r="S62" i="11"/>
  <c r="R62" i="11"/>
  <c r="Q62" i="11"/>
  <c r="P62" i="11"/>
  <c r="O62" i="11"/>
  <c r="N62" i="11"/>
  <c r="M62" i="11"/>
  <c r="L62" i="11"/>
  <c r="K62" i="11"/>
  <c r="J62" i="11"/>
  <c r="I62" i="11"/>
  <c r="H62" i="11"/>
  <c r="G62" i="11"/>
  <c r="F62" i="11"/>
  <c r="E62" i="11"/>
  <c r="D62" i="11"/>
  <c r="C61" i="11"/>
  <c r="C59" i="11"/>
  <c r="C58" i="11"/>
  <c r="O56" i="11"/>
  <c r="P56" i="11" s="1"/>
  <c r="Q56" i="11" s="1"/>
  <c r="R56" i="11" s="1"/>
  <c r="S56" i="11" s="1"/>
  <c r="T56" i="11" s="1"/>
  <c r="U56" i="11" s="1"/>
  <c r="V56" i="11" s="1"/>
  <c r="W56" i="11" s="1"/>
  <c r="X56" i="11" s="1"/>
  <c r="Y56" i="11" s="1"/>
  <c r="Z56" i="11" s="1"/>
  <c r="AA56" i="11" s="1"/>
  <c r="AB56" i="11" s="1"/>
  <c r="D56" i="11"/>
  <c r="E56" i="11" s="1"/>
  <c r="F56" i="11" s="1"/>
  <c r="G56" i="11" s="1"/>
  <c r="H56" i="11" s="1"/>
  <c r="I56" i="11" s="1"/>
  <c r="J56" i="11" s="1"/>
  <c r="K56" i="11" s="1"/>
  <c r="L56" i="11" s="1"/>
  <c r="M56" i="11" s="1"/>
  <c r="N56" i="11" s="1"/>
  <c r="AB52" i="11"/>
  <c r="AA52" i="11"/>
  <c r="Z52" i="11"/>
  <c r="Y52" i="11"/>
  <c r="X52" i="11"/>
  <c r="W52" i="11"/>
  <c r="V52" i="11"/>
  <c r="U52" i="11"/>
  <c r="T52" i="11"/>
  <c r="S52" i="11"/>
  <c r="R52" i="11"/>
  <c r="Q52" i="11"/>
  <c r="P52" i="11"/>
  <c r="O52" i="11"/>
  <c r="N52" i="11"/>
  <c r="M52" i="11"/>
  <c r="L52" i="11"/>
  <c r="K52" i="11"/>
  <c r="J52" i="11"/>
  <c r="I52" i="11"/>
  <c r="H52" i="11"/>
  <c r="G52" i="11"/>
  <c r="F52" i="11"/>
  <c r="E52" i="11"/>
  <c r="D52" i="11"/>
  <c r="C51" i="11"/>
  <c r="C49" i="11"/>
  <c r="C48" i="11"/>
  <c r="C47" i="11"/>
  <c r="L46" i="11"/>
  <c r="M46" i="11" s="1"/>
  <c r="N46" i="11" s="1"/>
  <c r="O46" i="11" s="1"/>
  <c r="P46" i="11" s="1"/>
  <c r="Q46" i="11" s="1"/>
  <c r="R46" i="11" s="1"/>
  <c r="S46" i="11" s="1"/>
  <c r="T46" i="11" s="1"/>
  <c r="U46" i="11" s="1"/>
  <c r="V46" i="11" s="1"/>
  <c r="W46" i="11" s="1"/>
  <c r="X46" i="11" s="1"/>
  <c r="Y46" i="11" s="1"/>
  <c r="Z46" i="11" s="1"/>
  <c r="AA46" i="11" s="1"/>
  <c r="AB46" i="11" s="1"/>
  <c r="D46" i="11"/>
  <c r="E46" i="11" s="1"/>
  <c r="F46" i="11" s="1"/>
  <c r="G46" i="11" s="1"/>
  <c r="H46" i="11" s="1"/>
  <c r="I46" i="11" s="1"/>
  <c r="J46" i="11" s="1"/>
  <c r="K46" i="11" s="1"/>
  <c r="AB42" i="11"/>
  <c r="AA42" i="11"/>
  <c r="Z42" i="11"/>
  <c r="Y42" i="11"/>
  <c r="X42" i="11"/>
  <c r="W42" i="11"/>
  <c r="V42" i="11"/>
  <c r="U42" i="11"/>
  <c r="T42" i="11"/>
  <c r="S42" i="11"/>
  <c r="R42" i="11"/>
  <c r="Q42" i="11"/>
  <c r="P42" i="11"/>
  <c r="O42" i="11"/>
  <c r="N42" i="11"/>
  <c r="M42" i="11"/>
  <c r="L42" i="11"/>
  <c r="K42" i="11"/>
  <c r="J42" i="11"/>
  <c r="I42" i="11"/>
  <c r="H42" i="11"/>
  <c r="G42" i="11"/>
  <c r="F42" i="11"/>
  <c r="E42" i="11"/>
  <c r="D42" i="11"/>
  <c r="C41" i="11"/>
  <c r="C39" i="11"/>
  <c r="C38" i="11"/>
  <c r="C37" i="11"/>
  <c r="D36" i="11"/>
  <c r="E36" i="11" s="1"/>
  <c r="F36" i="11" s="1"/>
  <c r="G36" i="11" s="1"/>
  <c r="H36" i="11" s="1"/>
  <c r="I36" i="11" s="1"/>
  <c r="J36" i="11" s="1"/>
  <c r="K36" i="11" s="1"/>
  <c r="L36" i="11" s="1"/>
  <c r="M36" i="11" s="1"/>
  <c r="N36" i="11" s="1"/>
  <c r="O36" i="11" s="1"/>
  <c r="P36" i="11" s="1"/>
  <c r="Q36" i="11" s="1"/>
  <c r="R36" i="11" s="1"/>
  <c r="S36" i="11" s="1"/>
  <c r="T36" i="11" s="1"/>
  <c r="U36" i="11" s="1"/>
  <c r="V36" i="11" s="1"/>
  <c r="W36" i="11" s="1"/>
  <c r="X36" i="11" s="1"/>
  <c r="Y36" i="11" s="1"/>
  <c r="Z36" i="11" s="1"/>
  <c r="AA36" i="11" s="1"/>
  <c r="AB36" i="11" s="1"/>
  <c r="AB32" i="11"/>
  <c r="AA32" i="11"/>
  <c r="Z32" i="11"/>
  <c r="Y32" i="11"/>
  <c r="X32" i="11"/>
  <c r="W32" i="11"/>
  <c r="V32" i="11"/>
  <c r="U32" i="11"/>
  <c r="T32" i="11"/>
  <c r="S32" i="11"/>
  <c r="R32" i="11"/>
  <c r="Q32" i="11"/>
  <c r="P32" i="11"/>
  <c r="O32" i="11"/>
  <c r="N32" i="11"/>
  <c r="M32" i="11"/>
  <c r="L32" i="11"/>
  <c r="K32" i="11"/>
  <c r="J32" i="11"/>
  <c r="I32" i="11"/>
  <c r="H32" i="11"/>
  <c r="G32" i="11"/>
  <c r="F32" i="11"/>
  <c r="E32" i="11"/>
  <c r="D32" i="11"/>
  <c r="C31" i="11"/>
  <c r="C29" i="11"/>
  <c r="C28" i="11"/>
  <c r="C27" i="11"/>
  <c r="D26" i="11"/>
  <c r="E26" i="11" s="1"/>
  <c r="F26" i="11" s="1"/>
  <c r="G26" i="11" s="1"/>
  <c r="H26" i="11" s="1"/>
  <c r="I26" i="11" s="1"/>
  <c r="J26" i="11" s="1"/>
  <c r="K26" i="11" s="1"/>
  <c r="L26" i="11" s="1"/>
  <c r="M26" i="11" s="1"/>
  <c r="N26" i="11" s="1"/>
  <c r="O26" i="11" s="1"/>
  <c r="P26" i="11" s="1"/>
  <c r="Q26" i="11" s="1"/>
  <c r="R26" i="11" s="1"/>
  <c r="S26" i="11" s="1"/>
  <c r="T26" i="11" s="1"/>
  <c r="U26" i="11" s="1"/>
  <c r="V26" i="11" s="1"/>
  <c r="W26" i="11" s="1"/>
  <c r="X26" i="11" s="1"/>
  <c r="Y26" i="11" s="1"/>
  <c r="Z26" i="11" s="1"/>
  <c r="AA26" i="11" s="1"/>
  <c r="AB26" i="11" s="1"/>
  <c r="AB22" i="11"/>
  <c r="AA22" i="11"/>
  <c r="Z22" i="11"/>
  <c r="Y22" i="11"/>
  <c r="X22" i="11"/>
  <c r="W22" i="11"/>
  <c r="V22" i="11"/>
  <c r="U22" i="11"/>
  <c r="T22" i="11"/>
  <c r="S22" i="11"/>
  <c r="R22" i="11"/>
  <c r="Q22" i="11"/>
  <c r="P22" i="11"/>
  <c r="O22" i="11"/>
  <c r="N22" i="11"/>
  <c r="M22" i="11"/>
  <c r="L22" i="11"/>
  <c r="K22" i="11"/>
  <c r="J22" i="11"/>
  <c r="I22" i="11"/>
  <c r="H22" i="11"/>
  <c r="G22" i="11"/>
  <c r="F22" i="11"/>
  <c r="E22" i="11"/>
  <c r="D22" i="11"/>
  <c r="C21" i="11"/>
  <c r="C19" i="11"/>
  <c r="C18" i="11"/>
  <c r="C17" i="11"/>
  <c r="D16" i="11"/>
  <c r="E16" i="11" s="1"/>
  <c r="F16" i="11" s="1"/>
  <c r="G16" i="11" s="1"/>
  <c r="H16" i="11" s="1"/>
  <c r="I16" i="11" s="1"/>
  <c r="J16" i="11" s="1"/>
  <c r="K16" i="11" s="1"/>
  <c r="L16" i="11" s="1"/>
  <c r="M16" i="11" s="1"/>
  <c r="N16" i="11" s="1"/>
  <c r="O16" i="11" s="1"/>
  <c r="P16" i="11" s="1"/>
  <c r="Q16" i="11" s="1"/>
  <c r="R16" i="11" s="1"/>
  <c r="S16" i="11" s="1"/>
  <c r="T16" i="11" s="1"/>
  <c r="U16" i="11" s="1"/>
  <c r="V16" i="11" s="1"/>
  <c r="W16" i="11" s="1"/>
  <c r="X16" i="11" s="1"/>
  <c r="Y16" i="11" s="1"/>
  <c r="Z16" i="11" s="1"/>
  <c r="AA16" i="11" s="1"/>
  <c r="AB16" i="11" s="1"/>
  <c r="AB12" i="11"/>
  <c r="AA12" i="11"/>
  <c r="Z12" i="11"/>
  <c r="Y12" i="11"/>
  <c r="X12" i="11"/>
  <c r="W12" i="11"/>
  <c r="V12" i="11"/>
  <c r="U12" i="11"/>
  <c r="T12" i="11"/>
  <c r="S12" i="11"/>
  <c r="R12" i="11"/>
  <c r="Q12" i="11"/>
  <c r="P12" i="11"/>
  <c r="O12" i="11"/>
  <c r="N12" i="11"/>
  <c r="M12" i="11"/>
  <c r="L12" i="11"/>
  <c r="K12" i="11"/>
  <c r="J12" i="11"/>
  <c r="I12" i="11"/>
  <c r="H12" i="11"/>
  <c r="G12" i="11"/>
  <c r="F12" i="11"/>
  <c r="E12" i="11"/>
  <c r="D12" i="11"/>
  <c r="C11" i="11"/>
  <c r="C10" i="11"/>
  <c r="C9" i="11"/>
  <c r="C8" i="11"/>
  <c r="C7" i="11"/>
  <c r="D6" i="11"/>
  <c r="E6" i="11" s="1"/>
  <c r="F6" i="11" s="1"/>
  <c r="G6" i="11" s="1"/>
  <c r="H6" i="11" s="1"/>
  <c r="I6" i="11" s="1"/>
  <c r="J6" i="11" s="1"/>
  <c r="K6" i="11" s="1"/>
  <c r="L6" i="11" s="1"/>
  <c r="M6" i="11" s="1"/>
  <c r="N6" i="11" s="1"/>
  <c r="O6" i="11" s="1"/>
  <c r="P6" i="11" s="1"/>
  <c r="Q6" i="11" s="1"/>
  <c r="R6" i="11" s="1"/>
  <c r="S6" i="11" s="1"/>
  <c r="T6" i="11" s="1"/>
  <c r="U6" i="11" s="1"/>
  <c r="V6" i="11" s="1"/>
  <c r="W6" i="11" s="1"/>
  <c r="X6" i="11" s="1"/>
  <c r="Y6" i="11" s="1"/>
  <c r="Z6" i="11" s="1"/>
  <c r="AA6" i="11" s="1"/>
  <c r="AB6" i="11" s="1"/>
  <c r="D2" i="11"/>
  <c r="C2" i="11"/>
  <c r="F46" i="10"/>
  <c r="I45" i="10"/>
  <c r="D45" i="10"/>
  <c r="I44" i="10"/>
  <c r="D44" i="10"/>
  <c r="I43" i="10"/>
  <c r="D43" i="10"/>
  <c r="I42" i="10"/>
  <c r="D42" i="10"/>
  <c r="I41" i="10"/>
  <c r="D41" i="10"/>
  <c r="I40" i="10"/>
  <c r="D40" i="10"/>
  <c r="I39" i="10"/>
  <c r="D39" i="10"/>
  <c r="I38" i="10"/>
  <c r="D38" i="10"/>
  <c r="I37" i="10"/>
  <c r="D37" i="10"/>
  <c r="I36" i="10"/>
  <c r="D36" i="10"/>
  <c r="I35" i="10"/>
  <c r="D35" i="10"/>
  <c r="I34" i="10"/>
  <c r="D34" i="10"/>
  <c r="I33" i="10"/>
  <c r="D33" i="10"/>
  <c r="I32" i="10"/>
  <c r="D32" i="10"/>
  <c r="I31" i="10"/>
  <c r="D31" i="10"/>
  <c r="I30" i="10"/>
  <c r="D30" i="10"/>
  <c r="I29" i="10"/>
  <c r="D29" i="10"/>
  <c r="I28" i="10"/>
  <c r="D28" i="10"/>
  <c r="I27" i="10"/>
  <c r="D27" i="10"/>
  <c r="I26" i="10"/>
  <c r="D26" i="10"/>
  <c r="I25" i="10"/>
  <c r="D25" i="10"/>
  <c r="I24" i="10"/>
  <c r="D24" i="10"/>
  <c r="I23" i="10"/>
  <c r="D23" i="10"/>
  <c r="I22" i="10"/>
  <c r="D22" i="10"/>
  <c r="I21" i="10"/>
  <c r="D21" i="10"/>
  <c r="I20" i="10"/>
  <c r="D20" i="10"/>
  <c r="I19" i="10"/>
  <c r="D19" i="10"/>
  <c r="I18" i="10"/>
  <c r="D18" i="10"/>
  <c r="I17" i="10"/>
  <c r="D17" i="10"/>
  <c r="I16" i="10"/>
  <c r="D16" i="10"/>
  <c r="I15" i="10"/>
  <c r="D15" i="10"/>
  <c r="I14" i="10"/>
  <c r="D14" i="10"/>
  <c r="I13" i="10"/>
  <c r="D2" i="10"/>
  <c r="C2" i="10"/>
  <c r="B6" i="9"/>
  <c r="B7" i="9" s="1"/>
  <c r="B8" i="9" s="1"/>
  <c r="B9" i="9" s="1"/>
  <c r="B10" i="9" s="1"/>
  <c r="B11" i="9" s="1"/>
  <c r="B12" i="9" s="1"/>
  <c r="B13" i="9" s="1"/>
  <c r="B14" i="9" s="1"/>
  <c r="B15" i="9" s="1"/>
  <c r="B16" i="9" s="1"/>
  <c r="D4" i="9"/>
  <c r="E4" i="9" s="1"/>
  <c r="F4" i="9" s="1"/>
  <c r="G4" i="9" s="1"/>
  <c r="H4" i="9" s="1"/>
  <c r="I4" i="9" s="1"/>
  <c r="J4" i="9" s="1"/>
  <c r="K4" i="9" s="1"/>
  <c r="L4" i="9" s="1"/>
  <c r="M4" i="9" s="1"/>
  <c r="N4" i="9" s="1"/>
  <c r="O4" i="9" s="1"/>
  <c r="P4" i="9" s="1"/>
  <c r="Q4" i="9" s="1"/>
  <c r="R4" i="9" s="1"/>
  <c r="S4" i="9" s="1"/>
  <c r="T4" i="9" s="1"/>
  <c r="U4" i="9" s="1"/>
  <c r="V4" i="9" s="1"/>
  <c r="W4" i="9" s="1"/>
  <c r="X4" i="9" s="1"/>
  <c r="Y4" i="9" s="1"/>
  <c r="Z4" i="9" s="1"/>
  <c r="D2" i="9"/>
  <c r="C2" i="9"/>
  <c r="F41" i="8"/>
  <c r="I40" i="8"/>
  <c r="D40" i="8"/>
  <c r="I39" i="8"/>
  <c r="D39" i="8"/>
  <c r="I38" i="8"/>
  <c r="D38" i="8"/>
  <c r="I37" i="8"/>
  <c r="D37" i="8"/>
  <c r="I36" i="8"/>
  <c r="D36" i="8"/>
  <c r="I35" i="8"/>
  <c r="D35" i="8"/>
  <c r="I34" i="8"/>
  <c r="D34" i="8"/>
  <c r="I33" i="8"/>
  <c r="D33" i="8"/>
  <c r="I32" i="8"/>
  <c r="D32" i="8"/>
  <c r="I31" i="8"/>
  <c r="D31" i="8"/>
  <c r="I30" i="8"/>
  <c r="D30" i="8"/>
  <c r="I29" i="8"/>
  <c r="D29" i="8"/>
  <c r="I28" i="8"/>
  <c r="D28" i="8"/>
  <c r="I27" i="8"/>
  <c r="D27" i="8"/>
  <c r="I26" i="8"/>
  <c r="D26" i="8"/>
  <c r="I25" i="8"/>
  <c r="D25" i="8"/>
  <c r="I24" i="8"/>
  <c r="D24" i="8"/>
  <c r="I23" i="8"/>
  <c r="D23" i="8"/>
  <c r="I22" i="8"/>
  <c r="D22" i="8"/>
  <c r="I21" i="8"/>
  <c r="D21" i="8"/>
  <c r="I20" i="8"/>
  <c r="D20" i="8"/>
  <c r="I19" i="8"/>
  <c r="D19" i="8"/>
  <c r="I18" i="8"/>
  <c r="D18" i="8"/>
  <c r="I17" i="8"/>
  <c r="D17" i="8"/>
  <c r="I16" i="8"/>
  <c r="D16" i="8"/>
  <c r="I15" i="8"/>
  <c r="D15" i="8"/>
  <c r="I14" i="8"/>
  <c r="D14" i="8"/>
  <c r="I13" i="8"/>
  <c r="D13" i="8"/>
  <c r="I12" i="8"/>
  <c r="D12" i="8"/>
  <c r="I11" i="8"/>
  <c r="D11" i="8"/>
  <c r="I10" i="8"/>
  <c r="D10" i="8"/>
  <c r="I9" i="8"/>
  <c r="D9" i="8"/>
  <c r="I8" i="8"/>
  <c r="D8" i="8"/>
  <c r="D2" i="8"/>
  <c r="C2" i="8"/>
  <c r="D42" i="5"/>
  <c r="D43" i="5" s="1"/>
  <c r="E43" i="5" s="1"/>
  <c r="AC40" i="5"/>
  <c r="D36" i="5"/>
  <c r="D35" i="5"/>
  <c r="D32" i="5"/>
  <c r="D31" i="5"/>
  <c r="D30" i="5"/>
  <c r="E29" i="5"/>
  <c r="F29" i="5" s="1"/>
  <c r="G29" i="5" s="1"/>
  <c r="H29" i="5" s="1"/>
  <c r="I29" i="5" s="1"/>
  <c r="J29" i="5" s="1"/>
  <c r="K29" i="5" s="1"/>
  <c r="L29" i="5" s="1"/>
  <c r="M29" i="5" s="1"/>
  <c r="N29" i="5" s="1"/>
  <c r="O29" i="5" s="1"/>
  <c r="P29" i="5" s="1"/>
  <c r="Q29" i="5" s="1"/>
  <c r="R29" i="5" s="1"/>
  <c r="S29" i="5" s="1"/>
  <c r="T29" i="5" s="1"/>
  <c r="U29" i="5" s="1"/>
  <c r="V29" i="5" s="1"/>
  <c r="W29" i="5" s="1"/>
  <c r="X29" i="5" s="1"/>
  <c r="Y29" i="5" s="1"/>
  <c r="Z29" i="5" s="1"/>
  <c r="AA29" i="5" s="1"/>
  <c r="AB29" i="5" s="1"/>
  <c r="AC29" i="5" s="1"/>
  <c r="E17" i="5"/>
  <c r="F17" i="5" s="1"/>
  <c r="G17" i="5" s="1"/>
  <c r="H17" i="5" s="1"/>
  <c r="I17" i="5" s="1"/>
  <c r="J17" i="5" s="1"/>
  <c r="K17" i="5" s="1"/>
  <c r="L17" i="5" s="1"/>
  <c r="M17" i="5" s="1"/>
  <c r="N17" i="5" s="1"/>
  <c r="O17" i="5" s="1"/>
  <c r="P17" i="5" s="1"/>
  <c r="Q17" i="5" s="1"/>
  <c r="R17" i="5" s="1"/>
  <c r="S17" i="5" s="1"/>
  <c r="T17" i="5" s="1"/>
  <c r="U17" i="5" s="1"/>
  <c r="V17" i="5" s="1"/>
  <c r="W17" i="5" s="1"/>
  <c r="X17" i="5" s="1"/>
  <c r="Y17" i="5" s="1"/>
  <c r="Z17" i="5" s="1"/>
  <c r="AA17" i="5" s="1"/>
  <c r="AB17" i="5" s="1"/>
  <c r="AC17" i="5" s="1"/>
  <c r="D12" i="5"/>
  <c r="D11" i="5"/>
  <c r="D10" i="5"/>
  <c r="D9" i="5"/>
  <c r="D8" i="5"/>
  <c r="D7" i="5"/>
  <c r="D6" i="5"/>
  <c r="E5" i="5"/>
  <c r="D2" i="5"/>
  <c r="C2" i="5"/>
  <c r="AE74" i="4"/>
  <c r="AD74" i="4"/>
  <c r="AC74" i="4"/>
  <c r="AB74" i="4"/>
  <c r="AA74" i="4"/>
  <c r="Z74" i="4"/>
  <c r="Y74" i="4"/>
  <c r="X74" i="4"/>
  <c r="W74" i="4"/>
  <c r="V74" i="4"/>
  <c r="U74" i="4"/>
  <c r="T74" i="4"/>
  <c r="S74" i="4"/>
  <c r="R74" i="4"/>
  <c r="Q74" i="4"/>
  <c r="P74" i="4"/>
  <c r="O74" i="4"/>
  <c r="N74" i="4"/>
  <c r="M74" i="4"/>
  <c r="L74" i="4"/>
  <c r="K74" i="4"/>
  <c r="J74" i="4"/>
  <c r="I74" i="4"/>
  <c r="H74" i="4"/>
  <c r="G74" i="4"/>
  <c r="F74" i="4"/>
  <c r="G63" i="4"/>
  <c r="H63" i="4" s="1"/>
  <c r="I63" i="4" s="1"/>
  <c r="J63" i="4" s="1"/>
  <c r="K63" i="4" s="1"/>
  <c r="L63" i="4" s="1"/>
  <c r="M63" i="4" s="1"/>
  <c r="N63" i="4" s="1"/>
  <c r="O63" i="4" s="1"/>
  <c r="P63" i="4" s="1"/>
  <c r="Q63" i="4" s="1"/>
  <c r="R63" i="4" s="1"/>
  <c r="S63" i="4" s="1"/>
  <c r="T63" i="4" s="1"/>
  <c r="U63" i="4" s="1"/>
  <c r="V63" i="4" s="1"/>
  <c r="W63" i="4" s="1"/>
  <c r="X63" i="4" s="1"/>
  <c r="Y63" i="4" s="1"/>
  <c r="Z63" i="4" s="1"/>
  <c r="AA63" i="4" s="1"/>
  <c r="AB63" i="4" s="1"/>
  <c r="AC63" i="4" s="1"/>
  <c r="AD63" i="4" s="1"/>
  <c r="AE63" i="4" s="1"/>
  <c r="AE59" i="4"/>
  <c r="AD59" i="4"/>
  <c r="AC59" i="4"/>
  <c r="AB59" i="4"/>
  <c r="AA59" i="4"/>
  <c r="Z59" i="4"/>
  <c r="Y59" i="4"/>
  <c r="X59" i="4"/>
  <c r="W59" i="4"/>
  <c r="V59" i="4"/>
  <c r="U59" i="4"/>
  <c r="T59" i="4"/>
  <c r="S59" i="4"/>
  <c r="R59" i="4"/>
  <c r="Q59" i="4"/>
  <c r="P59" i="4"/>
  <c r="O59" i="4"/>
  <c r="N59" i="4"/>
  <c r="M59" i="4"/>
  <c r="L59" i="4"/>
  <c r="K59" i="4"/>
  <c r="J59" i="4"/>
  <c r="I59" i="4"/>
  <c r="H59" i="4"/>
  <c r="G59" i="4"/>
  <c r="F59" i="4"/>
  <c r="G52" i="4"/>
  <c r="H52" i="4" s="1"/>
  <c r="I52" i="4" s="1"/>
  <c r="J52" i="4" s="1"/>
  <c r="K52" i="4" s="1"/>
  <c r="L52" i="4" s="1"/>
  <c r="M52" i="4" s="1"/>
  <c r="N52" i="4" s="1"/>
  <c r="O52" i="4" s="1"/>
  <c r="P52" i="4" s="1"/>
  <c r="Q52" i="4" s="1"/>
  <c r="R52" i="4" s="1"/>
  <c r="S52" i="4" s="1"/>
  <c r="T52" i="4" s="1"/>
  <c r="U52" i="4" s="1"/>
  <c r="V52" i="4" s="1"/>
  <c r="W52" i="4" s="1"/>
  <c r="X52" i="4" s="1"/>
  <c r="Y52" i="4" s="1"/>
  <c r="Z52" i="4" s="1"/>
  <c r="AA52" i="4" s="1"/>
  <c r="AB52" i="4" s="1"/>
  <c r="AC52" i="4" s="1"/>
  <c r="AD52" i="4" s="1"/>
  <c r="AE52" i="4" s="1"/>
  <c r="G46" i="4"/>
  <c r="H46" i="4" s="1"/>
  <c r="I46" i="4" s="1"/>
  <c r="J46" i="4" s="1"/>
  <c r="K46" i="4" s="1"/>
  <c r="L46" i="4" s="1"/>
  <c r="M46" i="4" s="1"/>
  <c r="N46" i="4" s="1"/>
  <c r="O46" i="4" s="1"/>
  <c r="P46" i="4" s="1"/>
  <c r="Q46" i="4" s="1"/>
  <c r="R46" i="4" s="1"/>
  <c r="S46" i="4" s="1"/>
  <c r="T46" i="4" s="1"/>
  <c r="U46" i="4" s="1"/>
  <c r="V46" i="4" s="1"/>
  <c r="W46" i="4" s="1"/>
  <c r="X46" i="4" s="1"/>
  <c r="Y46" i="4" s="1"/>
  <c r="Z46" i="4" s="1"/>
  <c r="AA46" i="4" s="1"/>
  <c r="AB46" i="4" s="1"/>
  <c r="AC46" i="4" s="1"/>
  <c r="AD46" i="4" s="1"/>
  <c r="AE46" i="4" s="1"/>
  <c r="AC40" i="4" a="1"/>
  <c r="AC40" i="4" s="1"/>
  <c r="F40" i="4"/>
  <c r="E39" i="4"/>
  <c r="D39" i="4"/>
  <c r="C39" i="4"/>
  <c r="B39" i="4"/>
  <c r="E38" i="4"/>
  <c r="D38" i="4"/>
  <c r="C38" i="4"/>
  <c r="B38" i="4"/>
  <c r="E37" i="4"/>
  <c r="D37" i="4"/>
  <c r="C37" i="4"/>
  <c r="B37" i="4"/>
  <c r="E36" i="4"/>
  <c r="D36" i="4"/>
  <c r="C36" i="4"/>
  <c r="B36" i="4"/>
  <c r="E35" i="4"/>
  <c r="D35" i="4"/>
  <c r="C35" i="4"/>
  <c r="B35" i="4"/>
  <c r="E34" i="4"/>
  <c r="D34" i="4"/>
  <c r="C34" i="4"/>
  <c r="B34" i="4"/>
  <c r="E33" i="4"/>
  <c r="D33" i="4"/>
  <c r="C33" i="4"/>
  <c r="B33" i="4"/>
  <c r="E32" i="4"/>
  <c r="D32" i="4"/>
  <c r="C32" i="4"/>
  <c r="B32" i="4"/>
  <c r="E31" i="4"/>
  <c r="D31" i="4"/>
  <c r="C31" i="4"/>
  <c r="B31" i="4"/>
  <c r="E30" i="4"/>
  <c r="D30" i="4"/>
  <c r="C30" i="4"/>
  <c r="B30" i="4"/>
  <c r="E29" i="4"/>
  <c r="D29" i="4"/>
  <c r="C29" i="4"/>
  <c r="B29" i="4"/>
  <c r="E28" i="4"/>
  <c r="D28" i="4"/>
  <c r="C28" i="4"/>
  <c r="B28" i="4"/>
  <c r="E27" i="4"/>
  <c r="D27" i="4"/>
  <c r="C27" i="4"/>
  <c r="B27" i="4"/>
  <c r="E26" i="4"/>
  <c r="D26" i="4"/>
  <c r="C26" i="4"/>
  <c r="B26" i="4"/>
  <c r="E25" i="4"/>
  <c r="D25" i="4"/>
  <c r="C25" i="4"/>
  <c r="B25" i="4"/>
  <c r="E24" i="4"/>
  <c r="D24" i="4"/>
  <c r="C24" i="4"/>
  <c r="B24" i="4"/>
  <c r="E23" i="4"/>
  <c r="D23" i="4"/>
  <c r="C23" i="4"/>
  <c r="B23" i="4"/>
  <c r="E22" i="4"/>
  <c r="D22" i="4"/>
  <c r="C22" i="4"/>
  <c r="B22" i="4"/>
  <c r="E21" i="4"/>
  <c r="D21" i="4"/>
  <c r="C21" i="4"/>
  <c r="B21" i="4"/>
  <c r="E20" i="4"/>
  <c r="D20" i="4"/>
  <c r="C20" i="4"/>
  <c r="B20" i="4"/>
  <c r="E19" i="4"/>
  <c r="D19" i="4"/>
  <c r="C19" i="4"/>
  <c r="B19" i="4"/>
  <c r="E18" i="4"/>
  <c r="D18" i="4"/>
  <c r="C18" i="4"/>
  <c r="B18" i="4"/>
  <c r="E17" i="4"/>
  <c r="D17" i="4"/>
  <c r="C17" i="4"/>
  <c r="B17" i="4"/>
  <c r="E16" i="4"/>
  <c r="D16" i="4"/>
  <c r="C16" i="4"/>
  <c r="B16" i="4"/>
  <c r="E15" i="4"/>
  <c r="D15" i="4"/>
  <c r="C15" i="4"/>
  <c r="B15" i="4"/>
  <c r="E14" i="4"/>
  <c r="D14" i="4"/>
  <c r="C14" i="4"/>
  <c r="B14" i="4"/>
  <c r="E13" i="4"/>
  <c r="D13" i="4"/>
  <c r="C13" i="4"/>
  <c r="B13" i="4"/>
  <c r="E12" i="4"/>
  <c r="D12" i="4"/>
  <c r="C12" i="4"/>
  <c r="B12" i="4"/>
  <c r="E11" i="4"/>
  <c r="D11" i="4"/>
  <c r="C11" i="4"/>
  <c r="B11" i="4"/>
  <c r="E10" i="4"/>
  <c r="D10" i="4"/>
  <c r="C10" i="4"/>
  <c r="B10" i="4"/>
  <c r="AE9" i="4"/>
  <c r="AD9" i="4"/>
  <c r="AC9" i="4"/>
  <c r="AB9" i="4"/>
  <c r="AA9" i="4"/>
  <c r="Z9" i="4"/>
  <c r="Y9" i="4"/>
  <c r="X9" i="4"/>
  <c r="W9" i="4"/>
  <c r="V9" i="4"/>
  <c r="U9" i="4"/>
  <c r="T9" i="4"/>
  <c r="S9" i="4"/>
  <c r="R9" i="4"/>
  <c r="Q9" i="4"/>
  <c r="P9" i="4"/>
  <c r="O9" i="4"/>
  <c r="N9" i="4"/>
  <c r="M9" i="4"/>
  <c r="L9" i="4"/>
  <c r="K9" i="4"/>
  <c r="J9" i="4"/>
  <c r="I9" i="4"/>
  <c r="H9" i="4"/>
  <c r="G9" i="4"/>
  <c r="F9" i="4"/>
  <c r="G8" i="4"/>
  <c r="H8" i="4" s="1"/>
  <c r="D2" i="4"/>
  <c r="C2" i="4"/>
  <c r="F6" i="3"/>
  <c r="G6" i="3" s="1"/>
  <c r="H6" i="3" s="1"/>
  <c r="I6" i="3" s="1"/>
  <c r="J6" i="3" s="1"/>
  <c r="K6" i="3" s="1"/>
  <c r="L6" i="3" s="1"/>
  <c r="M6" i="3" s="1"/>
  <c r="N6" i="3" s="1"/>
  <c r="O6" i="3" s="1"/>
  <c r="P6" i="3" s="1"/>
  <c r="Q6" i="3" s="1"/>
  <c r="R6" i="3" s="1"/>
  <c r="S6" i="3" s="1"/>
  <c r="T6" i="3" s="1"/>
  <c r="U6" i="3" s="1"/>
  <c r="V6" i="3" s="1"/>
  <c r="W6" i="3" s="1"/>
  <c r="X6" i="3" s="1"/>
  <c r="Y6" i="3" s="1"/>
  <c r="Z6" i="3" s="1"/>
  <c r="AA6" i="3" s="1"/>
  <c r="AB6" i="3" s="1"/>
  <c r="AC6" i="3" s="1"/>
  <c r="AD6" i="3" s="1"/>
  <c r="D2" i="3"/>
  <c r="C2" i="3"/>
  <c r="O37" i="2"/>
  <c r="N37" i="2"/>
  <c r="L37" i="2"/>
  <c r="K37" i="2"/>
  <c r="J37" i="2"/>
  <c r="I37" i="2"/>
  <c r="H37" i="2"/>
  <c r="G37" i="2"/>
  <c r="F37" i="2"/>
  <c r="N36" i="2"/>
  <c r="L36" i="2"/>
  <c r="K36" i="2"/>
  <c r="M36" i="2" s="1"/>
  <c r="J36" i="2"/>
  <c r="I36" i="2"/>
  <c r="H36" i="2"/>
  <c r="G36" i="2"/>
  <c r="F36" i="2"/>
  <c r="O36" i="2" s="1"/>
  <c r="T35" i="2"/>
  <c r="O35" i="2"/>
  <c r="N35" i="2"/>
  <c r="M35" i="2"/>
  <c r="T34" i="2"/>
  <c r="O34" i="2"/>
  <c r="N34" i="2"/>
  <c r="M34" i="2"/>
  <c r="T33" i="2"/>
  <c r="O33" i="2"/>
  <c r="N33" i="2"/>
  <c r="M33" i="2"/>
  <c r="W32" i="2"/>
  <c r="T32" i="2"/>
  <c r="O32" i="2"/>
  <c r="N32" i="2"/>
  <c r="M32" i="2"/>
  <c r="T31" i="2"/>
  <c r="O31" i="2"/>
  <c r="N31" i="2"/>
  <c r="M31" i="2"/>
  <c r="AA30" i="2"/>
  <c r="T30" i="2"/>
  <c r="O30" i="2"/>
  <c r="N30" i="2"/>
  <c r="M30" i="2"/>
  <c r="T29" i="2"/>
  <c r="O29" i="2"/>
  <c r="N29" i="2"/>
  <c r="M29" i="2"/>
  <c r="T28" i="2"/>
  <c r="O28" i="2"/>
  <c r="N28" i="2"/>
  <c r="M28" i="2"/>
  <c r="T27" i="2"/>
  <c r="O27" i="2"/>
  <c r="N27" i="2"/>
  <c r="M27" i="2"/>
  <c r="X26" i="2"/>
  <c r="T26" i="2"/>
  <c r="O26" i="2"/>
  <c r="N26" i="2"/>
  <c r="M26" i="2"/>
  <c r="T25" i="2"/>
  <c r="O25" i="2"/>
  <c r="N25" i="2"/>
  <c r="M25" i="2"/>
  <c r="T24" i="2"/>
  <c r="O24" i="2"/>
  <c r="N24" i="2"/>
  <c r="M24" i="2"/>
  <c r="T23" i="2"/>
  <c r="O23" i="2"/>
  <c r="N23" i="2"/>
  <c r="M23" i="2"/>
  <c r="T22" i="2"/>
  <c r="O22" i="2"/>
  <c r="N22" i="2"/>
  <c r="M22" i="2"/>
  <c r="T21" i="2"/>
  <c r="O21" i="2"/>
  <c r="N21" i="2"/>
  <c r="M21" i="2"/>
  <c r="W20" i="2"/>
  <c r="T20" i="2"/>
  <c r="O20" i="2"/>
  <c r="N20" i="2"/>
  <c r="M20" i="2"/>
  <c r="T19" i="2"/>
  <c r="O19" i="2"/>
  <c r="N19" i="2"/>
  <c r="M19" i="2"/>
  <c r="T18" i="2"/>
  <c r="O18" i="2"/>
  <c r="N18" i="2"/>
  <c r="M18" i="2"/>
  <c r="T17" i="2"/>
  <c r="O17" i="2"/>
  <c r="N17" i="2"/>
  <c r="M17" i="2"/>
  <c r="Z16" i="2"/>
  <c r="T16" i="2"/>
  <c r="O16" i="2"/>
  <c r="N16" i="2"/>
  <c r="M16" i="2"/>
  <c r="L12" i="2"/>
  <c r="Z35" i="2" s="1"/>
  <c r="K12" i="2"/>
  <c r="J12" i="2"/>
  <c r="J7" i="2" s="1"/>
  <c r="J8" i="2" s="1"/>
  <c r="D48" i="4" s="1"/>
  <c r="E48" i="4" s="1"/>
  <c r="I12" i="2"/>
  <c r="X34" i="2" s="1"/>
  <c r="H12" i="2"/>
  <c r="F6" i="6" s="1"/>
  <c r="G12" i="2"/>
  <c r="W22" i="2" s="1"/>
  <c r="F12" i="2"/>
  <c r="AA34" i="2" s="1"/>
  <c r="D2" i="2"/>
  <c r="C2" i="2"/>
  <c r="C52" i="1"/>
  <c r="C50" i="1"/>
  <c r="C38" i="1"/>
  <c r="C35" i="1"/>
  <c r="C37" i="1" s="1"/>
  <c r="C6" i="1"/>
  <c r="D6" i="1" s="1"/>
  <c r="G7" i="4" s="1"/>
  <c r="H8" i="6"/>
  <c r="H9" i="6" s="1"/>
  <c r="G8" i="6"/>
  <c r="E6" i="6"/>
  <c r="D6" i="6"/>
  <c r="D2" i="6"/>
  <c r="C2" i="6"/>
  <c r="F7" i="2" l="1"/>
  <c r="X17" i="2"/>
  <c r="W19" i="2"/>
  <c r="W21" i="2"/>
  <c r="X23" i="2"/>
  <c r="W25" i="2"/>
  <c r="W29" i="2"/>
  <c r="W35" i="2"/>
  <c r="D38" i="5"/>
  <c r="G6" i="6"/>
  <c r="G7" i="2"/>
  <c r="G8" i="2" s="1"/>
  <c r="E7" i="6" s="1"/>
  <c r="AA17" i="2"/>
  <c r="AA19" i="2"/>
  <c r="X21" i="2"/>
  <c r="AA23" i="2"/>
  <c r="X25" i="2"/>
  <c r="W27" i="2"/>
  <c r="X29" i="2"/>
  <c r="W31" i="2"/>
  <c r="W33" i="2"/>
  <c r="X35" i="2"/>
  <c r="H6" i="6"/>
  <c r="I7" i="2"/>
  <c r="I8" i="2" s="1"/>
  <c r="D47" i="4" s="1"/>
  <c r="E47" i="4" s="1"/>
  <c r="AA21" i="2"/>
  <c r="AA25" i="2"/>
  <c r="Z27" i="2"/>
  <c r="AA29" i="2"/>
  <c r="X31" i="2"/>
  <c r="AA35" i="2"/>
  <c r="M37" i="2"/>
  <c r="E7" i="5"/>
  <c r="F7" i="5" s="1"/>
  <c r="I8" i="6"/>
  <c r="I46" i="10"/>
  <c r="AA27" i="2"/>
  <c r="U27" i="2" s="1"/>
  <c r="AA31" i="2"/>
  <c r="W16" i="2"/>
  <c r="H7" i="2"/>
  <c r="H8" i="2" s="1"/>
  <c r="F7" i="6" s="1"/>
  <c r="X24" i="2"/>
  <c r="W34" i="2"/>
  <c r="J8" i="6"/>
  <c r="X18" i="2"/>
  <c r="AA16" i="2"/>
  <c r="AA18" i="2"/>
  <c r="U18" i="2" s="1"/>
  <c r="X20" i="2"/>
  <c r="AA22" i="2"/>
  <c r="AA24" i="2"/>
  <c r="W26" i="2"/>
  <c r="X30" i="2"/>
  <c r="U30" i="2" s="1"/>
  <c r="Y31" i="2"/>
  <c r="Y25" i="2"/>
  <c r="Y19" i="2"/>
  <c r="Y32" i="2"/>
  <c r="Y27" i="2"/>
  <c r="Y23" i="2"/>
  <c r="Y18" i="2"/>
  <c r="Y33" i="2"/>
  <c r="Y29" i="2"/>
  <c r="U29" i="2" s="1"/>
  <c r="Y24" i="2"/>
  <c r="U24" i="2" s="1"/>
  <c r="K7" i="2"/>
  <c r="K8" i="2" s="1"/>
  <c r="Y16" i="2"/>
  <c r="Y34" i="2"/>
  <c r="Y30" i="2"/>
  <c r="Y22" i="2"/>
  <c r="I6" i="6"/>
  <c r="Y28" i="2"/>
  <c r="Y20" i="2"/>
  <c r="Y17" i="2"/>
  <c r="Y26" i="2"/>
  <c r="M12" i="2"/>
  <c r="Y35" i="2"/>
  <c r="U35" i="2" s="1"/>
  <c r="N12" i="2"/>
  <c r="Y21" i="2"/>
  <c r="I8" i="4"/>
  <c r="H7" i="4"/>
  <c r="Y41" i="4" a="1"/>
  <c r="Y41" i="4" s="1"/>
  <c r="O40" i="4" a="1"/>
  <c r="O40" i="4" s="1"/>
  <c r="Z41" i="4" a="1"/>
  <c r="Z41" i="4" s="1"/>
  <c r="Q41" i="4" a="1"/>
  <c r="Q41" i="4" s="1"/>
  <c r="AA40" i="4" a="1"/>
  <c r="AA40" i="4" s="1"/>
  <c r="S40" i="4" a="1"/>
  <c r="S40" i="4" s="1"/>
  <c r="L40" i="4" a="1"/>
  <c r="L40" i="4" s="1"/>
  <c r="X41" i="4" a="1"/>
  <c r="X41" i="4" s="1"/>
  <c r="I41" i="4" a="1"/>
  <c r="I41" i="4" s="1"/>
  <c r="Z40" i="4" a="1"/>
  <c r="Z40" i="4" s="1"/>
  <c r="AE41" i="4" a="1"/>
  <c r="AE41" i="4" s="1"/>
  <c r="W41" i="4" a="1"/>
  <c r="W41" i="4" s="1"/>
  <c r="H41" i="4" a="1"/>
  <c r="H41" i="4" s="1"/>
  <c r="AD41" i="4" a="1"/>
  <c r="AD41" i="4" s="1"/>
  <c r="O41" i="4" a="1"/>
  <c r="O41" i="4" s="1"/>
  <c r="G41" i="4" a="1"/>
  <c r="G41" i="4" s="1"/>
  <c r="X40" i="4" a="1"/>
  <c r="X40" i="4" s="1"/>
  <c r="Q40" i="4" a="1"/>
  <c r="Q40" i="4" s="1"/>
  <c r="J40" i="4" a="1"/>
  <c r="J40" i="4" s="1"/>
  <c r="AB41" i="4" a="1"/>
  <c r="AB41" i="4" s="1"/>
  <c r="S41" i="4" a="1"/>
  <c r="S41" i="4" s="1"/>
  <c r="H7" i="6"/>
  <c r="K40" i="4" a="1"/>
  <c r="K40" i="4" s="1"/>
  <c r="F43" i="5"/>
  <c r="Z23" i="2"/>
  <c r="Z18" i="2"/>
  <c r="Z28" i="2"/>
  <c r="Z29" i="2"/>
  <c r="Z24" i="2"/>
  <c r="Z19" i="2"/>
  <c r="L7" i="2"/>
  <c r="L8" i="2" s="1"/>
  <c r="Z34" i="2"/>
  <c r="P41" i="4" a="1"/>
  <c r="P41" i="4" s="1"/>
  <c r="Z32" i="2"/>
  <c r="H40" i="4" a="1"/>
  <c r="H40" i="4" s="1"/>
  <c r="R41" i="4" a="1"/>
  <c r="R41" i="4" s="1"/>
  <c r="Z21" i="2"/>
  <c r="E10" i="5"/>
  <c r="F10" i="5" s="1"/>
  <c r="T41" i="4" a="1"/>
  <c r="T41" i="4" s="1"/>
  <c r="F8" i="2"/>
  <c r="V40" i="4" a="1"/>
  <c r="V40" i="4" s="1"/>
  <c r="F5" i="5"/>
  <c r="U41" i="4" a="1"/>
  <c r="U41" i="4" s="1"/>
  <c r="E4" i="5"/>
  <c r="Z20" i="2"/>
  <c r="Z31" i="2"/>
  <c r="K41" i="4" a="1"/>
  <c r="K41" i="4" s="1"/>
  <c r="E9" i="5"/>
  <c r="F9" i="5" s="1"/>
  <c r="Z17" i="2"/>
  <c r="U31" i="2"/>
  <c r="N40" i="4" a="1"/>
  <c r="N40" i="4" s="1"/>
  <c r="V41" i="4" a="1"/>
  <c r="V41" i="4" s="1"/>
  <c r="E8" i="5"/>
  <c r="D13" i="5"/>
  <c r="D15" i="5" s="1"/>
  <c r="R40" i="4" a="1"/>
  <c r="R40" i="4" s="1"/>
  <c r="AD40" i="4" a="1"/>
  <c r="AD40" i="4" s="1"/>
  <c r="AC41" i="4" a="1"/>
  <c r="AC41" i="4" s="1"/>
  <c r="AE40" i="4" a="1"/>
  <c r="AE40" i="4" s="1"/>
  <c r="U23" i="2"/>
  <c r="Z26" i="2"/>
  <c r="W40" i="4" a="1"/>
  <c r="W40" i="4" s="1"/>
  <c r="Z25" i="2"/>
  <c r="Z33" i="2"/>
  <c r="Y40" i="4" a="1"/>
  <c r="Y40" i="4" s="1"/>
  <c r="L41" i="4" a="1"/>
  <c r="L41" i="4" s="1"/>
  <c r="X22" i="2"/>
  <c r="X32" i="2"/>
  <c r="X27" i="2"/>
  <c r="X28" i="2"/>
  <c r="X33" i="2"/>
  <c r="X19" i="2"/>
  <c r="X16" i="2"/>
  <c r="F8" i="6"/>
  <c r="F9" i="6" s="1"/>
  <c r="M41" i="4" a="1"/>
  <c r="M41" i="4" s="1"/>
  <c r="G40" i="4" a="1"/>
  <c r="G40" i="4" s="1"/>
  <c r="T40" i="4" a="1"/>
  <c r="T40" i="4" s="1"/>
  <c r="I40" i="4" a="1"/>
  <c r="I40" i="4" s="1"/>
  <c r="U40" i="4" a="1"/>
  <c r="U40" i="4" s="1"/>
  <c r="J41" i="4" a="1"/>
  <c r="J41" i="4" s="1"/>
  <c r="M40" i="4" a="1"/>
  <c r="M40" i="4" s="1"/>
  <c r="J6" i="6"/>
  <c r="Z22" i="2"/>
  <c r="Z30" i="2"/>
  <c r="P40" i="4" a="1"/>
  <c r="P40" i="4" s="1"/>
  <c r="AB40" i="4" a="1"/>
  <c r="AB40" i="4" s="1"/>
  <c r="N41" i="4" a="1"/>
  <c r="N41" i="4" s="1"/>
  <c r="AA41" i="4" a="1"/>
  <c r="AA41" i="4" s="1"/>
  <c r="O12" i="2"/>
  <c r="W28" i="2"/>
  <c r="E11" i="5"/>
  <c r="F11" i="5" s="1"/>
  <c r="E12" i="5"/>
  <c r="W23" i="2"/>
  <c r="AA32" i="2"/>
  <c r="AA26" i="2"/>
  <c r="AA20" i="2"/>
  <c r="AA33" i="2"/>
  <c r="W30" i="2"/>
  <c r="W24" i="2"/>
  <c r="W18" i="2"/>
  <c r="W17" i="2"/>
  <c r="AA28" i="2"/>
  <c r="I41" i="8"/>
  <c r="E6" i="5"/>
  <c r="D37" i="5"/>
  <c r="U21" i="2" l="1"/>
  <c r="U16" i="2"/>
  <c r="U17" i="2"/>
  <c r="F12" i="5"/>
  <c r="D14" i="5"/>
  <c r="U22" i="2"/>
  <c r="N6" i="6"/>
  <c r="G7" i="6"/>
  <c r="G9" i="6" s="1"/>
  <c r="F5" i="4"/>
  <c r="I5" i="4" s="1"/>
  <c r="U25" i="2"/>
  <c r="N7" i="2"/>
  <c r="U34" i="2"/>
  <c r="F50" i="4"/>
  <c r="I50" i="4" s="1"/>
  <c r="I7" i="6"/>
  <c r="I9" i="6" s="1"/>
  <c r="I7" i="4"/>
  <c r="J8" i="4"/>
  <c r="M6" i="6"/>
  <c r="E8" i="6"/>
  <c r="U20" i="2"/>
  <c r="F4" i="5"/>
  <c r="E40" i="5" s="1"/>
  <c r="G5" i="5"/>
  <c r="K6" i="6"/>
  <c r="L6" i="6" s="1"/>
  <c r="U26" i="2"/>
  <c r="U19" i="2"/>
  <c r="F6" i="5"/>
  <c r="U28" i="2"/>
  <c r="P8" i="2" a="1"/>
  <c r="P8" i="2" s="1"/>
  <c r="O8" i="2"/>
  <c r="N8" i="2"/>
  <c r="E5" i="8"/>
  <c r="J5" i="8" s="1"/>
  <c r="D7" i="6"/>
  <c r="O7" i="2"/>
  <c r="F61" i="4"/>
  <c r="I61" i="4" s="1"/>
  <c r="J7" i="6"/>
  <c r="J9" i="6" s="1"/>
  <c r="M7" i="2"/>
  <c r="M8" i="2" s="1"/>
  <c r="U33" i="2"/>
  <c r="E13" i="5"/>
  <c r="E14" i="5" s="1"/>
  <c r="F8" i="5"/>
  <c r="U32" i="2"/>
  <c r="G43" i="5"/>
  <c r="K7" i="6"/>
  <c r="E15" i="5" l="1"/>
  <c r="G4" i="5"/>
  <c r="F40" i="5" s="1"/>
  <c r="H5" i="5"/>
  <c r="E9" i="6"/>
  <c r="K8" i="6"/>
  <c r="K9" i="6" s="1"/>
  <c r="G8" i="5"/>
  <c r="F13" i="5"/>
  <c r="F15" i="5" s="1"/>
  <c r="J7" i="4"/>
  <c r="K8" i="4"/>
  <c r="G12" i="5"/>
  <c r="H12" i="5" s="1"/>
  <c r="H43" i="5"/>
  <c r="G7" i="5"/>
  <c r="H7" i="5" s="1"/>
  <c r="G10" i="5"/>
  <c r="G6" i="5"/>
  <c r="D8" i="6"/>
  <c r="N7" i="6"/>
  <c r="M7" i="6"/>
  <c r="L7" i="6"/>
  <c r="G9" i="5"/>
  <c r="H9" i="5" s="1"/>
  <c r="G11" i="5"/>
  <c r="H11" i="5" s="1"/>
  <c r="H10" i="5" l="1"/>
  <c r="L8" i="4"/>
  <c r="K7" i="4"/>
  <c r="D9" i="6"/>
  <c r="N8" i="6"/>
  <c r="M8" i="6"/>
  <c r="M9" i="6" s="1"/>
  <c r="L8" i="6"/>
  <c r="L9" i="6" s="1"/>
  <c r="H8" i="5"/>
  <c r="G13" i="5"/>
  <c r="G15" i="5" s="1"/>
  <c r="F14" i="5"/>
  <c r="H6" i="5"/>
  <c r="I5" i="5"/>
  <c r="I10" i="5" s="1"/>
  <c r="H4" i="5"/>
  <c r="G40" i="5" s="1"/>
  <c r="I43" i="5"/>
  <c r="I7" i="5" l="1"/>
  <c r="I12" i="5"/>
  <c r="H13" i="5"/>
  <c r="H15" i="5" s="1"/>
  <c r="I8" i="5"/>
  <c r="J43" i="5"/>
  <c r="J5" i="5"/>
  <c r="J7" i="5" s="1"/>
  <c r="I4" i="5"/>
  <c r="H40" i="5" s="1"/>
  <c r="I9" i="5"/>
  <c r="J9" i="5" s="1"/>
  <c r="G14" i="5"/>
  <c r="J12" i="5"/>
  <c r="M8" i="4"/>
  <c r="L7" i="4"/>
  <c r="I6" i="5"/>
  <c r="I11" i="5"/>
  <c r="J11" i="5" s="1"/>
  <c r="H14" i="5" l="1"/>
  <c r="J6" i="5"/>
  <c r="K43" i="5"/>
  <c r="K5" i="5"/>
  <c r="J4" i="5"/>
  <c r="I40" i="5" s="1"/>
  <c r="I13" i="5"/>
  <c r="I15" i="5" s="1"/>
  <c r="J8" i="5"/>
  <c r="M7" i="4"/>
  <c r="N8" i="4"/>
  <c r="J10" i="5"/>
  <c r="K10" i="5" s="1"/>
  <c r="I14" i="5" l="1"/>
  <c r="K6" i="5"/>
  <c r="L5" i="5"/>
  <c r="K4" i="5"/>
  <c r="J40" i="5" s="1"/>
  <c r="K9" i="5"/>
  <c r="L9" i="5" s="1"/>
  <c r="K11" i="5"/>
  <c r="L11" i="5" s="1"/>
  <c r="L43" i="5"/>
  <c r="N7" i="4"/>
  <c r="O8" i="4"/>
  <c r="J13" i="5"/>
  <c r="J15" i="5" s="1"/>
  <c r="K8" i="5"/>
  <c r="K12" i="5"/>
  <c r="K7" i="5"/>
  <c r="J14" i="5" l="1"/>
  <c r="L7" i="5"/>
  <c r="M7" i="5" s="1"/>
  <c r="M43" i="5"/>
  <c r="L4" i="5"/>
  <c r="K40" i="5" s="1"/>
  <c r="M5" i="5"/>
  <c r="L12" i="5"/>
  <c r="M12" i="5" s="1"/>
  <c r="M11" i="5"/>
  <c r="L6" i="5"/>
  <c r="K13" i="5"/>
  <c r="K14" i="5" s="1"/>
  <c r="L8" i="5"/>
  <c r="O7" i="4"/>
  <c r="P8" i="4"/>
  <c r="L10" i="5"/>
  <c r="K15" i="5" l="1"/>
  <c r="M10" i="5"/>
  <c r="M6" i="5"/>
  <c r="M4" i="5"/>
  <c r="L40" i="5" s="1"/>
  <c r="N5" i="5"/>
  <c r="N11" i="5" s="1"/>
  <c r="Q8" i="4"/>
  <c r="P7" i="4"/>
  <c r="M9" i="5"/>
  <c r="N9" i="5" s="1"/>
  <c r="M8" i="5"/>
  <c r="L13" i="5"/>
  <c r="L15" i="5" s="1"/>
  <c r="N43" i="5"/>
  <c r="N7" i="5" l="1"/>
  <c r="N10" i="5"/>
  <c r="O10" i="5" s="1"/>
  <c r="R8" i="4"/>
  <c r="Q7" i="4"/>
  <c r="O5" i="5"/>
  <c r="N4" i="5"/>
  <c r="M40" i="5" s="1"/>
  <c r="O43" i="5"/>
  <c r="N12" i="5"/>
  <c r="O12" i="5" s="1"/>
  <c r="O7" i="5"/>
  <c r="O11" i="5"/>
  <c r="N6" i="5"/>
  <c r="M13" i="5"/>
  <c r="M14" i="5" s="1"/>
  <c r="N8" i="5"/>
  <c r="L14" i="5"/>
  <c r="O8" i="5" l="1"/>
  <c r="N13" i="5"/>
  <c r="N14" i="5" s="1"/>
  <c r="P5" i="5"/>
  <c r="O4" i="5"/>
  <c r="N40" i="5" s="1"/>
  <c r="P10" i="5"/>
  <c r="P12" i="5"/>
  <c r="P43" i="5"/>
  <c r="N15" i="5"/>
  <c r="O6" i="5"/>
  <c r="M15" i="5"/>
  <c r="R7" i="4"/>
  <c r="S8" i="4"/>
  <c r="O9" i="5"/>
  <c r="P9" i="5" s="1"/>
  <c r="P4" i="5" l="1"/>
  <c r="O40" i="5" s="1"/>
  <c r="Q5" i="5"/>
  <c r="E33" i="5"/>
  <c r="T8" i="4"/>
  <c r="S7" i="4"/>
  <c r="E32" i="5"/>
  <c r="E31" i="5"/>
  <c r="E35" i="5"/>
  <c r="E36" i="5"/>
  <c r="E34" i="5"/>
  <c r="Q43" i="5"/>
  <c r="O13" i="5"/>
  <c r="O15" i="5" s="1"/>
  <c r="P8" i="5"/>
  <c r="P6" i="5"/>
  <c r="P7" i="5"/>
  <c r="Q7" i="5" s="1"/>
  <c r="P11" i="5"/>
  <c r="Q11" i="5" s="1"/>
  <c r="O14" i="5" l="1"/>
  <c r="E22" i="5"/>
  <c r="F34" i="5"/>
  <c r="F36" i="5"/>
  <c r="E24" i="5"/>
  <c r="F35" i="5"/>
  <c r="E23" i="5"/>
  <c r="F31" i="5"/>
  <c r="E19" i="5"/>
  <c r="Q8" i="5"/>
  <c r="P13" i="5"/>
  <c r="P14" i="5" s="1"/>
  <c r="U8" i="4"/>
  <c r="T7" i="4"/>
  <c r="Q6" i="5"/>
  <c r="E20" i="5"/>
  <c r="E37" i="5"/>
  <c r="F32" i="5"/>
  <c r="E30" i="5" a="1"/>
  <c r="E30" i="5" s="1"/>
  <c r="E21" i="5"/>
  <c r="F33" i="5"/>
  <c r="Q4" i="5"/>
  <c r="P40" i="5" s="1"/>
  <c r="P30" i="5" s="1" a="1"/>
  <c r="P30" i="5" s="1"/>
  <c r="R5" i="5"/>
  <c r="R11" i="5" s="1"/>
  <c r="Q10" i="5"/>
  <c r="Q12" i="5"/>
  <c r="R43" i="5"/>
  <c r="Q9" i="5"/>
  <c r="R9" i="5" l="1"/>
  <c r="R7" i="5"/>
  <c r="R12" i="5"/>
  <c r="R10" i="5"/>
  <c r="E38" i="5"/>
  <c r="E18" i="5"/>
  <c r="E44" i="5"/>
  <c r="R8" i="5"/>
  <c r="Q13" i="5"/>
  <c r="Q14" i="5" s="1"/>
  <c r="F20" i="5"/>
  <c r="G32" i="5"/>
  <c r="F37" i="5"/>
  <c r="F30" i="5" a="1"/>
  <c r="F30" i="5" s="1"/>
  <c r="G31" i="5"/>
  <c r="F19" i="5"/>
  <c r="R6" i="5"/>
  <c r="S43" i="5"/>
  <c r="E25" i="5"/>
  <c r="P15" i="5"/>
  <c r="G35" i="5"/>
  <c r="F23" i="5"/>
  <c r="G36" i="5"/>
  <c r="F24" i="5"/>
  <c r="G34" i="5"/>
  <c r="F22" i="5"/>
  <c r="P44" i="5"/>
  <c r="V8" i="4"/>
  <c r="U7" i="4"/>
  <c r="F21" i="5"/>
  <c r="G33" i="5"/>
  <c r="R4" i="5"/>
  <c r="Q40" i="5" s="1"/>
  <c r="Q30" i="5" s="1" a="1"/>
  <c r="Q30" i="5" s="1"/>
  <c r="S5" i="5"/>
  <c r="H35" i="5" l="1"/>
  <c r="G23" i="5"/>
  <c r="F38" i="5"/>
  <c r="F18" i="5"/>
  <c r="F44" i="5"/>
  <c r="S4" i="5"/>
  <c r="R40" i="5" s="1"/>
  <c r="R30" i="5" s="1" a="1"/>
  <c r="R30" i="5" s="1"/>
  <c r="T5" i="5"/>
  <c r="T43" i="5"/>
  <c r="F25" i="5"/>
  <c r="S12" i="5"/>
  <c r="S10" i="5"/>
  <c r="Q15" i="5"/>
  <c r="Q18" i="5"/>
  <c r="Q44" i="5"/>
  <c r="S7" i="5"/>
  <c r="E27" i="5"/>
  <c r="E26" i="5"/>
  <c r="W8" i="4"/>
  <c r="V7" i="4"/>
  <c r="S6" i="5"/>
  <c r="R14" i="5"/>
  <c r="G19" i="5"/>
  <c r="H31" i="5"/>
  <c r="G20" i="5"/>
  <c r="G37" i="5"/>
  <c r="H32" i="5"/>
  <c r="G30" i="5" a="1"/>
  <c r="G30" i="5" s="1"/>
  <c r="H34" i="5"/>
  <c r="G22" i="5"/>
  <c r="S8" i="5"/>
  <c r="R13" i="5"/>
  <c r="R15" i="5" s="1"/>
  <c r="S9" i="5"/>
  <c r="G24" i="5"/>
  <c r="H36" i="5"/>
  <c r="G21" i="5"/>
  <c r="H33" i="5"/>
  <c r="S11" i="5"/>
  <c r="I34" i="5" l="1"/>
  <c r="H22" i="5"/>
  <c r="G38" i="5"/>
  <c r="G18" i="5"/>
  <c r="G44" i="5"/>
  <c r="T11" i="5"/>
  <c r="T7" i="5"/>
  <c r="I33" i="5"/>
  <c r="H21" i="5"/>
  <c r="G25" i="5"/>
  <c r="F26" i="5"/>
  <c r="F27" i="5"/>
  <c r="H19" i="5"/>
  <c r="I31" i="5"/>
  <c r="Q27" i="5"/>
  <c r="I36" i="5"/>
  <c r="H24" i="5"/>
  <c r="H23" i="5"/>
  <c r="I35" i="5"/>
  <c r="U5" i="5"/>
  <c r="T4" i="5"/>
  <c r="S40" i="5" s="1"/>
  <c r="S30" i="5" s="1" a="1"/>
  <c r="S30" i="5" s="1"/>
  <c r="T6" i="5"/>
  <c r="W7" i="4"/>
  <c r="X8" i="4"/>
  <c r="U43" i="5"/>
  <c r="H37" i="5"/>
  <c r="H20" i="5"/>
  <c r="I32" i="5"/>
  <c r="H30" i="5" a="1"/>
  <c r="H30" i="5" s="1"/>
  <c r="R18" i="5"/>
  <c r="R44" i="5"/>
  <c r="T9" i="5"/>
  <c r="T10" i="5"/>
  <c r="T12" i="5"/>
  <c r="T8" i="5"/>
  <c r="S13" i="5"/>
  <c r="S15" i="5" s="1"/>
  <c r="H18" i="5" l="1"/>
  <c r="H38" i="5"/>
  <c r="H44" i="5"/>
  <c r="U4" i="5"/>
  <c r="T40" i="5" s="1"/>
  <c r="T30" i="5" s="1" a="1"/>
  <c r="T30" i="5" s="1"/>
  <c r="V5" i="5"/>
  <c r="I37" i="5"/>
  <c r="J32" i="5"/>
  <c r="I20" i="5"/>
  <c r="I30" i="5" a="1"/>
  <c r="I30" i="5" s="1"/>
  <c r="J33" i="5"/>
  <c r="I21" i="5"/>
  <c r="U8" i="5"/>
  <c r="T13" i="5"/>
  <c r="V43" i="5"/>
  <c r="U11" i="5"/>
  <c r="V11" i="5" s="1"/>
  <c r="Y8" i="4"/>
  <c r="X7" i="4"/>
  <c r="U6" i="5"/>
  <c r="T14" i="5"/>
  <c r="T15" i="5"/>
  <c r="I19" i="5"/>
  <c r="J31" i="5"/>
  <c r="S14" i="5"/>
  <c r="I23" i="5"/>
  <c r="J35" i="5"/>
  <c r="U10" i="5"/>
  <c r="G26" i="5"/>
  <c r="G27" i="5"/>
  <c r="J34" i="5"/>
  <c r="I22" i="5"/>
  <c r="H25" i="5"/>
  <c r="U7" i="5"/>
  <c r="V7" i="5" s="1"/>
  <c r="J36" i="5"/>
  <c r="I24" i="5"/>
  <c r="U12" i="5"/>
  <c r="U9" i="5"/>
  <c r="R27" i="5"/>
  <c r="S18" i="5"/>
  <c r="S44" i="5"/>
  <c r="V10" i="5" l="1"/>
  <c r="U13" i="5"/>
  <c r="V8" i="5"/>
  <c r="K36" i="5"/>
  <c r="J24" i="5"/>
  <c r="K31" i="5"/>
  <c r="J19" i="5"/>
  <c r="I18" i="5"/>
  <c r="I38" i="5"/>
  <c r="I44" i="5"/>
  <c r="W5" i="5"/>
  <c r="W11" i="5" s="1"/>
  <c r="V4" i="5"/>
  <c r="U40" i="5" s="1"/>
  <c r="U30" i="5" s="1" a="1"/>
  <c r="U30" i="5" s="1"/>
  <c r="T18" i="5"/>
  <c r="T44" i="5"/>
  <c r="V6" i="5"/>
  <c r="U15" i="5"/>
  <c r="U14" i="5"/>
  <c r="S27" i="5"/>
  <c r="Z8" i="4"/>
  <c r="Y7" i="4"/>
  <c r="W43" i="5"/>
  <c r="K33" i="5"/>
  <c r="J21" i="5"/>
  <c r="I25" i="5"/>
  <c r="J22" i="5"/>
  <c r="K34" i="5"/>
  <c r="J37" i="5"/>
  <c r="K32" i="5"/>
  <c r="J20" i="5"/>
  <c r="J30" i="5" a="1"/>
  <c r="J30" i="5" s="1"/>
  <c r="V9" i="5"/>
  <c r="K35" i="5"/>
  <c r="J23" i="5"/>
  <c r="V12" i="5"/>
  <c r="H27" i="5"/>
  <c r="H26" i="5"/>
  <c r="J25" i="5" l="1"/>
  <c r="X43" i="5"/>
  <c r="J38" i="5"/>
  <c r="J18" i="5"/>
  <c r="J44" i="5"/>
  <c r="X5" i="5"/>
  <c r="X11" i="5" s="1"/>
  <c r="W4" i="5"/>
  <c r="V40" i="5" s="1"/>
  <c r="V30" i="5" s="1" a="1"/>
  <c r="V30" i="5" s="1"/>
  <c r="Z7" i="4"/>
  <c r="AA8" i="4"/>
  <c r="L34" i="5"/>
  <c r="K22" i="5"/>
  <c r="W12" i="5"/>
  <c r="X12" i="5" s="1"/>
  <c r="I26" i="5"/>
  <c r="I27" i="5"/>
  <c r="K24" i="5"/>
  <c r="L36" i="5"/>
  <c r="T27" i="5"/>
  <c r="V13" i="5"/>
  <c r="V15" i="5" s="1"/>
  <c r="W8" i="5"/>
  <c r="U18" i="5"/>
  <c r="U44" i="5"/>
  <c r="W10" i="5"/>
  <c r="L32" i="5"/>
  <c r="K37" i="5"/>
  <c r="K20" i="5"/>
  <c r="K30" i="5" a="1"/>
  <c r="K30" i="5" s="1"/>
  <c r="L31" i="5"/>
  <c r="K19" i="5"/>
  <c r="W6" i="5"/>
  <c r="L35" i="5"/>
  <c r="K23" i="5"/>
  <c r="K21" i="5"/>
  <c r="L33" i="5"/>
  <c r="W9" i="5"/>
  <c r="W7" i="5"/>
  <c r="V14" i="5" l="1"/>
  <c r="X7" i="5"/>
  <c r="X6" i="5"/>
  <c r="X8" i="5"/>
  <c r="W13" i="5"/>
  <c r="W15" i="5" s="1"/>
  <c r="M34" i="5"/>
  <c r="L22" i="5"/>
  <c r="M31" i="5"/>
  <c r="L19" i="5"/>
  <c r="V18" i="5"/>
  <c r="V44" i="5"/>
  <c r="X9" i="5"/>
  <c r="K25" i="5"/>
  <c r="M36" i="5"/>
  <c r="L24" i="5"/>
  <c r="M33" i="5"/>
  <c r="L21" i="5"/>
  <c r="J26" i="5"/>
  <c r="J27" i="5"/>
  <c r="X4" i="5"/>
  <c r="W40" i="5" s="1"/>
  <c r="W30" i="5" s="1" a="1"/>
  <c r="W30" i="5" s="1"/>
  <c r="Y5" i="5"/>
  <c r="Y12" i="5" s="1"/>
  <c r="L37" i="5"/>
  <c r="M32" i="5"/>
  <c r="L20" i="5"/>
  <c r="L30" i="5" a="1"/>
  <c r="L30" i="5" s="1"/>
  <c r="U27" i="5"/>
  <c r="AB8" i="4"/>
  <c r="AA7" i="4"/>
  <c r="K18" i="5"/>
  <c r="K38" i="5"/>
  <c r="K44" i="5"/>
  <c r="X10" i="5"/>
  <c r="Y43" i="5"/>
  <c r="L23" i="5"/>
  <c r="M35" i="5"/>
  <c r="W18" i="5" l="1"/>
  <c r="W44" i="5"/>
  <c r="K27" i="5"/>
  <c r="K26" i="5"/>
  <c r="Y7" i="5"/>
  <c r="N31" i="5"/>
  <c r="M19" i="5"/>
  <c r="M23" i="5"/>
  <c r="N35" i="5"/>
  <c r="N33" i="5"/>
  <c r="M21" i="5"/>
  <c r="Z43" i="5"/>
  <c r="N36" i="5"/>
  <c r="M24" i="5"/>
  <c r="Y6" i="5"/>
  <c r="Y8" i="5"/>
  <c r="X13" i="5"/>
  <c r="X14" i="5" s="1"/>
  <c r="L25" i="5"/>
  <c r="W14" i="5"/>
  <c r="V27" i="5"/>
  <c r="L18" i="5"/>
  <c r="L38" i="5"/>
  <c r="L44" i="5"/>
  <c r="M37" i="5"/>
  <c r="N32" i="5"/>
  <c r="M20" i="5"/>
  <c r="M30" i="5" a="1"/>
  <c r="M30" i="5" s="1"/>
  <c r="Y4" i="5"/>
  <c r="X40" i="5" s="1"/>
  <c r="X30" i="5" s="1" a="1"/>
  <c r="X30" i="5" s="1"/>
  <c r="Z5" i="5"/>
  <c r="AB7" i="4"/>
  <c r="AC8" i="4"/>
  <c r="N34" i="5"/>
  <c r="M22" i="5"/>
  <c r="Y10" i="5"/>
  <c r="Y9" i="5"/>
  <c r="Y11" i="5"/>
  <c r="Z11" i="5" s="1"/>
  <c r="O33" i="5" l="1"/>
  <c r="N21" i="5"/>
  <c r="Z4" i="5"/>
  <c r="Y40" i="5" s="1"/>
  <c r="Y30" i="5" s="1" a="1"/>
  <c r="Y30" i="5" s="1"/>
  <c r="AA5" i="5"/>
  <c r="N23" i="5"/>
  <c r="O35" i="5"/>
  <c r="Y13" i="5"/>
  <c r="Y14" i="5" s="1"/>
  <c r="Z8" i="5"/>
  <c r="M25" i="5"/>
  <c r="X15" i="5"/>
  <c r="O31" i="5"/>
  <c r="N19" i="5"/>
  <c r="O32" i="5"/>
  <c r="N37" i="5"/>
  <c r="N20" i="5"/>
  <c r="N30" i="5" a="1"/>
  <c r="N30" i="5" s="1"/>
  <c r="Z10" i="5"/>
  <c r="AA10" i="5" s="1"/>
  <c r="AA11" i="5"/>
  <c r="Y15" i="5"/>
  <c r="Z6" i="5"/>
  <c r="N24" i="5"/>
  <c r="O36" i="5"/>
  <c r="X18" i="5"/>
  <c r="X44" i="5"/>
  <c r="M38" i="5"/>
  <c r="M18" i="5"/>
  <c r="M44" i="5"/>
  <c r="Z7" i="5"/>
  <c r="AA7" i="5" s="1"/>
  <c r="Z9" i="5"/>
  <c r="AA9" i="5" s="1"/>
  <c r="L27" i="5"/>
  <c r="L26" i="5"/>
  <c r="AA43" i="5"/>
  <c r="O34" i="5"/>
  <c r="N22" i="5"/>
  <c r="W27" i="5"/>
  <c r="AC7" i="4"/>
  <c r="AD8" i="4"/>
  <c r="Z12" i="5"/>
  <c r="AA12" i="5" s="1"/>
  <c r="O22" i="5" l="1"/>
  <c r="P34" i="5"/>
  <c r="AA6" i="5"/>
  <c r="Z13" i="5"/>
  <c r="Z14" i="5" s="1"/>
  <c r="AA8" i="5"/>
  <c r="AE8" i="4"/>
  <c r="AE7" i="4" s="1"/>
  <c r="AD7" i="4"/>
  <c r="M26" i="5"/>
  <c r="M27" i="5"/>
  <c r="AB5" i="5"/>
  <c r="AB10" i="5" s="1"/>
  <c r="AA4" i="5"/>
  <c r="Z40" i="5" s="1"/>
  <c r="Z30" i="5" s="1" a="1"/>
  <c r="Z30" i="5" s="1"/>
  <c r="O24" i="5"/>
  <c r="P36" i="5"/>
  <c r="N25" i="5"/>
  <c r="AB43" i="5"/>
  <c r="O19" i="5"/>
  <c r="P31" i="5"/>
  <c r="O23" i="5"/>
  <c r="P35" i="5"/>
  <c r="N38" i="5"/>
  <c r="N18" i="5"/>
  <c r="N44" i="5"/>
  <c r="Y18" i="5"/>
  <c r="Y44" i="5"/>
  <c r="X27" i="5"/>
  <c r="P32" i="5"/>
  <c r="O20" i="5"/>
  <c r="O37" i="5"/>
  <c r="O30" i="5" a="1"/>
  <c r="O30" i="5" s="1"/>
  <c r="P33" i="5"/>
  <c r="O21" i="5"/>
  <c r="AB12" i="5" l="1"/>
  <c r="AB9" i="5"/>
  <c r="AC9" i="5" s="1"/>
  <c r="AB11" i="5"/>
  <c r="AB7" i="5"/>
  <c r="Y27" i="5"/>
  <c r="N26" i="5"/>
  <c r="N27" i="5"/>
  <c r="AB6" i="5"/>
  <c r="P37" i="5"/>
  <c r="Q32" i="5"/>
  <c r="P20" i="5"/>
  <c r="P38" i="5"/>
  <c r="Z15" i="5"/>
  <c r="P22" i="5"/>
  <c r="Q34" i="5"/>
  <c r="Q31" i="5"/>
  <c r="P19" i="5"/>
  <c r="AC43" i="5"/>
  <c r="AA13" i="5"/>
  <c r="AA15" i="5" s="1"/>
  <c r="AB8" i="5"/>
  <c r="P24" i="5"/>
  <c r="Q36" i="5"/>
  <c r="P21" i="5"/>
  <c r="Q33" i="5"/>
  <c r="O18" i="5"/>
  <c r="O38" i="5"/>
  <c r="O44" i="5"/>
  <c r="P18" i="5"/>
  <c r="P23" i="5"/>
  <c r="Q35" i="5"/>
  <c r="Z18" i="5"/>
  <c r="Z44" i="5"/>
  <c r="O25" i="5"/>
  <c r="AC5" i="5"/>
  <c r="AC4" i="5" s="1"/>
  <c r="AB4" i="5"/>
  <c r="AA40" i="5" s="1"/>
  <c r="AA30" i="5" s="1" a="1"/>
  <c r="AA30" i="5" s="1"/>
  <c r="P25" i="5" l="1"/>
  <c r="AB13" i="5"/>
  <c r="AC8" i="5"/>
  <c r="AA14" i="5"/>
  <c r="O26" i="5"/>
  <c r="O27" i="5"/>
  <c r="AA18" i="5"/>
  <c r="AA44" i="5"/>
  <c r="R35" i="5"/>
  <c r="Q23" i="5"/>
  <c r="P27" i="5"/>
  <c r="P26" i="5"/>
  <c r="Z27" i="5"/>
  <c r="R32" i="5"/>
  <c r="Q37" i="5"/>
  <c r="Q20" i="5"/>
  <c r="Q38" i="5"/>
  <c r="R31" i="5"/>
  <c r="Q19" i="5"/>
  <c r="AB15" i="5"/>
  <c r="AB14" i="5"/>
  <c r="AC6" i="5"/>
  <c r="Q22" i="5"/>
  <c r="R34" i="5"/>
  <c r="AB40" i="5"/>
  <c r="AB30" i="5" s="1" a="1"/>
  <c r="AB30" i="5" s="1"/>
  <c r="E11" i="6"/>
  <c r="D11" i="6"/>
  <c r="Q21" i="5"/>
  <c r="R33" i="5"/>
  <c r="AC12" i="5"/>
  <c r="AC7" i="5"/>
  <c r="AC11" i="5"/>
  <c r="R36" i="5"/>
  <c r="Q24" i="5"/>
  <c r="AC10" i="5"/>
  <c r="S36" i="5" l="1"/>
  <c r="R24" i="5"/>
  <c r="AA27" i="5"/>
  <c r="Q25" i="5"/>
  <c r="Q26" i="5" s="1"/>
  <c r="R21" i="5"/>
  <c r="S33" i="5"/>
  <c r="E12" i="6"/>
  <c r="R20" i="5"/>
  <c r="R37" i="5"/>
  <c r="S32" i="5"/>
  <c r="R38" i="5"/>
  <c r="D12" i="6"/>
  <c r="AB18" i="5"/>
  <c r="AB44" i="5"/>
  <c r="R22" i="5"/>
  <c r="S34" i="5"/>
  <c r="AC13" i="5"/>
  <c r="AC15" i="5" s="1"/>
  <c r="S35" i="5"/>
  <c r="R23" i="5"/>
  <c r="R19" i="5"/>
  <c r="S31" i="5"/>
  <c r="S21" i="5" l="1"/>
  <c r="T33" i="5"/>
  <c r="T35" i="5"/>
  <c r="S23" i="5"/>
  <c r="AB27" i="5"/>
  <c r="T31" i="5"/>
  <c r="S19" i="5"/>
  <c r="T36" i="5"/>
  <c r="S24" i="5"/>
  <c r="S20" i="5"/>
  <c r="S25" i="5" s="1"/>
  <c r="S26" i="5" s="1"/>
  <c r="S37" i="5"/>
  <c r="T32" i="5"/>
  <c r="S38" i="5"/>
  <c r="AC14" i="5"/>
  <c r="S22" i="5"/>
  <c r="T34" i="5"/>
  <c r="R25" i="5"/>
  <c r="R26" i="5" s="1"/>
  <c r="U36" i="5" l="1"/>
  <c r="T24" i="5"/>
  <c r="T19" i="5"/>
  <c r="U31" i="5"/>
  <c r="T22" i="5"/>
  <c r="U34" i="5"/>
  <c r="U35" i="5"/>
  <c r="T23" i="5"/>
  <c r="T21" i="5"/>
  <c r="U33" i="5"/>
  <c r="T37" i="5"/>
  <c r="T20" i="5"/>
  <c r="T25" i="5" s="1"/>
  <c r="T26" i="5" s="1"/>
  <c r="U32" i="5"/>
  <c r="T38" i="5"/>
  <c r="V35" i="5" l="1"/>
  <c r="U23" i="5"/>
  <c r="V33" i="5"/>
  <c r="U21" i="5"/>
  <c r="V34" i="5"/>
  <c r="U22" i="5"/>
  <c r="V31" i="5"/>
  <c r="U19" i="5"/>
  <c r="U37" i="5"/>
  <c r="U20" i="5"/>
  <c r="V32" i="5"/>
  <c r="U38" i="5"/>
  <c r="V36" i="5"/>
  <c r="U24" i="5"/>
  <c r="W34" i="5" l="1"/>
  <c r="V22" i="5"/>
  <c r="V20" i="5"/>
  <c r="W32" i="5"/>
  <c r="V37" i="5"/>
  <c r="V38" i="5"/>
  <c r="U25" i="5"/>
  <c r="U26" i="5" s="1"/>
  <c r="W31" i="5"/>
  <c r="V19" i="5"/>
  <c r="W33" i="5"/>
  <c r="V21" i="5"/>
  <c r="W36" i="5"/>
  <c r="V24" i="5"/>
  <c r="W35" i="5"/>
  <c r="V23" i="5"/>
  <c r="X31" i="5" l="1"/>
  <c r="W19" i="5"/>
  <c r="W21" i="5"/>
  <c r="X33" i="5"/>
  <c r="W24" i="5"/>
  <c r="X36" i="5"/>
  <c r="V25" i="5"/>
  <c r="V26" i="5" s="1"/>
  <c r="X32" i="5"/>
  <c r="W20" i="5"/>
  <c r="W37" i="5"/>
  <c r="W38" i="5"/>
  <c r="X35" i="5"/>
  <c r="W23" i="5"/>
  <c r="X34" i="5"/>
  <c r="W22" i="5"/>
  <c r="X20" i="5" l="1"/>
  <c r="X37" i="5"/>
  <c r="Y32" i="5"/>
  <c r="X38" i="5"/>
  <c r="X19" i="5"/>
  <c r="Y31" i="5"/>
  <c r="Y36" i="5"/>
  <c r="X24" i="5"/>
  <c r="X23" i="5"/>
  <c r="Y35" i="5"/>
  <c r="Y33" i="5"/>
  <c r="X21" i="5"/>
  <c r="W25" i="5"/>
  <c r="W26" i="5" s="1"/>
  <c r="Y34" i="5"/>
  <c r="X22" i="5"/>
  <c r="Z33" i="5" l="1"/>
  <c r="Y21" i="5"/>
  <c r="Y23" i="5"/>
  <c r="Z35" i="5"/>
  <c r="Z36" i="5"/>
  <c r="Y24" i="5"/>
  <c r="Z31" i="5"/>
  <c r="Y19" i="5"/>
  <c r="Y20" i="5"/>
  <c r="Z32" i="5"/>
  <c r="Y37" i="5"/>
  <c r="Y38" i="5"/>
  <c r="Z34" i="5"/>
  <c r="Y22" i="5"/>
  <c r="X25" i="5"/>
  <c r="X26" i="5" s="1"/>
  <c r="Y25" i="5" l="1"/>
  <c r="Y26" i="5" s="1"/>
  <c r="AA32" i="5"/>
  <c r="Z20" i="5"/>
  <c r="Z37" i="5"/>
  <c r="Z38" i="5"/>
  <c r="AA31" i="5"/>
  <c r="Z19" i="5"/>
  <c r="Z24" i="5"/>
  <c r="AA36" i="5"/>
  <c r="AA35" i="5"/>
  <c r="Z23" i="5"/>
  <c r="AA34" i="5"/>
  <c r="Z22" i="5"/>
  <c r="AA33" i="5"/>
  <c r="Z21" i="5"/>
  <c r="AB34" i="5" l="1"/>
  <c r="AA22" i="5"/>
  <c r="AA23" i="5"/>
  <c r="AB35" i="5"/>
  <c r="AA24" i="5"/>
  <c r="AB36" i="5"/>
  <c r="AA19" i="5"/>
  <c r="AB31" i="5"/>
  <c r="AB33" i="5"/>
  <c r="AA21" i="5"/>
  <c r="AB32" i="5"/>
  <c r="AA20" i="5"/>
  <c r="AA37" i="5"/>
  <c r="AA38" i="5"/>
  <c r="Z25" i="5"/>
  <c r="Z26" i="5" s="1"/>
  <c r="AB37" i="5" l="1"/>
  <c r="AC32" i="5"/>
  <c r="AB20" i="5"/>
  <c r="AB38" i="5"/>
  <c r="AB21" i="5"/>
  <c r="AC33" i="5"/>
  <c r="AC21" i="5" s="1"/>
  <c r="G11" i="6" s="1"/>
  <c r="AC31" i="5"/>
  <c r="AC19" i="5" s="1"/>
  <c r="F11" i="6" s="1"/>
  <c r="F12" i="6" s="1"/>
  <c r="AB19" i="5"/>
  <c r="AC36" i="5"/>
  <c r="AC24" i="5" s="1"/>
  <c r="J11" i="6" s="1"/>
  <c r="AB24" i="5"/>
  <c r="AB23" i="5"/>
  <c r="AC35" i="5"/>
  <c r="AC23" i="5" s="1"/>
  <c r="I11" i="6" s="1"/>
  <c r="AA25" i="5"/>
  <c r="AA26" i="5" s="1"/>
  <c r="AB22" i="5"/>
  <c r="AC34" i="5"/>
  <c r="AC22" i="5" s="1"/>
  <c r="H11" i="6" s="1"/>
  <c r="K11" i="6" l="1"/>
  <c r="L11" i="6" s="1"/>
  <c r="N11" i="6"/>
  <c r="M11" i="6"/>
  <c r="AC37" i="5"/>
  <c r="AC20" i="5"/>
  <c r="AC25" i="5" s="1"/>
  <c r="AC30" i="5" a="1"/>
  <c r="AC30" i="5" s="1"/>
  <c r="AB25" i="5"/>
  <c r="AB26" i="5" s="1"/>
  <c r="AC38" i="5" l="1"/>
  <c r="AC18" i="5"/>
  <c r="AC44" i="5"/>
  <c r="AC26" i="5" l="1"/>
  <c r="AC2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C8" authorId="0" shapeId="0" xr:uid="{00000000-0006-0000-0000-000001000000}">
      <text>
        <r>
          <rPr>
            <sz val="11"/>
            <color theme="1"/>
            <rFont val="Calibri"/>
            <family val="2"/>
            <scheme val="minor"/>
          </rPr>
          <t>Valor provisional tomado del PPO para mantener las fórmulas del CORE. Validar/sustituir con var1_SAP_FechaInicio si negocio exige fecha de alta/adjudicación SAP.</t>
        </r>
      </text>
    </comment>
    <comment ref="C10" authorId="0" shapeId="0" xr:uid="{00000000-0006-0000-0000-000002000000}">
      <text>
        <r>
          <rPr>
            <sz val="11"/>
            <color theme="1"/>
            <rFont val="Calibri"/>
            <family val="2"/>
            <scheme val="minor"/>
          </rPr>
          <t>Pendiente de SAP/proceso previo: PEP/WBS real del proyecto.</t>
        </r>
      </text>
    </comment>
    <comment ref="C16" authorId="0" shapeId="0" xr:uid="{00000000-0006-0000-0000-000003000000}">
      <text>
        <r>
          <rPr>
            <sz val="11"/>
            <color theme="1"/>
            <rFont val="Calibri"/>
            <family val="2"/>
            <scheme val="minor"/>
          </rPr>
          <t>Pendiente de SAP/Salesforce/proceso previo: código de cliente.</t>
        </r>
      </text>
    </comment>
    <comment ref="C19" authorId="0" shapeId="0" xr:uid="{00000000-0006-0000-0000-000004000000}">
      <text>
        <r>
          <rPr>
            <sz val="11"/>
            <color theme="1"/>
            <rFont val="Calibri"/>
            <family val="2"/>
            <scheme val="minor"/>
          </rPr>
          <t>Pendiente de SAP/proceso previo: pedido/Sales Order.</t>
        </r>
      </text>
    </comment>
    <comment ref="C22" authorId="0" shapeId="0" xr:uid="{00000000-0006-0000-0000-000005000000}">
      <text>
        <r>
          <rPr>
            <sz val="11"/>
            <color theme="1"/>
            <rFont val="Calibri"/>
            <family val="2"/>
            <scheme val="minor"/>
          </rPr>
          <t>Pendiente de SAP/Salesforce/proceso previo: código empleado Project Manager.</t>
        </r>
      </text>
    </comment>
    <comment ref="D22" authorId="0" shapeId="0" xr:uid="{00000000-0006-0000-0000-000006000000}">
      <text>
        <r>
          <rPr>
            <sz val="11"/>
            <color theme="1"/>
            <rFont val="Calibri"/>
            <family val="2"/>
            <scheme val="minor"/>
          </rPr>
          <t>Pendiente de SAP/Salesforce/proceso previo: nombre Project Manager.</t>
        </r>
      </text>
    </comment>
    <comment ref="C23" authorId="0" shapeId="0" xr:uid="{00000000-0006-0000-0000-000007000000}">
      <text>
        <r>
          <rPr>
            <sz val="11"/>
            <color theme="1"/>
            <rFont val="Calibri"/>
            <family val="2"/>
            <scheme val="minor"/>
          </rPr>
          <t>Pendiente de SAP/Salesforce/proceso previo: código empleado Practice Leader.</t>
        </r>
      </text>
    </comment>
    <comment ref="D23" authorId="0" shapeId="0" xr:uid="{00000000-0006-0000-0000-000008000000}">
      <text>
        <r>
          <rPr>
            <sz val="11"/>
            <color theme="1"/>
            <rFont val="Calibri"/>
            <family val="2"/>
            <scheme val="minor"/>
          </rPr>
          <t>Pendiente de SAP/Salesforce/proceso previo: nombre Practice Leader.</t>
        </r>
      </text>
    </comment>
    <comment ref="C24" authorId="0" shapeId="0" xr:uid="{00000000-0006-0000-0000-000009000000}">
      <text>
        <r>
          <rPr>
            <sz val="11"/>
            <color theme="1"/>
            <rFont val="Calibri"/>
            <family val="2"/>
            <scheme val="minor"/>
          </rPr>
          <t>Pendiente de Salesforce/proceso previo: código empleado Sales Manager; nombre informado desde PPO Account Manager.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7" authorId="0" shapeId="0" xr:uid="{00000000-0006-0000-0200-000001000000}">
      <text>
        <r>
          <rPr>
            <sz val="11"/>
            <color theme="1"/>
            <rFont val="Calibri"/>
            <family val="2"/>
            <scheme val="minor"/>
          </rPr>
          <t>Código de empleado no disponible de forma fiable en PPO. Pendiente SAP/SF para Jefe Proyecto (JP).</t>
        </r>
      </text>
    </comment>
    <comment ref="B8" authorId="0" shapeId="0" xr:uid="{00000000-0006-0000-0200-000002000000}">
      <text>
        <r>
          <rPr>
            <sz val="11"/>
            <color theme="1"/>
            <rFont val="Calibri"/>
            <family val="2"/>
            <scheme val="minor"/>
          </rPr>
          <t>Código de empleado no disponible de forma fiable en PPO. Pendiente SAP/SF para Consultor Smart Spaces (CSS).</t>
        </r>
      </text>
    </comment>
    <comment ref="B9" authorId="0" shapeId="0" xr:uid="{00000000-0006-0000-0200-000003000000}">
      <text>
        <r>
          <rPr>
            <sz val="11"/>
            <color theme="1"/>
            <rFont val="Calibri"/>
            <family val="2"/>
            <scheme val="minor"/>
          </rPr>
          <t>Código de empleado no disponible de forma fiable en PPO. Pendiente SAP/SF para Consultor Junior Smart Spaces (CJSS).</t>
        </r>
      </text>
    </comment>
    <comment ref="B10" authorId="0" shapeId="0" xr:uid="{00000000-0006-0000-0200-000004000000}">
      <text>
        <r>
          <rPr>
            <sz val="11"/>
            <color theme="1"/>
            <rFont val="Calibri"/>
            <family val="2"/>
            <scheme val="minor"/>
          </rPr>
          <t>Código de empleado no disponible de forma fiable en PPO. Pendiente SAP/SF para Arquitecto (A).</t>
        </r>
      </text>
    </comment>
    <comment ref="B11" authorId="0" shapeId="0" xr:uid="{00000000-0006-0000-0200-000005000000}">
      <text>
        <r>
          <rPr>
            <sz val="11"/>
            <color theme="1"/>
            <rFont val="Calibri"/>
            <family val="2"/>
            <scheme val="minor"/>
          </rPr>
          <t>Código de empleado no disponible de forma fiable en PPO. Pendiente SAP/SF para Ingeniero Integración (II).</t>
        </r>
      </text>
    </comment>
    <comment ref="B12" authorId="0" shapeId="0" xr:uid="{00000000-0006-0000-0200-000006000000}">
      <text>
        <r>
          <rPr>
            <sz val="11"/>
            <color theme="1"/>
            <rFont val="Calibri"/>
            <family val="2"/>
            <scheme val="minor"/>
          </rPr>
          <t>Código de empleado no disponible de forma fiable en PPO. Pendiente SAP/SF para Configuración Portal (P).</t>
        </r>
      </text>
    </comment>
    <comment ref="B13" authorId="0" shapeId="0" xr:uid="{00000000-0006-0000-0200-000007000000}">
      <text>
        <r>
          <rPr>
            <sz val="11"/>
            <color theme="1"/>
            <rFont val="Calibri"/>
            <family val="2"/>
            <scheme val="minor"/>
          </rPr>
          <t>Código de empleado no disponible de forma fiable en PPO. Pendiente SAP/SF para Diseñador gráfico (DG).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64" authorId="0" shapeId="0" xr:uid="{00000000-0006-0000-0300-000001000000}">
      <text>
        <r>
          <rPr>
            <sz val="11"/>
            <color theme="1"/>
            <rFont val="Calibri"/>
            <family val="2"/>
            <scheme val="minor"/>
          </rPr>
          <t>Proveedor no disponible en PPO. Pendiente SAP/Ariba para compra: Subcontrataciones.</t>
        </r>
      </text>
    </comment>
    <comment ref="D64" authorId="0" shapeId="0" xr:uid="{00000000-0006-0000-0300-000002000000}">
      <text>
        <r>
          <rPr>
            <sz val="11"/>
            <color theme="1"/>
            <rFont val="Calibri"/>
            <family val="2"/>
            <scheme val="minor"/>
          </rPr>
          <t>PO de compra no disponible en PPO. Pendiente SAP/Ariba si aplica.</t>
        </r>
      </text>
    </comment>
    <comment ref="E64" authorId="0" shapeId="0" xr:uid="{00000000-0006-0000-0300-000003000000}">
      <text>
        <r>
          <rPr>
            <sz val="11"/>
            <color theme="1"/>
            <rFont val="Calibri"/>
            <family val="2"/>
            <scheme val="minor"/>
          </rPr>
          <t>Referencia Ariba no disponible en PPO. Pendiente SAP/Ariba si aplica.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7" authorId="0" shapeId="0" xr:uid="{00000000-0006-0000-0700-000001000000}">
      <text>
        <r>
          <rPr>
            <sz val="11"/>
            <color theme="1"/>
            <rFont val="Calibri"/>
            <family val="2"/>
            <scheme val="minor"/>
          </rPr>
          <t xml:space="preserve">Insertar Z2 para poder copiar a SAP directamente
</t>
        </r>
      </text>
    </comment>
    <comment ref="G7" authorId="0" shapeId="0" xr:uid="{00000000-0006-0000-0700-000002000000}">
      <text>
        <r>
          <rPr>
            <sz val="11"/>
            <color theme="1"/>
            <rFont val="Calibri"/>
            <family val="2"/>
            <scheme val="minor"/>
          </rPr>
          <t>EUR
USD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12" authorId="0" shapeId="0" xr:uid="{00000000-0006-0000-0900-000001000000}">
      <text>
        <r>
          <rPr>
            <sz val="11"/>
            <color theme="1"/>
            <rFont val="Calibri"/>
            <family val="2"/>
            <scheme val="minor"/>
          </rPr>
          <t xml:space="preserve">Insertar Z2 para poder copiar a SAP directamente
</t>
        </r>
      </text>
    </comment>
    <comment ref="G12" authorId="0" shapeId="0" xr:uid="{00000000-0006-0000-0900-000002000000}">
      <text>
        <r>
          <rPr>
            <sz val="11"/>
            <color theme="1"/>
            <rFont val="Calibri"/>
            <family val="2"/>
            <scheme val="minor"/>
          </rPr>
          <t>EUR
USD
...</t>
        </r>
      </text>
    </comment>
  </commentList>
</comments>
</file>

<file path=xl/sharedStrings.xml><?xml version="1.0" encoding="utf-8"?>
<sst xmlns="http://schemas.openxmlformats.org/spreadsheetml/2006/main" count="645" uniqueCount="432">
  <si>
    <t>WBS-Element</t>
  </si>
  <si>
    <t>PEDIDO
IMPORTE NETO</t>
  </si>
  <si>
    <t>COSTE RECURSOS</t>
  </si>
  <si>
    <t>HORAS</t>
  </si>
  <si>
    <t>RIESGOS</t>
  </si>
  <si>
    <t>GARANTÍA</t>
  </si>
  <si>
    <t>GASTOS</t>
  </si>
  <si>
    <t>COMPRAS</t>
  </si>
  <si>
    <t>COSTE DIRECTO</t>
  </si>
  <si>
    <t>MARGEN DIRECTO  
(euros)</t>
  </si>
  <si>
    <t>MARGEN DIRECTO 
(%)</t>
  </si>
  <si>
    <t>MARGEN BRUTO</t>
  </si>
  <si>
    <t>LINEA BASE INICIAL</t>
  </si>
  <si>
    <t xml:space="preserve">LINEA BASE ACTUAL </t>
  </si>
  <si>
    <t>PROYECCIÓN PROYECTO (REAL + ESTIMADO)</t>
  </si>
  <si>
    <t>Diferencia de PROYECCION DEL PROYECTO con BASELINE ACTUAL</t>
  </si>
  <si>
    <t>REALIZADO</t>
  </si>
  <si>
    <t>% Avance</t>
  </si>
  <si>
    <t>Comentarios adicionales Cost Summary</t>
  </si>
  <si>
    <t xml:space="preserve">CORE (COst REport) - PC </t>
  </si>
  <si>
    <t>Fecha Actual</t>
  </si>
  <si>
    <t>Fecha Reporting</t>
  </si>
  <si>
    <t>Fecha de Inicio CORE</t>
  </si>
  <si>
    <t>Fecha Fin CORE</t>
  </si>
  <si>
    <t>var2_SAP_PEP_WBS</t>
  </si>
  <si>
    <t>Descripción</t>
  </si>
  <si>
    <t>Smart Airport en la nueva terminal de Puerto Vallarta</t>
  </si>
  <si>
    <t>Práctica principal</t>
  </si>
  <si>
    <t>Software Development</t>
  </si>
  <si>
    <t>Otras prácticas relacionadas</t>
  </si>
  <si>
    <t>Compañía: Connectis-ICT | Unidad: ICT | Portfolio: Smart Spaces | Subpractice: Smart Spaces/EAI | Origen: Mobility</t>
  </si>
  <si>
    <t>CÓDIGO</t>
  </si>
  <si>
    <t>DESCRIPCIÓN</t>
  </si>
  <si>
    <t>Cliente</t>
  </si>
  <si>
    <t>var3_SAP_CodigoCliente</t>
  </si>
  <si>
    <t>GAP</t>
  </si>
  <si>
    <t>Contrato / Expediente</t>
  </si>
  <si>
    <t>SLFC 20250256445</t>
  </si>
  <si>
    <t>Pedido (Order)</t>
  </si>
  <si>
    <t>var4_SAP_PedidoSalesOrder</t>
  </si>
  <si>
    <t>COD EMPLEADO</t>
  </si>
  <si>
    <t>NOMBRE Y APELLIDOS</t>
  </si>
  <si>
    <t>Project Manager</t>
  </si>
  <si>
    <t>var5_SAP_CodEmpleadoPM</t>
  </si>
  <si>
    <t>var6_SAP_ProjectManager</t>
  </si>
  <si>
    <t>Practice Leader</t>
  </si>
  <si>
    <t>var7_SAP_CodEmpleadoPracticeLeader</t>
  </si>
  <si>
    <t>var8_SAP_PracticeLeader</t>
  </si>
  <si>
    <t>Sales Manager</t>
  </si>
  <si>
    <t>var9_SF_CodEmpleadoSalesManager</t>
  </si>
  <si>
    <t>Joan Marcer</t>
  </si>
  <si>
    <t>PRESUPUESTO INICIAL (PPO)</t>
  </si>
  <si>
    <t>Pedido</t>
  </si>
  <si>
    <t>Horas estimadas</t>
  </si>
  <si>
    <t>Coste Recursos</t>
  </si>
  <si>
    <t>Riegos</t>
  </si>
  <si>
    <t>Garantía</t>
  </si>
  <si>
    <t>Gastos</t>
  </si>
  <si>
    <t>Compras</t>
  </si>
  <si>
    <t>Coste Directo</t>
  </si>
  <si>
    <t>Margen Directo</t>
  </si>
  <si>
    <t>Margen Bruto</t>
  </si>
  <si>
    <t>Comentarios adicionales Presupuesto inicial</t>
  </si>
  <si>
    <t>Pre-relleno generado desde PPO 20250256445. Tipo PPO: Fixed Price (services); PEP Type: PC; vencimiento factura: N060. Los campos con prefijo var*_SAP/var*_SF quedan pendientes de completar desde SAP/Salesforce/proceso previo.</t>
  </si>
  <si>
    <t>PRESUPUESTO YA CONSUMIDO</t>
  </si>
  <si>
    <t>Venta incurrida</t>
  </si>
  <si>
    <t>Horas realizadas</t>
  </si>
  <si>
    <t>Coste Recursos incurrido</t>
  </si>
  <si>
    <t>Gastos incurridos</t>
  </si>
  <si>
    <t>Compras incurridas</t>
  </si>
  <si>
    <t>Margen Directo (To Date)</t>
  </si>
  <si>
    <t>Facturación ya emitida</t>
  </si>
  <si>
    <t>Comentarios adicionales Presupuesto ya consumido</t>
  </si>
  <si>
    <t>Prácticas</t>
  </si>
  <si>
    <t>Advanced Services</t>
  </si>
  <si>
    <t>Advanced Services (Data Analytics)</t>
  </si>
  <si>
    <t>Advanced Services (PMO)</t>
  </si>
  <si>
    <t>Advanced Services (Testing &amp; QA)</t>
  </si>
  <si>
    <t>CAU</t>
  </si>
  <si>
    <t>EAI (Enterprise App Integration) &amp; Cloud Native</t>
  </si>
  <si>
    <t>Infraestructure MS</t>
  </si>
  <si>
    <t>Manufacturing</t>
  </si>
  <si>
    <t>Mobility solutions</t>
  </si>
  <si>
    <t>Outsourcing contracts &amp; Devops</t>
  </si>
  <si>
    <t>SCADAS and OT/IT</t>
  </si>
  <si>
    <t>Sfere</t>
  </si>
  <si>
    <t>Smart Integration</t>
  </si>
  <si>
    <t>Staff augmentation</t>
  </si>
  <si>
    <t>Tailored Software</t>
  </si>
  <si>
    <t>TIWORKS</t>
  </si>
  <si>
    <t>BASELINE ACTUAL</t>
  </si>
  <si>
    <t>pneta</t>
  </si>
  <si>
    <t>operac</t>
  </si>
  <si>
    <t>coste r.</t>
  </si>
  <si>
    <t>reservas</t>
  </si>
  <si>
    <t>gastos</t>
  </si>
  <si>
    <t>compras</t>
  </si>
  <si>
    <t>Venta</t>
  </si>
  <si>
    <t>MARGEN
DIRECTO</t>
  </si>
  <si>
    <t>PROYECCION DEL PROYECTO SIN REESTIMACIONES</t>
  </si>
  <si>
    <t>LINEA BASE ACTUAL - PROYECCION DEL PROYECTO FINAL</t>
  </si>
  <si>
    <t>BASELINE INICIAL</t>
  </si>
  <si>
    <t>FECHA</t>
  </si>
  <si>
    <t>LÍNEA DE PEDIDO</t>
  </si>
  <si>
    <t>IMPORTE NETO</t>
  </si>
  <si>
    <t>MARGEN DIRECTO</t>
  </si>
  <si>
    <t>Apertura contrato</t>
  </si>
  <si>
    <t>*** Ocultar estos datos en la versión definitiva</t>
  </si>
  <si>
    <t>Cambios sobre la BASELINE INICIAL</t>
  </si>
  <si>
    <t>TIPO CAMBIO</t>
  </si>
  <si>
    <t>AUTORIZADO POR CCO</t>
  </si>
  <si>
    <t>DATOS  ADICIONALES 
AMPLIACION</t>
  </si>
  <si>
    <t>TOTAL AMPLIACIONES</t>
  </si>
  <si>
    <t>TOTAL REESTIMACIONES</t>
  </si>
  <si>
    <t>Comentarios adicionales Cost Overview</t>
  </si>
  <si>
    <t>28/04/2026 CORE pre-rellenado automáticamente desde PPO 20250256445. Variables SAP/SF pendientes documentadas en hoja Trazabilidad_RPA.</t>
  </si>
  <si>
    <t>Equipo GETRONICS. Costes hora por perfil.</t>
  </si>
  <si>
    <t>(!) IMPORTANTE: se debe indicar si cada perfil es o no INTERCO</t>
  </si>
  <si>
    <t>INICIALES</t>
  </si>
  <si>
    <t>INTERCO</t>
  </si>
  <si>
    <t>ROL</t>
  </si>
  <si>
    <t>var10_SAP_CodEmpleado_JP</t>
  </si>
  <si>
    <t>JP</t>
  </si>
  <si>
    <t>NO</t>
  </si>
  <si>
    <t>Jefe Proyecto</t>
  </si>
  <si>
    <t>var11_SAP_CodEmpleado_CSS</t>
  </si>
  <si>
    <t>CSS</t>
  </si>
  <si>
    <t>Consultor Smart Spaces</t>
  </si>
  <si>
    <t>var12_SAP_CodEmpleado_CJSS</t>
  </si>
  <si>
    <t>CJSS</t>
  </si>
  <si>
    <t>Consultor Junior Smart Spaces</t>
  </si>
  <si>
    <t>var13_SAP_CodEmpleado_A</t>
  </si>
  <si>
    <t>A</t>
  </si>
  <si>
    <t>Arquitecto</t>
  </si>
  <si>
    <t>var14_SAP_CodEmpleado_II</t>
  </si>
  <si>
    <t>II</t>
  </si>
  <si>
    <t>Ingeniero Integración</t>
  </si>
  <si>
    <t>var15_SAP_CodEmpleado_P</t>
  </si>
  <si>
    <t>P</t>
  </si>
  <si>
    <t>Configuración Portal</t>
  </si>
  <si>
    <t>var16_SAP_CodEmpleado_DG</t>
  </si>
  <si>
    <t>DG</t>
  </si>
  <si>
    <t>Diseñador gráfico</t>
  </si>
  <si>
    <t>Tipo de Roles</t>
  </si>
  <si>
    <t>COD</t>
  </si>
  <si>
    <t>DESCRIPCION</t>
  </si>
  <si>
    <t>PM</t>
  </si>
  <si>
    <t>CO</t>
  </si>
  <si>
    <t>Consultor</t>
  </si>
  <si>
    <t>ANF</t>
  </si>
  <si>
    <t>Analista Funcional</t>
  </si>
  <si>
    <t>AP</t>
  </si>
  <si>
    <t>Analista Programador</t>
  </si>
  <si>
    <t>PR</t>
  </si>
  <si>
    <t>Programador</t>
  </si>
  <si>
    <t>TEST</t>
  </si>
  <si>
    <t>Tester</t>
  </si>
  <si>
    <t>ARQ</t>
  </si>
  <si>
    <t>SO</t>
  </si>
  <si>
    <t>Soporte</t>
  </si>
  <si>
    <t>TS</t>
  </si>
  <si>
    <t>Tecnico de sistemas</t>
  </si>
  <si>
    <t>INST</t>
  </si>
  <si>
    <t>Tecnico Instalaciones</t>
  </si>
  <si>
    <t>Soporte CAU</t>
  </si>
  <si>
    <t>COOR</t>
  </si>
  <si>
    <t>Coordinador</t>
  </si>
  <si>
    <t>TTL</t>
  </si>
  <si>
    <t>Technical Team Leader</t>
  </si>
  <si>
    <t>SEG</t>
  </si>
  <si>
    <t>Seguridad</t>
  </si>
  <si>
    <t>Diseño Gráfico</t>
  </si>
  <si>
    <t>Equipo GETRONICS</t>
  </si>
  <si>
    <t>COSTE TOTAL RECURSOS BASELINE</t>
  </si>
  <si>
    <t>PENDIENTE DE PLANIFICAR</t>
  </si>
  <si>
    <t>(!) El coste de RECURSOS planificado es mayor que el de la BASELINE</t>
  </si>
  <si>
    <t>CODIGO INTERCO</t>
  </si>
  <si>
    <t>HORAS TOTALES RECURSOS entidad PROYECTO + INTERCO</t>
  </si>
  <si>
    <t>COSTE TOTAL RECURSOS entidad PROYECTO (euros)</t>
  </si>
  <si>
    <t>COSTE TOTAL RECURSOS INTERCO (euros)</t>
  </si>
  <si>
    <t>AJUSTE con SAP (en EUROS) para perfiles NO INTERCO</t>
  </si>
  <si>
    <t>AJUSTE con SAP (en EUROS) para perfiles INTERCO</t>
  </si>
  <si>
    <t>PLANIFICADO BASELINE</t>
  </si>
  <si>
    <t>"accrual future loss"</t>
  </si>
  <si>
    <t>GARANTIA</t>
  </si>
  <si>
    <t>"Warranty Provisions"</t>
  </si>
  <si>
    <t>COSTE TOTAL GASTOS BASELINE</t>
  </si>
  <si>
    <t>(!) El coste de GASTOS planificado es mayor que el de la BASELINE</t>
  </si>
  <si>
    <t>TIPO GASTO</t>
  </si>
  <si>
    <t>DESCRIPCION GASTO</t>
  </si>
  <si>
    <t xml:space="preserve">INFORMACION ADICIONAL </t>
  </si>
  <si>
    <t>Travelling Expenses</t>
  </si>
  <si>
    <t>Agencia de Viajes</t>
  </si>
  <si>
    <t>PPO</t>
  </si>
  <si>
    <t>Otros</t>
  </si>
  <si>
    <t>Expenses/Gastos</t>
  </si>
  <si>
    <t>TOTAL GASTOS</t>
  </si>
  <si>
    <t xml:space="preserve">COSTE TOTAL COMPRAS BASELINE </t>
  </si>
  <si>
    <t>(!) El coste de COMPRAS planificado es mayor que el de la BASELINE</t>
  </si>
  <si>
    <t>PROVEEDOR</t>
  </si>
  <si>
    <t>DESCRIPCION COMPRA</t>
  </si>
  <si>
    <t>PO COMPRA</t>
  </si>
  <si>
    <t>INFOR ARIBA</t>
  </si>
  <si>
    <t>var20_SAP_Proveedor_Subcontrataciones</t>
  </si>
  <si>
    <t>Trabajos on site</t>
  </si>
  <si>
    <t>var30_SAP_PO_Compra</t>
  </si>
  <si>
    <t>var40_SAP_Ariba</t>
  </si>
  <si>
    <t>TOTAL COMPRAS</t>
  </si>
  <si>
    <t>Tipos Gasto</t>
  </si>
  <si>
    <t>Recruitment Fees</t>
  </si>
  <si>
    <t>Trainning Costs</t>
  </si>
  <si>
    <t>Salaries varios (becas,…)</t>
  </si>
  <si>
    <t>Fees</t>
  </si>
  <si>
    <t>LINEA BASE ACTUAL</t>
  </si>
  <si>
    <t>INICIAL</t>
  </si>
  <si>
    <t>+ INGRESOS PREVISTOS</t>
  </si>
  <si>
    <t>- COSTE RECURSOS</t>
  </si>
  <si>
    <t>- RIESGOS</t>
  </si>
  <si>
    <t>- GARANTIA</t>
  </si>
  <si>
    <t>- GASTOS</t>
  </si>
  <si>
    <t>- COMPRAS</t>
  </si>
  <si>
    <t>MARGEN DIRECTO (euros)</t>
  </si>
  <si>
    <t>MARGEN DIRECTO (%)</t>
  </si>
  <si>
    <t>REALIZADO + PREVISTO MES</t>
  </si>
  <si>
    <t>VENTA</t>
  </si>
  <si>
    <t>REALIZADO + PREVISTO ACUMULADO</t>
  </si>
  <si>
    <t>ANTERIOR</t>
  </si>
  <si>
    <t>VENTA ACUMULADA</t>
  </si>
  <si>
    <t>- COSTE RECURSOS ACUMULADO</t>
  </si>
  <si>
    <t>MARGEN DIRECTO ACUMULADO (euros)</t>
  </si>
  <si>
    <t>VENTA ACUMULADA REPORTADA SAP</t>
  </si>
  <si>
    <t xml:space="preserve">FACTURACION EMITIDA/PLANIFICADA </t>
  </si>
  <si>
    <t>FACTURACION ACUMULADA</t>
  </si>
  <si>
    <t>FACTURACION vs VENTA</t>
  </si>
  <si>
    <t>CORE PC - VENTA POR AVANCE DE COSTES</t>
  </si>
  <si>
    <t>Pasos para completar el CORE en la apertura de un proyecto</t>
  </si>
  <si>
    <t>1) Completar "Project Infor" incluyendo los datos del PPO</t>
  </si>
  <si>
    <t>2) Revisar "Cost Overview" con la información de la Baseline Inicial (Fila 10) para que esté ok con PPO</t>
  </si>
  <si>
    <t>3) Completar los coste del personal que va a ejecutar el proyecto en "Resources". IMPORTANTE: No indicar Nombre y Apellidos, solo Iniciales. También se debe indicar para cada perfil si es o no INTERCO porque ese dato se utiliza para calcular en coste de cada tipo de perfil y si no se completa no se tiene en cuenta el coste.</t>
  </si>
  <si>
    <t>4) Completar el Planning de Horas, Riesgos, Garantía, Gastos y Compras en "Cost Planning". Tendremos avisos sobre lo que no hayamos planificado en cada una de las secciones</t>
  </si>
  <si>
    <t>5) En "Monthly View" y "Cost Summary" tendremos la información de arranque del proyecto</t>
  </si>
  <si>
    <t>Pasos para completar la información mensual</t>
  </si>
  <si>
    <t>1) Introducir la Fecha de Reporting en "Project Infor", celda C8</t>
  </si>
  <si>
    <t>2) Introducir Ampliaciones y Reestimaciones en "Cost Overview"</t>
  </si>
  <si>
    <t>3) Actualizar Costes de Recursos en "Resources". Importante: como nuestros costes puede que no cuadren 100% con los de SAP, si tenemos el dato de los costes mensuales del mes pasado en SAP, metemos la diferencia en "Cost Planning" en las celdas amarillas. Así vamos corrigiendo las diferencias mes a mes. Si la diferencia es signiticativa tendremos que revisar los costes de los recursos por si alguno no está como en SAP.</t>
  </si>
  <si>
    <t xml:space="preserve">4) Actualizar el Planning de Horas, Riesgos, Garantía, Gastos y Compras en "Cost Planning". Tendremos avisos sobre lo que no hayamos planificado en cada una de las secciones. Si por ejemplo nos vamos a gastar más en Horas y queremos reestimar Riesgos, tendremos que volver a la pestaña "Cost Overview" para ver qué reestimación sería necesaria. Las Reestimaciones tienen que tener validación por parte de Cost Control &amp; Optimization (CCO). </t>
  </si>
  <si>
    <t>5) Una vez actualizadas Ampliaciones, Reestimaciones y Plan de Costes tenemos en "Monthly View" la vista mensualizada de avance del proyecto en todos los conceptos de coste.</t>
  </si>
  <si>
    <t xml:space="preserve">6) Actualizar Facturación en "Monthly View" - Fila 43. Una vez actualizada esta información tenemos en "Monthly View"-Fila 45 el dato de si estamos facturando por adelantado o no con respecto al acance en venta. En la pestaña Aux Billing Plan podemos guardar información de detalle sobre el Billing Plan por si nos facilita el seguimiento, pero no se utiliza para cálculos en el resto del CORE. </t>
  </si>
  <si>
    <t>6) Si en el mes anterior la Venta acumulada en SAP no coincide totalmente con la de CORE usaremos las celdas amarillas del "Monthly View" (Fila 41) para fijar la venta acumulada hasta el mes pasado para que la diferencia que tuvimos no impacte en el calculo de venta de este mes</t>
  </si>
  <si>
    <t>Normas para cumplimentar la Información</t>
  </si>
  <si>
    <t>Las celdas para completar información tendrán fondo blanco.</t>
  </si>
  <si>
    <t>Las celdas para ajustar costes o venta con respecto a SAP tienen fondo amarillo y también se pueden completar cada mes si hace falta.</t>
  </si>
  <si>
    <t>No hay casi validaciones de campos así que el Project Manager será el responsable de que la información que se introduzca sea consistente (fechas de reporting, inicio y fin, costes, ingresos, fechas ampliaciones, facturaciones, …). Ejemplo si las fechas no son consistentes los cálculos fallarán.</t>
  </si>
  <si>
    <t>Los datos que tenemos que copiar en SAP, en la CJR2,  serían los siguientes:
- SALARIES: costes personal propio, aparecen en "Cost Planning" - Fila 40
- Subc Cost fr Affilia: costes personal INTERCO, aparecen en "Cost Planning" - Fila 41
- RISK (accrual future loss) : provisión para RIESGOS, aparece en "Cost Planning" - Fila 47
- WARRANTY: provisión para Garantía, aparece en "Cost Planning" - Fila 48
- GASTOS: costes provisionados para gatos varios (Becas, training, travelling expenses, ...), aparecen en "Cost Planning" - Fila 59
- COMPRAS: costes provisionados para compras (hardware, subcontractors, ...), aparecen en "Cost Planning" - Fila 74</t>
  </si>
  <si>
    <t>Los datos del FORECAST de VENTA aparecen en "Monthly View" - Fila 19. En la pestaña Aux Forecast se puede ir guardando el forecast proporcionado cada mes para tener una vista de la evolución de Forecast.</t>
  </si>
  <si>
    <t>IMPORTE NETO A FACTURAR</t>
  </si>
  <si>
    <t>(!) Faltan HITOS de FACTURACION por planificar</t>
  </si>
  <si>
    <t>TIPO FACTURA</t>
  </si>
  <si>
    <t>FECHA ESTIMADA FACTURA</t>
  </si>
  <si>
    <t>DCat</t>
  </si>
  <si>
    <t>CONCEPTO FACTURA</t>
  </si>
  <si>
    <t>IMPORTE FACTURA</t>
  </si>
  <si>
    <t>Currency</t>
  </si>
  <si>
    <t>IMPUESTOS (%)</t>
  </si>
  <si>
    <t>IMPORTE más  IMPUESTOS</t>
  </si>
  <si>
    <t>LINEA/S DE PEDIDO</t>
  </si>
  <si>
    <t>CLIENTE</t>
  </si>
  <si>
    <t>Ticket support 
BILLING &amp; COLLECTION</t>
  </si>
  <si>
    <t>FECHA FACTURA</t>
  </si>
  <si>
    <t>ENVIO FACTURA</t>
  </si>
  <si>
    <t>OTRA INFOR FACTURACION</t>
  </si>
  <si>
    <t>COBRADA</t>
  </si>
  <si>
    <t>TOTAL FACTURACION</t>
  </si>
  <si>
    <t>Comentarios adicionales Billing Plan</t>
  </si>
  <si>
    <t>&lt;dd/mm/aaaa&gt; comentario
&lt;dd/mm/aaaa&gt; comentario
&lt;dd/mm/aaaa&gt; comentario</t>
  </si>
  <si>
    <t>Mes Forecast</t>
  </si>
  <si>
    <t>Comentarios adicionales Forecast</t>
  </si>
  <si>
    <t xml:space="preserve">MINISTERIO </t>
  </si>
  <si>
    <t>ENTIDADES 
que forman la UTE</t>
  </si>
  <si>
    <t xml:space="preserve">PORCENTAJE </t>
  </si>
  <si>
    <t>IMPORTE 
(sin IVA)</t>
  </si>
  <si>
    <t>INTERLOCUTOR</t>
  </si>
  <si>
    <t>INFOR ADICIONAL</t>
  </si>
  <si>
    <t>GERENTE UTE</t>
  </si>
  <si>
    <t>Nombre Apellidos</t>
  </si>
  <si>
    <t>Entidad 1</t>
  </si>
  <si>
    <t>DENOMINACION UTE</t>
  </si>
  <si>
    <t>UTE CONNECTIS ---</t>
  </si>
  <si>
    <t>Entidad 2</t>
  </si>
  <si>
    <t>IMPORTE CONTRATACION (SIN iva)</t>
  </si>
  <si>
    <t>(!) Los IMPORTES por ENTIDADES no coinciden con el TOTAL</t>
  </si>
  <si>
    <t>Entidad 3</t>
  </si>
  <si>
    <t>Entidad 4</t>
  </si>
  <si>
    <t>Entidad 5</t>
  </si>
  <si>
    <t>ENTIDAD 
que FACTURA</t>
  </si>
  <si>
    <t>ENVIADA a
utes@getronics.com</t>
  </si>
  <si>
    <t>FACTURA</t>
  </si>
  <si>
    <t>Factura Hito 1</t>
  </si>
  <si>
    <t>EUR</t>
  </si>
  <si>
    <t>MINISTERIO</t>
  </si>
  <si>
    <t>Portal efacturación</t>
  </si>
  <si>
    <t>Comentarios adicionales Gestión UTE</t>
  </si>
  <si>
    <t>CALENDARIO 1</t>
  </si>
  <si>
    <t>Madrid + GS</t>
  </si>
  <si>
    <t>HORAS/JORNADA</t>
  </si>
  <si>
    <t>HORAS JORNADA</t>
  </si>
  <si>
    <t>TOTAL HORAS MES</t>
  </si>
  <si>
    <t>CALENDARIO 2</t>
  </si>
  <si>
    <t>Descripción calendario</t>
  </si>
  <si>
    <t>CALENDARIO 3</t>
  </si>
  <si>
    <t>CALENDARIO 4</t>
  </si>
  <si>
    <t>CALENDARIO 5</t>
  </si>
  <si>
    <t>CALENDARIO 6</t>
  </si>
  <si>
    <t>Trazabilidad de pre-relleno CORE PC</t>
  </si>
  <si>
    <t>PPO: 20250256445 · Proyecto: Smart Airport en la nueva terminal de Puerto Vallarta</t>
  </si>
  <si>
    <t>Resumen de reglas aplicadas</t>
  </si>
  <si>
    <t>Regla</t>
  </si>
  <si>
    <t>Aplicación</t>
  </si>
  <si>
    <t>Detalle</t>
  </si>
  <si>
    <t>Tipo plantilla</t>
  </si>
  <si>
    <t>CORE PC</t>
  </si>
  <si>
    <t>PEP Type PPO = PC / Project Service Type = Fixed Price (services)</t>
  </si>
  <si>
    <t>Fuente principal</t>
  </si>
  <si>
    <t>Cabecera, importes, perfiles, costes, horas por anualidad, gastos, compras, riesgos y garantías.</t>
  </si>
  <si>
    <t>Variables externas</t>
  </si>
  <si>
    <t>SAP/Salesforce/proceso previo</t>
  </si>
  <si>
    <t>PEP/WBS, código cliente, pedido/Sales Order, códigos de empleado y PM/Practice Leader.</t>
  </si>
  <si>
    <t>Recursos</t>
  </si>
  <si>
    <t>Prorrateo plano</t>
  </si>
  <si>
    <t>Horas anuales repartidas entre meses del año dentro de la duración PPO.</t>
  </si>
  <si>
    <t>Coste hora</t>
  </si>
  <si>
    <t>2025 flat</t>
  </si>
  <si>
    <t>Coste hora 2025 copiado en los meses de planificación, dejando incrementos interanuales para revisión posterior.</t>
  </si>
  <si>
    <t>Intercompany</t>
  </si>
  <si>
    <t>Derivado por entidad</t>
  </si>
  <si>
    <t>Proyecto Connectis-ICT; recursos Global Rosetta marcados INTERCO y Connectis-ICT como NO.</t>
  </si>
  <si>
    <t>Gastos/compras</t>
  </si>
  <si>
    <t>Importes por anualidad repartidos entre meses aplicables.</t>
  </si>
  <si>
    <t>Riesgos/garantía</t>
  </si>
  <si>
    <t>Último mes</t>
  </si>
  <si>
    <t>Totales imputados al último mes del proyecto.</t>
  </si>
  <si>
    <t>Facturación emitida</t>
  </si>
  <si>
    <t>Vacía</t>
  </si>
  <si>
    <t>No se informa porque refleja ejecución real, no previsión.</t>
  </si>
  <si>
    <t>Variables pendientes SAP/Salesforce/proceso previo</t>
  </si>
  <si>
    <t>Variable</t>
  </si>
  <si>
    <t>Hoja</t>
  </si>
  <si>
    <t>Celda</t>
  </si>
  <si>
    <t>Campo</t>
  </si>
  <si>
    <t>Origen</t>
  </si>
  <si>
    <t>Valor provisional / comentario</t>
  </si>
  <si>
    <t>Acción requerida</t>
  </si>
  <si>
    <t>Estado</t>
  </si>
  <si>
    <t>var1_SAP_FechaInicio</t>
  </si>
  <si>
    <t>Project Infor</t>
  </si>
  <si>
    <t>C8</t>
  </si>
  <si>
    <t>SAP</t>
  </si>
  <si>
    <t>Validar si debe reemplazar a fecha PPO provisional.</t>
  </si>
  <si>
    <t>Provisional PPO</t>
  </si>
  <si>
    <t>C10</t>
  </si>
  <si>
    <t>WBS-Element / PEP</t>
  </si>
  <si>
    <t>Rellenar PEP/WBS real del proyecto.</t>
  </si>
  <si>
    <t>Pendiente</t>
  </si>
  <si>
    <t>C16</t>
  </si>
  <si>
    <t>Código cliente</t>
  </si>
  <si>
    <t>SAP/Salesforce</t>
  </si>
  <si>
    <t>Rellenar código cliente; nombre ya informado desde PPO.</t>
  </si>
  <si>
    <t>C19</t>
  </si>
  <si>
    <t>Pedido / Sales Order</t>
  </si>
  <si>
    <t>Rellenar pedido cuando exista alta en SAP.</t>
  </si>
  <si>
    <t>C22</t>
  </si>
  <si>
    <t>Código empleado Project Manager</t>
  </si>
  <si>
    <t>SAP/SF</t>
  </si>
  <si>
    <t>Rellenar código empleado.</t>
  </si>
  <si>
    <t>D22</t>
  </si>
  <si>
    <t>Rellenar nombre.</t>
  </si>
  <si>
    <t>C23</t>
  </si>
  <si>
    <t>Código empleado Practice Leader</t>
  </si>
  <si>
    <t>D23</t>
  </si>
  <si>
    <t>C24</t>
  </si>
  <si>
    <t>Código empleado Sales Manager</t>
  </si>
  <si>
    <t>Salesforce</t>
  </si>
  <si>
    <t>Rellenar código; nombre informado desde PPO Account Manager.</t>
  </si>
  <si>
    <t>Pendiente código</t>
  </si>
  <si>
    <t>Resources</t>
  </si>
  <si>
    <t>B7</t>
  </si>
  <si>
    <t>Código empleado recurso Jefe Proyecto (JP)</t>
  </si>
  <si>
    <t>Rellenar si se conoce persona nominal.</t>
  </si>
  <si>
    <t>B8</t>
  </si>
  <si>
    <t>Código empleado recurso Consultor Smart Spaces (CSS)</t>
  </si>
  <si>
    <t>B9</t>
  </si>
  <si>
    <t>Código empleado recurso Consultor Junior Smart Spaces (CJSS)</t>
  </si>
  <si>
    <t>B10</t>
  </si>
  <si>
    <t>Código empleado recurso Arquitecto (A)</t>
  </si>
  <si>
    <t>B11</t>
  </si>
  <si>
    <t>Código empleado recurso Ingeniero Integración (II)</t>
  </si>
  <si>
    <t>B12</t>
  </si>
  <si>
    <t>Código empleado recurso Configuración Portal (P)</t>
  </si>
  <si>
    <t>B13</t>
  </si>
  <si>
    <t>Código empleado recurso Diseñador gráfico (DG)</t>
  </si>
  <si>
    <t>Cost Planning</t>
  </si>
  <si>
    <t>B64</t>
  </si>
  <si>
    <t>Proveedor compra Subcontrataciones</t>
  </si>
  <si>
    <t>SAP/Ariba</t>
  </si>
  <si>
    <t>Rellenar proveedor si aplica.</t>
  </si>
  <si>
    <t>D64</t>
  </si>
  <si>
    <t>PO compra Subcontrataciones</t>
  </si>
  <si>
    <t>Rellenar PO si aplica.</t>
  </si>
  <si>
    <t>E64</t>
  </si>
  <si>
    <t>Referencia Ariba Subcontrataciones</t>
  </si>
  <si>
    <t>Rellenar si aplica.</t>
  </si>
  <si>
    <t>Advertencias de calidad de dato</t>
  </si>
  <si>
    <t>ID</t>
  </si>
  <si>
    <t>Advertencia</t>
  </si>
  <si>
    <t>Impacto</t>
  </si>
  <si>
    <t>Recomendación</t>
  </si>
  <si>
    <t>W-01</t>
  </si>
  <si>
    <t>El PPO contiene horas/importes fuera del rango 11/2025-10/2026: II/Ingeniero Integración 2027: 500; II/Ingeniero Integración 2028: 360; P/Configuración Portal 2027: 500; P/Configuración Portal 2028: 360.</t>
  </si>
  <si>
    <t>No se han imputado en Cost Planning por estar fuera de la duración PPO utilizada para redimensionar el CORE.</t>
  </si>
  <si>
    <t>Validar duración real en Salesforce/SAP o corregir anualidades del PPO antes del cierre de planificación.</t>
  </si>
  <si>
    <t>W-02</t>
  </si>
  <si>
    <t>Horas totales PPO = 13570; horas planificadas dentro de duración CORE = 11850.</t>
  </si>
  <si>
    <t>Queda diferencia pendiente de planificación por anualidades fuera de duración o inconsistencia del PPO.</t>
  </si>
  <si>
    <t>Revisar duración PPO vs. anualidades presupuestadas; ajustar Project Infor!C9 si procede.</t>
  </si>
  <si>
    <t>W-03</t>
  </si>
  <si>
    <t>Fecha de inicio CORE informada con valor provisional del PPO para conservar fórmulas y cabeceras mensuales.</t>
  </si>
  <si>
    <t>Si negocio exige fecha SAP de adjudicación/alta, debe sustituirse por var1_SAP_FechaInicio.</t>
  </si>
  <si>
    <t>Validar fecha con SAP/proceso previo antes de entregar al JP.</t>
  </si>
  <si>
    <t>W-04</t>
  </si>
  <si>
    <t>Los códigos de empleado se han dejado como variables porque el PPO no contiene asignación nominal fiable.</t>
  </si>
  <si>
    <t>La planificación usa perfiles/roles, no personas reales.</t>
  </si>
  <si>
    <t>El JP puede sustituirlos cuando el equipo esté asignado.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</si>
</sst>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C0A]_-;\-* #,##0.00\ [$€-C0A]_-;_-* &quot;-&quot;??\ [$€-C0A]_-;_-@_-"/>
    <numFmt numFmtId="165" formatCode="dd\.mm\.yyyy"/>
    <numFmt numFmtId="166" formatCode="[$-C0A]mmm\-yy;@"/>
    <numFmt numFmtId="167" formatCode="#,##0.00_ ;\-#,##0.00\ "/>
    <numFmt numFmtId="168" formatCode="#,##0.0"/>
    <numFmt numFmtId="169" formatCode="#,##0.00_ ;[Red]\-#,##0.00\ "/>
    <numFmt numFmtId="170" formatCode="[$-C0A]d\-mmm\-yy;@"/>
    <numFmt numFmtId="171" formatCode="yyyy\-mm\-dd\ h:mm:ss"/>
  </numFmts>
  <fonts count="56" x14ac:knownFonts="1">
    <font>
      <sz val="11"/>
      <color theme="1"/>
      <name val="Calibri"/>
      <family val="2"/>
      <scheme val="minor"/>
    </font>
    <font>
      <sz val="11"/>
      <color theme="1"/>
      <name val="Calibri"/>
      <family val="2"/>
      <scheme val="minor"/>
    </font>
    <font>
      <sz val="10"/>
      <color theme="1"/>
      <name val="Verdana"/>
      <family val="2"/>
    </font>
    <font>
      <i/>
      <sz val="10"/>
      <color theme="1"/>
      <name val="Verdana"/>
      <family val="2"/>
    </font>
    <font>
      <sz val="10"/>
      <name val="Verdana"/>
      <family val="2"/>
    </font>
    <font>
      <b/>
      <sz val="10"/>
      <color rgb="FF035E00"/>
      <name val="Verdana"/>
      <family val="2"/>
    </font>
    <font>
      <sz val="10"/>
      <color rgb="FF035E00"/>
      <name val="Verdana"/>
      <family val="2"/>
    </font>
    <font>
      <sz val="18"/>
      <color theme="3" tint="-0.499984740745262"/>
      <name val="Verdana"/>
      <family val="2"/>
    </font>
    <font>
      <sz val="20"/>
      <color theme="3" tint="-0.499984740745262"/>
      <name val="Verdana"/>
      <family val="2"/>
    </font>
    <font>
      <b/>
      <sz val="11"/>
      <color theme="3" tint="-0.499984740745262"/>
      <name val="Verdana"/>
      <family val="2"/>
    </font>
    <font>
      <sz val="11"/>
      <color theme="3" tint="-0.499984740745262"/>
      <name val="Verdana"/>
      <family val="2"/>
    </font>
    <font>
      <sz val="11"/>
      <color rgb="FF035E00"/>
      <name val="Verdana"/>
      <family val="2"/>
    </font>
    <font>
      <sz val="11"/>
      <color theme="1"/>
      <name val="Verdana"/>
      <family val="2"/>
    </font>
    <font>
      <sz val="11"/>
      <color rgb="FFFF670A"/>
      <name val="Verdana"/>
      <family val="2"/>
    </font>
    <font>
      <sz val="11"/>
      <name val="Verdana"/>
      <family val="2"/>
    </font>
    <font>
      <b/>
      <sz val="10"/>
      <color theme="1"/>
      <name val="Verdana"/>
      <family val="2"/>
    </font>
    <font>
      <b/>
      <sz val="11"/>
      <color theme="1"/>
      <name val="Verdana"/>
      <family val="2"/>
    </font>
    <font>
      <b/>
      <sz val="11"/>
      <color rgb="FF035E00"/>
      <name val="Verdana"/>
      <family val="2"/>
    </font>
    <font>
      <sz val="11"/>
      <color rgb="FF00B050"/>
      <name val="Verdana"/>
      <family val="2"/>
    </font>
    <font>
      <sz val="10"/>
      <name val="Arial"/>
      <family val="2"/>
    </font>
    <font>
      <sz val="11"/>
      <name val="Arial"/>
      <family val="2"/>
    </font>
    <font>
      <b/>
      <sz val="14"/>
      <color rgb="FFFF0000"/>
      <name val="Verdana"/>
      <family val="2"/>
    </font>
    <font>
      <b/>
      <sz val="10"/>
      <color rgb="FFFF0000"/>
      <name val="Verdana"/>
      <family val="2"/>
    </font>
    <font>
      <sz val="10"/>
      <color rgb="FFFF670A"/>
      <name val="Verdana"/>
      <family val="2"/>
    </font>
    <font>
      <b/>
      <sz val="11"/>
      <color rgb="FFFF0000"/>
      <name val="Verdana"/>
      <family val="2"/>
    </font>
    <font>
      <sz val="12"/>
      <color theme="0"/>
      <name val="Verdana"/>
      <family val="2"/>
    </font>
    <font>
      <sz val="11"/>
      <color theme="0"/>
      <name val="Verdana"/>
      <family val="2"/>
    </font>
    <font>
      <b/>
      <sz val="11"/>
      <color theme="0"/>
      <name val="Verdana"/>
      <family val="2"/>
    </font>
    <font>
      <b/>
      <sz val="12"/>
      <color theme="0"/>
      <name val="Verdana"/>
      <family val="2"/>
    </font>
    <font>
      <sz val="12"/>
      <color theme="3" tint="-0.499984740745262"/>
      <name val="Verdana"/>
      <family val="2"/>
    </font>
    <font>
      <sz val="10"/>
      <color theme="0" tint="-0.499984740745262"/>
      <name val="Verdana"/>
      <family val="2"/>
    </font>
    <font>
      <sz val="9"/>
      <color theme="0" tint="-0.499984740745262"/>
      <name val="Verdana"/>
      <family val="2"/>
    </font>
    <font>
      <b/>
      <sz val="13"/>
      <color theme="3" tint="-0.499984740745262"/>
      <name val="Verdana"/>
      <family val="2"/>
    </font>
    <font>
      <sz val="13"/>
      <color theme="3" tint="-0.499984740745262"/>
      <name val="Verdana"/>
      <family val="2"/>
    </font>
    <font>
      <sz val="11"/>
      <color theme="0" tint="-0.499984740745262"/>
      <name val="Verdana"/>
      <family val="2"/>
    </font>
    <font>
      <b/>
      <sz val="11"/>
      <color rgb="FF1D252C"/>
      <name val="Verdana"/>
      <family val="2"/>
    </font>
    <font>
      <sz val="11"/>
      <color rgb="FF1D252C"/>
      <name val="Verdana"/>
      <family val="2"/>
    </font>
    <font>
      <sz val="11"/>
      <color rgb="FF03C000"/>
      <name val="Verdana"/>
      <family val="2"/>
    </font>
    <font>
      <i/>
      <sz val="10"/>
      <color rgb="FFFF8452"/>
      <name val="Verdana"/>
      <family val="2"/>
    </font>
    <font>
      <b/>
      <sz val="13"/>
      <color theme="1"/>
      <name val="Verdana"/>
      <family val="2"/>
    </font>
    <font>
      <b/>
      <sz val="16"/>
      <color rgb="FF03E100"/>
      <name val="Verdana"/>
      <family val="2"/>
    </font>
    <font>
      <b/>
      <sz val="11"/>
      <color theme="2" tint="-0.89999084444715716"/>
      <name val="Verdana"/>
      <family val="2"/>
    </font>
    <font>
      <sz val="11"/>
      <color theme="2" tint="-0.89999084444715716"/>
      <name val="Verdana"/>
      <family val="2"/>
    </font>
    <font>
      <sz val="11"/>
      <color rgb="FFE20000"/>
      <name val="Verdana"/>
      <family val="2"/>
    </font>
    <font>
      <sz val="12"/>
      <color rgb="FFE20000"/>
      <name val="Verdana"/>
      <family val="2"/>
    </font>
    <font>
      <sz val="10"/>
      <color theme="0"/>
      <name val="Verdana"/>
      <family val="2"/>
    </font>
    <font>
      <i/>
      <sz val="10"/>
      <color theme="0"/>
      <name val="Verdana"/>
      <family val="2"/>
    </font>
    <font>
      <sz val="10"/>
      <color rgb="FFFF0000"/>
      <name val="Verdana"/>
      <family val="2"/>
    </font>
    <font>
      <b/>
      <sz val="10"/>
      <color theme="0"/>
      <name val="Verdana"/>
      <family val="2"/>
    </font>
    <font>
      <sz val="11"/>
      <color theme="0" tint="-0.249977111117893"/>
      <name val="Verdana"/>
      <family val="2"/>
    </font>
    <font>
      <b/>
      <sz val="18"/>
      <color theme="3" tint="-0.499984740745262"/>
      <name val="Verdana"/>
      <family val="2"/>
    </font>
    <font>
      <b/>
      <sz val="14"/>
      <color rgb="FFFFFFFF"/>
      <name val="Calibri"/>
    </font>
    <font>
      <i/>
      <sz val="11"/>
      <color rgb="FF404040"/>
      <name val="Calibri"/>
    </font>
    <font>
      <b/>
      <sz val="12"/>
      <color rgb="FF1F4E78"/>
      <name val="Calibri"/>
    </font>
    <font>
      <b/>
      <sz val="11"/>
      <name val="Calibri"/>
    </font>
    <font>
      <b/>
      <sz val="12"/>
      <color rgb="FF9C6500"/>
      <name val="Calibri"/>
    </font>
  </fonts>
  <fills count="19">
    <fill>
      <patternFill patternType="none"/>
    </fill>
    <fill>
      <patternFill patternType="gray125"/>
    </fill>
    <fill>
      <patternFill patternType="solid">
        <fgColor rgb="FFA2B3AD"/>
        <bgColor indexed="64"/>
      </patternFill>
    </fill>
    <fill>
      <patternFill patternType="solid">
        <fgColor theme="0"/>
        <bgColor indexed="64"/>
      </patternFill>
    </fill>
    <fill>
      <patternFill patternType="solid">
        <fgColor rgb="FFD2E6E6"/>
        <bgColor indexed="64"/>
      </patternFill>
    </fill>
    <fill>
      <patternFill patternType="solid">
        <fgColor rgb="FFE4F0F0"/>
      </patternFill>
    </fill>
    <fill>
      <patternFill patternType="solid">
        <fgColor rgb="FFE6E6E6"/>
        <bgColor indexed="64"/>
      </patternFill>
    </fill>
    <fill>
      <patternFill patternType="solid">
        <fgColor rgb="FFEAEAEA"/>
        <bgColor indexed="64"/>
      </patternFill>
    </fill>
    <fill>
      <patternFill patternType="solid">
        <fgColor rgb="FFCDF9CC"/>
        <bgColor indexed="64"/>
      </patternFill>
    </fill>
    <fill>
      <patternFill patternType="solid">
        <fgColor rgb="FF323E48"/>
        <bgColor indexed="64"/>
      </patternFill>
    </fill>
    <fill>
      <patternFill patternType="solid">
        <fgColor rgb="FFFFE6DC"/>
        <bgColor indexed="64"/>
      </patternFill>
    </fill>
    <fill>
      <patternFill patternType="solid">
        <fgColor rgb="FFFFE0E0"/>
        <bgColor indexed="64"/>
      </patternFill>
    </fill>
    <fill>
      <patternFill patternType="solid">
        <fgColor theme="0" tint="-0.14993743705557422"/>
        <bgColor indexed="64"/>
      </patternFill>
    </fill>
    <fill>
      <patternFill patternType="solid">
        <fgColor rgb="FFF3F3F3"/>
        <bgColor indexed="64"/>
      </patternFill>
    </fill>
    <fill>
      <patternFill patternType="solid">
        <fgColor rgb="FFD9D9D9"/>
        <bgColor indexed="64"/>
      </patternFill>
    </fill>
    <fill>
      <patternFill patternType="solid">
        <fgColor rgb="FFFFFF97"/>
        <bgColor indexed="64"/>
      </patternFill>
    </fill>
    <fill>
      <patternFill patternType="solid">
        <fgColor rgb="FF1F4E78"/>
      </patternFill>
    </fill>
    <fill>
      <patternFill patternType="solid">
        <fgColor rgb="FFD9EAF7"/>
      </patternFill>
    </fill>
    <fill>
      <patternFill patternType="solid">
        <fgColor rgb="FFFFF2CC"/>
      </patternFill>
    </fill>
  </fills>
  <borders count="38">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bottom/>
      <diagonal/>
    </border>
    <border>
      <left/>
      <right/>
      <top style="thin">
        <color indexed="64"/>
      </top>
      <bottom style="thin">
        <color theme="3"/>
      </bottom>
      <diagonal/>
    </border>
    <border>
      <left/>
      <right/>
      <top style="thin">
        <color theme="3"/>
      </top>
      <bottom style="thin">
        <color indexed="64"/>
      </bottom>
      <diagonal/>
    </border>
    <border>
      <left/>
      <right/>
      <top/>
      <bottom style="medium">
        <color rgb="FFFF8452"/>
      </bottom>
      <diagonal/>
    </border>
    <border>
      <left/>
      <right style="medium">
        <color rgb="FFFF8452"/>
      </right>
      <top style="thin">
        <color theme="3"/>
      </top>
      <bottom style="thin">
        <color theme="3"/>
      </bottom>
      <diagonal/>
    </border>
    <border>
      <left/>
      <right/>
      <top style="thin">
        <color indexed="64"/>
      </top>
      <bottom style="medium">
        <color theme="3"/>
      </bottom>
      <diagonal/>
    </border>
    <border>
      <left/>
      <right/>
      <top style="medium">
        <color theme="3"/>
      </top>
      <bottom style="medium">
        <color theme="3"/>
      </bottom>
      <diagonal/>
    </border>
    <border>
      <left/>
      <right/>
      <top style="thin">
        <color theme="3"/>
      </top>
      <bottom style="medium">
        <color theme="3"/>
      </bottom>
      <diagonal/>
    </border>
    <border>
      <left/>
      <right/>
      <top style="medium">
        <color theme="3"/>
      </top>
      <bottom/>
      <diagonal/>
    </border>
    <border>
      <left/>
      <right/>
      <top/>
      <bottom style="medium">
        <color rgb="FFFF670A"/>
      </bottom>
      <diagonal/>
    </border>
    <border>
      <left/>
      <right style="medium">
        <color rgb="FFFF670A"/>
      </right>
      <top style="medium">
        <color rgb="FFFF670A"/>
      </top>
      <bottom style="medium">
        <color rgb="FFFF670A"/>
      </bottom>
      <diagonal/>
    </border>
    <border>
      <left/>
      <right/>
      <top style="medium">
        <color rgb="FFFF670A"/>
      </top>
      <bottom style="medium">
        <color rgb="FFFF670A"/>
      </bottom>
      <diagonal/>
    </border>
    <border>
      <left/>
      <right style="medium">
        <color rgb="FFFF670A"/>
      </right>
      <top/>
      <bottom style="thin">
        <color indexed="64"/>
      </bottom>
      <diagonal/>
    </border>
    <border>
      <left/>
      <right/>
      <top style="thin">
        <color indexed="64"/>
      </top>
      <bottom style="medium">
        <color rgb="FFFF670A"/>
      </bottom>
      <diagonal/>
    </border>
    <border>
      <left/>
      <right style="medium">
        <color indexed="64"/>
      </right>
      <top/>
      <bottom style="medium">
        <color rgb="FFFF670A"/>
      </bottom>
      <diagonal/>
    </border>
    <border>
      <left style="medium">
        <color indexed="64"/>
      </left>
      <right/>
      <top/>
      <bottom style="medium">
        <color rgb="FFFF670A"/>
      </bottom>
      <diagonal/>
    </border>
    <border>
      <left/>
      <right/>
      <top/>
      <bottom style="thin">
        <color rgb="FF03C000"/>
      </bottom>
      <diagonal/>
    </border>
    <border>
      <left/>
      <right/>
      <top style="medium">
        <color theme="3" tint="-0.499984740745262"/>
      </top>
      <bottom style="medium">
        <color theme="3" tint="-0.499984740745262"/>
      </bottom>
      <diagonal/>
    </border>
    <border>
      <left/>
      <right/>
      <top/>
      <bottom style="medium">
        <color theme="3" tint="-0.499984740745262"/>
      </bottom>
      <diagonal/>
    </border>
    <border>
      <left/>
      <right/>
      <top style="thin">
        <color rgb="FF248188"/>
      </top>
      <bottom style="thin">
        <color theme="3"/>
      </bottom>
      <diagonal/>
    </border>
    <border>
      <left/>
      <right/>
      <top style="thin">
        <color rgb="FFFF670A"/>
      </top>
      <bottom style="thin">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8452"/>
      </left>
      <right style="medium">
        <color rgb="FFFF8452"/>
      </right>
      <top style="medium">
        <color rgb="FFFF8452"/>
      </top>
      <bottom style="medium">
        <color rgb="FFFF8452"/>
      </bottom>
      <diagonal/>
    </border>
    <border>
      <left/>
      <right/>
      <top/>
      <bottom style="thin">
        <color theme="1"/>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
      <left style="thin">
        <color theme="3"/>
      </left>
      <right style="thin">
        <color theme="3"/>
      </right>
      <top style="thin">
        <color theme="3"/>
      </top>
      <bottom style="thin">
        <color theme="3"/>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style="thin">
        <color rgb="FFD9E2F3"/>
      </top>
      <bottom style="thin">
        <color rgb="FFD9E2F3"/>
      </bottom>
      <diagonal/>
    </border>
  </borders>
  <cellStyleXfs count="5">
    <xf numFmtId="0" fontId="0" fillId="0" borderId="0"/>
    <xf numFmtId="43" fontId="1" fillId="0" borderId="0"/>
    <xf numFmtId="9" fontId="1" fillId="0" borderId="0"/>
    <xf numFmtId="0" fontId="10" fillId="4" borderId="1">
      <alignment vertical="center"/>
    </xf>
    <xf numFmtId="0" fontId="10" fillId="5" borderId="1">
      <alignment vertical="center"/>
    </xf>
  </cellStyleXfs>
  <cellXfs count="362">
    <xf numFmtId="0" fontId="0" fillId="0" borderId="0" xfId="0"/>
    <xf numFmtId="0" fontId="10" fillId="3" borderId="4" xfId="0" applyFont="1" applyFill="1" applyBorder="1" applyAlignment="1" applyProtection="1">
      <alignment horizontal="left" vertical="center"/>
      <protection locked="0"/>
    </xf>
    <xf numFmtId="4" fontId="10" fillId="0" borderId="4" xfId="0" applyNumberFormat="1" applyFont="1" applyBorder="1" applyAlignment="1" applyProtection="1">
      <alignment horizontal="right" vertical="center"/>
      <protection locked="0"/>
    </xf>
    <xf numFmtId="14" fontId="10" fillId="3" borderId="4" xfId="0" applyNumberFormat="1" applyFont="1" applyFill="1" applyBorder="1" applyAlignment="1" applyProtection="1">
      <alignment horizontal="left" vertical="center"/>
      <protection locked="0"/>
    </xf>
    <xf numFmtId="0" fontId="10" fillId="3" borderId="4" xfId="0" applyFont="1" applyFill="1" applyBorder="1" applyAlignment="1" applyProtection="1">
      <alignment horizontal="left" vertical="center" wrapText="1"/>
      <protection locked="0"/>
    </xf>
    <xf numFmtId="49" fontId="10" fillId="3" borderId="4" xfId="0" applyNumberFormat="1" applyFont="1" applyFill="1" applyBorder="1" applyAlignment="1" applyProtection="1">
      <alignment horizontal="left" vertical="center" wrapText="1"/>
      <protection locked="0"/>
    </xf>
    <xf numFmtId="40" fontId="10" fillId="3" borderId="4" xfId="0" applyNumberFormat="1" applyFont="1" applyFill="1" applyBorder="1" applyAlignment="1" applyProtection="1">
      <alignment horizontal="left" vertical="center"/>
      <protection locked="0"/>
    </xf>
    <xf numFmtId="0" fontId="10" fillId="3" borderId="4" xfId="0" applyFont="1" applyFill="1" applyBorder="1" applyAlignment="1" applyProtection="1">
      <alignment horizontal="left"/>
      <protection locked="0"/>
    </xf>
    <xf numFmtId="49" fontId="10" fillId="3" borderId="4" xfId="0" applyNumberFormat="1" applyFont="1" applyFill="1" applyBorder="1" applyAlignment="1" applyProtection="1">
      <alignment horizontal="left"/>
      <protection locked="0"/>
    </xf>
    <xf numFmtId="9" fontId="10" fillId="3" borderId="4" xfId="2" applyFont="1" applyFill="1" applyBorder="1" applyAlignment="1" applyProtection="1">
      <alignment horizontal="left" vertical="center"/>
      <protection locked="0"/>
    </xf>
    <xf numFmtId="0" fontId="14" fillId="3" borderId="4" xfId="1" applyNumberFormat="1" applyFont="1" applyFill="1" applyBorder="1" applyAlignment="1" applyProtection="1">
      <alignment horizontal="left" vertical="center"/>
      <protection locked="0"/>
    </xf>
    <xf numFmtId="0" fontId="10" fillId="0" borderId="4" xfId="0" applyFont="1" applyBorder="1" applyAlignment="1" applyProtection="1">
      <alignment horizontal="left" vertical="center"/>
      <protection locked="0"/>
    </xf>
    <xf numFmtId="0" fontId="10" fillId="0" borderId="4" xfId="0" applyFont="1" applyBorder="1" applyAlignment="1" applyProtection="1">
      <alignment vertical="center"/>
      <protection locked="0"/>
    </xf>
    <xf numFmtId="0" fontId="10" fillId="0" borderId="0" xfId="0" applyFont="1" applyAlignment="1" applyProtection="1">
      <alignment vertical="center"/>
      <protection locked="0"/>
    </xf>
    <xf numFmtId="164" fontId="9" fillId="0" borderId="4" xfId="0" applyNumberFormat="1" applyFont="1" applyBorder="1" applyAlignment="1" applyProtection="1">
      <alignment horizontal="center"/>
      <protection locked="0"/>
    </xf>
    <xf numFmtId="43" fontId="10" fillId="0" borderId="4" xfId="1" applyFont="1" applyBorder="1" applyAlignment="1" applyProtection="1">
      <alignment horizontal="center"/>
      <protection locked="0"/>
    </xf>
    <xf numFmtId="164" fontId="13" fillId="0" borderId="4" xfId="0" applyNumberFormat="1" applyFont="1" applyBorder="1" applyAlignment="1" applyProtection="1">
      <alignment horizontal="center"/>
      <protection locked="0"/>
    </xf>
    <xf numFmtId="10" fontId="10" fillId="0" borderId="4" xfId="0" applyNumberFormat="1" applyFont="1" applyBorder="1" applyAlignment="1" applyProtection="1">
      <alignment vertical="center"/>
      <protection locked="0"/>
    </xf>
    <xf numFmtId="40" fontId="10" fillId="7" borderId="4" xfId="0" applyNumberFormat="1" applyFont="1" applyFill="1" applyBorder="1" applyAlignment="1">
      <alignment vertical="center"/>
    </xf>
    <xf numFmtId="10" fontId="10" fillId="7" borderId="4" xfId="0" applyNumberFormat="1" applyFont="1" applyFill="1" applyBorder="1" applyAlignment="1">
      <alignment vertical="center"/>
    </xf>
    <xf numFmtId="0" fontId="9" fillId="7" borderId="3" xfId="0" applyFont="1" applyFill="1" applyBorder="1" applyAlignment="1">
      <alignment vertical="center"/>
    </xf>
    <xf numFmtId="0" fontId="12" fillId="7" borderId="3" xfId="0" applyFont="1" applyFill="1" applyBorder="1" applyAlignment="1">
      <alignment vertical="center"/>
    </xf>
    <xf numFmtId="0" fontId="2" fillId="0" borderId="0" xfId="0" applyFont="1"/>
    <xf numFmtId="0" fontId="6" fillId="0" borderId="0" xfId="0" applyFont="1" applyAlignment="1">
      <alignment vertical="center"/>
    </xf>
    <xf numFmtId="0" fontId="5" fillId="0" borderId="0" xfId="0" applyFont="1" applyAlignment="1">
      <alignment horizontal="left" vertical="center"/>
    </xf>
    <xf numFmtId="0" fontId="2" fillId="0" borderId="0" xfId="0" applyFont="1" applyAlignment="1">
      <alignment vertical="center"/>
    </xf>
    <xf numFmtId="0" fontId="15" fillId="0" borderId="2" xfId="0" applyFont="1" applyBorder="1" applyAlignment="1">
      <alignment vertical="center"/>
    </xf>
    <xf numFmtId="40" fontId="30" fillId="0" borderId="3" xfId="0" applyNumberFormat="1" applyFont="1" applyBorder="1" applyAlignment="1">
      <alignment horizontal="right" wrapText="1"/>
    </xf>
    <xf numFmtId="0" fontId="30" fillId="0" borderId="3" xfId="0" applyFont="1" applyBorder="1" applyAlignment="1">
      <alignment horizontal="right" wrapText="1"/>
    </xf>
    <xf numFmtId="40" fontId="10" fillId="7" borderId="14" xfId="0" applyNumberFormat="1" applyFont="1" applyFill="1" applyBorder="1" applyAlignment="1">
      <alignment horizontal="right" vertical="center"/>
    </xf>
    <xf numFmtId="40" fontId="10" fillId="7" borderId="0" xfId="0" applyNumberFormat="1" applyFont="1" applyFill="1" applyAlignment="1">
      <alignment horizontal="right" vertical="center"/>
    </xf>
    <xf numFmtId="40" fontId="14" fillId="7" borderId="0" xfId="0" applyNumberFormat="1" applyFont="1" applyFill="1" applyAlignment="1">
      <alignment horizontal="right" vertical="center"/>
    </xf>
    <xf numFmtId="40" fontId="14" fillId="7" borderId="14" xfId="0" applyNumberFormat="1" applyFont="1" applyFill="1" applyBorder="1" applyAlignment="1">
      <alignment horizontal="right" vertical="center"/>
    </xf>
    <xf numFmtId="10" fontId="10" fillId="7" borderId="6" xfId="0" applyNumberFormat="1" applyFont="1" applyFill="1" applyBorder="1" applyAlignment="1">
      <alignment horizontal="right" vertical="center"/>
    </xf>
    <xf numFmtId="40" fontId="32" fillId="7" borderId="13" xfId="0" applyNumberFormat="1" applyFont="1" applyFill="1" applyBorder="1" applyAlignment="1">
      <alignment horizontal="right" vertical="center"/>
    </xf>
    <xf numFmtId="40" fontId="32" fillId="7" borderId="15" xfId="0" applyNumberFormat="1" applyFont="1" applyFill="1" applyBorder="1" applyAlignment="1">
      <alignment horizontal="right" vertical="center"/>
    </xf>
    <xf numFmtId="40" fontId="32" fillId="7" borderId="0" xfId="0" applyNumberFormat="1" applyFont="1" applyFill="1" applyAlignment="1">
      <alignment horizontal="right" vertical="center"/>
    </xf>
    <xf numFmtId="10" fontId="33" fillId="7" borderId="15" xfId="0" applyNumberFormat="1" applyFont="1" applyFill="1" applyBorder="1" applyAlignment="1">
      <alignment horizontal="right" vertical="center"/>
    </xf>
    <xf numFmtId="10" fontId="33" fillId="7" borderId="13" xfId="0" applyNumberFormat="1" applyFont="1" applyFill="1" applyBorder="1" applyAlignment="1">
      <alignment horizontal="right" vertical="center"/>
    </xf>
    <xf numFmtId="40" fontId="6" fillId="3" borderId="0" xfId="0" applyNumberFormat="1" applyFont="1" applyFill="1" applyAlignment="1">
      <alignment horizontal="center" vertical="center"/>
    </xf>
    <xf numFmtId="40" fontId="6" fillId="3" borderId="15" xfId="0" applyNumberFormat="1" applyFont="1" applyFill="1" applyBorder="1" applyAlignment="1">
      <alignment horizontal="center" vertical="center"/>
    </xf>
    <xf numFmtId="40" fontId="6" fillId="3" borderId="15" xfId="0" applyNumberFormat="1" applyFont="1" applyFill="1" applyBorder="1" applyAlignment="1">
      <alignment horizontal="right" vertical="center"/>
    </xf>
    <xf numFmtId="10" fontId="6" fillId="3" borderId="15" xfId="0" applyNumberFormat="1" applyFont="1" applyFill="1" applyBorder="1" applyAlignment="1">
      <alignment horizontal="center" vertical="center"/>
    </xf>
    <xf numFmtId="0" fontId="30" fillId="0" borderId="3" xfId="0" applyFont="1" applyBorder="1" applyAlignment="1">
      <alignment horizontal="left" wrapText="1"/>
    </xf>
    <xf numFmtId="40" fontId="30" fillId="0" borderId="3" xfId="0" applyNumberFormat="1" applyFont="1" applyBorder="1" applyAlignment="1">
      <alignment horizontal="left" wrapText="1"/>
    </xf>
    <xf numFmtId="14" fontId="10" fillId="7" borderId="4" xfId="0" applyNumberFormat="1" applyFont="1" applyFill="1" applyBorder="1" applyAlignment="1">
      <alignment horizontal="left" vertical="center" wrapText="1"/>
    </xf>
    <xf numFmtId="0" fontId="10" fillId="7" borderId="4" xfId="0" applyFont="1" applyFill="1" applyBorder="1" applyAlignment="1">
      <alignment horizontal="left" vertical="center" wrapText="1"/>
    </xf>
    <xf numFmtId="40" fontId="10" fillId="7" borderId="4" xfId="0" applyNumberFormat="1" applyFont="1" applyFill="1" applyBorder="1" applyAlignment="1">
      <alignment horizontal="right" vertical="center" wrapText="1"/>
    </xf>
    <xf numFmtId="10" fontId="10" fillId="7" borderId="4" xfId="0" applyNumberFormat="1" applyFont="1" applyFill="1" applyBorder="1" applyAlignment="1">
      <alignment horizontal="right" vertical="center"/>
    </xf>
    <xf numFmtId="10" fontId="10" fillId="7" borderId="4" xfId="0" applyNumberFormat="1" applyFont="1" applyFill="1" applyBorder="1" applyAlignment="1">
      <alignment horizontal="right" vertical="center" wrapText="1"/>
    </xf>
    <xf numFmtId="0" fontId="30" fillId="0" borderId="3" xfId="0" applyFont="1" applyBorder="1" applyAlignment="1">
      <alignment wrapText="1"/>
    </xf>
    <xf numFmtId="40" fontId="10" fillId="8" borderId="4" xfId="0" applyNumberFormat="1" applyFont="1" applyFill="1" applyBorder="1" applyAlignment="1">
      <alignment vertical="center"/>
    </xf>
    <xf numFmtId="10" fontId="10" fillId="8" borderId="4" xfId="0" applyNumberFormat="1" applyFont="1" applyFill="1" applyBorder="1" applyAlignment="1">
      <alignment vertical="center"/>
    </xf>
    <xf numFmtId="0" fontId="21" fillId="0" borderId="0" xfId="0" applyFont="1"/>
    <xf numFmtId="0" fontId="21" fillId="0" borderId="0" xfId="0" applyFont="1" applyAlignment="1">
      <alignment vertical="center"/>
    </xf>
    <xf numFmtId="14" fontId="10" fillId="0" borderId="30" xfId="0" applyNumberFormat="1" applyFont="1" applyBorder="1" applyAlignment="1" applyProtection="1">
      <alignment horizontal="left" vertical="center"/>
      <protection locked="0"/>
    </xf>
    <xf numFmtId="165" fontId="10" fillId="3" borderId="4" xfId="0" applyNumberFormat="1" applyFont="1" applyFill="1" applyBorder="1" applyAlignment="1" applyProtection="1">
      <alignment horizontal="left" vertical="center"/>
      <protection locked="0"/>
    </xf>
    <xf numFmtId="0" fontId="2" fillId="0" borderId="0" xfId="0" applyFont="1" applyAlignment="1">
      <alignment horizontal="center"/>
    </xf>
    <xf numFmtId="0" fontId="8" fillId="0" borderId="0" xfId="0" applyFont="1" applyAlignment="1">
      <alignment horizontal="center"/>
    </xf>
    <xf numFmtId="0" fontId="2" fillId="0" borderId="3" xfId="0" applyFont="1" applyBorder="1"/>
    <xf numFmtId="0" fontId="2" fillId="0" borderId="10" xfId="0" applyFont="1" applyBorder="1"/>
    <xf numFmtId="0" fontId="47" fillId="0" borderId="0" xfId="0" applyFont="1"/>
    <xf numFmtId="0" fontId="10" fillId="7" borderId="11" xfId="0" applyFont="1" applyFill="1" applyBorder="1" applyAlignment="1">
      <alignment vertical="center"/>
    </xf>
    <xf numFmtId="0" fontId="45" fillId="0" borderId="0" xfId="0" applyFont="1"/>
    <xf numFmtId="14" fontId="46" fillId="0" borderId="0" xfId="0" applyNumberFormat="1" applyFont="1"/>
    <xf numFmtId="0" fontId="11" fillId="0" borderId="0" xfId="0" applyFont="1" applyAlignment="1">
      <alignment vertical="center"/>
    </xf>
    <xf numFmtId="0" fontId="10" fillId="0" borderId="0" xfId="0" applyFont="1" applyAlignment="1">
      <alignment vertical="center"/>
    </xf>
    <xf numFmtId="0" fontId="10" fillId="7" borderId="4" xfId="0" applyFont="1" applyFill="1" applyBorder="1" applyAlignment="1">
      <alignment vertical="center"/>
    </xf>
    <xf numFmtId="0" fontId="4" fillId="0" borderId="0" xfId="0" applyFont="1"/>
    <xf numFmtId="0" fontId="12" fillId="0" borderId="3" xfId="0" applyFont="1" applyBorder="1" applyAlignment="1">
      <alignment horizontal="left" vertical="center"/>
    </xf>
    <xf numFmtId="0" fontId="31" fillId="0" borderId="3" xfId="0" applyFont="1" applyBorder="1"/>
    <xf numFmtId="0" fontId="6" fillId="0" borderId="0" xfId="0" applyFont="1" applyAlignment="1">
      <alignment horizontal="left" vertical="center"/>
    </xf>
    <xf numFmtId="0" fontId="11" fillId="0" borderId="3" xfId="0" applyFont="1" applyBorder="1" applyAlignment="1">
      <alignment vertical="center"/>
    </xf>
    <xf numFmtId="0" fontId="31" fillId="0" borderId="3" xfId="0" applyFont="1" applyBorder="1" applyAlignment="1">
      <alignment horizontal="left"/>
    </xf>
    <xf numFmtId="0" fontId="6" fillId="0" borderId="6" xfId="0" applyFont="1" applyBorder="1" applyAlignment="1">
      <alignment vertical="center"/>
    </xf>
    <xf numFmtId="0" fontId="28" fillId="9" borderId="0" xfId="0" applyFont="1" applyFill="1" applyAlignment="1">
      <alignment horizontal="left" vertical="center"/>
    </xf>
    <xf numFmtId="0" fontId="27" fillId="9" borderId="0" xfId="0" applyFont="1" applyFill="1" applyAlignment="1">
      <alignment vertical="center"/>
    </xf>
    <xf numFmtId="0" fontId="6" fillId="0" borderId="3" xfId="0" applyFont="1" applyBorder="1" applyAlignment="1">
      <alignment horizontal="left" vertical="center"/>
    </xf>
    <xf numFmtId="0" fontId="10" fillId="7" borderId="3" xfId="0" applyFont="1" applyFill="1" applyBorder="1" applyAlignment="1">
      <alignment vertical="center"/>
    </xf>
    <xf numFmtId="164" fontId="9" fillId="7" borderId="3" xfId="0" applyNumberFormat="1" applyFont="1" applyFill="1" applyBorder="1" applyAlignment="1">
      <alignment horizontal="center"/>
    </xf>
    <xf numFmtId="0" fontId="11" fillId="0" borderId="4" xfId="0" applyFont="1" applyBorder="1" applyAlignment="1">
      <alignment horizontal="left" vertical="center"/>
    </xf>
    <xf numFmtId="0" fontId="10" fillId="0" borderId="4" xfId="0" applyFont="1" applyBorder="1" applyAlignment="1">
      <alignment horizontal="left" vertical="center"/>
    </xf>
    <xf numFmtId="0" fontId="10" fillId="7" borderId="0" xfId="0" applyFont="1" applyFill="1" applyAlignment="1">
      <alignment vertical="center"/>
    </xf>
    <xf numFmtId="10" fontId="9" fillId="8" borderId="4" xfId="2" applyNumberFormat="1" applyFont="1" applyFill="1" applyBorder="1" applyAlignment="1">
      <alignment vertical="center"/>
    </xf>
    <xf numFmtId="10" fontId="9" fillId="8" borderId="3" xfId="2" applyNumberFormat="1" applyFont="1" applyFill="1" applyBorder="1" applyAlignment="1">
      <alignment vertical="center"/>
    </xf>
    <xf numFmtId="0" fontId="2" fillId="0" borderId="7" xfId="0" applyFont="1" applyBorder="1" applyAlignment="1">
      <alignment vertical="center"/>
    </xf>
    <xf numFmtId="0" fontId="45" fillId="0" borderId="0" xfId="0" applyFont="1" applyAlignment="1">
      <alignment vertical="center"/>
    </xf>
    <xf numFmtId="0" fontId="15" fillId="0" borderId="0" xfId="0" applyFont="1"/>
    <xf numFmtId="0" fontId="48" fillId="0" borderId="0" xfId="0" applyFont="1" applyAlignment="1">
      <alignment vertical="center"/>
    </xf>
    <xf numFmtId="0" fontId="15" fillId="0" borderId="0" xfId="0" applyFont="1" applyAlignment="1">
      <alignment vertical="center"/>
    </xf>
    <xf numFmtId="0" fontId="6" fillId="0" borderId="0" xfId="0" applyFont="1"/>
    <xf numFmtId="0" fontId="45" fillId="3" borderId="0" xfId="0" applyFont="1" applyFill="1" applyAlignment="1">
      <alignment vertical="center"/>
    </xf>
    <xf numFmtId="40" fontId="10" fillId="3" borderId="4" xfId="0" applyNumberFormat="1" applyFont="1" applyFill="1" applyBorder="1" applyAlignment="1" applyProtection="1">
      <alignment horizontal="right" vertical="center"/>
      <protection locked="0"/>
    </xf>
    <xf numFmtId="0" fontId="10" fillId="3" borderId="4" xfId="0" applyFont="1" applyFill="1" applyBorder="1" applyAlignment="1" applyProtection="1">
      <alignment horizontal="left" vertical="top" wrapText="1"/>
      <protection locked="0"/>
    </xf>
    <xf numFmtId="0" fontId="12" fillId="0" borderId="0" xfId="0" applyFont="1"/>
    <xf numFmtId="0" fontId="12" fillId="0" borderId="0" xfId="0" applyFont="1" applyAlignment="1">
      <alignment horizontal="center"/>
    </xf>
    <xf numFmtId="0" fontId="9" fillId="7" borderId="2" xfId="0" applyFont="1" applyFill="1" applyBorder="1" applyAlignment="1">
      <alignment vertical="center"/>
    </xf>
    <xf numFmtId="0" fontId="12" fillId="7" borderId="2" xfId="0" applyFont="1" applyFill="1" applyBorder="1" applyAlignment="1">
      <alignment horizontal="center" vertical="center"/>
    </xf>
    <xf numFmtId="0" fontId="11" fillId="0" borderId="0" xfId="0" applyFont="1" applyAlignment="1">
      <alignment horizontal="center" vertical="center"/>
    </xf>
    <xf numFmtId="0" fontId="17" fillId="0" borderId="0" xfId="0" applyFont="1" applyAlignment="1">
      <alignment horizontal="left" vertical="center"/>
    </xf>
    <xf numFmtId="0" fontId="12" fillId="0" borderId="0" xfId="0" applyFont="1" applyAlignment="1">
      <alignment vertical="center"/>
    </xf>
    <xf numFmtId="0" fontId="26" fillId="9" borderId="0" xfId="0" applyFont="1" applyFill="1" applyAlignment="1">
      <alignment vertical="center"/>
    </xf>
    <xf numFmtId="0" fontId="34" fillId="0" borderId="3" xfId="0" applyFont="1" applyBorder="1" applyAlignment="1">
      <alignment horizontal="left" wrapText="1"/>
    </xf>
    <xf numFmtId="166" fontId="34" fillId="0" borderId="3" xfId="0" applyNumberFormat="1" applyFont="1" applyBorder="1" applyAlignment="1">
      <alignment horizontal="left" wrapText="1"/>
    </xf>
    <xf numFmtId="0" fontId="16" fillId="0" borderId="0" xfId="0" applyFont="1"/>
    <xf numFmtId="0" fontId="14" fillId="0" borderId="0" xfId="0" applyFont="1"/>
    <xf numFmtId="49" fontId="10" fillId="7" borderId="4" xfId="0" applyNumberFormat="1" applyFont="1" applyFill="1" applyBorder="1" applyAlignment="1">
      <alignment horizontal="left" vertical="center"/>
    </xf>
    <xf numFmtId="0" fontId="24" fillId="0" borderId="0" xfId="0" applyFont="1"/>
    <xf numFmtId="0" fontId="10" fillId="3" borderId="0" xfId="0" applyFont="1" applyFill="1" applyAlignment="1">
      <alignment horizontal="center" vertical="center" wrapText="1"/>
    </xf>
    <xf numFmtId="0" fontId="25" fillId="9" borderId="0" xfId="0" applyFont="1" applyFill="1" applyAlignment="1">
      <alignment vertical="center"/>
    </xf>
    <xf numFmtId="0" fontId="12" fillId="0" borderId="0" xfId="0" applyFont="1" applyAlignment="1">
      <alignment horizontal="center" vertical="center"/>
    </xf>
    <xf numFmtId="0" fontId="12" fillId="0" borderId="16" xfId="0" applyFont="1" applyBorder="1" applyAlignment="1">
      <alignment vertical="center"/>
    </xf>
    <xf numFmtId="0" fontId="12" fillId="7" borderId="2" xfId="0" applyFont="1" applyFill="1" applyBorder="1" applyAlignment="1">
      <alignment vertical="center"/>
    </xf>
    <xf numFmtId="40" fontId="12" fillId="7" borderId="19" xfId="0" applyNumberFormat="1" applyFont="1" applyFill="1" applyBorder="1" applyAlignment="1">
      <alignment horizontal="left" vertical="center"/>
    </xf>
    <xf numFmtId="164" fontId="12" fillId="10" borderId="18" xfId="0" applyNumberFormat="1" applyFont="1" applyFill="1" applyBorder="1"/>
    <xf numFmtId="164" fontId="12" fillId="10" borderId="17" xfId="0" applyNumberFormat="1" applyFont="1" applyFill="1" applyBorder="1"/>
    <xf numFmtId="0" fontId="13" fillId="0" borderId="0" xfId="0" applyFont="1" applyAlignment="1">
      <alignment vertical="center"/>
    </xf>
    <xf numFmtId="0" fontId="37" fillId="3" borderId="23" xfId="0" applyFont="1" applyFill="1" applyBorder="1" applyAlignment="1">
      <alignment horizontal="left" vertical="center"/>
    </xf>
    <xf numFmtId="0" fontId="35" fillId="8" borderId="9" xfId="0" applyFont="1" applyFill="1" applyBorder="1" applyAlignment="1">
      <alignment horizontal="left" vertical="center"/>
    </xf>
    <xf numFmtId="0" fontId="36" fillId="8" borderId="9" xfId="0" applyFont="1" applyFill="1" applyBorder="1" applyAlignment="1">
      <alignment horizontal="left" vertical="center"/>
    </xf>
    <xf numFmtId="0" fontId="12" fillId="8" borderId="9" xfId="0" applyFont="1" applyFill="1" applyBorder="1" applyAlignment="1">
      <alignment horizontal="left" vertical="center"/>
    </xf>
    <xf numFmtId="167" fontId="12" fillId="8" borderId="9" xfId="1" applyNumberFormat="1" applyFont="1" applyFill="1" applyBorder="1" applyAlignment="1">
      <alignment horizontal="left" vertical="center"/>
    </xf>
    <xf numFmtId="0" fontId="10" fillId="7" borderId="4" xfId="0" applyFont="1" applyFill="1" applyBorder="1" applyAlignment="1">
      <alignment horizontal="left" vertical="center"/>
    </xf>
    <xf numFmtId="0" fontId="35" fillId="8" borderId="2" xfId="0" applyFont="1" applyFill="1" applyBorder="1" applyAlignment="1">
      <alignment horizontal="left" vertical="center"/>
    </xf>
    <xf numFmtId="0" fontId="36" fillId="8" borderId="2" xfId="0" applyFont="1" applyFill="1" applyBorder="1" applyAlignment="1">
      <alignment horizontal="left" vertical="center"/>
    </xf>
    <xf numFmtId="0" fontId="12" fillId="8" borderId="2" xfId="0" applyFont="1" applyFill="1" applyBorder="1" applyAlignment="1">
      <alignment horizontal="left" vertical="center"/>
    </xf>
    <xf numFmtId="167" fontId="12" fillId="0" borderId="0" xfId="1" applyNumberFormat="1" applyFont="1" applyAlignment="1">
      <alignment horizontal="center" vertical="center"/>
    </xf>
    <xf numFmtId="167" fontId="12" fillId="0" borderId="0" xfId="1" applyNumberFormat="1" applyFont="1" applyAlignment="1">
      <alignment horizontal="center"/>
    </xf>
    <xf numFmtId="40" fontId="34" fillId="0" borderId="3" xfId="0" applyNumberFormat="1" applyFont="1" applyBorder="1" applyAlignment="1">
      <alignment horizontal="right" wrapText="1"/>
    </xf>
    <xf numFmtId="40" fontId="34" fillId="0" borderId="16" xfId="0" applyNumberFormat="1" applyFont="1" applyBorder="1" applyAlignment="1">
      <alignment horizontal="right" wrapText="1"/>
    </xf>
    <xf numFmtId="0" fontId="27" fillId="9" borderId="2" xfId="0" applyFont="1" applyFill="1" applyBorder="1" applyAlignment="1">
      <alignment horizontal="left" vertical="center"/>
    </xf>
    <xf numFmtId="40" fontId="12" fillId="7" borderId="2" xfId="0" applyNumberFormat="1" applyFont="1" applyFill="1" applyBorder="1" applyAlignment="1">
      <alignment vertical="center"/>
    </xf>
    <xf numFmtId="40" fontId="12" fillId="7" borderId="2" xfId="0" applyNumberFormat="1" applyFont="1" applyFill="1" applyBorder="1" applyAlignment="1">
      <alignment horizontal="right" vertical="center"/>
    </xf>
    <xf numFmtId="164" fontId="12" fillId="10" borderId="18" xfId="0" applyNumberFormat="1" applyFont="1" applyFill="1" applyBorder="1" applyAlignment="1">
      <alignment horizontal="right" vertical="center"/>
    </xf>
    <xf numFmtId="0" fontId="12" fillId="6" borderId="2" xfId="0" applyFont="1" applyFill="1" applyBorder="1" applyAlignment="1">
      <alignment horizontal="left" vertical="center"/>
    </xf>
    <xf numFmtId="0" fontId="27" fillId="9" borderId="1" xfId="0" applyFont="1" applyFill="1" applyBorder="1" applyAlignment="1">
      <alignment horizontal="left" vertical="center"/>
    </xf>
    <xf numFmtId="40" fontId="12" fillId="7" borderId="1" xfId="0" applyNumberFormat="1" applyFont="1" applyFill="1" applyBorder="1" applyAlignment="1">
      <alignment vertical="center"/>
    </xf>
    <xf numFmtId="40" fontId="12" fillId="7" borderId="1" xfId="0" applyNumberFormat="1" applyFont="1" applyFill="1" applyBorder="1" applyAlignment="1">
      <alignment horizontal="right" vertical="center"/>
    </xf>
    <xf numFmtId="0" fontId="12" fillId="6" borderId="1" xfId="0" applyFont="1" applyFill="1" applyBorder="1" applyAlignment="1">
      <alignment horizontal="left" vertical="center"/>
    </xf>
    <xf numFmtId="0" fontId="12" fillId="0" borderId="20" xfId="0" applyFont="1" applyBorder="1" applyAlignment="1">
      <alignment vertical="center"/>
    </xf>
    <xf numFmtId="164" fontId="12" fillId="10" borderId="22" xfId="0" applyNumberFormat="1" applyFont="1" applyFill="1" applyBorder="1"/>
    <xf numFmtId="0" fontId="35" fillId="8" borderId="9" xfId="0" applyFont="1" applyFill="1" applyBorder="1" applyAlignment="1">
      <alignment horizontal="left"/>
    </xf>
    <xf numFmtId="0" fontId="12" fillId="8" borderId="9" xfId="0" applyFont="1" applyFill="1" applyBorder="1" applyAlignment="1">
      <alignment horizontal="left"/>
    </xf>
    <xf numFmtId="167" fontId="12" fillId="8" borderId="9" xfId="1" applyNumberFormat="1" applyFont="1" applyFill="1" applyBorder="1" applyAlignment="1">
      <alignment horizontal="left"/>
    </xf>
    <xf numFmtId="0" fontId="2" fillId="2" borderId="0" xfId="0" applyFont="1" applyFill="1"/>
    <xf numFmtId="0" fontId="6" fillId="0" borderId="0" xfId="0" applyFont="1" applyAlignment="1">
      <alignment horizontal="center" vertical="center"/>
    </xf>
    <xf numFmtId="0" fontId="2" fillId="0" borderId="0" xfId="0" applyFont="1" applyAlignment="1">
      <alignment horizontal="center" vertical="center"/>
    </xf>
    <xf numFmtId="0" fontId="37" fillId="3" borderId="23" xfId="0" applyFont="1" applyFill="1" applyBorder="1" applyAlignment="1">
      <alignment horizontal="center" vertical="center"/>
    </xf>
    <xf numFmtId="0" fontId="34" fillId="0" borderId="3" xfId="0" applyFont="1" applyBorder="1" applyAlignment="1">
      <alignment horizontal="right" wrapText="1"/>
    </xf>
    <xf numFmtId="166" fontId="34" fillId="0" borderId="3" xfId="0" applyNumberFormat="1" applyFont="1" applyBorder="1" applyAlignment="1">
      <alignment horizontal="right" wrapText="1"/>
    </xf>
    <xf numFmtId="166" fontId="34" fillId="0" borderId="26" xfId="0" applyNumberFormat="1" applyFont="1" applyBorder="1" applyAlignment="1">
      <alignment horizontal="right" wrapText="1"/>
    </xf>
    <xf numFmtId="166" fontId="34" fillId="0" borderId="27" xfId="0" applyNumberFormat="1" applyFont="1" applyBorder="1" applyAlignment="1">
      <alignment horizontal="right" wrapText="1"/>
    </xf>
    <xf numFmtId="4" fontId="42" fillId="8" borderId="4" xfId="1" applyNumberFormat="1" applyFont="1" applyFill="1" applyBorder="1" applyAlignment="1">
      <alignment horizontal="right" vertical="center"/>
    </xf>
    <xf numFmtId="4" fontId="42" fillId="8" borderId="4" xfId="0" applyNumberFormat="1" applyFont="1" applyFill="1" applyBorder="1" applyAlignment="1">
      <alignment horizontal="right" vertical="center"/>
    </xf>
    <xf numFmtId="4" fontId="10" fillId="13" borderId="4" xfId="1" applyNumberFormat="1" applyFont="1" applyFill="1" applyBorder="1" applyAlignment="1">
      <alignment horizontal="right" vertical="center"/>
    </xf>
    <xf numFmtId="4" fontId="10" fillId="13" borderId="4" xfId="0" applyNumberFormat="1" applyFont="1" applyFill="1" applyBorder="1" applyAlignment="1">
      <alignment horizontal="right" vertical="center"/>
    </xf>
    <xf numFmtId="4" fontId="10" fillId="12" borderId="4" xfId="1" applyNumberFormat="1" applyFont="1" applyFill="1" applyBorder="1" applyAlignment="1">
      <alignment horizontal="right" vertical="center"/>
    </xf>
    <xf numFmtId="4" fontId="10" fillId="14" borderId="4" xfId="1" applyNumberFormat="1" applyFont="1" applyFill="1" applyBorder="1" applyAlignment="1">
      <alignment horizontal="right" vertical="center"/>
    </xf>
    <xf numFmtId="10" fontId="10" fillId="12" borderId="4" xfId="2" applyNumberFormat="1" applyFont="1" applyFill="1" applyBorder="1" applyAlignment="1">
      <alignment horizontal="center" vertical="center"/>
    </xf>
    <xf numFmtId="0" fontId="34" fillId="0" borderId="3" xfId="0" applyFont="1" applyBorder="1" applyAlignment="1">
      <alignment wrapText="1"/>
    </xf>
    <xf numFmtId="166" fontId="34" fillId="0" borderId="3" xfId="0" applyNumberFormat="1" applyFont="1" applyBorder="1" applyAlignment="1">
      <alignment wrapText="1"/>
    </xf>
    <xf numFmtId="168" fontId="10" fillId="12" borderId="4" xfId="1" applyNumberFormat="1" applyFont="1" applyFill="1" applyBorder="1" applyAlignment="1">
      <alignment horizontal="right" vertical="center"/>
    </xf>
    <xf numFmtId="4" fontId="14" fillId="13" borderId="4" xfId="0" applyNumberFormat="1" applyFont="1" applyFill="1" applyBorder="1" applyAlignment="1">
      <alignment horizontal="right" vertical="center"/>
    </xf>
    <xf numFmtId="4" fontId="14" fillId="12" borderId="4" xfId="1" applyNumberFormat="1" applyFont="1" applyFill="1" applyBorder="1" applyAlignment="1">
      <alignment horizontal="right" vertical="center"/>
    </xf>
    <xf numFmtId="169" fontId="10" fillId="12" borderId="4" xfId="1" applyNumberFormat="1" applyFont="1" applyFill="1" applyBorder="1" applyAlignment="1">
      <alignment horizontal="right" vertical="center"/>
    </xf>
    <xf numFmtId="4" fontId="10" fillId="8" borderId="4" xfId="0" applyNumberFormat="1" applyFont="1" applyFill="1" applyBorder="1" applyAlignment="1">
      <alignment horizontal="right" vertical="center"/>
    </xf>
    <xf numFmtId="0" fontId="22" fillId="0" borderId="0" xfId="0" applyFont="1"/>
    <xf numFmtId="0" fontId="47" fillId="0" borderId="0" xfId="0" applyFont="1" applyAlignment="1">
      <alignment vertical="center"/>
    </xf>
    <xf numFmtId="0" fontId="30" fillId="0" borderId="2" xfId="0" applyFont="1" applyBorder="1" applyAlignment="1">
      <alignment vertical="center"/>
    </xf>
    <xf numFmtId="10" fontId="38" fillId="0" borderId="0" xfId="2" applyNumberFormat="1" applyFont="1" applyAlignment="1">
      <alignment vertical="center"/>
    </xf>
    <xf numFmtId="10" fontId="38" fillId="0" borderId="0" xfId="0" applyNumberFormat="1" applyFont="1" applyAlignment="1">
      <alignment vertical="center"/>
    </xf>
    <xf numFmtId="0" fontId="38" fillId="0" borderId="0" xfId="0" applyFont="1" applyAlignment="1">
      <alignment vertical="center"/>
    </xf>
    <xf numFmtId="164" fontId="44" fillId="11" borderId="0" xfId="0" applyNumberFormat="1" applyFont="1" applyFill="1" applyAlignment="1">
      <alignment vertical="center"/>
    </xf>
    <xf numFmtId="0" fontId="20" fillId="0" borderId="0" xfId="0" applyFont="1"/>
    <xf numFmtId="40" fontId="20" fillId="0" borderId="0" xfId="0" applyNumberFormat="1" applyFont="1"/>
    <xf numFmtId="170" fontId="19" fillId="0" borderId="0" xfId="0" applyNumberFormat="1" applyFont="1"/>
    <xf numFmtId="0" fontId="19" fillId="0" borderId="0" xfId="0" applyFont="1"/>
    <xf numFmtId="0" fontId="12" fillId="3" borderId="0" xfId="0" applyFont="1" applyFill="1" applyAlignment="1">
      <alignment horizontal="left" vertical="top" wrapText="1"/>
    </xf>
    <xf numFmtId="0" fontId="40" fillId="0" borderId="0" xfId="0" applyFont="1" applyAlignment="1">
      <alignment horizontal="left" vertical="center" wrapText="1"/>
    </xf>
    <xf numFmtId="0" fontId="29" fillId="0" borderId="0" xfId="0" applyFont="1" applyAlignment="1">
      <alignment horizontal="left" vertical="center" wrapText="1"/>
    </xf>
    <xf numFmtId="0" fontId="12" fillId="0" borderId="0" xfId="0" applyFont="1" applyAlignment="1">
      <alignment horizontal="left" vertical="center" wrapText="1"/>
    </xf>
    <xf numFmtId="0" fontId="10" fillId="0" borderId="6" xfId="0" applyFont="1" applyBorder="1" applyAlignment="1" applyProtection="1">
      <alignment vertical="center"/>
      <protection locked="0"/>
    </xf>
    <xf numFmtId="4" fontId="10" fillId="15" borderId="4" xfId="0" applyNumberFormat="1" applyFont="1" applyFill="1" applyBorder="1" applyAlignment="1" applyProtection="1">
      <alignment horizontal="right" vertical="center"/>
      <protection locked="0"/>
    </xf>
    <xf numFmtId="167" fontId="49" fillId="8" borderId="9" xfId="1" applyNumberFormat="1" applyFont="1" applyFill="1" applyBorder="1" applyAlignment="1">
      <alignment horizontal="center" vertical="center"/>
    </xf>
    <xf numFmtId="0" fontId="3" fillId="0" borderId="0" xfId="0" applyFont="1"/>
    <xf numFmtId="40" fontId="10" fillId="3" borderId="0" xfId="0" applyNumberFormat="1" applyFont="1" applyFill="1" applyAlignment="1">
      <alignment horizontal="left" vertical="center"/>
    </xf>
    <xf numFmtId="14" fontId="10" fillId="0" borderId="4" xfId="0" applyNumberFormat="1" applyFont="1" applyBorder="1" applyAlignment="1" applyProtection="1">
      <alignment horizontal="left" vertical="center" wrapText="1"/>
      <protection locked="0"/>
    </xf>
    <xf numFmtId="0" fontId="45" fillId="0" borderId="3" xfId="0" applyFont="1" applyBorder="1"/>
    <xf numFmtId="14" fontId="10" fillId="7" borderId="3" xfId="0" applyNumberFormat="1" applyFont="1" applyFill="1" applyBorder="1" applyAlignment="1">
      <alignment horizontal="left" vertical="center"/>
    </xf>
    <xf numFmtId="0" fontId="11" fillId="0" borderId="3" xfId="0" applyFont="1" applyBorder="1" applyAlignment="1">
      <alignment horizontal="left" vertical="center"/>
    </xf>
    <xf numFmtId="0" fontId="10" fillId="0" borderId="3" xfId="0" applyFont="1" applyBorder="1" applyAlignment="1">
      <alignment horizontal="left" vertical="center"/>
    </xf>
    <xf numFmtId="0" fontId="2" fillId="0" borderId="3" xfId="0" applyFont="1" applyBorder="1" applyAlignment="1">
      <alignment vertical="center"/>
    </xf>
    <xf numFmtId="0" fontId="4" fillId="0" borderId="4" xfId="0" applyFont="1" applyBorder="1" applyAlignment="1" applyProtection="1">
      <alignment horizontal="left"/>
      <protection locked="0"/>
    </xf>
    <xf numFmtId="40" fontId="10" fillId="0" borderId="4" xfId="0" applyNumberFormat="1" applyFont="1" applyBorder="1" applyAlignment="1" applyProtection="1">
      <alignment horizontal="right" vertical="center"/>
      <protection locked="0"/>
    </xf>
    <xf numFmtId="166" fontId="34" fillId="0" borderId="3" xfId="0" applyNumberFormat="1" applyFont="1" applyBorder="1" applyAlignment="1" applyProtection="1">
      <alignment horizontal="right" wrapText="1"/>
      <protection locked="0"/>
    </xf>
    <xf numFmtId="43" fontId="42" fillId="0" borderId="4" xfId="1" applyFont="1" applyBorder="1" applyAlignment="1" applyProtection="1">
      <alignment horizontal="right" vertical="center"/>
      <protection locked="0"/>
    </xf>
    <xf numFmtId="0" fontId="4" fillId="0" borderId="2" xfId="0" applyFont="1" applyBorder="1" applyAlignment="1" applyProtection="1">
      <alignment horizontal="left" vertical="center"/>
      <protection locked="0"/>
    </xf>
    <xf numFmtId="165" fontId="10" fillId="3" borderId="3" xfId="0" applyNumberFormat="1" applyFont="1" applyFill="1" applyBorder="1" applyAlignment="1" applyProtection="1">
      <alignment horizontal="left" vertical="center"/>
      <protection locked="0"/>
    </xf>
    <xf numFmtId="0" fontId="10" fillId="3" borderId="3" xfId="0" applyFont="1" applyFill="1" applyBorder="1" applyAlignment="1" applyProtection="1">
      <alignment horizontal="left" vertical="center" wrapText="1"/>
      <protection locked="0"/>
    </xf>
    <xf numFmtId="40" fontId="10" fillId="3" borderId="3" xfId="0" applyNumberFormat="1" applyFont="1" applyFill="1" applyBorder="1" applyAlignment="1" applyProtection="1">
      <alignment horizontal="left" vertical="center"/>
      <protection locked="0"/>
    </xf>
    <xf numFmtId="9" fontId="10" fillId="3" borderId="3" xfId="2" applyFont="1" applyFill="1" applyBorder="1" applyAlignment="1" applyProtection="1">
      <alignment horizontal="left" vertical="center"/>
      <protection locked="0"/>
    </xf>
    <xf numFmtId="0" fontId="14" fillId="3" borderId="3" xfId="1" applyNumberFormat="1" applyFont="1" applyFill="1" applyBorder="1" applyAlignment="1" applyProtection="1">
      <alignment horizontal="left" vertical="center"/>
      <protection locked="0"/>
    </xf>
    <xf numFmtId="0" fontId="4" fillId="0" borderId="4" xfId="0" applyFont="1" applyBorder="1" applyAlignment="1" applyProtection="1">
      <alignment horizontal="left" vertical="center"/>
      <protection locked="0"/>
    </xf>
    <xf numFmtId="0" fontId="4" fillId="0" borderId="3" xfId="0" applyFont="1" applyBorder="1" applyAlignment="1" applyProtection="1">
      <alignment horizontal="left" vertical="center"/>
      <protection locked="0"/>
    </xf>
    <xf numFmtId="10" fontId="10" fillId="7" borderId="3" xfId="0" applyNumberFormat="1" applyFont="1" applyFill="1" applyBorder="1" applyAlignment="1">
      <alignment horizontal="right" vertical="center"/>
    </xf>
    <xf numFmtId="40" fontId="9" fillId="7" borderId="31" xfId="0" applyNumberFormat="1" applyFont="1" applyFill="1" applyBorder="1" applyAlignment="1">
      <alignment horizontal="right" vertical="center"/>
    </xf>
    <xf numFmtId="10" fontId="10" fillId="7" borderId="31" xfId="0" applyNumberFormat="1" applyFont="1" applyFill="1" applyBorder="1" applyAlignment="1">
      <alignment horizontal="right" vertical="center"/>
    </xf>
    <xf numFmtId="0" fontId="30" fillId="0" borderId="31" xfId="0" applyFont="1" applyBorder="1" applyAlignment="1">
      <alignment horizontal="right" vertical="center"/>
    </xf>
    <xf numFmtId="40" fontId="30" fillId="0" borderId="31" xfId="0" applyNumberFormat="1" applyFont="1" applyBorder="1" applyAlignment="1">
      <alignment horizontal="center" wrapText="1"/>
    </xf>
    <xf numFmtId="40" fontId="30" fillId="0" borderId="31" xfId="0" applyNumberFormat="1" applyFont="1" applyBorder="1" applyAlignment="1">
      <alignment horizontal="right" wrapText="1"/>
    </xf>
    <xf numFmtId="0" fontId="30" fillId="0" borderId="31" xfId="0" applyFont="1" applyBorder="1" applyAlignment="1">
      <alignment horizontal="right" wrapText="1"/>
    </xf>
    <xf numFmtId="0" fontId="30" fillId="0" borderId="31" xfId="0" applyFont="1" applyBorder="1" applyAlignment="1">
      <alignment horizontal="center" wrapText="1"/>
    </xf>
    <xf numFmtId="40" fontId="9" fillId="7" borderId="33" xfId="0" applyNumberFormat="1" applyFont="1" applyFill="1" applyBorder="1" applyAlignment="1">
      <alignment horizontal="right" vertical="center"/>
    </xf>
    <xf numFmtId="10" fontId="10" fillId="7" borderId="33" xfId="0" applyNumberFormat="1" applyFont="1" applyFill="1" applyBorder="1" applyAlignment="1">
      <alignment horizontal="right" vertical="center"/>
    </xf>
    <xf numFmtId="10" fontId="38" fillId="0" borderId="34" xfId="2" applyNumberFormat="1" applyFont="1" applyBorder="1" applyAlignment="1">
      <alignment vertical="center"/>
    </xf>
    <xf numFmtId="10" fontId="38" fillId="0" borderId="34" xfId="0" applyNumberFormat="1" applyFont="1" applyBorder="1" applyAlignment="1">
      <alignment horizontal="right" vertical="center"/>
    </xf>
    <xf numFmtId="0" fontId="23" fillId="0" borderId="31" xfId="0" applyFont="1" applyBorder="1" applyAlignment="1">
      <alignment horizontal="right" vertical="center"/>
    </xf>
    <xf numFmtId="10" fontId="23" fillId="0" borderId="31" xfId="2" applyNumberFormat="1" applyFont="1" applyBorder="1" applyAlignment="1">
      <alignment vertical="center"/>
    </xf>
    <xf numFmtId="10" fontId="23" fillId="0" borderId="31" xfId="0" applyNumberFormat="1" applyFont="1" applyBorder="1" applyAlignment="1">
      <alignment horizontal="right" vertical="center"/>
    </xf>
    <xf numFmtId="0" fontId="9" fillId="7" borderId="31" xfId="0" applyFont="1" applyFill="1" applyBorder="1" applyAlignment="1">
      <alignment vertical="center"/>
    </xf>
    <xf numFmtId="0" fontId="12" fillId="7" borderId="31" xfId="0" applyFont="1" applyFill="1" applyBorder="1" applyAlignment="1">
      <alignment vertical="center"/>
    </xf>
    <xf numFmtId="0" fontId="12" fillId="7" borderId="31" xfId="0" applyFont="1" applyFill="1" applyBorder="1" applyAlignment="1">
      <alignment horizontal="center" vertical="center"/>
    </xf>
    <xf numFmtId="40" fontId="10" fillId="8" borderId="3" xfId="0" applyNumberFormat="1" applyFont="1" applyFill="1" applyBorder="1" applyAlignment="1">
      <alignment horizontal="left" vertical="center"/>
    </xf>
    <xf numFmtId="0" fontId="10" fillId="8" borderId="3" xfId="1" applyNumberFormat="1" applyFont="1" applyFill="1" applyBorder="1" applyAlignment="1">
      <alignment horizontal="left" vertical="center"/>
    </xf>
    <xf numFmtId="165" fontId="10" fillId="3" borderId="2" xfId="0" applyNumberFormat="1" applyFont="1" applyFill="1" applyBorder="1" applyAlignment="1" applyProtection="1">
      <alignment horizontal="left" vertical="center"/>
      <protection locked="0"/>
    </xf>
    <xf numFmtId="0" fontId="10" fillId="3" borderId="2" xfId="0" applyFont="1" applyFill="1" applyBorder="1" applyAlignment="1" applyProtection="1">
      <alignment horizontal="left" vertical="center" wrapText="1"/>
      <protection locked="0"/>
    </xf>
    <xf numFmtId="40" fontId="10" fillId="3" borderId="2" xfId="0" applyNumberFormat="1" applyFont="1" applyFill="1" applyBorder="1" applyAlignment="1" applyProtection="1">
      <alignment horizontal="left" vertical="center"/>
      <protection locked="0"/>
    </xf>
    <xf numFmtId="9" fontId="10" fillId="3" borderId="2" xfId="2" applyFont="1" applyFill="1" applyBorder="1" applyAlignment="1" applyProtection="1">
      <alignment horizontal="left" vertical="center"/>
      <protection locked="0"/>
    </xf>
    <xf numFmtId="0" fontId="14" fillId="3" borderId="2" xfId="1" applyNumberFormat="1" applyFont="1" applyFill="1" applyBorder="1" applyAlignment="1" applyProtection="1">
      <alignment horizontal="left" vertical="center"/>
      <protection locked="0"/>
    </xf>
    <xf numFmtId="165" fontId="12" fillId="0" borderId="0" xfId="0" applyNumberFormat="1" applyFont="1" applyAlignment="1" applyProtection="1">
      <alignment horizontal="left" vertical="center"/>
      <protection locked="0"/>
    </xf>
    <xf numFmtId="169" fontId="10" fillId="15" borderId="4" xfId="0" applyNumberFormat="1" applyFont="1" applyFill="1" applyBorder="1" applyAlignment="1" applyProtection="1">
      <alignment horizontal="left" vertical="center"/>
      <protection locked="0"/>
    </xf>
    <xf numFmtId="0" fontId="10" fillId="3" borderId="4" xfId="0" applyFont="1" applyFill="1" applyBorder="1" applyAlignment="1" applyProtection="1">
      <alignment vertical="center"/>
      <protection locked="0"/>
    </xf>
    <xf numFmtId="0" fontId="10" fillId="3" borderId="3" xfId="0" applyFont="1" applyFill="1" applyBorder="1" applyAlignment="1" applyProtection="1">
      <alignment vertical="center"/>
      <protection locked="0"/>
    </xf>
    <xf numFmtId="49" fontId="10" fillId="3" borderId="4" xfId="0" applyNumberFormat="1" applyFont="1" applyFill="1" applyBorder="1" applyAlignment="1" applyProtection="1">
      <alignment horizontal="left" vertical="center"/>
      <protection locked="0"/>
    </xf>
    <xf numFmtId="40" fontId="34" fillId="0" borderId="3" xfId="0" applyNumberFormat="1" applyFont="1" applyBorder="1" applyAlignment="1">
      <alignment horizontal="left" wrapText="1"/>
    </xf>
    <xf numFmtId="0" fontId="9" fillId="7" borderId="4" xfId="0" applyFont="1" applyFill="1" applyBorder="1" applyAlignment="1">
      <alignment horizontal="left" vertical="center"/>
    </xf>
    <xf numFmtId="0" fontId="38" fillId="0" borderId="34" xfId="0" applyFont="1" applyBorder="1" applyAlignment="1">
      <alignment horizontal="right" vertical="center"/>
    </xf>
    <xf numFmtId="0" fontId="2" fillId="10" borderId="16" xfId="0" applyFont="1" applyFill="1" applyBorder="1"/>
    <xf numFmtId="0" fontId="2" fillId="10" borderId="21" xfId="0" applyFont="1" applyFill="1" applyBorder="1"/>
    <xf numFmtId="0" fontId="10" fillId="7" borderId="3" xfId="0" applyFont="1" applyFill="1" applyBorder="1" applyAlignment="1">
      <alignment vertical="center" wrapText="1"/>
    </xf>
    <xf numFmtId="0" fontId="43" fillId="11" borderId="0" xfId="0" applyFont="1" applyFill="1" applyAlignment="1">
      <alignment vertical="center"/>
    </xf>
    <xf numFmtId="10" fontId="10" fillId="3" borderId="4" xfId="2" applyNumberFormat="1" applyFont="1" applyFill="1" applyBorder="1" applyAlignment="1" applyProtection="1">
      <alignment vertical="center"/>
      <protection locked="0"/>
    </xf>
    <xf numFmtId="43" fontId="10" fillId="3" borderId="4" xfId="1" applyFont="1" applyFill="1" applyBorder="1" applyAlignment="1" applyProtection="1">
      <alignment vertical="center"/>
      <protection locked="0"/>
    </xf>
    <xf numFmtId="2" fontId="10" fillId="3" borderId="3" xfId="0" applyNumberFormat="1" applyFont="1" applyFill="1" applyBorder="1" applyAlignment="1" applyProtection="1">
      <alignment horizontal="center" vertical="center"/>
      <protection locked="0"/>
    </xf>
    <xf numFmtId="2" fontId="10" fillId="3" borderId="4" xfId="0" applyNumberFormat="1" applyFont="1" applyFill="1" applyBorder="1" applyAlignment="1" applyProtection="1">
      <alignment horizontal="center" vertical="center"/>
      <protection locked="0"/>
    </xf>
    <xf numFmtId="166" fontId="34" fillId="0" borderId="3" xfId="0" applyNumberFormat="1" applyFont="1" applyBorder="1" applyAlignment="1">
      <alignment horizontal="center" wrapText="1"/>
    </xf>
    <xf numFmtId="1" fontId="10" fillId="3" borderId="4" xfId="0" applyNumberFormat="1" applyFont="1" applyFill="1" applyBorder="1" applyAlignment="1" applyProtection="1">
      <alignment horizontal="center" vertical="center"/>
      <protection locked="0"/>
    </xf>
    <xf numFmtId="0" fontId="30" fillId="0" borderId="3" xfId="0" applyFont="1" applyBorder="1" applyAlignment="1" applyProtection="1">
      <alignment horizontal="left" wrapText="1"/>
      <protection locked="0"/>
    </xf>
    <xf numFmtId="40" fontId="30" fillId="0" borderId="3" xfId="0" applyNumberFormat="1" applyFont="1" applyBorder="1" applyAlignment="1" applyProtection="1">
      <alignment horizontal="left" wrapText="1"/>
      <protection locked="0"/>
    </xf>
    <xf numFmtId="40" fontId="30" fillId="0" borderId="3" xfId="0" applyNumberFormat="1" applyFont="1" applyBorder="1" applyAlignment="1" applyProtection="1">
      <alignment horizontal="right" wrapText="1"/>
      <protection locked="0"/>
    </xf>
    <xf numFmtId="0" fontId="30" fillId="0" borderId="3" xfId="0" applyFont="1" applyBorder="1" applyAlignment="1" applyProtection="1">
      <alignment horizontal="right" wrapText="1"/>
      <protection locked="0"/>
    </xf>
    <xf numFmtId="0" fontId="2" fillId="0" borderId="0" xfId="0" applyFont="1" applyProtection="1">
      <protection locked="0"/>
    </xf>
    <xf numFmtId="0" fontId="9" fillId="7" borderId="31" xfId="0" applyFont="1" applyFill="1" applyBorder="1" applyAlignment="1" applyProtection="1">
      <alignment vertical="center"/>
      <protection locked="0"/>
    </xf>
    <xf numFmtId="0" fontId="12" fillId="7" borderId="31" xfId="0" applyFont="1" applyFill="1" applyBorder="1" applyAlignment="1" applyProtection="1">
      <alignment vertical="center"/>
      <protection locked="0"/>
    </xf>
    <xf numFmtId="0" fontId="12" fillId="7" borderId="31" xfId="0" applyFont="1" applyFill="1" applyBorder="1" applyAlignment="1" applyProtection="1">
      <alignment horizontal="center" vertical="center"/>
      <protection locked="0"/>
    </xf>
    <xf numFmtId="0" fontId="6" fillId="0" borderId="0" xfId="0" applyFont="1" applyAlignment="1" applyProtection="1">
      <alignment vertical="center"/>
      <protection locked="0"/>
    </xf>
    <xf numFmtId="0" fontId="5" fillId="0" borderId="0" xfId="0" applyFont="1" applyAlignment="1" applyProtection="1">
      <alignment horizontal="left" vertical="center"/>
      <protection locked="0"/>
    </xf>
    <xf numFmtId="0" fontId="2" fillId="0" borderId="25" xfId="0" applyFont="1" applyBorder="1" applyAlignment="1" applyProtection="1">
      <alignment vertical="center"/>
      <protection locked="0"/>
    </xf>
    <xf numFmtId="0" fontId="2" fillId="0" borderId="0" xfId="0" applyFont="1" applyAlignment="1" applyProtection="1">
      <alignment vertical="center"/>
      <protection locked="0"/>
    </xf>
    <xf numFmtId="0" fontId="32" fillId="8" borderId="24" xfId="0" applyFont="1" applyFill="1" applyBorder="1" applyAlignment="1" applyProtection="1">
      <alignment vertical="center"/>
      <protection locked="0"/>
    </xf>
    <xf numFmtId="40" fontId="39" fillId="8" borderId="24" xfId="0" applyNumberFormat="1" applyFont="1" applyFill="1" applyBorder="1" applyAlignment="1" applyProtection="1">
      <alignment horizontal="center" vertical="center"/>
      <protection locked="0"/>
    </xf>
    <xf numFmtId="164" fontId="44" fillId="11" borderId="0" xfId="0" applyNumberFormat="1" applyFont="1" applyFill="1" applyAlignment="1" applyProtection="1">
      <alignment vertical="center"/>
      <protection locked="0"/>
    </xf>
    <xf numFmtId="0" fontId="15" fillId="0" borderId="0" xfId="0" applyFont="1" applyAlignment="1" applyProtection="1">
      <alignment vertical="center"/>
      <protection locked="0"/>
    </xf>
    <xf numFmtId="0" fontId="15" fillId="0" borderId="0" xfId="0" applyFont="1" applyProtection="1">
      <protection locked="0"/>
    </xf>
    <xf numFmtId="0" fontId="4" fillId="0" borderId="0" xfId="0" applyFont="1" applyProtection="1">
      <protection locked="0"/>
    </xf>
    <xf numFmtId="0" fontId="6" fillId="0" borderId="0" xfId="0" applyFont="1" applyProtection="1">
      <protection locked="0"/>
    </xf>
    <xf numFmtId="40" fontId="10" fillId="8" borderId="3" xfId="0" applyNumberFormat="1" applyFont="1" applyFill="1" applyBorder="1" applyAlignment="1" applyProtection="1">
      <alignment horizontal="left" vertical="center"/>
      <protection locked="0"/>
    </xf>
    <xf numFmtId="0" fontId="10" fillId="8" borderId="3" xfId="1" applyNumberFormat="1" applyFont="1" applyFill="1" applyBorder="1" applyAlignment="1" applyProtection="1">
      <alignment horizontal="left" vertical="center"/>
      <protection locked="0"/>
    </xf>
    <xf numFmtId="0" fontId="21" fillId="0" borderId="0" xfId="0" applyFont="1" applyProtection="1">
      <protection locked="0"/>
    </xf>
    <xf numFmtId="0" fontId="21" fillId="0" borderId="0" xfId="0" applyFont="1" applyAlignment="1" applyProtection="1">
      <alignment vertical="center"/>
      <protection locked="0"/>
    </xf>
    <xf numFmtId="0" fontId="12" fillId="3" borderId="0" xfId="0" applyFont="1" applyFill="1" applyAlignment="1" applyProtection="1">
      <alignment horizontal="left" vertical="top" wrapText="1"/>
      <protection locked="0"/>
    </xf>
    <xf numFmtId="1" fontId="10" fillId="3" borderId="3" xfId="0" applyNumberFormat="1" applyFont="1" applyFill="1" applyBorder="1" applyAlignment="1" applyProtection="1">
      <alignment horizontal="center" vertical="center"/>
      <protection locked="0"/>
    </xf>
    <xf numFmtId="0" fontId="12" fillId="0" borderId="4" xfId="0" applyFont="1" applyBorder="1" applyAlignment="1">
      <alignment horizontal="right" vertical="center"/>
    </xf>
    <xf numFmtId="40" fontId="10" fillId="8" borderId="3" xfId="0" applyNumberFormat="1" applyFont="1" applyFill="1" applyBorder="1" applyAlignment="1">
      <alignment vertical="center"/>
    </xf>
    <xf numFmtId="2" fontId="10" fillId="8" borderId="3" xfId="0" applyNumberFormat="1" applyFont="1" applyFill="1" applyBorder="1" applyAlignment="1">
      <alignment horizontal="center" vertical="center"/>
    </xf>
    <xf numFmtId="0" fontId="12" fillId="0" borderId="3" xfId="0" applyFont="1" applyBorder="1" applyAlignment="1">
      <alignment horizontal="right" vertical="center"/>
    </xf>
    <xf numFmtId="0" fontId="10" fillId="18" borderId="4" xfId="0" applyFont="1" applyFill="1" applyBorder="1" applyAlignment="1" applyProtection="1">
      <alignment vertical="center"/>
      <protection locked="0"/>
    </xf>
    <xf numFmtId="0" fontId="10" fillId="18" borderId="4" xfId="0" applyFont="1" applyFill="1" applyBorder="1" applyAlignment="1" applyProtection="1">
      <alignment horizontal="left" vertical="center"/>
      <protection locked="0"/>
    </xf>
    <xf numFmtId="0" fontId="10" fillId="18" borderId="3" xfId="0" applyFont="1" applyFill="1" applyBorder="1" applyAlignment="1" applyProtection="1">
      <alignment horizontal="left" vertical="center"/>
      <protection locked="0"/>
    </xf>
    <xf numFmtId="0" fontId="10" fillId="18" borderId="0" xfId="0" applyFont="1" applyFill="1" applyAlignment="1" applyProtection="1">
      <alignment vertical="center"/>
      <protection locked="0"/>
    </xf>
    <xf numFmtId="4" fontId="9" fillId="0" borderId="4" xfId="0" applyNumberFormat="1" applyFont="1" applyBorder="1" applyAlignment="1" applyProtection="1">
      <alignment horizontal="center"/>
      <protection locked="0"/>
    </xf>
    <xf numFmtId="4" fontId="10" fillId="0" borderId="4" xfId="1" applyNumberFormat="1" applyFont="1" applyBorder="1" applyAlignment="1" applyProtection="1">
      <alignment horizontal="center"/>
      <protection locked="0"/>
    </xf>
    <xf numFmtId="4" fontId="13" fillId="0" borderId="4" xfId="0" applyNumberFormat="1" applyFont="1" applyBorder="1" applyAlignment="1" applyProtection="1">
      <alignment horizontal="center"/>
      <protection locked="0"/>
    </xf>
    <xf numFmtId="49" fontId="10" fillId="18" borderId="4" xfId="0" applyNumberFormat="1" applyFont="1" applyFill="1" applyBorder="1" applyAlignment="1" applyProtection="1">
      <alignment horizontal="left" vertical="center"/>
      <protection locked="0"/>
    </xf>
    <xf numFmtId="4" fontId="10" fillId="3" borderId="4" xfId="0" applyNumberFormat="1" applyFont="1" applyFill="1" applyBorder="1" applyAlignment="1" applyProtection="1">
      <alignment horizontal="left" vertical="center"/>
      <protection locked="0"/>
    </xf>
    <xf numFmtId="4" fontId="0" fillId="0" borderId="0" xfId="0" applyNumberFormat="1"/>
    <xf numFmtId="4" fontId="37" fillId="0" borderId="4" xfId="0" applyNumberFormat="1" applyFont="1" applyBorder="1" applyAlignment="1" applyProtection="1">
      <alignment horizontal="left" vertical="center"/>
      <protection locked="0"/>
    </xf>
    <xf numFmtId="4" fontId="18" fillId="0" borderId="4" xfId="0" applyNumberFormat="1" applyFont="1" applyBorder="1" applyAlignment="1" applyProtection="1">
      <alignment horizontal="left" vertical="center"/>
      <protection locked="0"/>
    </xf>
    <xf numFmtId="4" fontId="18" fillId="0" borderId="6" xfId="0" applyNumberFormat="1" applyFont="1" applyBorder="1" applyAlignment="1" applyProtection="1">
      <alignment horizontal="left" vertical="center"/>
      <protection locked="0"/>
    </xf>
    <xf numFmtId="4" fontId="18" fillId="0" borderId="3" xfId="0" applyNumberFormat="1" applyFont="1" applyBorder="1" applyAlignment="1" applyProtection="1">
      <alignment horizontal="left" vertical="center"/>
      <protection locked="0"/>
    </xf>
    <xf numFmtId="4" fontId="10" fillId="0" borderId="4" xfId="0" applyNumberFormat="1" applyFont="1" applyBorder="1" applyAlignment="1" applyProtection="1">
      <alignment horizontal="left" vertical="center"/>
      <protection locked="0"/>
    </xf>
    <xf numFmtId="0" fontId="10" fillId="18" borderId="4" xfId="0" applyFont="1" applyFill="1" applyBorder="1" applyAlignment="1" applyProtection="1">
      <alignment horizontal="left"/>
      <protection locked="0"/>
    </xf>
    <xf numFmtId="49" fontId="10" fillId="18" borderId="4" xfId="0" applyNumberFormat="1" applyFont="1" applyFill="1" applyBorder="1" applyAlignment="1" applyProtection="1">
      <alignment horizontal="left"/>
      <protection locked="0"/>
    </xf>
    <xf numFmtId="4" fontId="10" fillId="0" borderId="4" xfId="0" applyNumberFormat="1" applyFont="1" applyBorder="1" applyAlignment="1" applyProtection="1">
      <alignment horizontal="left"/>
      <protection locked="0"/>
    </xf>
    <xf numFmtId="4" fontId="10" fillId="3" borderId="4" xfId="0" applyNumberFormat="1" applyFont="1" applyFill="1" applyBorder="1" applyAlignment="1" applyProtection="1">
      <alignment horizontal="left"/>
      <protection locked="0"/>
    </xf>
    <xf numFmtId="0" fontId="54" fillId="17" borderId="37" xfId="0" applyFont="1" applyFill="1" applyBorder="1"/>
    <xf numFmtId="0" fontId="0" fillId="0" borderId="37" xfId="0" applyBorder="1" applyAlignment="1">
      <alignment vertical="top" wrapText="1"/>
    </xf>
    <xf numFmtId="171" fontId="0" fillId="0" borderId="37" xfId="0" applyNumberFormat="1" applyBorder="1" applyAlignment="1">
      <alignment vertical="top" wrapText="1"/>
    </xf>
    <xf numFmtId="0" fontId="0" fillId="18" borderId="37" xfId="0" applyFill="1" applyBorder="1" applyAlignment="1">
      <alignment vertical="top" wrapText="1"/>
    </xf>
    <xf numFmtId="0" fontId="54" fillId="18" borderId="37" xfId="0" applyFont="1" applyFill="1" applyBorder="1"/>
    <xf numFmtId="0" fontId="54" fillId="0" borderId="37" xfId="0" applyFont="1" applyBorder="1" applyAlignment="1">
      <alignment vertical="top" wrapText="1"/>
    </xf>
    <xf numFmtId="0" fontId="9" fillId="7" borderId="32" xfId="0" applyFont="1" applyFill="1" applyBorder="1" applyAlignment="1">
      <alignment horizontal="left" vertical="center" wrapText="1"/>
    </xf>
    <xf numFmtId="0" fontId="0" fillId="0" borderId="32" xfId="0" applyBorder="1"/>
    <xf numFmtId="0" fontId="9" fillId="7" borderId="33" xfId="0" applyFont="1" applyFill="1" applyBorder="1" applyAlignment="1">
      <alignment horizontal="left" vertical="center" wrapText="1"/>
    </xf>
    <xf numFmtId="0" fontId="0" fillId="0" borderId="33" xfId="0" applyBorder="1"/>
    <xf numFmtId="0" fontId="9" fillId="7" borderId="31" xfId="0" applyFont="1" applyFill="1" applyBorder="1" applyAlignment="1">
      <alignment horizontal="left" vertical="center" wrapText="1"/>
    </xf>
    <xf numFmtId="0" fontId="0" fillId="0" borderId="31" xfId="0" applyBorder="1"/>
    <xf numFmtId="0" fontId="12" fillId="3" borderId="36" xfId="0" applyFont="1" applyFill="1" applyBorder="1" applyAlignment="1" applyProtection="1">
      <alignment horizontal="left" vertical="top" wrapText="1"/>
      <protection locked="0"/>
    </xf>
    <xf numFmtId="0" fontId="0" fillId="0" borderId="1" xfId="0" applyBorder="1" applyProtection="1">
      <protection locked="0"/>
    </xf>
    <xf numFmtId="0" fontId="0" fillId="0" borderId="29" xfId="0" applyBorder="1" applyProtection="1">
      <protection locked="0"/>
    </xf>
    <xf numFmtId="0" fontId="38" fillId="0" borderId="34" xfId="0" applyFont="1" applyBorder="1" applyAlignment="1">
      <alignment horizontal="right" vertical="center"/>
    </xf>
    <xf numFmtId="0" fontId="0" fillId="0" borderId="34" xfId="0" applyBorder="1"/>
    <xf numFmtId="0" fontId="38" fillId="0" borderId="0" xfId="0" applyFont="1" applyAlignment="1">
      <alignment horizontal="right" vertical="center"/>
    </xf>
    <xf numFmtId="0" fontId="2" fillId="0" borderId="0" xfId="0" applyFont="1"/>
    <xf numFmtId="0" fontId="10" fillId="3" borderId="3" xfId="0" applyFont="1" applyFill="1" applyBorder="1" applyAlignment="1" applyProtection="1">
      <alignment horizontal="left" vertical="center"/>
      <protection locked="0"/>
    </xf>
    <xf numFmtId="0" fontId="0" fillId="0" borderId="3" xfId="0" applyBorder="1" applyProtection="1">
      <protection locked="0"/>
    </xf>
    <xf numFmtId="0" fontId="7" fillId="0" borderId="0" xfId="0" applyFont="1" applyAlignment="1">
      <alignment horizontal="center" vertical="top"/>
    </xf>
    <xf numFmtId="0" fontId="12" fillId="3" borderId="35" xfId="0" applyFont="1" applyFill="1" applyBorder="1" applyAlignment="1" applyProtection="1">
      <alignment horizontal="left" vertical="top" wrapText="1"/>
      <protection locked="0"/>
    </xf>
    <xf numFmtId="0" fontId="0" fillId="0" borderId="4" xfId="0" applyBorder="1" applyProtection="1">
      <protection locked="0"/>
    </xf>
    <xf numFmtId="0" fontId="0" fillId="0" borderId="5" xfId="0" applyBorder="1" applyProtection="1">
      <protection locked="0"/>
    </xf>
    <xf numFmtId="0" fontId="10" fillId="3" borderId="2" xfId="0" applyFont="1" applyFill="1" applyBorder="1" applyAlignment="1" applyProtection="1">
      <alignment horizontal="left" vertical="center"/>
      <protection locked="0"/>
    </xf>
    <xf numFmtId="0" fontId="0" fillId="0" borderId="2" xfId="0" applyBorder="1" applyProtection="1">
      <protection locked="0"/>
    </xf>
    <xf numFmtId="0" fontId="10" fillId="3" borderId="4" xfId="0" applyFont="1" applyFill="1" applyBorder="1" applyAlignment="1" applyProtection="1">
      <alignment vertical="center"/>
      <protection locked="0"/>
    </xf>
    <xf numFmtId="0" fontId="32" fillId="7" borderId="13" xfId="0" applyFont="1" applyFill="1" applyBorder="1" applyAlignment="1">
      <alignment horizontal="center" vertical="center" wrapText="1"/>
    </xf>
    <xf numFmtId="0" fontId="0" fillId="0" borderId="13" xfId="0" applyBorder="1"/>
    <xf numFmtId="0" fontId="28" fillId="9" borderId="0" xfId="0" applyFont="1" applyFill="1" applyAlignment="1">
      <alignment horizontal="left" vertical="center"/>
    </xf>
    <xf numFmtId="0" fontId="10" fillId="7" borderId="12" xfId="0" applyFont="1" applyFill="1" applyBorder="1" applyAlignment="1">
      <alignment horizontal="center" vertical="center" wrapText="1"/>
    </xf>
    <xf numFmtId="0" fontId="0" fillId="0" borderId="12" xfId="0" applyBorder="1"/>
    <xf numFmtId="0" fontId="10" fillId="8" borderId="4" xfId="0" applyFont="1" applyFill="1" applyBorder="1" applyAlignment="1">
      <alignment horizontal="center" vertical="center" wrapText="1"/>
    </xf>
    <xf numFmtId="0" fontId="0" fillId="0" borderId="4" xfId="0" applyBorder="1"/>
    <xf numFmtId="0" fontId="43" fillId="11" borderId="0" xfId="0" applyFont="1" applyFill="1" applyAlignment="1">
      <alignment horizontal="center" vertical="center"/>
    </xf>
    <xf numFmtId="0" fontId="12" fillId="0" borderId="0" xfId="0" applyFont="1"/>
    <xf numFmtId="0" fontId="9" fillId="7" borderId="8" xfId="0" applyFont="1" applyFill="1" applyBorder="1" applyAlignment="1">
      <alignment horizontal="left" vertical="center"/>
    </xf>
    <xf numFmtId="0" fontId="0" fillId="0" borderId="8" xfId="0" applyBorder="1"/>
    <xf numFmtId="40" fontId="34" fillId="0" borderId="3" xfId="0" applyNumberFormat="1" applyFont="1" applyBorder="1" applyAlignment="1">
      <alignment horizontal="left" wrapText="1"/>
    </xf>
    <xf numFmtId="0" fontId="0" fillId="0" borderId="3" xfId="0" applyBorder="1"/>
    <xf numFmtId="49" fontId="10" fillId="3" borderId="4" xfId="0" applyNumberFormat="1" applyFont="1" applyFill="1" applyBorder="1" applyAlignment="1" applyProtection="1">
      <alignment horizontal="left" vertical="center"/>
      <protection locked="0"/>
    </xf>
    <xf numFmtId="0" fontId="43" fillId="11" borderId="0" xfId="0" applyFont="1" applyFill="1" applyAlignment="1">
      <alignment horizontal="left" vertical="center"/>
    </xf>
    <xf numFmtId="0" fontId="9" fillId="7" borderId="4" xfId="0" applyFont="1" applyFill="1" applyBorder="1" applyAlignment="1">
      <alignment horizontal="left" vertical="center"/>
    </xf>
    <xf numFmtId="0" fontId="14" fillId="13" borderId="4" xfId="0" quotePrefix="1" applyFont="1" applyFill="1" applyBorder="1" applyAlignment="1">
      <alignment horizontal="left" vertical="center"/>
    </xf>
    <xf numFmtId="0" fontId="10" fillId="12" borderId="4" xfId="0" quotePrefix="1" applyFont="1" applyFill="1" applyBorder="1" applyAlignment="1">
      <alignment horizontal="left" vertical="center"/>
    </xf>
    <xf numFmtId="0" fontId="41" fillId="8" borderId="4" xfId="0" quotePrefix="1" applyFont="1" applyFill="1" applyBorder="1" applyAlignment="1">
      <alignment horizontal="left" vertical="center"/>
    </xf>
    <xf numFmtId="0" fontId="9" fillId="8" borderId="4" xfId="0" quotePrefix="1" applyFont="1" applyFill="1" applyBorder="1" applyAlignment="1">
      <alignment horizontal="left" vertical="center"/>
    </xf>
    <xf numFmtId="0" fontId="14" fillId="12" borderId="4" xfId="0" quotePrefix="1" applyFont="1" applyFill="1" applyBorder="1" applyAlignment="1">
      <alignment horizontal="left" vertical="center"/>
    </xf>
    <xf numFmtId="0" fontId="50" fillId="0" borderId="0" xfId="0" applyFont="1" applyAlignment="1">
      <alignment horizontal="left" vertical="top"/>
    </xf>
    <xf numFmtId="0" fontId="43" fillId="11" borderId="0" xfId="0" applyFont="1" applyFill="1" applyAlignment="1" applyProtection="1">
      <alignment horizontal="center" vertical="center"/>
      <protection locked="0"/>
    </xf>
    <xf numFmtId="0" fontId="0" fillId="0" borderId="0" xfId="0" applyProtection="1">
      <protection locked="0"/>
    </xf>
    <xf numFmtId="0" fontId="10" fillId="8" borderId="2" xfId="0" applyFont="1" applyFill="1" applyBorder="1" applyAlignment="1" applyProtection="1">
      <alignment horizontal="left" vertical="center" wrapText="1"/>
      <protection locked="0"/>
    </xf>
    <xf numFmtId="0" fontId="10" fillId="7" borderId="3" xfId="0" applyFont="1" applyFill="1" applyBorder="1" applyAlignment="1">
      <alignment horizontal="left" vertical="center" wrapText="1"/>
    </xf>
    <xf numFmtId="0" fontId="10" fillId="3" borderId="4" xfId="0" applyFont="1" applyFill="1" applyBorder="1" applyAlignment="1" applyProtection="1">
      <alignment horizontal="left" vertical="center"/>
      <protection locked="0"/>
    </xf>
    <xf numFmtId="0" fontId="12" fillId="3" borderId="28" xfId="0" applyFont="1" applyFill="1" applyBorder="1" applyAlignment="1">
      <alignment horizontal="left" vertical="top" wrapText="1"/>
    </xf>
    <xf numFmtId="0" fontId="0" fillId="0" borderId="1" xfId="0" applyBorder="1"/>
    <xf numFmtId="0" fontId="10" fillId="8" borderId="2" xfId="0" applyFont="1" applyFill="1" applyBorder="1" applyAlignment="1">
      <alignment horizontal="left" vertical="center" wrapText="1"/>
    </xf>
    <xf numFmtId="0" fontId="0" fillId="0" borderId="2" xfId="0" applyBorder="1"/>
    <xf numFmtId="43" fontId="10" fillId="3" borderId="4" xfId="1" applyFont="1" applyFill="1" applyBorder="1" applyAlignment="1" applyProtection="1">
      <alignment horizontal="center" vertical="center"/>
      <protection locked="0"/>
    </xf>
    <xf numFmtId="0" fontId="28" fillId="9" borderId="0" xfId="0" applyFont="1" applyFill="1" applyAlignment="1">
      <alignment horizontal="center" vertical="center"/>
    </xf>
    <xf numFmtId="0" fontId="10" fillId="3" borderId="2" xfId="0" applyFont="1" applyFill="1" applyBorder="1" applyAlignment="1" applyProtection="1">
      <alignment horizontal="center" vertical="center"/>
      <protection locked="0"/>
    </xf>
    <xf numFmtId="0" fontId="53" fillId="0" borderId="0" xfId="0" applyFont="1"/>
    <xf numFmtId="0" fontId="0" fillId="0" borderId="0" xfId="0"/>
    <xf numFmtId="0" fontId="52" fillId="0" borderId="0" xfId="0" applyFont="1"/>
    <xf numFmtId="0" fontId="51" fillId="16" borderId="0" xfId="0" applyFont="1" applyFill="1"/>
    <xf numFmtId="0" fontId="55" fillId="0" borderId="0" xfId="0" applyFont="1"/>
  </cellXfs>
  <cellStyles count="5">
    <cellStyle name="Estilo 1" xfId="3" xr:uid="{00000000-0005-0000-0000-000003000000}"/>
    <cellStyle name="Estilo 2" xfId="4" xr:uid="{00000000-0005-0000-0000-000004000000}"/>
    <cellStyle name="Millares" xfId="1" builtinId="3"/>
    <cellStyle name="Normal" xfId="0" builtinId="0"/>
    <cellStyle name="Porcentaje" xfId="2" builtinId="5"/>
  </cellStyles>
  <dxfs count="444">
    <dxf>
      <font>
        <color theme="0"/>
      </font>
      <fill>
        <patternFill>
          <bgColor theme="0"/>
        </patternFill>
      </fill>
    </dxf>
    <dxf>
      <font>
        <color theme="0"/>
      </font>
      <fill>
        <patternFill>
          <bgColor theme="0"/>
        </patternFill>
      </fill>
    </dxf>
    <dxf>
      <font>
        <color rgb="FFCDF9CC"/>
      </font>
    </dxf>
    <dxf>
      <font>
        <color theme="0"/>
      </font>
      <fill>
        <patternFill>
          <bgColor theme="0"/>
        </patternFill>
      </fill>
    </dxf>
    <dxf>
      <font>
        <color rgb="FFFFFF97"/>
      </font>
    </dxf>
    <dxf>
      <font>
        <color rgb="FFFFFF97"/>
      </font>
      <fill>
        <patternFill>
          <fgColor theme="0"/>
        </patternFill>
      </fill>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fill>
        <patternFill>
          <fgColor theme="0"/>
        </patternFill>
      </fill>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03C000"/>
      </font>
    </dxf>
    <dxf>
      <font>
        <color rgb="FF248188"/>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FF670A"/>
      </font>
    </dxf>
    <dxf>
      <font>
        <color rgb="FF248188"/>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03C000"/>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03C000"/>
      </font>
    </dxf>
    <dxf>
      <font>
        <color rgb="FFFF670A"/>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dxf>
    <dxf>
      <font>
        <color rgb="FF03C000"/>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dxf>
    <dxf>
      <font>
        <color rgb="FFFF670A"/>
      </font>
    </dxf>
    <dxf>
      <font>
        <color rgb="FF03C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248188"/>
      </font>
    </dxf>
    <dxf>
      <font>
        <color rgb="FF03C000"/>
      </font>
    </dxf>
    <dxf>
      <font>
        <color rgb="FFFF670A"/>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670A"/>
      </font>
    </dxf>
    <dxf>
      <font>
        <color rgb="FF248188"/>
      </font>
    </dxf>
    <dxf>
      <font>
        <color rgb="FF03C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theme="0"/>
      </font>
      <fill>
        <patternFill>
          <bgColor theme="0"/>
        </patternFill>
      </fill>
    </dxf>
    <dxf>
      <font>
        <color theme="0"/>
      </font>
      <fill>
        <patternFill>
          <bgColor theme="0"/>
        </patternFill>
      </fill>
    </dxf>
    <dxf>
      <font>
        <color theme="0"/>
      </font>
      <fill>
        <patternFill>
          <bgColor theme="0"/>
        </patternFill>
      </fill>
    </dxf>
    <dxf>
      <font>
        <color rgb="FFFF670A"/>
      </font>
    </dxf>
    <dxf>
      <font>
        <color rgb="FF03C000"/>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color rgb="FFFF0000"/>
      </font>
    </dxf>
    <dxf>
      <font>
        <b/>
        <color rgb="FFFF0000"/>
      </font>
    </dxf>
    <dxf>
      <font>
        <color rgb="FF03C000"/>
      </font>
    </dxf>
    <dxf>
      <font>
        <color rgb="FFFF670A"/>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b/>
        <color rgb="FFFF0000"/>
      </font>
    </dxf>
    <dxf>
      <font>
        <color rgb="FFFF670A"/>
      </font>
    </dxf>
    <dxf>
      <font>
        <color rgb="FF03C000"/>
      </font>
    </dxf>
    <dxf>
      <font>
        <color rgb="FF248188"/>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dxf>
    <dxf>
      <font>
        <color rgb="FF248188"/>
      </font>
    </dxf>
    <dxf>
      <font>
        <color rgb="FFFF670A"/>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b/>
        <color rgb="FFFF0000"/>
      </font>
    </dxf>
    <dxf>
      <font>
        <b/>
        <color rgb="FFFF0000"/>
      </font>
    </dxf>
    <dxf>
      <font>
        <color theme="0"/>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5108</xdr:colOff>
      <xdr:row>1</xdr:row>
      <xdr:rowOff>25909</xdr:rowOff>
    </xdr:from>
    <xdr:to>
      <xdr:col>1</xdr:col>
      <xdr:colOff>1462731</xdr:colOff>
      <xdr:row>2</xdr:row>
      <xdr:rowOff>278873</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340388" y="188469"/>
          <a:ext cx="1457623" cy="669524"/>
        </a:xfrm>
        <a:prstGeom prst="rect">
          <a:avLst/>
        </a:prstGeom>
        <a:ln>
          <a:prstDash val="solid"/>
        </a:ln>
      </xdr:spPr>
    </xdr:pic>
    <xdr:clientData/>
  </xdr:twoCellAnchor>
  <xdr:twoCellAnchor editAs="oneCell">
    <xdr:from>
      <xdr:col>3</xdr:col>
      <xdr:colOff>2085976</xdr:colOff>
      <xdr:row>0</xdr:row>
      <xdr:rowOff>114299</xdr:rowOff>
    </xdr:from>
    <xdr:to>
      <xdr:col>4</xdr:col>
      <xdr:colOff>178388</xdr:colOff>
      <xdr:row>2</xdr:row>
      <xdr:rowOff>226011</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stretch>
          <a:fillRect/>
        </a:stretch>
      </xdr:blipFill>
      <xdr:spPr>
        <a:xfrm>
          <a:off x="5629276" y="114299"/>
          <a:ext cx="1559512" cy="692737"/>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2:P79"/>
  <sheetViews>
    <sheetView showGridLines="0" topLeftCell="A30" zoomScale="85" zoomScaleNormal="85" workbookViewId="0">
      <selection activeCell="B34" sqref="B34"/>
    </sheetView>
  </sheetViews>
  <sheetFormatPr baseColWidth="10" defaultColWidth="9.1796875" defaultRowHeight="13.5" x14ac:dyDescent="0.3"/>
  <cols>
    <col min="1" max="1" width="4.26953125" style="22" customWidth="1"/>
    <col min="2" max="2" width="32.54296875" style="22" customWidth="1"/>
    <col min="3" max="3" width="23.81640625" style="22" customWidth="1"/>
    <col min="4" max="4" width="52" style="22" customWidth="1"/>
    <col min="5" max="5" width="17.7265625" style="22" customWidth="1"/>
    <col min="6" max="6" width="15.1796875" style="22" customWidth="1"/>
    <col min="7" max="7" width="37.453125" style="22" customWidth="1"/>
    <col min="8" max="8" width="9.1796875" style="22" customWidth="1"/>
    <col min="9" max="16384" width="9.1796875" style="22"/>
  </cols>
  <sheetData>
    <row r="2" spans="2:16" ht="33" customHeight="1" x14ac:dyDescent="0.45">
      <c r="B2" s="57"/>
      <c r="C2" s="58"/>
    </row>
    <row r="3" spans="2:16" ht="24" customHeight="1" x14ac:dyDescent="0.3">
      <c r="B3" s="316" t="s">
        <v>19</v>
      </c>
      <c r="C3" s="313"/>
      <c r="D3" s="313"/>
    </row>
    <row r="4" spans="2:16" ht="21" customHeight="1" thickBot="1" x14ac:dyDescent="0.35">
      <c r="B4" s="59"/>
      <c r="C4" s="60"/>
      <c r="D4" s="61"/>
      <c r="E4" s="61"/>
      <c r="F4" s="68"/>
      <c r="G4" s="63"/>
    </row>
    <row r="5" spans="2:16" ht="21" customHeight="1" thickBot="1" x14ac:dyDescent="0.35">
      <c r="B5" s="62" t="s">
        <v>20</v>
      </c>
      <c r="C5" s="55">
        <v>46140</v>
      </c>
      <c r="D5" s="63"/>
      <c r="E5" s="61"/>
      <c r="F5" s="68"/>
      <c r="G5" s="63"/>
    </row>
    <row r="6" spans="2:16" ht="18" customHeight="1" x14ac:dyDescent="0.3">
      <c r="B6" s="67" t="s">
        <v>21</v>
      </c>
      <c r="C6" s="188">
        <f>DATE(IF(EXACT(MONTH(EDATE(C5,0)),"12"),YEAR(C5)+1,YEAR(C5)),MONTH(EDATE(C5,1)),1)</f>
        <v>46143</v>
      </c>
      <c r="D6" s="64">
        <f>DATE(YEAR(C6),MONTH(C6),1)</f>
        <v>46143</v>
      </c>
      <c r="E6" s="61"/>
      <c r="F6" s="68"/>
      <c r="G6" s="63"/>
      <c r="H6" s="25"/>
      <c r="I6" s="25"/>
      <c r="J6" s="25"/>
      <c r="K6" s="25"/>
      <c r="L6" s="25"/>
      <c r="M6" s="25"/>
      <c r="N6" s="25"/>
      <c r="O6" s="25"/>
      <c r="P6" s="25"/>
    </row>
    <row r="7" spans="2:16" ht="13.5" customHeight="1" x14ac:dyDescent="0.3">
      <c r="B7" s="65"/>
      <c r="C7" s="66"/>
      <c r="D7" s="63"/>
      <c r="E7" s="61"/>
      <c r="F7" s="68"/>
      <c r="G7" s="63"/>
      <c r="H7" s="25"/>
      <c r="I7" s="25"/>
      <c r="J7" s="25"/>
      <c r="K7" s="25"/>
      <c r="L7" s="25"/>
      <c r="M7" s="25"/>
      <c r="N7" s="25"/>
      <c r="O7" s="25"/>
      <c r="P7" s="25"/>
    </row>
    <row r="8" spans="2:16" ht="18" customHeight="1" x14ac:dyDescent="0.3">
      <c r="B8" s="67" t="s">
        <v>22</v>
      </c>
      <c r="C8" s="3">
        <v>45962</v>
      </c>
      <c r="D8" s="61"/>
      <c r="E8" s="61"/>
      <c r="F8" s="68"/>
      <c r="G8" s="63"/>
      <c r="H8" s="25"/>
      <c r="I8" s="25"/>
      <c r="J8" s="25"/>
      <c r="K8" s="25"/>
      <c r="L8" s="25"/>
      <c r="M8" s="25"/>
      <c r="N8" s="25"/>
      <c r="O8" s="25"/>
      <c r="P8" s="25"/>
    </row>
    <row r="9" spans="2:16" ht="18" customHeight="1" x14ac:dyDescent="0.3">
      <c r="B9" s="67" t="s">
        <v>23</v>
      </c>
      <c r="C9" s="3">
        <v>46326</v>
      </c>
      <c r="D9" s="187"/>
      <c r="E9" s="68"/>
      <c r="F9" s="68"/>
      <c r="G9" s="63"/>
      <c r="H9" s="25"/>
      <c r="I9" s="25"/>
      <c r="J9" s="25"/>
      <c r="K9" s="25"/>
      <c r="L9" s="25"/>
      <c r="M9" s="25"/>
      <c r="N9" s="25"/>
      <c r="O9" s="25"/>
      <c r="P9" s="25"/>
    </row>
    <row r="10" spans="2:16" ht="18" customHeight="1" x14ac:dyDescent="0.3">
      <c r="B10" s="67" t="s">
        <v>0</v>
      </c>
      <c r="C10" s="276" t="s">
        <v>24</v>
      </c>
      <c r="D10" s="232"/>
      <c r="H10" s="25"/>
      <c r="I10" s="25"/>
      <c r="J10" s="25"/>
      <c r="K10" s="25"/>
      <c r="L10" s="25"/>
      <c r="M10" s="25"/>
      <c r="N10" s="25"/>
      <c r="O10" s="25"/>
      <c r="P10" s="25"/>
    </row>
    <row r="11" spans="2:16" ht="18" customHeight="1" x14ac:dyDescent="0.35">
      <c r="B11" s="67" t="s">
        <v>25</v>
      </c>
      <c r="C11" s="320" t="s">
        <v>26</v>
      </c>
      <c r="D11" s="321"/>
      <c r="E11" s="321"/>
      <c r="F11" s="321"/>
      <c r="G11" s="321"/>
      <c r="H11" s="25"/>
      <c r="I11" s="25"/>
      <c r="J11" s="25"/>
      <c r="K11" s="25"/>
      <c r="L11" s="25"/>
      <c r="M11" s="25"/>
      <c r="N11" s="25"/>
      <c r="O11" s="25"/>
      <c r="P11" s="25"/>
    </row>
    <row r="12" spans="2:16" ht="18" customHeight="1" x14ac:dyDescent="0.35">
      <c r="B12" s="67" t="s">
        <v>27</v>
      </c>
      <c r="C12" s="314" t="s">
        <v>28</v>
      </c>
      <c r="D12" s="315"/>
      <c r="H12" s="25"/>
      <c r="I12" s="25"/>
      <c r="J12" s="25"/>
      <c r="K12" s="25"/>
      <c r="L12" s="25"/>
      <c r="M12" s="25"/>
      <c r="N12" s="25"/>
      <c r="O12" s="25"/>
      <c r="P12" s="25"/>
    </row>
    <row r="13" spans="2:16" ht="18" customHeight="1" x14ac:dyDescent="0.35">
      <c r="B13" s="67" t="s">
        <v>29</v>
      </c>
      <c r="C13" s="322" t="s">
        <v>30</v>
      </c>
      <c r="D13" s="318"/>
      <c r="H13" s="25"/>
      <c r="I13" s="25"/>
      <c r="J13" s="25"/>
      <c r="K13" s="25"/>
      <c r="L13" s="25"/>
      <c r="M13" s="25"/>
      <c r="N13" s="25"/>
      <c r="O13" s="25"/>
      <c r="P13" s="25"/>
    </row>
    <row r="14" spans="2:16" ht="9" customHeight="1" x14ac:dyDescent="0.3">
      <c r="B14" s="65"/>
      <c r="C14" s="66"/>
      <c r="D14" s="66"/>
      <c r="H14" s="25"/>
      <c r="I14" s="25"/>
      <c r="J14" s="25"/>
      <c r="K14" s="25"/>
      <c r="L14" s="25"/>
      <c r="M14" s="25"/>
      <c r="N14" s="25"/>
      <c r="O14" s="25"/>
      <c r="P14" s="25"/>
    </row>
    <row r="15" spans="2:16" ht="18" customHeight="1" x14ac:dyDescent="0.3">
      <c r="B15" s="69"/>
      <c r="C15" s="70" t="s">
        <v>31</v>
      </c>
      <c r="D15" s="70" t="s">
        <v>32</v>
      </c>
      <c r="E15" s="25"/>
      <c r="F15" s="25"/>
      <c r="G15" s="25"/>
      <c r="H15" s="25"/>
      <c r="I15" s="25"/>
      <c r="J15" s="25"/>
      <c r="K15" s="25"/>
      <c r="L15" s="25"/>
      <c r="M15" s="25"/>
      <c r="N15" s="25"/>
      <c r="O15" s="25"/>
      <c r="P15" s="25"/>
    </row>
    <row r="16" spans="2:16" ht="18" customHeight="1" x14ac:dyDescent="0.3">
      <c r="B16" s="67" t="s">
        <v>33</v>
      </c>
      <c r="C16" s="277" t="s">
        <v>34</v>
      </c>
      <c r="D16" s="12" t="s">
        <v>35</v>
      </c>
      <c r="E16" s="25"/>
      <c r="F16" s="25"/>
      <c r="G16" s="25"/>
      <c r="H16" s="25"/>
      <c r="I16" s="25"/>
      <c r="J16" s="25"/>
      <c r="K16" s="25"/>
      <c r="L16" s="25"/>
      <c r="M16" s="25"/>
      <c r="N16" s="25"/>
      <c r="O16" s="25"/>
      <c r="P16" s="25"/>
    </row>
    <row r="17" spans="2:16" ht="4.5" customHeight="1" x14ac:dyDescent="0.3">
      <c r="B17" s="65"/>
      <c r="C17" s="66"/>
      <c r="D17" s="63"/>
      <c r="E17" s="61"/>
      <c r="F17" s="68"/>
      <c r="G17" s="63"/>
      <c r="H17" s="25"/>
      <c r="I17" s="25"/>
      <c r="J17" s="25"/>
      <c r="K17" s="25"/>
      <c r="L17" s="25"/>
      <c r="M17" s="25"/>
      <c r="N17" s="25"/>
      <c r="O17" s="25"/>
      <c r="P17" s="25"/>
    </row>
    <row r="18" spans="2:16" ht="18" customHeight="1" x14ac:dyDescent="0.3">
      <c r="B18" s="67" t="s">
        <v>36</v>
      </c>
      <c r="C18" s="11" t="s">
        <v>37</v>
      </c>
      <c r="D18" s="12"/>
      <c r="E18" s="25"/>
      <c r="F18" s="25"/>
      <c r="G18" s="25"/>
      <c r="H18" s="25"/>
      <c r="I18" s="25"/>
      <c r="J18" s="25"/>
      <c r="K18" s="25"/>
      <c r="L18" s="25"/>
      <c r="M18" s="25"/>
      <c r="N18" s="25"/>
      <c r="O18" s="25"/>
      <c r="P18" s="25"/>
    </row>
    <row r="19" spans="2:16" ht="18" customHeight="1" x14ac:dyDescent="0.3">
      <c r="B19" s="67" t="s">
        <v>38</v>
      </c>
      <c r="C19" s="278" t="s">
        <v>39</v>
      </c>
      <c r="D19" s="66"/>
      <c r="E19" s="71"/>
      <c r="F19" s="184"/>
      <c r="G19" s="184"/>
      <c r="H19" s="25"/>
      <c r="I19" s="25"/>
      <c r="J19" s="25"/>
      <c r="K19" s="25"/>
      <c r="L19" s="25"/>
      <c r="M19" s="25"/>
      <c r="N19" s="25"/>
      <c r="O19" s="25"/>
      <c r="P19" s="25"/>
    </row>
    <row r="20" spans="2:16" ht="9" customHeight="1" x14ac:dyDescent="0.3">
      <c r="B20" s="65"/>
      <c r="C20" s="66"/>
      <c r="D20" s="66"/>
      <c r="E20" s="71"/>
      <c r="F20" s="184"/>
      <c r="G20" s="184"/>
      <c r="H20" s="25"/>
      <c r="I20" s="25"/>
      <c r="J20" s="25"/>
      <c r="K20" s="25"/>
      <c r="L20" s="25"/>
      <c r="M20" s="25"/>
      <c r="N20" s="25"/>
      <c r="O20" s="25"/>
      <c r="P20" s="25"/>
    </row>
    <row r="21" spans="2:16" ht="20.149999999999999" customHeight="1" x14ac:dyDescent="0.3">
      <c r="B21" s="72"/>
      <c r="C21" s="73" t="s">
        <v>40</v>
      </c>
      <c r="D21" s="73" t="s">
        <v>41</v>
      </c>
      <c r="E21" s="71"/>
      <c r="F21" s="184"/>
      <c r="G21" s="184"/>
      <c r="H21" s="25"/>
      <c r="I21" s="25"/>
      <c r="J21" s="25"/>
      <c r="K21" s="25"/>
      <c r="L21" s="25"/>
      <c r="M21" s="25"/>
      <c r="N21" s="25"/>
      <c r="O21" s="25"/>
      <c r="P21" s="25"/>
    </row>
    <row r="22" spans="2:16" ht="18" customHeight="1" x14ac:dyDescent="0.3">
      <c r="B22" s="67" t="s">
        <v>42</v>
      </c>
      <c r="C22" s="276" t="s">
        <v>43</v>
      </c>
      <c r="D22" s="276" t="s">
        <v>44</v>
      </c>
      <c r="E22" s="71"/>
      <c r="F22" s="184"/>
      <c r="G22" s="184"/>
      <c r="H22" s="25"/>
      <c r="I22" s="25"/>
      <c r="J22" s="25"/>
      <c r="K22" s="25"/>
      <c r="L22" s="25"/>
      <c r="M22" s="25"/>
      <c r="N22" s="25"/>
      <c r="O22" s="25"/>
      <c r="P22" s="25"/>
    </row>
    <row r="23" spans="2:16" ht="18" customHeight="1" x14ac:dyDescent="0.3">
      <c r="B23" s="67" t="s">
        <v>45</v>
      </c>
      <c r="C23" s="276" t="s">
        <v>46</v>
      </c>
      <c r="D23" s="279" t="s">
        <v>47</v>
      </c>
      <c r="E23" s="71"/>
      <c r="F23" s="184"/>
      <c r="G23" s="184"/>
      <c r="H23" s="25"/>
      <c r="I23" s="25"/>
      <c r="J23" s="25"/>
      <c r="K23" s="25"/>
      <c r="L23" s="25"/>
      <c r="M23" s="25"/>
      <c r="N23" s="25"/>
      <c r="O23" s="25"/>
      <c r="P23" s="25"/>
    </row>
    <row r="24" spans="2:16" ht="18" customHeight="1" x14ac:dyDescent="0.3">
      <c r="B24" s="67" t="s">
        <v>48</v>
      </c>
      <c r="C24" s="279" t="s">
        <v>49</v>
      </c>
      <c r="D24" s="181" t="s">
        <v>50</v>
      </c>
      <c r="E24" s="71"/>
      <c r="F24" s="184"/>
      <c r="G24" s="184"/>
      <c r="H24" s="25"/>
      <c r="I24" s="25"/>
      <c r="J24" s="25"/>
      <c r="K24" s="25"/>
      <c r="L24" s="25"/>
      <c r="M24" s="25"/>
      <c r="N24" s="25"/>
      <c r="O24" s="25"/>
      <c r="P24" s="25"/>
    </row>
    <row r="25" spans="2:16" ht="15" customHeight="1" x14ac:dyDescent="0.3">
      <c r="C25" s="74"/>
      <c r="D25" s="74"/>
      <c r="E25" s="71"/>
      <c r="F25" s="184"/>
      <c r="G25" s="184"/>
      <c r="H25" s="25"/>
      <c r="I25" s="25"/>
      <c r="J25" s="25"/>
      <c r="K25" s="25"/>
      <c r="L25" s="25"/>
      <c r="M25" s="25"/>
      <c r="N25" s="25"/>
      <c r="O25" s="25"/>
      <c r="P25" s="25"/>
    </row>
    <row r="26" spans="2:16" ht="20.25" customHeight="1" x14ac:dyDescent="0.3">
      <c r="B26" s="75" t="s">
        <v>51</v>
      </c>
      <c r="C26" s="76"/>
      <c r="D26" s="25"/>
      <c r="E26" s="25"/>
      <c r="F26" s="25"/>
      <c r="G26" s="25"/>
      <c r="H26" s="25"/>
      <c r="I26" s="25"/>
      <c r="J26" s="25"/>
      <c r="K26" s="25"/>
      <c r="L26" s="25"/>
      <c r="M26" s="25"/>
      <c r="N26" s="25"/>
      <c r="O26" s="25"/>
      <c r="P26" s="25"/>
    </row>
    <row r="27" spans="2:16" ht="7.5" customHeight="1" x14ac:dyDescent="0.3">
      <c r="B27" s="77"/>
      <c r="C27" s="77"/>
      <c r="D27" s="25"/>
      <c r="E27" s="25"/>
      <c r="F27" s="25"/>
      <c r="G27" s="25"/>
      <c r="H27" s="25"/>
      <c r="I27" s="25"/>
      <c r="J27" s="25"/>
      <c r="K27" s="25"/>
      <c r="L27" s="25"/>
      <c r="M27" s="25"/>
      <c r="N27" s="25"/>
      <c r="O27" s="25"/>
      <c r="P27" s="25"/>
    </row>
    <row r="28" spans="2:16" ht="16" customHeight="1" x14ac:dyDescent="0.3">
      <c r="B28" s="67" t="s">
        <v>52</v>
      </c>
      <c r="C28" s="280">
        <v>583896.55000000005</v>
      </c>
      <c r="D28" s="25"/>
      <c r="E28" s="25"/>
      <c r="F28" s="25"/>
      <c r="G28" s="25"/>
      <c r="H28" s="25"/>
      <c r="I28" s="25"/>
      <c r="J28" s="25"/>
      <c r="K28" s="25"/>
      <c r="L28" s="25"/>
      <c r="M28" s="25"/>
      <c r="N28" s="25"/>
      <c r="O28" s="25"/>
      <c r="P28" s="25"/>
    </row>
    <row r="29" spans="2:16" ht="16" customHeight="1" x14ac:dyDescent="0.3">
      <c r="B29" s="67" t="s">
        <v>53</v>
      </c>
      <c r="C29" s="281">
        <v>13570</v>
      </c>
      <c r="D29" s="25"/>
      <c r="E29" s="25"/>
      <c r="F29" s="25"/>
      <c r="G29" s="25"/>
      <c r="H29" s="25"/>
      <c r="I29" s="25"/>
      <c r="J29" s="25"/>
      <c r="K29" s="25"/>
      <c r="L29" s="25"/>
      <c r="M29" s="25"/>
      <c r="N29" s="25"/>
      <c r="O29" s="25"/>
      <c r="P29" s="25"/>
    </row>
    <row r="30" spans="2:16" ht="16" customHeight="1" x14ac:dyDescent="0.3">
      <c r="B30" s="67" t="s">
        <v>54</v>
      </c>
      <c r="C30" s="282">
        <v>367515.14084000001</v>
      </c>
      <c r="D30" s="25"/>
      <c r="E30" s="25"/>
      <c r="F30" s="25"/>
      <c r="G30" s="25"/>
      <c r="H30" s="25"/>
      <c r="I30" s="25"/>
      <c r="J30" s="25"/>
      <c r="K30" s="25"/>
      <c r="L30" s="25"/>
      <c r="M30" s="25"/>
      <c r="N30" s="25"/>
      <c r="O30" s="25"/>
      <c r="P30" s="25"/>
    </row>
    <row r="31" spans="2:16" ht="16" customHeight="1" x14ac:dyDescent="0.3">
      <c r="B31" s="67" t="s">
        <v>55</v>
      </c>
      <c r="C31" s="282">
        <v>18375.757042000001</v>
      </c>
      <c r="D31" s="25"/>
      <c r="E31" s="25"/>
      <c r="F31" s="25"/>
      <c r="G31" s="25"/>
      <c r="H31" s="25"/>
      <c r="I31" s="25"/>
      <c r="J31" s="25"/>
      <c r="K31" s="25"/>
      <c r="L31" s="25"/>
      <c r="M31" s="25"/>
      <c r="N31" s="25"/>
      <c r="O31" s="25"/>
      <c r="P31" s="25"/>
    </row>
    <row r="32" spans="2:16" ht="16" customHeight="1" x14ac:dyDescent="0.3">
      <c r="B32" s="67" t="s">
        <v>56</v>
      </c>
      <c r="C32" s="282">
        <v>0</v>
      </c>
      <c r="D32" s="25"/>
      <c r="E32" s="25"/>
      <c r="F32" s="25"/>
      <c r="G32" s="25"/>
      <c r="H32" s="25"/>
      <c r="I32" s="25"/>
      <c r="J32" s="25"/>
      <c r="K32" s="25"/>
      <c r="L32" s="25"/>
      <c r="M32" s="25"/>
      <c r="N32" s="25"/>
      <c r="O32" s="25"/>
      <c r="P32" s="25"/>
    </row>
    <row r="33" spans="2:16" ht="16" customHeight="1" x14ac:dyDescent="0.3">
      <c r="B33" s="67" t="s">
        <v>57</v>
      </c>
      <c r="C33" s="282">
        <v>7400</v>
      </c>
      <c r="D33" s="25"/>
      <c r="E33" s="25"/>
      <c r="F33" s="25"/>
      <c r="G33" s="25"/>
      <c r="H33" s="25"/>
      <c r="I33" s="25"/>
      <c r="J33" s="25"/>
      <c r="K33" s="25"/>
      <c r="L33" s="25"/>
      <c r="M33" s="25"/>
      <c r="N33" s="25"/>
      <c r="O33" s="25"/>
      <c r="P33" s="25"/>
    </row>
    <row r="34" spans="2:16" ht="16" customHeight="1" x14ac:dyDescent="0.3">
      <c r="B34" s="67" t="s">
        <v>58</v>
      </c>
      <c r="C34" s="282">
        <v>40000</v>
      </c>
      <c r="D34" s="25"/>
      <c r="E34" s="25"/>
      <c r="F34" s="25"/>
      <c r="G34" s="25"/>
      <c r="H34" s="25"/>
      <c r="I34" s="25"/>
      <c r="J34" s="25"/>
      <c r="K34" s="25"/>
      <c r="L34" s="25"/>
      <c r="M34" s="25"/>
      <c r="N34" s="25"/>
      <c r="O34" s="25"/>
      <c r="P34" s="25"/>
    </row>
    <row r="35" spans="2:16" ht="16" customHeight="1" x14ac:dyDescent="0.3">
      <c r="B35" s="78" t="s">
        <v>59</v>
      </c>
      <c r="C35" s="79">
        <f>SUM(C30:C34)</f>
        <v>433290.89788200002</v>
      </c>
      <c r="D35" s="25"/>
      <c r="E35" s="25"/>
      <c r="F35" s="25"/>
      <c r="G35" s="25"/>
      <c r="H35" s="25"/>
      <c r="I35" s="25"/>
      <c r="J35" s="25"/>
      <c r="K35" s="25"/>
      <c r="L35" s="25"/>
      <c r="M35" s="25"/>
      <c r="N35" s="25"/>
      <c r="O35" s="25"/>
      <c r="P35" s="25"/>
    </row>
    <row r="36" spans="2:16" ht="7.5" customHeight="1" x14ac:dyDescent="0.3">
      <c r="B36" s="80"/>
      <c r="C36" s="81"/>
      <c r="D36" s="25"/>
      <c r="E36" s="25"/>
      <c r="F36" s="25"/>
      <c r="G36" s="25"/>
      <c r="H36" s="25"/>
      <c r="I36" s="25"/>
      <c r="J36" s="25"/>
      <c r="K36" s="25"/>
      <c r="L36" s="25"/>
      <c r="M36" s="25"/>
      <c r="N36" s="25"/>
      <c r="O36" s="25"/>
      <c r="P36" s="25"/>
    </row>
    <row r="37" spans="2:16" ht="18" customHeight="1" x14ac:dyDescent="0.3">
      <c r="B37" s="82" t="s">
        <v>60</v>
      </c>
      <c r="C37" s="83">
        <f>IF(C28=0,0,(C28-C35)/C28)</f>
        <v>0.2579320808078075</v>
      </c>
      <c r="D37" s="25"/>
      <c r="E37" s="25"/>
      <c r="F37" s="25"/>
      <c r="G37" s="25"/>
      <c r="H37" s="25"/>
      <c r="I37" s="25"/>
      <c r="J37" s="25"/>
      <c r="K37" s="25"/>
      <c r="L37" s="25"/>
      <c r="M37" s="25"/>
      <c r="N37" s="25"/>
      <c r="O37" s="25"/>
      <c r="P37" s="25"/>
    </row>
    <row r="38" spans="2:16" ht="18" customHeight="1" x14ac:dyDescent="0.3">
      <c r="B38" s="67" t="s">
        <v>61</v>
      </c>
      <c r="C38" s="84">
        <f>IF(C28=0,0,(C28-(SUM(C30,C31,C32)/UTILIZACION)-SUM(C34,C33))/C28)</f>
        <v>0.20818773576332339</v>
      </c>
      <c r="D38" s="25"/>
      <c r="E38" s="25"/>
      <c r="F38" s="25"/>
      <c r="G38" s="25"/>
      <c r="H38" s="25"/>
      <c r="I38" s="25"/>
      <c r="J38" s="25"/>
      <c r="K38" s="25"/>
      <c r="L38" s="25"/>
      <c r="M38" s="25"/>
      <c r="N38" s="25"/>
      <c r="O38" s="25"/>
      <c r="P38" s="25"/>
    </row>
    <row r="39" spans="2:16" ht="13.5" customHeight="1" x14ac:dyDescent="0.3">
      <c r="B39" s="25"/>
      <c r="C39" s="25"/>
      <c r="D39" s="25"/>
      <c r="E39" s="25"/>
      <c r="F39" s="25"/>
      <c r="G39" s="25"/>
      <c r="H39" s="25"/>
      <c r="I39" s="25"/>
      <c r="J39" s="25"/>
      <c r="K39" s="25"/>
      <c r="L39" s="25"/>
      <c r="M39" s="25"/>
      <c r="N39" s="25"/>
      <c r="O39" s="25"/>
      <c r="P39" s="25"/>
    </row>
    <row r="40" spans="2:16" ht="20.149999999999999" customHeight="1" x14ac:dyDescent="0.3">
      <c r="B40" s="66" t="s">
        <v>62</v>
      </c>
      <c r="C40" s="66" t="s">
        <v>63</v>
      </c>
      <c r="D40" s="66"/>
      <c r="E40" s="25"/>
      <c r="F40" s="25"/>
      <c r="G40" s="25"/>
      <c r="H40" s="25"/>
      <c r="I40" s="25"/>
      <c r="J40" s="25"/>
      <c r="K40" s="25"/>
      <c r="L40" s="25"/>
      <c r="M40" s="25"/>
      <c r="N40" s="25"/>
      <c r="O40" s="25"/>
      <c r="P40" s="25"/>
    </row>
    <row r="41" spans="2:16" ht="103.5" customHeight="1" x14ac:dyDescent="0.35">
      <c r="B41" s="317"/>
      <c r="C41" s="318"/>
      <c r="D41" s="319"/>
      <c r="E41" s="85"/>
      <c r="F41" s="25"/>
      <c r="G41" s="25"/>
      <c r="H41" s="25"/>
      <c r="I41" s="25"/>
      <c r="J41" s="25"/>
      <c r="K41" s="25"/>
      <c r="L41" s="25"/>
      <c r="M41" s="25"/>
      <c r="N41" s="25"/>
      <c r="O41" s="25"/>
      <c r="P41" s="25"/>
    </row>
    <row r="42" spans="2:16" ht="20.149999999999999" customHeight="1" x14ac:dyDescent="0.3">
      <c r="B42" s="25"/>
      <c r="C42" s="25"/>
      <c r="D42" s="25"/>
      <c r="E42" s="25"/>
      <c r="F42" s="25"/>
      <c r="G42" s="25"/>
      <c r="H42" s="25"/>
      <c r="I42" s="25"/>
      <c r="J42" s="25"/>
      <c r="K42" s="25"/>
      <c r="L42" s="25"/>
      <c r="M42" s="25"/>
      <c r="N42" s="25"/>
      <c r="O42" s="25"/>
      <c r="P42" s="25"/>
    </row>
    <row r="43" spans="2:16" ht="20.25" customHeight="1" x14ac:dyDescent="0.3">
      <c r="B43" s="75" t="s">
        <v>64</v>
      </c>
      <c r="C43" s="76"/>
      <c r="D43" s="25"/>
      <c r="E43" s="25"/>
      <c r="F43" s="25"/>
      <c r="G43" s="25"/>
      <c r="H43" s="25"/>
      <c r="I43" s="25"/>
      <c r="J43" s="25"/>
      <c r="K43" s="25"/>
      <c r="L43" s="25"/>
      <c r="M43" s="25"/>
      <c r="N43" s="25"/>
      <c r="O43" s="25"/>
      <c r="P43" s="25"/>
    </row>
    <row r="44" spans="2:16" ht="7.5" customHeight="1" x14ac:dyDescent="0.3">
      <c r="B44" s="77"/>
      <c r="C44" s="77"/>
      <c r="D44" s="25"/>
      <c r="E44" s="25"/>
      <c r="F44" s="25"/>
      <c r="G44" s="25"/>
      <c r="H44" s="25"/>
      <c r="I44" s="25"/>
      <c r="J44" s="25"/>
      <c r="K44" s="25"/>
      <c r="L44" s="25"/>
      <c r="M44" s="25"/>
      <c r="N44" s="25"/>
      <c r="O44" s="25"/>
      <c r="P44" s="25"/>
    </row>
    <row r="45" spans="2:16" ht="16" customHeight="1" x14ac:dyDescent="0.3">
      <c r="B45" s="67" t="s">
        <v>65</v>
      </c>
      <c r="C45" s="14"/>
      <c r="D45" s="25"/>
      <c r="E45" s="25"/>
      <c r="F45" s="25"/>
      <c r="G45" s="25"/>
      <c r="H45" s="25"/>
      <c r="I45" s="25"/>
      <c r="J45" s="25"/>
      <c r="K45" s="25"/>
      <c r="L45" s="25"/>
      <c r="M45" s="25"/>
      <c r="N45" s="25"/>
      <c r="O45" s="25"/>
      <c r="P45" s="25"/>
    </row>
    <row r="46" spans="2:16" ht="16" customHeight="1" x14ac:dyDescent="0.3">
      <c r="B46" s="67" t="s">
        <v>66</v>
      </c>
      <c r="C46" s="15"/>
      <c r="D46" s="25"/>
      <c r="E46" s="25"/>
      <c r="F46" s="25"/>
      <c r="G46" s="25"/>
      <c r="H46" s="25"/>
      <c r="I46" s="25"/>
      <c r="J46" s="25"/>
      <c r="K46" s="25"/>
      <c r="L46" s="25"/>
      <c r="M46" s="25"/>
      <c r="N46" s="25"/>
      <c r="O46" s="25"/>
      <c r="P46" s="25"/>
    </row>
    <row r="47" spans="2:16" ht="16" customHeight="1" x14ac:dyDescent="0.3">
      <c r="B47" s="67" t="s">
        <v>67</v>
      </c>
      <c r="C47" s="16"/>
      <c r="D47" s="25"/>
      <c r="E47" s="25"/>
      <c r="F47" s="25"/>
      <c r="G47" s="25"/>
      <c r="H47" s="25"/>
      <c r="I47" s="25"/>
      <c r="J47" s="25"/>
      <c r="K47" s="25"/>
      <c r="L47" s="25"/>
      <c r="M47" s="25"/>
      <c r="N47" s="25"/>
      <c r="O47" s="25"/>
      <c r="P47" s="25"/>
    </row>
    <row r="48" spans="2:16" ht="16" customHeight="1" x14ac:dyDescent="0.3">
      <c r="B48" s="67" t="s">
        <v>68</v>
      </c>
      <c r="C48" s="16"/>
      <c r="D48" s="25"/>
      <c r="E48" s="25"/>
      <c r="F48" s="25"/>
      <c r="G48" s="25"/>
      <c r="H48" s="25"/>
      <c r="I48" s="25"/>
      <c r="J48" s="25"/>
      <c r="K48" s="25"/>
      <c r="L48" s="25"/>
      <c r="M48" s="25"/>
      <c r="N48" s="25"/>
      <c r="O48" s="25"/>
      <c r="P48" s="25"/>
    </row>
    <row r="49" spans="2:16" ht="16" customHeight="1" x14ac:dyDescent="0.3">
      <c r="B49" s="67" t="s">
        <v>69</v>
      </c>
      <c r="C49" s="16"/>
      <c r="D49" s="25"/>
      <c r="E49" s="25"/>
      <c r="F49" s="25"/>
      <c r="G49" s="25"/>
      <c r="H49" s="25"/>
      <c r="I49" s="25"/>
      <c r="J49" s="25"/>
      <c r="K49" s="25"/>
      <c r="L49" s="25"/>
      <c r="M49" s="25"/>
      <c r="N49" s="25"/>
      <c r="O49" s="25"/>
      <c r="P49" s="25"/>
    </row>
    <row r="50" spans="2:16" ht="16" customHeight="1" x14ac:dyDescent="0.3">
      <c r="B50" s="78" t="s">
        <v>59</v>
      </c>
      <c r="C50" s="79">
        <f>SUM(C47:C49)</f>
        <v>0</v>
      </c>
      <c r="D50" s="25"/>
      <c r="E50" s="25"/>
      <c r="F50" s="25"/>
      <c r="G50" s="25"/>
      <c r="H50" s="25"/>
      <c r="I50" s="25"/>
      <c r="J50" s="25"/>
      <c r="K50" s="25"/>
      <c r="L50" s="25"/>
      <c r="M50" s="25"/>
      <c r="N50" s="25"/>
      <c r="O50" s="25"/>
      <c r="P50" s="25"/>
    </row>
    <row r="51" spans="2:16" ht="7.5" customHeight="1" x14ac:dyDescent="0.3">
      <c r="B51" s="80"/>
      <c r="C51" s="81"/>
      <c r="D51" s="25"/>
      <c r="E51" s="25"/>
      <c r="F51" s="25"/>
      <c r="G51" s="25"/>
      <c r="H51" s="25"/>
      <c r="I51" s="25"/>
      <c r="J51" s="25"/>
      <c r="K51" s="25"/>
      <c r="L51" s="25"/>
      <c r="M51" s="25"/>
      <c r="N51" s="25"/>
      <c r="O51" s="25"/>
      <c r="P51" s="25"/>
    </row>
    <row r="52" spans="2:16" ht="18" customHeight="1" x14ac:dyDescent="0.3">
      <c r="B52" s="67" t="s">
        <v>70</v>
      </c>
      <c r="C52" s="83">
        <f>IF(C45=0,0,(C45-C50)/C45)</f>
        <v>0</v>
      </c>
      <c r="D52" s="25"/>
      <c r="E52" s="25"/>
      <c r="F52" s="25"/>
      <c r="G52" s="25"/>
      <c r="H52" s="25"/>
      <c r="I52" s="25"/>
      <c r="J52" s="25"/>
      <c r="K52" s="25"/>
      <c r="L52" s="25"/>
      <c r="M52" s="25"/>
      <c r="N52" s="25"/>
      <c r="O52" s="25"/>
      <c r="P52" s="25"/>
    </row>
    <row r="53" spans="2:16" ht="7.5" customHeight="1" x14ac:dyDescent="0.3">
      <c r="B53" s="189"/>
      <c r="C53" s="190"/>
      <c r="D53" s="25"/>
      <c r="E53" s="25"/>
      <c r="F53" s="25"/>
      <c r="G53" s="25"/>
      <c r="H53" s="25"/>
      <c r="I53" s="25"/>
      <c r="J53" s="25"/>
      <c r="K53" s="25"/>
      <c r="L53" s="25"/>
      <c r="M53" s="25"/>
      <c r="N53" s="25"/>
      <c r="O53" s="25"/>
      <c r="P53" s="25"/>
    </row>
    <row r="54" spans="2:16" ht="16" customHeight="1" x14ac:dyDescent="0.3">
      <c r="B54" s="67" t="s">
        <v>71</v>
      </c>
      <c r="C54" s="14"/>
      <c r="D54" s="25"/>
      <c r="E54" s="25"/>
      <c r="F54" s="25"/>
      <c r="G54" s="25"/>
      <c r="H54" s="25"/>
      <c r="I54" s="25"/>
      <c r="J54" s="25"/>
      <c r="K54" s="25"/>
      <c r="L54" s="25"/>
      <c r="M54" s="25"/>
      <c r="N54" s="25"/>
      <c r="O54" s="25"/>
      <c r="P54" s="25"/>
    </row>
    <row r="55" spans="2:16" ht="13.5" customHeight="1" x14ac:dyDescent="0.3">
      <c r="B55" s="25"/>
      <c r="C55" s="25"/>
      <c r="D55" s="25"/>
      <c r="E55" s="25"/>
      <c r="F55" s="25"/>
      <c r="G55" s="25"/>
      <c r="H55" s="25"/>
      <c r="I55" s="25"/>
      <c r="J55" s="25"/>
      <c r="K55" s="25"/>
      <c r="L55" s="25"/>
      <c r="M55" s="25"/>
      <c r="N55" s="25"/>
      <c r="O55" s="25"/>
      <c r="P55" s="25"/>
    </row>
    <row r="56" spans="2:16" ht="20.149999999999999" customHeight="1" x14ac:dyDescent="0.3">
      <c r="B56" s="66" t="s">
        <v>72</v>
      </c>
      <c r="C56" s="66"/>
      <c r="D56" s="66"/>
      <c r="E56" s="25"/>
      <c r="F56" s="25"/>
      <c r="G56" s="25"/>
      <c r="H56" s="25"/>
      <c r="I56" s="25"/>
      <c r="J56" s="25"/>
      <c r="K56" s="25"/>
      <c r="L56" s="25"/>
      <c r="M56" s="25"/>
      <c r="N56" s="25"/>
      <c r="O56" s="25"/>
      <c r="P56" s="25"/>
    </row>
    <row r="57" spans="2:16" ht="103.5" customHeight="1" x14ac:dyDescent="0.35">
      <c r="B57" s="317"/>
      <c r="C57" s="318"/>
      <c r="D57" s="319"/>
      <c r="E57" s="85"/>
      <c r="F57" s="25"/>
      <c r="G57" s="25"/>
      <c r="H57" s="25"/>
      <c r="I57" s="25"/>
      <c r="J57" s="25"/>
      <c r="K57" s="25"/>
      <c r="L57" s="25"/>
      <c r="M57" s="25"/>
      <c r="N57" s="25"/>
      <c r="O57" s="25"/>
      <c r="P57" s="25"/>
    </row>
    <row r="58" spans="2:16" ht="20.149999999999999" customHeight="1" x14ac:dyDescent="0.3">
      <c r="B58" s="25"/>
      <c r="C58" s="25"/>
      <c r="D58" s="25"/>
      <c r="E58" s="25"/>
      <c r="F58" s="25"/>
      <c r="G58" s="25"/>
      <c r="H58" s="25"/>
      <c r="I58" s="25"/>
      <c r="J58" s="25"/>
      <c r="K58" s="25"/>
      <c r="L58" s="25"/>
      <c r="M58" s="25"/>
      <c r="N58" s="25"/>
      <c r="O58" s="25"/>
      <c r="P58" s="25"/>
    </row>
    <row r="59" spans="2:16" ht="20.149999999999999" customHeight="1" x14ac:dyDescent="0.3">
      <c r="C59" s="25"/>
      <c r="D59" s="25"/>
      <c r="E59" s="25"/>
      <c r="F59" s="25"/>
      <c r="G59" s="25"/>
      <c r="H59" s="25"/>
      <c r="I59" s="25"/>
      <c r="J59" s="25"/>
      <c r="K59" s="25"/>
      <c r="L59" s="25"/>
      <c r="M59" s="25"/>
      <c r="N59" s="25"/>
      <c r="O59" s="25"/>
      <c r="P59" s="25"/>
    </row>
    <row r="60" spans="2:16" ht="20.149999999999999" hidden="1" customHeight="1" x14ac:dyDescent="0.3">
      <c r="B60" s="144" t="s">
        <v>73</v>
      </c>
      <c r="C60" s="25"/>
      <c r="D60" s="25"/>
      <c r="E60" s="25"/>
      <c r="F60" s="25"/>
      <c r="G60" s="25"/>
      <c r="H60" s="25"/>
      <c r="I60" s="25"/>
      <c r="J60" s="25"/>
      <c r="K60" s="25"/>
      <c r="L60" s="25"/>
      <c r="M60" s="25"/>
      <c r="N60" s="25"/>
      <c r="O60" s="25"/>
      <c r="P60" s="25"/>
    </row>
    <row r="61" spans="2:16" ht="12.75" hidden="1" customHeight="1" x14ac:dyDescent="0.3">
      <c r="B61" s="22" t="s">
        <v>74</v>
      </c>
      <c r="C61" s="25"/>
      <c r="D61" s="25"/>
      <c r="E61" s="25"/>
      <c r="F61" s="25"/>
      <c r="G61" s="25"/>
      <c r="H61" s="25"/>
      <c r="I61" s="25"/>
      <c r="J61" s="25"/>
      <c r="K61" s="25"/>
      <c r="L61" s="25"/>
      <c r="M61" s="25"/>
      <c r="N61" s="25"/>
      <c r="O61" s="25"/>
      <c r="P61" s="25"/>
    </row>
    <row r="62" spans="2:16" ht="12.75" hidden="1" customHeight="1" x14ac:dyDescent="0.3">
      <c r="B62" s="22" t="s">
        <v>75</v>
      </c>
      <c r="C62" s="25"/>
      <c r="D62" s="25"/>
      <c r="E62" s="25"/>
      <c r="F62" s="25"/>
      <c r="G62" s="25"/>
      <c r="H62" s="25"/>
      <c r="I62" s="25"/>
      <c r="J62" s="25"/>
      <c r="K62" s="25"/>
      <c r="L62" s="25"/>
      <c r="M62" s="25"/>
      <c r="N62" s="25"/>
      <c r="O62" s="25"/>
      <c r="P62" s="25"/>
    </row>
    <row r="63" spans="2:16" hidden="1" x14ac:dyDescent="0.3">
      <c r="B63" s="22" t="s">
        <v>76</v>
      </c>
    </row>
    <row r="64" spans="2:16" ht="12.75" hidden="1" customHeight="1" x14ac:dyDescent="0.3">
      <c r="B64" s="22" t="s">
        <v>77</v>
      </c>
      <c r="C64" s="25"/>
      <c r="D64" s="25"/>
      <c r="E64" s="25"/>
      <c r="F64" s="25"/>
      <c r="G64" s="25"/>
      <c r="H64" s="25"/>
      <c r="I64" s="25"/>
      <c r="J64" s="25"/>
      <c r="K64" s="25"/>
      <c r="L64" s="25"/>
      <c r="M64" s="25"/>
      <c r="N64" s="25"/>
      <c r="O64" s="25"/>
      <c r="P64" s="25"/>
    </row>
    <row r="65" spans="2:16" hidden="1" x14ac:dyDescent="0.3">
      <c r="B65" s="22" t="s">
        <v>78</v>
      </c>
    </row>
    <row r="66" spans="2:16" ht="12.75" hidden="1" customHeight="1" x14ac:dyDescent="0.3">
      <c r="B66" s="22" t="s">
        <v>79</v>
      </c>
    </row>
    <row r="67" spans="2:16" ht="12.75" hidden="1" customHeight="1" x14ac:dyDescent="0.3">
      <c r="B67" s="22" t="s">
        <v>80</v>
      </c>
      <c r="C67" s="25"/>
      <c r="D67" s="25"/>
      <c r="E67" s="25"/>
      <c r="F67" s="25"/>
      <c r="G67" s="25"/>
      <c r="H67" s="25"/>
      <c r="I67" s="25"/>
      <c r="J67" s="25"/>
      <c r="K67" s="25"/>
      <c r="L67" s="25"/>
      <c r="M67" s="25"/>
      <c r="N67" s="25"/>
      <c r="O67" s="25"/>
      <c r="P67" s="25"/>
    </row>
    <row r="68" spans="2:16" ht="12.75" hidden="1" customHeight="1" x14ac:dyDescent="0.3">
      <c r="B68" s="22" t="s">
        <v>81</v>
      </c>
    </row>
    <row r="69" spans="2:16" ht="12.75" hidden="1" customHeight="1" x14ac:dyDescent="0.3">
      <c r="B69" s="22" t="s">
        <v>82</v>
      </c>
    </row>
    <row r="70" spans="2:16" hidden="1" x14ac:dyDescent="0.3">
      <c r="B70" s="22" t="s">
        <v>83</v>
      </c>
    </row>
    <row r="71" spans="2:16" ht="12.75" hidden="1" customHeight="1" x14ac:dyDescent="0.3">
      <c r="B71" s="22" t="s">
        <v>84</v>
      </c>
    </row>
    <row r="72" spans="2:16" ht="12.75" hidden="1" customHeight="1" x14ac:dyDescent="0.3">
      <c r="B72" s="22" t="s">
        <v>85</v>
      </c>
      <c r="C72" s="25"/>
      <c r="D72" s="25"/>
      <c r="E72" s="25"/>
      <c r="F72" s="25"/>
      <c r="G72" s="25"/>
      <c r="H72" s="25"/>
      <c r="I72" s="25"/>
      <c r="J72" s="25"/>
      <c r="K72" s="25"/>
      <c r="L72" s="25"/>
      <c r="M72" s="25"/>
      <c r="N72" s="25"/>
      <c r="O72" s="25"/>
      <c r="P72" s="25"/>
    </row>
    <row r="73" spans="2:16" ht="12.75" hidden="1" customHeight="1" x14ac:dyDescent="0.3">
      <c r="B73" s="22" t="s">
        <v>86</v>
      </c>
    </row>
    <row r="74" spans="2:16" ht="12.75" hidden="1" customHeight="1" x14ac:dyDescent="0.3">
      <c r="B74" s="22" t="s">
        <v>87</v>
      </c>
      <c r="C74" s="25"/>
      <c r="D74" s="25"/>
      <c r="E74" s="25"/>
      <c r="F74" s="25"/>
      <c r="G74" s="25"/>
      <c r="H74" s="25"/>
      <c r="I74" s="25"/>
      <c r="J74" s="25"/>
      <c r="K74" s="25"/>
      <c r="L74" s="25"/>
      <c r="M74" s="25"/>
      <c r="N74" s="25"/>
      <c r="O74" s="25"/>
      <c r="P74" s="25"/>
    </row>
    <row r="75" spans="2:16" ht="12.75" hidden="1" customHeight="1" x14ac:dyDescent="0.3">
      <c r="B75" s="22" t="s">
        <v>88</v>
      </c>
      <c r="C75" s="25"/>
      <c r="D75" s="25"/>
      <c r="E75" s="25"/>
      <c r="F75" s="25"/>
      <c r="G75" s="25"/>
      <c r="H75" s="25"/>
      <c r="I75" s="25"/>
      <c r="J75" s="25"/>
      <c r="K75" s="25"/>
      <c r="L75" s="25"/>
      <c r="M75" s="25"/>
      <c r="N75" s="25"/>
      <c r="O75" s="25"/>
      <c r="P75" s="25"/>
    </row>
    <row r="76" spans="2:16" ht="12.75" hidden="1" customHeight="1" x14ac:dyDescent="0.3">
      <c r="B76" s="22" t="s">
        <v>89</v>
      </c>
    </row>
    <row r="77" spans="2:16" ht="12.75" hidden="1" customHeight="1" x14ac:dyDescent="0.3">
      <c r="C77" s="25"/>
      <c r="D77" s="25"/>
      <c r="E77" s="25"/>
      <c r="F77" s="25"/>
      <c r="G77" s="25"/>
      <c r="H77" s="25"/>
      <c r="I77" s="25"/>
      <c r="J77" s="25"/>
      <c r="K77" s="25"/>
      <c r="L77" s="25"/>
      <c r="M77" s="25"/>
      <c r="N77" s="25"/>
      <c r="O77" s="25"/>
      <c r="P77" s="25"/>
    </row>
    <row r="78" spans="2:16" hidden="1" x14ac:dyDescent="0.3"/>
    <row r="79" spans="2:16" hidden="1" x14ac:dyDescent="0.3"/>
  </sheetData>
  <sheetProtection algorithmName="SHA-512" hashValue="L/PytlHXysUja1fuEwc4CVxTTwThzT7ViZqWoeN7Lff/JE84xo+tUlRZt8VdnXBtqxH4iJmJYixTSVpHiQGPvg==" saltValue="dWZwxsZIuEEVXAy1ZAseCg==" spinCount="100000" sheet="1" objects="1" scenarios="1"/>
  <mergeCells count="6">
    <mergeCell ref="C12:D12"/>
    <mergeCell ref="B3:D3"/>
    <mergeCell ref="B41:D41"/>
    <mergeCell ref="B57:D57"/>
    <mergeCell ref="C11:G11"/>
    <mergeCell ref="C13:D13"/>
  </mergeCells>
  <dataValidations count="1">
    <dataValidation type="list" allowBlank="1" showInputMessage="1" showErrorMessage="1" sqref="C12:D12" xr:uid="{00000000-0002-0000-0000-000000000000}">
      <formula1>$B$61:$B$77</formula1>
    </dataValidation>
  </dataValidations>
  <pageMargins left="0.70866141732283472" right="0.70866141732283472" top="0.74803149606299213" bottom="0.74803149606299213" header="0.31496062992125978" footer="0.31496062992125978"/>
  <pageSetup paperSize="9" scale="66"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B2:AB49"/>
  <sheetViews>
    <sheetView showGridLines="0" zoomScale="70" zoomScaleNormal="70" workbookViewId="0">
      <selection activeCell="K18" sqref="K18:K33"/>
    </sheetView>
  </sheetViews>
  <sheetFormatPr baseColWidth="10" defaultColWidth="9.1796875" defaultRowHeight="13.5" x14ac:dyDescent="0.3"/>
  <cols>
    <col min="1" max="1" width="2.1796875" style="22" customWidth="1"/>
    <col min="2" max="2" width="20.453125" style="22" customWidth="1"/>
    <col min="3" max="3" width="22.1796875" style="22" customWidth="1"/>
    <col min="4" max="4" width="20.81640625" style="22" customWidth="1"/>
    <col min="5" max="5" width="65.453125" style="22" customWidth="1"/>
    <col min="6" max="13" width="26.7265625" style="22" customWidth="1"/>
    <col min="14" max="14" width="11.453125" style="22" bestFit="1" customWidth="1"/>
    <col min="15" max="15" width="12.26953125" style="22" bestFit="1" customWidth="1"/>
    <col min="16" max="16" width="23.1796875" style="22" customWidth="1"/>
    <col min="17" max="17" width="5.26953125" style="22" customWidth="1"/>
    <col min="18" max="18" width="41.7265625" style="22" customWidth="1"/>
    <col min="19" max="19" width="9.1796875" style="22" customWidth="1"/>
    <col min="20" max="20" width="9.1796875" style="22" hidden="1" customWidth="1"/>
    <col min="21" max="21" width="13" style="22" hidden="1" customWidth="1"/>
    <col min="22" max="22" width="9.1796875" style="22" hidden="1" customWidth="1"/>
    <col min="23" max="23" width="14.26953125" style="22" hidden="1" customWidth="1"/>
    <col min="24" max="24" width="10.7265625" style="22" hidden="1" customWidth="1"/>
    <col min="25" max="26" width="9.1796875" style="22" hidden="1" customWidth="1"/>
    <col min="27" max="27" width="22.453125" style="22" hidden="1" customWidth="1"/>
    <col min="28" max="28" width="13" style="22" hidden="1" customWidth="1"/>
    <col min="29" max="29" width="9.1796875" style="22" customWidth="1"/>
    <col min="30" max="16384" width="9.1796875" style="22"/>
  </cols>
  <sheetData>
    <row r="2" spans="2:27" ht="21" customHeight="1" x14ac:dyDescent="0.3">
      <c r="B2" s="20" t="s">
        <v>0</v>
      </c>
      <c r="C2" s="21" t="str">
        <f>'Project Infor'!C10</f>
        <v>var2_SAP_PEP_WBS</v>
      </c>
      <c r="D2" s="20" t="str">
        <f>'Project Infor'!C11</f>
        <v>Smart Airport en la nueva terminal de Puerto Vallarta</v>
      </c>
      <c r="E2" s="21"/>
      <c r="F2" s="21"/>
      <c r="G2" s="21"/>
      <c r="H2" s="21"/>
    </row>
    <row r="3" spans="2:27" ht="9" customHeight="1" x14ac:dyDescent="0.3">
      <c r="C3" s="23"/>
      <c r="D3" s="23"/>
      <c r="E3" s="23"/>
      <c r="F3" s="23"/>
    </row>
    <row r="4" spans="2:27" ht="15" customHeight="1" x14ac:dyDescent="0.3">
      <c r="C4" s="24"/>
      <c r="D4" s="25"/>
      <c r="E4" s="25"/>
      <c r="F4" s="25"/>
      <c r="G4" s="25"/>
      <c r="H4" s="25"/>
      <c r="I4" s="25"/>
      <c r="J4" s="25"/>
      <c r="K4" s="25"/>
      <c r="L4" s="25"/>
      <c r="M4" s="25"/>
      <c r="N4" s="25"/>
      <c r="O4" s="25"/>
      <c r="P4" s="25"/>
      <c r="Q4" s="25"/>
      <c r="R4" s="25"/>
      <c r="S4" s="25"/>
    </row>
    <row r="5" spans="2:27" ht="20.149999999999999" customHeight="1" x14ac:dyDescent="0.3">
      <c r="B5" s="325" t="s">
        <v>90</v>
      </c>
      <c r="C5" s="313"/>
      <c r="D5" s="313"/>
      <c r="E5" s="313"/>
      <c r="F5" s="313"/>
      <c r="G5" s="313"/>
      <c r="H5" s="313"/>
      <c r="I5" s="313"/>
      <c r="J5" s="313"/>
      <c r="K5" s="313"/>
      <c r="L5" s="313"/>
      <c r="M5" s="313"/>
      <c r="N5" s="313"/>
      <c r="O5" s="313"/>
      <c r="P5" s="86"/>
      <c r="Q5" s="25"/>
      <c r="R5" s="86"/>
      <c r="S5" s="25"/>
      <c r="U5" s="173" t="s">
        <v>91</v>
      </c>
      <c r="V5" s="173" t="s">
        <v>92</v>
      </c>
      <c r="W5" s="173" t="s">
        <v>93</v>
      </c>
      <c r="X5" s="173" t="s">
        <v>94</v>
      </c>
      <c r="Y5" s="173" t="s">
        <v>95</v>
      </c>
      <c r="Z5" s="173" t="s">
        <v>96</v>
      </c>
      <c r="AA5" s="173" t="s">
        <v>97</v>
      </c>
    </row>
    <row r="6" spans="2:27" s="87" customFormat="1" ht="37" customHeight="1" x14ac:dyDescent="0.3">
      <c r="B6" s="26"/>
      <c r="C6" s="191"/>
      <c r="D6" s="191"/>
      <c r="E6" s="191"/>
      <c r="F6" s="27" t="s">
        <v>1</v>
      </c>
      <c r="G6" s="27" t="s">
        <v>2</v>
      </c>
      <c r="H6" s="28" t="s">
        <v>3</v>
      </c>
      <c r="I6" s="27" t="s">
        <v>4</v>
      </c>
      <c r="J6" s="27" t="s">
        <v>5</v>
      </c>
      <c r="K6" s="27" t="s">
        <v>6</v>
      </c>
      <c r="L6" s="27" t="s">
        <v>7</v>
      </c>
      <c r="M6" s="27" t="s">
        <v>8</v>
      </c>
      <c r="N6" s="28" t="s">
        <v>98</v>
      </c>
      <c r="O6" s="28" t="s">
        <v>11</v>
      </c>
      <c r="P6" s="88"/>
      <c r="Q6" s="89"/>
      <c r="R6" s="88"/>
      <c r="S6" s="89"/>
      <c r="U6" s="173"/>
    </row>
    <row r="7" spans="2:27" s="90" customFormat="1" ht="31.5" customHeight="1" thickBot="1" x14ac:dyDescent="0.4">
      <c r="B7" s="326" t="s">
        <v>99</v>
      </c>
      <c r="C7" s="327"/>
      <c r="D7" s="327"/>
      <c r="E7" s="327"/>
      <c r="F7" s="29">
        <f t="shared" ref="F7:L7" si="0">SUM(F12,F36)</f>
        <v>583896.55000000005</v>
      </c>
      <c r="G7" s="30">
        <f t="shared" si="0"/>
        <v>367515.14084000001</v>
      </c>
      <c r="H7" s="31">
        <f t="shared" si="0"/>
        <v>13570</v>
      </c>
      <c r="I7" s="32">
        <f t="shared" si="0"/>
        <v>18375.757042000001</v>
      </c>
      <c r="J7" s="32">
        <f t="shared" si="0"/>
        <v>0</v>
      </c>
      <c r="K7" s="32">
        <f t="shared" si="0"/>
        <v>7400</v>
      </c>
      <c r="L7" s="32">
        <f t="shared" si="0"/>
        <v>40000</v>
      </c>
      <c r="M7" s="29">
        <f>SUM(G7,I7,J7,K7,L7)</f>
        <v>433290.89788200002</v>
      </c>
      <c r="N7" s="33">
        <f>IF(F7=0,0,(F7-G7-J7-K7-I7-L7)/F7)</f>
        <v>0.2579320808078075</v>
      </c>
      <c r="O7" s="33">
        <f>IF(F7=0,0,(F7-G7/UTILIZACION-I7/UTILIZACION-J7/UTILIZACION-K7-L7)/F7)</f>
        <v>0.20818773576332344</v>
      </c>
      <c r="P7" s="86"/>
      <c r="Q7" s="23"/>
      <c r="R7" s="86"/>
      <c r="S7" s="23"/>
    </row>
    <row r="8" spans="2:27" s="90" customFormat="1" ht="36.75" customHeight="1" thickBot="1" x14ac:dyDescent="0.4">
      <c r="B8" s="323" t="s">
        <v>100</v>
      </c>
      <c r="C8" s="324"/>
      <c r="D8" s="324"/>
      <c r="E8" s="324"/>
      <c r="F8" s="34">
        <f>F7</f>
        <v>583896.55000000005</v>
      </c>
      <c r="G8" s="35">
        <f t="shared" ref="G8:M8" si="1">G7+G37</f>
        <v>367515.14084000001</v>
      </c>
      <c r="H8" s="34">
        <f t="shared" si="1"/>
        <v>13570</v>
      </c>
      <c r="I8" s="36">
        <f t="shared" si="1"/>
        <v>18375.757042000001</v>
      </c>
      <c r="J8" s="36">
        <f t="shared" si="1"/>
        <v>0</v>
      </c>
      <c r="K8" s="34">
        <f t="shared" si="1"/>
        <v>7400</v>
      </c>
      <c r="L8" s="36">
        <f t="shared" si="1"/>
        <v>40000</v>
      </c>
      <c r="M8" s="36">
        <f t="shared" si="1"/>
        <v>433290.89788200002</v>
      </c>
      <c r="N8" s="37">
        <f>IF(F8=0,0,(F8-G8-J8-K8-I8-L8)/F8)</f>
        <v>0.2579320808078075</v>
      </c>
      <c r="O8" s="38">
        <f>IF(F8=0,0,(F8-G8/UTILIZACION-I8/UTILIZACION-J8/UTILIZACION-K8-L8)/F8)</f>
        <v>0.20818773576332344</v>
      </c>
      <c r="P8" s="91">
        <f t="array" ref="P8">margendirectobaselineactual</f>
        <v>150605.65211800003</v>
      </c>
      <c r="Q8" s="23"/>
      <c r="R8" s="91"/>
      <c r="S8" s="23"/>
    </row>
    <row r="9" spans="2:27" s="90" customFormat="1" ht="22.5" customHeight="1" x14ac:dyDescent="0.3">
      <c r="B9" s="24"/>
      <c r="C9" s="24"/>
      <c r="D9" s="25"/>
      <c r="E9" s="25"/>
      <c r="F9" s="39"/>
      <c r="G9" s="40"/>
      <c r="H9" s="39"/>
      <c r="I9" s="40"/>
      <c r="J9" s="40"/>
      <c r="K9" s="39"/>
      <c r="L9" s="40"/>
      <c r="M9" s="41"/>
      <c r="N9" s="42"/>
      <c r="O9" s="42"/>
      <c r="P9" s="86"/>
      <c r="Q9" s="23"/>
      <c r="R9" s="86"/>
      <c r="S9" s="23"/>
    </row>
    <row r="10" spans="2:27" ht="20.149999999999999" customHeight="1" x14ac:dyDescent="0.3">
      <c r="B10" s="325" t="s">
        <v>101</v>
      </c>
      <c r="C10" s="313"/>
      <c r="D10" s="313"/>
      <c r="E10" s="313"/>
      <c r="F10" s="313"/>
      <c r="G10" s="313"/>
      <c r="H10" s="313"/>
      <c r="I10" s="313"/>
      <c r="J10" s="313"/>
      <c r="K10" s="313"/>
      <c r="L10" s="313"/>
      <c r="M10" s="313"/>
      <c r="N10" s="313"/>
      <c r="O10" s="313"/>
      <c r="P10" s="86"/>
      <c r="Q10" s="25"/>
      <c r="R10" s="86"/>
      <c r="S10" s="25"/>
      <c r="U10" s="173" t="s">
        <v>91</v>
      </c>
      <c r="V10" s="173" t="s">
        <v>92</v>
      </c>
      <c r="W10" s="173" t="s">
        <v>93</v>
      </c>
      <c r="X10" s="173" t="s">
        <v>94</v>
      </c>
      <c r="Y10" s="173" t="s">
        <v>95</v>
      </c>
      <c r="Z10" s="173" t="s">
        <v>96</v>
      </c>
      <c r="AA10" s="173" t="s">
        <v>97</v>
      </c>
    </row>
    <row r="11" spans="2:27" s="87" customFormat="1" ht="31.5" customHeight="1" x14ac:dyDescent="0.3">
      <c r="B11" s="43"/>
      <c r="C11" s="43" t="s">
        <v>102</v>
      </c>
      <c r="D11" s="44" t="s">
        <v>103</v>
      </c>
      <c r="E11" s="43" t="s">
        <v>32</v>
      </c>
      <c r="F11" s="27" t="s">
        <v>104</v>
      </c>
      <c r="G11" s="27" t="s">
        <v>2</v>
      </c>
      <c r="H11" s="28" t="s">
        <v>3</v>
      </c>
      <c r="I11" s="27" t="s">
        <v>4</v>
      </c>
      <c r="J11" s="27" t="s">
        <v>5</v>
      </c>
      <c r="K11" s="27" t="s">
        <v>6</v>
      </c>
      <c r="L11" s="27" t="s">
        <v>7</v>
      </c>
      <c r="M11" s="27" t="s">
        <v>8</v>
      </c>
      <c r="N11" s="28" t="s">
        <v>105</v>
      </c>
      <c r="O11" s="28" t="s">
        <v>11</v>
      </c>
      <c r="P11" s="89"/>
      <c r="Q11" s="89"/>
      <c r="R11" s="89"/>
      <c r="S11" s="89"/>
    </row>
    <row r="12" spans="2:27" ht="20.149999999999999" customHeight="1" x14ac:dyDescent="0.3">
      <c r="B12" s="45"/>
      <c r="C12" s="186"/>
      <c r="D12" s="46">
        <v>10</v>
      </c>
      <c r="E12" s="46" t="s">
        <v>106</v>
      </c>
      <c r="F12" s="47">
        <f>'Project Infor'!C28</f>
        <v>583896.55000000005</v>
      </c>
      <c r="G12" s="47">
        <f>'Project Infor'!C30</f>
        <v>367515.14084000001</v>
      </c>
      <c r="H12" s="47">
        <f>'Project Infor'!C29</f>
        <v>13570</v>
      </c>
      <c r="I12" s="47">
        <f>'Project Infor'!C31</f>
        <v>18375.757042000001</v>
      </c>
      <c r="J12" s="47">
        <f>'Project Infor'!C32</f>
        <v>0</v>
      </c>
      <c r="K12" s="47">
        <f>'Project Infor'!C33</f>
        <v>7400</v>
      </c>
      <c r="L12" s="47">
        <f>'Project Infor'!C34</f>
        <v>40000</v>
      </c>
      <c r="M12" s="47">
        <f>SUM(G12,I12,J12,K12,L12)</f>
        <v>433290.89788200002</v>
      </c>
      <c r="N12" s="48">
        <f>IF(F12=0,0,(F12-G12-J12-K12-I12-L12)/F12)</f>
        <v>0.2579320808078075</v>
      </c>
      <c r="O12" s="49">
        <f>IF(F12=0,0,(F12-G12/UTILIZACION-I12/UTILIZACION-J12/UTILIZACION-K12-L12)/F12)</f>
        <v>0.20818773576332344</v>
      </c>
      <c r="P12" s="25"/>
      <c r="Q12" s="25"/>
      <c r="R12" s="25"/>
      <c r="S12" s="25"/>
      <c r="T12" s="22" t="s">
        <v>107</v>
      </c>
    </row>
    <row r="13" spans="2:27" ht="20.149999999999999" customHeight="1" x14ac:dyDescent="0.3">
      <c r="C13" s="24"/>
      <c r="D13" s="25"/>
      <c r="E13" s="25"/>
      <c r="F13" s="25"/>
      <c r="G13" s="25"/>
      <c r="H13" s="25"/>
      <c r="I13" s="25"/>
      <c r="J13" s="25"/>
      <c r="K13" s="25"/>
      <c r="L13" s="25"/>
      <c r="M13" s="25"/>
      <c r="N13" s="25"/>
      <c r="O13" s="25"/>
      <c r="P13" s="25"/>
      <c r="Q13" s="25"/>
      <c r="R13" s="25"/>
      <c r="S13" s="25"/>
    </row>
    <row r="14" spans="2:27" ht="20.149999999999999" customHeight="1" x14ac:dyDescent="0.3">
      <c r="B14" s="325" t="s">
        <v>108</v>
      </c>
      <c r="C14" s="313"/>
      <c r="D14" s="313"/>
      <c r="E14" s="313"/>
      <c r="F14" s="313"/>
      <c r="G14" s="313"/>
      <c r="H14" s="313"/>
      <c r="I14" s="313"/>
      <c r="J14" s="313"/>
      <c r="K14" s="313"/>
      <c r="L14" s="313"/>
      <c r="M14" s="313"/>
      <c r="N14" s="313"/>
      <c r="O14" s="313"/>
      <c r="P14" s="25"/>
      <c r="Q14" s="25"/>
      <c r="R14" s="25"/>
      <c r="S14" s="25"/>
      <c r="U14" s="173" t="s">
        <v>91</v>
      </c>
      <c r="V14" s="173" t="s">
        <v>92</v>
      </c>
      <c r="W14" s="173" t="s">
        <v>93</v>
      </c>
      <c r="X14" s="173" t="s">
        <v>94</v>
      </c>
      <c r="Y14" s="173" t="s">
        <v>95</v>
      </c>
      <c r="Z14" s="173" t="s">
        <v>96</v>
      </c>
      <c r="AA14" s="173" t="s">
        <v>97</v>
      </c>
    </row>
    <row r="15" spans="2:27" s="87" customFormat="1" ht="31.5" customHeight="1" x14ac:dyDescent="0.3">
      <c r="B15" s="247" t="s">
        <v>109</v>
      </c>
      <c r="C15" s="247" t="s">
        <v>102</v>
      </c>
      <c r="D15" s="248" t="s">
        <v>103</v>
      </c>
      <c r="E15" s="247" t="s">
        <v>32</v>
      </c>
      <c r="F15" s="249" t="s">
        <v>1</v>
      </c>
      <c r="G15" s="249" t="s">
        <v>2</v>
      </c>
      <c r="H15" s="250" t="s">
        <v>3</v>
      </c>
      <c r="I15" s="249" t="s">
        <v>4</v>
      </c>
      <c r="J15" s="249" t="s">
        <v>5</v>
      </c>
      <c r="K15" s="249" t="s">
        <v>6</v>
      </c>
      <c r="L15" s="249" t="s">
        <v>7</v>
      </c>
      <c r="M15" s="27" t="s">
        <v>8</v>
      </c>
      <c r="N15" s="50" t="s">
        <v>105</v>
      </c>
      <c r="O15" s="50" t="s">
        <v>11</v>
      </c>
      <c r="P15" s="50" t="s">
        <v>110</v>
      </c>
      <c r="Q15" s="25"/>
      <c r="R15" s="44" t="s">
        <v>111</v>
      </c>
      <c r="S15" s="25"/>
      <c r="W15" s="174"/>
    </row>
    <row r="16" spans="2:27" s="68" customFormat="1" ht="20.149999999999999" customHeight="1" x14ac:dyDescent="0.3">
      <c r="B16" s="192"/>
      <c r="C16" s="3"/>
      <c r="D16" s="1"/>
      <c r="E16" s="4"/>
      <c r="F16" s="92"/>
      <c r="G16" s="92"/>
      <c r="H16" s="92"/>
      <c r="I16" s="92"/>
      <c r="J16" s="92"/>
      <c r="K16" s="92"/>
      <c r="L16" s="92"/>
      <c r="M16" s="18">
        <f t="shared" ref="M16:M37" si="2">SUM(G16,I16,J16,K16,L16)</f>
        <v>0</v>
      </c>
      <c r="N16" s="19">
        <f t="shared" ref="N16:N37" si="3">IF(F16=0,0,(F16-G16-J16-K16-I16-L16)/F16)</f>
        <v>0</v>
      </c>
      <c r="O16" s="19">
        <f t="shared" ref="O16:O35" si="4">IF(F16=0,0,(F16-G16/UTILIZACION-I16/UTILIZACION-J16/UTILIZACION-K16-L16)/F16)</f>
        <v>0</v>
      </c>
      <c r="P16" s="17"/>
      <c r="Q16" s="25"/>
      <c r="R16" s="17"/>
      <c r="S16" s="25"/>
      <c r="T16" s="175" t="str">
        <f t="shared" ref="T16:T35" si="5">IF(C16&lt;&gt;"",IF((YEAR(C16)&amp;MONTH(C16))&lt;(YEAR(Inicio)&amp;MONTH(Inicio)),YEAR(Inicio)&amp;MONTH(Inicio),YEAR(C16)&amp;MONTH(C16)),YEAR(C16)&amp;MONTH(C16))</f>
        <v>19001</v>
      </c>
      <c r="U16" s="174">
        <f t="shared" ref="U16:U35" si="6">AA16-Y16-X16-W16</f>
        <v>190605.65211800009</v>
      </c>
      <c r="V16" s="174"/>
      <c r="W16" s="174">
        <f>$G$12+SUM($G$16:G16)</f>
        <v>367515.14084000001</v>
      </c>
      <c r="X16" s="174">
        <f>$I$12+SUM($I$16:I16)+$J$12+SUM($J$16:J16)</f>
        <v>18375.757042000001</v>
      </c>
      <c r="Y16" s="174">
        <f>$K$12+SUM($K$16:K16)</f>
        <v>7400</v>
      </c>
      <c r="Z16" s="174">
        <f>$L$12+SUM($L$16:L16)</f>
        <v>40000</v>
      </c>
      <c r="AA16" s="174">
        <f>$F$12+SUM($F$16:F16)</f>
        <v>583896.55000000005</v>
      </c>
    </row>
    <row r="17" spans="2:27" s="68" customFormat="1" ht="20.149999999999999" customHeight="1" x14ac:dyDescent="0.3">
      <c r="B17" s="192"/>
      <c r="C17" s="3"/>
      <c r="D17" s="1"/>
      <c r="E17" s="93"/>
      <c r="F17" s="92"/>
      <c r="G17" s="92"/>
      <c r="H17" s="92"/>
      <c r="I17" s="92"/>
      <c r="J17" s="92"/>
      <c r="K17" s="92"/>
      <c r="L17" s="193"/>
      <c r="M17" s="18">
        <f t="shared" si="2"/>
        <v>0</v>
      </c>
      <c r="N17" s="19">
        <f t="shared" si="3"/>
        <v>0</v>
      </c>
      <c r="O17" s="19">
        <f t="shared" si="4"/>
        <v>0</v>
      </c>
      <c r="P17" s="17"/>
      <c r="Q17" s="25"/>
      <c r="R17" s="17"/>
      <c r="S17" s="25"/>
      <c r="T17" s="175" t="str">
        <f t="shared" si="5"/>
        <v>19001</v>
      </c>
      <c r="U17" s="174">
        <f t="shared" si="6"/>
        <v>190605.65211800009</v>
      </c>
      <c r="V17" s="174"/>
      <c r="W17" s="174">
        <f>$G$12+SUM($G$16:G17)</f>
        <v>367515.14084000001</v>
      </c>
      <c r="X17" s="174">
        <f>$I$12+SUM($I$16:I17)+$J$12+SUM($J$16:J17)</f>
        <v>18375.757042000001</v>
      </c>
      <c r="Y17" s="174">
        <f>$K$12+SUM($K$16:K17)</f>
        <v>7400</v>
      </c>
      <c r="Z17" s="174">
        <f>$L$12+SUM($L$16:L17)</f>
        <v>40000</v>
      </c>
      <c r="AA17" s="174">
        <f>$F$12+SUM($F$16:F17)</f>
        <v>583896.55000000005</v>
      </c>
    </row>
    <row r="18" spans="2:27" s="68" customFormat="1" ht="20.149999999999999" customHeight="1" x14ac:dyDescent="0.3">
      <c r="B18" s="192"/>
      <c r="C18" s="3"/>
      <c r="D18" s="1"/>
      <c r="E18" s="4"/>
      <c r="F18" s="92"/>
      <c r="G18" s="92"/>
      <c r="H18" s="92"/>
      <c r="I18" s="92"/>
      <c r="J18" s="92"/>
      <c r="K18" s="92"/>
      <c r="L18" s="92"/>
      <c r="M18" s="18">
        <f t="shared" si="2"/>
        <v>0</v>
      </c>
      <c r="N18" s="19">
        <f t="shared" si="3"/>
        <v>0</v>
      </c>
      <c r="O18" s="19">
        <f t="shared" si="4"/>
        <v>0</v>
      </c>
      <c r="P18" s="17"/>
      <c r="Q18" s="25"/>
      <c r="R18" s="17"/>
      <c r="S18" s="25"/>
      <c r="T18" s="175" t="str">
        <f t="shared" si="5"/>
        <v>19001</v>
      </c>
      <c r="U18" s="174">
        <f t="shared" si="6"/>
        <v>190605.65211800009</v>
      </c>
      <c r="V18" s="174"/>
      <c r="W18" s="174">
        <f>$G$12+SUM($G$16:G18)</f>
        <v>367515.14084000001</v>
      </c>
      <c r="X18" s="174">
        <f>$I$12+SUM($I$16:I18)+$J$12+SUM($J$16:J18)</f>
        <v>18375.757042000001</v>
      </c>
      <c r="Y18" s="174">
        <f>$K$12+SUM($K$16:K18)</f>
        <v>7400</v>
      </c>
      <c r="Z18" s="174">
        <f>$L$12+SUM($L$16:L18)</f>
        <v>40000</v>
      </c>
      <c r="AA18" s="174">
        <f>$F$12+SUM($F$16:F18)</f>
        <v>583896.55000000005</v>
      </c>
    </row>
    <row r="19" spans="2:27" s="68" customFormat="1" ht="20.149999999999999" customHeight="1" x14ac:dyDescent="0.3">
      <c r="B19" s="192"/>
      <c r="C19" s="3"/>
      <c r="D19" s="1"/>
      <c r="E19" s="4"/>
      <c r="F19" s="92"/>
      <c r="G19" s="92"/>
      <c r="H19" s="92"/>
      <c r="I19" s="92"/>
      <c r="J19" s="92"/>
      <c r="K19" s="92"/>
      <c r="L19" s="92"/>
      <c r="M19" s="18">
        <f t="shared" si="2"/>
        <v>0</v>
      </c>
      <c r="N19" s="19">
        <f t="shared" si="3"/>
        <v>0</v>
      </c>
      <c r="O19" s="19">
        <f t="shared" si="4"/>
        <v>0</v>
      </c>
      <c r="P19" s="17"/>
      <c r="Q19" s="25"/>
      <c r="R19" s="17"/>
      <c r="S19" s="25"/>
      <c r="T19" s="175" t="str">
        <f t="shared" si="5"/>
        <v>19001</v>
      </c>
      <c r="U19" s="174">
        <f t="shared" si="6"/>
        <v>190605.65211800009</v>
      </c>
      <c r="V19" s="174"/>
      <c r="W19" s="174">
        <f>$G$12+SUM($G$16:G19)</f>
        <v>367515.14084000001</v>
      </c>
      <c r="X19" s="174">
        <f>$I$12+SUM($I$16:I19)+$J$12+SUM($J$16:J19)</f>
        <v>18375.757042000001</v>
      </c>
      <c r="Y19" s="174">
        <f>$K$12+SUM($K$16:K19)</f>
        <v>7400</v>
      </c>
      <c r="Z19" s="174">
        <f>$L$12+SUM($L$16:L19)</f>
        <v>40000</v>
      </c>
      <c r="AA19" s="174">
        <f>$F$12+SUM($F$16:F19)</f>
        <v>583896.55000000005</v>
      </c>
    </row>
    <row r="20" spans="2:27" s="68" customFormat="1" ht="20.149999999999999" customHeight="1" x14ac:dyDescent="0.3">
      <c r="B20" s="192"/>
      <c r="C20" s="3"/>
      <c r="D20" s="1"/>
      <c r="E20" s="4"/>
      <c r="F20" s="92"/>
      <c r="G20" s="92"/>
      <c r="H20" s="92"/>
      <c r="I20" s="92"/>
      <c r="J20" s="92"/>
      <c r="K20" s="92"/>
      <c r="L20" s="92"/>
      <c r="M20" s="18">
        <f t="shared" si="2"/>
        <v>0</v>
      </c>
      <c r="N20" s="19">
        <f t="shared" si="3"/>
        <v>0</v>
      </c>
      <c r="O20" s="19">
        <f t="shared" si="4"/>
        <v>0</v>
      </c>
      <c r="P20" s="17"/>
      <c r="Q20" s="25"/>
      <c r="R20" s="17"/>
      <c r="S20" s="25"/>
      <c r="T20" s="175" t="str">
        <f t="shared" si="5"/>
        <v>19001</v>
      </c>
      <c r="U20" s="174">
        <f t="shared" si="6"/>
        <v>190605.65211800009</v>
      </c>
      <c r="V20" s="174"/>
      <c r="W20" s="174">
        <f>$G$12+SUM($G$16:G20)</f>
        <v>367515.14084000001</v>
      </c>
      <c r="X20" s="174">
        <f>$I$12+SUM($I$16:I20)+$J$12+SUM($J$16:J20)</f>
        <v>18375.757042000001</v>
      </c>
      <c r="Y20" s="174">
        <f>$K$12+SUM($K$16:K20)</f>
        <v>7400</v>
      </c>
      <c r="Z20" s="174">
        <f>$L$12+SUM($L$16:L20)</f>
        <v>40000</v>
      </c>
      <c r="AA20" s="174">
        <f>$F$12+SUM($F$16:F20)</f>
        <v>583896.55000000005</v>
      </c>
    </row>
    <row r="21" spans="2:27" s="68" customFormat="1" ht="20.149999999999999" customHeight="1" x14ac:dyDescent="0.3">
      <c r="B21" s="192"/>
      <c r="C21" s="3"/>
      <c r="D21" s="1"/>
      <c r="E21" s="4"/>
      <c r="F21" s="92"/>
      <c r="G21" s="92"/>
      <c r="H21" s="92"/>
      <c r="I21" s="92"/>
      <c r="J21" s="92"/>
      <c r="K21" s="92"/>
      <c r="L21" s="92"/>
      <c r="M21" s="18">
        <f t="shared" si="2"/>
        <v>0</v>
      </c>
      <c r="N21" s="19">
        <f t="shared" si="3"/>
        <v>0</v>
      </c>
      <c r="O21" s="19">
        <f t="shared" si="4"/>
        <v>0</v>
      </c>
      <c r="P21" s="17"/>
      <c r="Q21" s="25"/>
      <c r="R21" s="17"/>
      <c r="S21" s="25"/>
      <c r="T21" s="175" t="str">
        <f t="shared" si="5"/>
        <v>19001</v>
      </c>
      <c r="U21" s="174">
        <f t="shared" si="6"/>
        <v>190605.65211800009</v>
      </c>
      <c r="V21" s="174"/>
      <c r="W21" s="174">
        <f>$G$12+SUM($G$16:G21)</f>
        <v>367515.14084000001</v>
      </c>
      <c r="X21" s="174">
        <f>$I$12+SUM($I$16:I21)+$J$12+SUM($J$16:J21)</f>
        <v>18375.757042000001</v>
      </c>
      <c r="Y21" s="174">
        <f>$K$12+SUM($K$16:K21)</f>
        <v>7400</v>
      </c>
      <c r="Z21" s="174">
        <f>$L$12+SUM($L$16:L21)</f>
        <v>40000</v>
      </c>
      <c r="AA21" s="174">
        <f>$F$12+SUM($F$16:F21)</f>
        <v>583896.55000000005</v>
      </c>
    </row>
    <row r="22" spans="2:27" s="68" customFormat="1" ht="20.149999999999999" customHeight="1" x14ac:dyDescent="0.3">
      <c r="B22" s="192"/>
      <c r="C22" s="3"/>
      <c r="D22" s="1"/>
      <c r="E22" s="4"/>
      <c r="F22" s="92"/>
      <c r="G22" s="92"/>
      <c r="H22" s="92"/>
      <c r="I22" s="92"/>
      <c r="J22" s="92"/>
      <c r="K22" s="92"/>
      <c r="L22" s="92"/>
      <c r="M22" s="18">
        <f t="shared" si="2"/>
        <v>0</v>
      </c>
      <c r="N22" s="19">
        <f t="shared" si="3"/>
        <v>0</v>
      </c>
      <c r="O22" s="19">
        <f t="shared" si="4"/>
        <v>0</v>
      </c>
      <c r="P22" s="17"/>
      <c r="Q22" s="25"/>
      <c r="R22" s="17"/>
      <c r="S22" s="25"/>
      <c r="T22" s="175" t="str">
        <f t="shared" si="5"/>
        <v>19001</v>
      </c>
      <c r="U22" s="174">
        <f t="shared" si="6"/>
        <v>190605.65211800009</v>
      </c>
      <c r="V22" s="174"/>
      <c r="W22" s="174">
        <f>$G$12+SUM($G$16:G22)</f>
        <v>367515.14084000001</v>
      </c>
      <c r="X22" s="174">
        <f>$I$12+SUM($I$16:I22)+$J$12+SUM($J$16:J22)</f>
        <v>18375.757042000001</v>
      </c>
      <c r="Y22" s="174">
        <f>$K$12+SUM($K$16:K22)</f>
        <v>7400</v>
      </c>
      <c r="Z22" s="174">
        <f>$L$12+SUM($L$16:L22)</f>
        <v>40000</v>
      </c>
      <c r="AA22" s="174">
        <f>$F$12+SUM($F$16:F22)</f>
        <v>583896.55000000005</v>
      </c>
    </row>
    <row r="23" spans="2:27" s="68" customFormat="1" ht="20.149999999999999" customHeight="1" x14ac:dyDescent="0.3">
      <c r="B23" s="192"/>
      <c r="C23" s="3"/>
      <c r="D23" s="1"/>
      <c r="E23" s="4"/>
      <c r="F23" s="92"/>
      <c r="G23" s="92"/>
      <c r="H23" s="92"/>
      <c r="I23" s="92"/>
      <c r="J23" s="92"/>
      <c r="K23" s="92"/>
      <c r="L23" s="92"/>
      <c r="M23" s="18">
        <f t="shared" si="2"/>
        <v>0</v>
      </c>
      <c r="N23" s="19">
        <f t="shared" si="3"/>
        <v>0</v>
      </c>
      <c r="O23" s="19">
        <f t="shared" si="4"/>
        <v>0</v>
      </c>
      <c r="P23" s="17"/>
      <c r="Q23" s="25"/>
      <c r="R23" s="17"/>
      <c r="S23" s="25"/>
      <c r="T23" s="175" t="str">
        <f t="shared" si="5"/>
        <v>19001</v>
      </c>
      <c r="U23" s="174">
        <f t="shared" si="6"/>
        <v>190605.65211800009</v>
      </c>
      <c r="V23" s="174"/>
      <c r="W23" s="174">
        <f>$G$12+SUM($G$16:G23)</f>
        <v>367515.14084000001</v>
      </c>
      <c r="X23" s="174">
        <f>$I$12+SUM($I$16:I23)+$J$12+SUM($J$16:J23)</f>
        <v>18375.757042000001</v>
      </c>
      <c r="Y23" s="174">
        <f>$K$12+SUM($K$16:K23)</f>
        <v>7400</v>
      </c>
      <c r="Z23" s="174">
        <f>$L$12+SUM($L$16:L23)</f>
        <v>40000</v>
      </c>
      <c r="AA23" s="174">
        <f>$F$12+SUM($F$16:F23)</f>
        <v>583896.55000000005</v>
      </c>
    </row>
    <row r="24" spans="2:27" s="68" customFormat="1" ht="20.149999999999999" customHeight="1" x14ac:dyDescent="0.3">
      <c r="B24" s="192"/>
      <c r="C24" s="3"/>
      <c r="D24" s="1"/>
      <c r="E24" s="4"/>
      <c r="F24" s="92"/>
      <c r="G24" s="92"/>
      <c r="H24" s="92"/>
      <c r="I24" s="92"/>
      <c r="J24" s="92"/>
      <c r="K24" s="92"/>
      <c r="L24" s="92"/>
      <c r="M24" s="18">
        <f t="shared" si="2"/>
        <v>0</v>
      </c>
      <c r="N24" s="19">
        <f t="shared" si="3"/>
        <v>0</v>
      </c>
      <c r="O24" s="19">
        <f t="shared" si="4"/>
        <v>0</v>
      </c>
      <c r="P24" s="17"/>
      <c r="Q24" s="25"/>
      <c r="R24" s="17"/>
      <c r="S24" s="25"/>
      <c r="T24" s="175" t="str">
        <f t="shared" si="5"/>
        <v>19001</v>
      </c>
      <c r="U24" s="174">
        <f t="shared" si="6"/>
        <v>190605.65211800009</v>
      </c>
      <c r="V24" s="174"/>
      <c r="W24" s="174">
        <f>$G$12+SUM($G$16:G24)</f>
        <v>367515.14084000001</v>
      </c>
      <c r="X24" s="174">
        <f>$I$12+SUM($I$16:I24)+$J$12+SUM($J$16:J24)</f>
        <v>18375.757042000001</v>
      </c>
      <c r="Y24" s="174">
        <f>$K$12+SUM($K$16:K24)</f>
        <v>7400</v>
      </c>
      <c r="Z24" s="174">
        <f>$L$12+SUM($L$16:L24)</f>
        <v>40000</v>
      </c>
      <c r="AA24" s="174">
        <f>$F$12+SUM($F$16:F24)</f>
        <v>583896.55000000005</v>
      </c>
    </row>
    <row r="25" spans="2:27" s="68" customFormat="1" ht="20.149999999999999" customHeight="1" x14ac:dyDescent="0.3">
      <c r="B25" s="192"/>
      <c r="C25" s="3"/>
      <c r="D25" s="1"/>
      <c r="E25" s="4"/>
      <c r="F25" s="92"/>
      <c r="G25" s="92"/>
      <c r="H25" s="92"/>
      <c r="I25" s="92"/>
      <c r="J25" s="92"/>
      <c r="K25" s="92"/>
      <c r="L25" s="92"/>
      <c r="M25" s="18">
        <f t="shared" si="2"/>
        <v>0</v>
      </c>
      <c r="N25" s="19">
        <f t="shared" si="3"/>
        <v>0</v>
      </c>
      <c r="O25" s="19">
        <f t="shared" si="4"/>
        <v>0</v>
      </c>
      <c r="P25" s="17"/>
      <c r="Q25" s="25"/>
      <c r="R25" s="17"/>
      <c r="S25" s="25"/>
      <c r="T25" s="175" t="str">
        <f t="shared" si="5"/>
        <v>19001</v>
      </c>
      <c r="U25" s="174">
        <f t="shared" si="6"/>
        <v>190605.65211800009</v>
      </c>
      <c r="V25" s="174"/>
      <c r="W25" s="174">
        <f>$G$12+SUM($G$16:G25)</f>
        <v>367515.14084000001</v>
      </c>
      <c r="X25" s="174">
        <f>$I$12+SUM($I$16:I25)+$J$12+SUM($J$16:J25)</f>
        <v>18375.757042000001</v>
      </c>
      <c r="Y25" s="174">
        <f>$K$12+SUM($K$16:K25)</f>
        <v>7400</v>
      </c>
      <c r="Z25" s="174">
        <f>$L$12+SUM($L$16:L25)</f>
        <v>40000</v>
      </c>
      <c r="AA25" s="174">
        <f>$F$12+SUM($F$16:F25)</f>
        <v>583896.55000000005</v>
      </c>
    </row>
    <row r="26" spans="2:27" s="68" customFormat="1" ht="20.149999999999999" customHeight="1" x14ac:dyDescent="0.3">
      <c r="B26" s="192"/>
      <c r="C26" s="3"/>
      <c r="D26" s="1"/>
      <c r="E26" s="4"/>
      <c r="F26" s="92"/>
      <c r="G26" s="92"/>
      <c r="H26" s="92"/>
      <c r="I26" s="92"/>
      <c r="J26" s="92"/>
      <c r="K26" s="92"/>
      <c r="L26" s="92"/>
      <c r="M26" s="18">
        <f t="shared" si="2"/>
        <v>0</v>
      </c>
      <c r="N26" s="19">
        <f t="shared" si="3"/>
        <v>0</v>
      </c>
      <c r="O26" s="19">
        <f t="shared" si="4"/>
        <v>0</v>
      </c>
      <c r="P26" s="17"/>
      <c r="Q26" s="25"/>
      <c r="R26" s="17"/>
      <c r="S26" s="25"/>
      <c r="T26" s="175" t="str">
        <f t="shared" si="5"/>
        <v>19001</v>
      </c>
      <c r="U26" s="174">
        <f t="shared" si="6"/>
        <v>190605.65211800009</v>
      </c>
      <c r="V26" s="174"/>
      <c r="W26" s="174">
        <f>$G$12+SUM($G$16:G26)</f>
        <v>367515.14084000001</v>
      </c>
      <c r="X26" s="174">
        <f>$I$12+SUM($I$16:I26)+$J$12+SUM($J$16:J26)</f>
        <v>18375.757042000001</v>
      </c>
      <c r="Y26" s="174">
        <f>$K$12+SUM($K$16:K26)</f>
        <v>7400</v>
      </c>
      <c r="Z26" s="174">
        <f>$L$12+SUM($L$16:L26)</f>
        <v>40000</v>
      </c>
      <c r="AA26" s="174">
        <f>$F$12+SUM($F$16:F26)</f>
        <v>583896.55000000005</v>
      </c>
    </row>
    <row r="27" spans="2:27" s="68" customFormat="1" ht="20.149999999999999" customHeight="1" x14ac:dyDescent="0.3">
      <c r="B27" s="192"/>
      <c r="C27" s="3"/>
      <c r="D27" s="1"/>
      <c r="E27" s="4"/>
      <c r="F27" s="92"/>
      <c r="G27" s="92"/>
      <c r="H27" s="92"/>
      <c r="I27" s="92"/>
      <c r="J27" s="92"/>
      <c r="K27" s="92"/>
      <c r="L27" s="92"/>
      <c r="M27" s="18">
        <f t="shared" si="2"/>
        <v>0</v>
      </c>
      <c r="N27" s="19">
        <f t="shared" si="3"/>
        <v>0</v>
      </c>
      <c r="O27" s="19">
        <f t="shared" si="4"/>
        <v>0</v>
      </c>
      <c r="P27" s="17"/>
      <c r="Q27" s="25"/>
      <c r="R27" s="17"/>
      <c r="S27" s="25"/>
      <c r="T27" s="175" t="str">
        <f t="shared" si="5"/>
        <v>19001</v>
      </c>
      <c r="U27" s="174">
        <f t="shared" si="6"/>
        <v>190605.65211800009</v>
      </c>
      <c r="V27" s="174"/>
      <c r="W27" s="174">
        <f>$G$12+SUM($G$16:G27)</f>
        <v>367515.14084000001</v>
      </c>
      <c r="X27" s="174">
        <f>$I$12+SUM($I$16:I27)+$J$12+SUM($J$16:J27)</f>
        <v>18375.757042000001</v>
      </c>
      <c r="Y27" s="174">
        <f>$K$12+SUM($K$16:K27)</f>
        <v>7400</v>
      </c>
      <c r="Z27" s="174">
        <f>$L$12+SUM($L$16:L27)</f>
        <v>40000</v>
      </c>
      <c r="AA27" s="174">
        <f>$F$12+SUM($F$16:F27)</f>
        <v>583896.55000000005</v>
      </c>
    </row>
    <row r="28" spans="2:27" s="68" customFormat="1" ht="20.149999999999999" customHeight="1" x14ac:dyDescent="0.3">
      <c r="B28" s="192"/>
      <c r="C28" s="3"/>
      <c r="D28" s="1"/>
      <c r="E28" s="4"/>
      <c r="F28" s="92"/>
      <c r="G28" s="92"/>
      <c r="H28" s="92"/>
      <c r="I28" s="92"/>
      <c r="J28" s="92"/>
      <c r="K28" s="92"/>
      <c r="L28" s="92"/>
      <c r="M28" s="18">
        <f t="shared" si="2"/>
        <v>0</v>
      </c>
      <c r="N28" s="19">
        <f t="shared" si="3"/>
        <v>0</v>
      </c>
      <c r="O28" s="19">
        <f t="shared" si="4"/>
        <v>0</v>
      </c>
      <c r="P28" s="17"/>
      <c r="Q28" s="25"/>
      <c r="R28" s="17"/>
      <c r="S28" s="25"/>
      <c r="T28" s="175" t="str">
        <f t="shared" si="5"/>
        <v>19001</v>
      </c>
      <c r="U28" s="174">
        <f t="shared" si="6"/>
        <v>190605.65211800009</v>
      </c>
      <c r="V28" s="174"/>
      <c r="W28" s="174">
        <f>$G$12+SUM($G$16:G28)</f>
        <v>367515.14084000001</v>
      </c>
      <c r="X28" s="174">
        <f>$I$12+SUM($I$16:I28)+$J$12+SUM($J$16:J28)</f>
        <v>18375.757042000001</v>
      </c>
      <c r="Y28" s="174">
        <f>$K$12+SUM($K$16:K28)</f>
        <v>7400</v>
      </c>
      <c r="Z28" s="174">
        <f>$L$12+SUM($L$16:L28)</f>
        <v>40000</v>
      </c>
      <c r="AA28" s="174">
        <f>$F$12+SUM($F$16:F28)</f>
        <v>583896.55000000005</v>
      </c>
    </row>
    <row r="29" spans="2:27" s="68" customFormat="1" ht="20.149999999999999" customHeight="1" x14ac:dyDescent="0.3">
      <c r="B29" s="192"/>
      <c r="C29" s="3"/>
      <c r="D29" s="1"/>
      <c r="E29" s="4"/>
      <c r="F29" s="92"/>
      <c r="G29" s="92"/>
      <c r="H29" s="92"/>
      <c r="I29" s="92"/>
      <c r="J29" s="92"/>
      <c r="K29" s="92"/>
      <c r="L29" s="92"/>
      <c r="M29" s="18">
        <f t="shared" si="2"/>
        <v>0</v>
      </c>
      <c r="N29" s="19">
        <f t="shared" si="3"/>
        <v>0</v>
      </c>
      <c r="O29" s="19">
        <f t="shared" si="4"/>
        <v>0</v>
      </c>
      <c r="P29" s="17"/>
      <c r="Q29" s="25"/>
      <c r="R29" s="17"/>
      <c r="S29" s="25"/>
      <c r="T29" s="175" t="str">
        <f t="shared" si="5"/>
        <v>19001</v>
      </c>
      <c r="U29" s="174">
        <f t="shared" si="6"/>
        <v>190605.65211800009</v>
      </c>
      <c r="V29" s="174"/>
      <c r="W29" s="174">
        <f>$G$12+SUM($G$16:G29)</f>
        <v>367515.14084000001</v>
      </c>
      <c r="X29" s="174">
        <f>$I$12+SUM($I$16:I29)+$J$12+SUM($J$16:J29)</f>
        <v>18375.757042000001</v>
      </c>
      <c r="Y29" s="174">
        <f>$K$12+SUM($K$16:K29)</f>
        <v>7400</v>
      </c>
      <c r="Z29" s="174">
        <f>$L$12+SUM($L$16:L29)</f>
        <v>40000</v>
      </c>
      <c r="AA29" s="174">
        <f>$F$12+SUM($F$16:F29)</f>
        <v>583896.55000000005</v>
      </c>
    </row>
    <row r="30" spans="2:27" s="68" customFormat="1" ht="20.149999999999999" customHeight="1" x14ac:dyDescent="0.3">
      <c r="B30" s="192"/>
      <c r="C30" s="3"/>
      <c r="D30" s="1"/>
      <c r="E30" s="4"/>
      <c r="F30" s="92"/>
      <c r="G30" s="92"/>
      <c r="H30" s="92"/>
      <c r="I30" s="92"/>
      <c r="J30" s="92"/>
      <c r="K30" s="92"/>
      <c r="L30" s="92"/>
      <c r="M30" s="18">
        <f t="shared" si="2"/>
        <v>0</v>
      </c>
      <c r="N30" s="19">
        <f t="shared" si="3"/>
        <v>0</v>
      </c>
      <c r="O30" s="19">
        <f t="shared" si="4"/>
        <v>0</v>
      </c>
      <c r="P30" s="17"/>
      <c r="Q30" s="25"/>
      <c r="R30" s="17"/>
      <c r="S30" s="25"/>
      <c r="T30" s="175" t="str">
        <f t="shared" si="5"/>
        <v>19001</v>
      </c>
      <c r="U30" s="174">
        <f t="shared" si="6"/>
        <v>190605.65211800009</v>
      </c>
      <c r="V30" s="174"/>
      <c r="W30" s="174">
        <f>$G$12+SUM($G$16:G30)</f>
        <v>367515.14084000001</v>
      </c>
      <c r="X30" s="174">
        <f>$I$12+SUM($I$16:I30)+$J$12+SUM($J$16:J30)</f>
        <v>18375.757042000001</v>
      </c>
      <c r="Y30" s="174">
        <f>$K$12+SUM($K$16:K30)</f>
        <v>7400</v>
      </c>
      <c r="Z30" s="174">
        <f>$L$12+SUM($L$16:L30)</f>
        <v>40000</v>
      </c>
      <c r="AA30" s="174">
        <f>$F$12+SUM($F$16:F30)</f>
        <v>583896.55000000005</v>
      </c>
    </row>
    <row r="31" spans="2:27" s="68" customFormat="1" ht="20.149999999999999" customHeight="1" x14ac:dyDescent="0.3">
      <c r="B31" s="192"/>
      <c r="C31" s="3"/>
      <c r="D31" s="1"/>
      <c r="E31" s="4"/>
      <c r="F31" s="92"/>
      <c r="G31" s="92"/>
      <c r="H31" s="92"/>
      <c r="I31" s="92"/>
      <c r="J31" s="92"/>
      <c r="K31" s="92"/>
      <c r="L31" s="92"/>
      <c r="M31" s="18">
        <f t="shared" si="2"/>
        <v>0</v>
      </c>
      <c r="N31" s="19">
        <f t="shared" si="3"/>
        <v>0</v>
      </c>
      <c r="O31" s="19">
        <f t="shared" si="4"/>
        <v>0</v>
      </c>
      <c r="P31" s="17"/>
      <c r="Q31" s="25"/>
      <c r="R31" s="17"/>
      <c r="S31" s="25"/>
      <c r="T31" s="175" t="str">
        <f t="shared" si="5"/>
        <v>19001</v>
      </c>
      <c r="U31" s="174">
        <f t="shared" si="6"/>
        <v>190605.65211800009</v>
      </c>
      <c r="V31" s="174"/>
      <c r="W31" s="174">
        <f>$G$12+SUM($G$16:G31)</f>
        <v>367515.14084000001</v>
      </c>
      <c r="X31" s="174">
        <f>$I$12+SUM($I$16:I31)+$J$12+SUM($J$16:J31)</f>
        <v>18375.757042000001</v>
      </c>
      <c r="Y31" s="174">
        <f>$K$12+SUM($K$16:K31)</f>
        <v>7400</v>
      </c>
      <c r="Z31" s="174">
        <f>$L$12+SUM($L$16:L31)</f>
        <v>40000</v>
      </c>
      <c r="AA31" s="174">
        <f>$F$12+SUM($F$16:F31)</f>
        <v>583896.55000000005</v>
      </c>
    </row>
    <row r="32" spans="2:27" s="68" customFormat="1" ht="20.149999999999999" customHeight="1" x14ac:dyDescent="0.3">
      <c r="B32" s="192"/>
      <c r="C32" s="3"/>
      <c r="D32" s="1"/>
      <c r="E32" s="4"/>
      <c r="F32" s="92"/>
      <c r="G32" s="92"/>
      <c r="H32" s="92"/>
      <c r="I32" s="92"/>
      <c r="J32" s="92"/>
      <c r="K32" s="92"/>
      <c r="L32" s="92"/>
      <c r="M32" s="18">
        <f t="shared" si="2"/>
        <v>0</v>
      </c>
      <c r="N32" s="19">
        <f t="shared" si="3"/>
        <v>0</v>
      </c>
      <c r="O32" s="19">
        <f t="shared" si="4"/>
        <v>0</v>
      </c>
      <c r="P32" s="17"/>
      <c r="Q32" s="25"/>
      <c r="R32" s="17"/>
      <c r="S32" s="25"/>
      <c r="T32" s="175" t="str">
        <f t="shared" si="5"/>
        <v>19001</v>
      </c>
      <c r="U32" s="174">
        <f t="shared" si="6"/>
        <v>190605.65211800009</v>
      </c>
      <c r="V32" s="174"/>
      <c r="W32" s="174">
        <f>$G$12+SUM($G$16:G32)</f>
        <v>367515.14084000001</v>
      </c>
      <c r="X32" s="174">
        <f>$I$12+SUM($I$16:I32)+$J$12+SUM($J$16:J32)</f>
        <v>18375.757042000001</v>
      </c>
      <c r="Y32" s="174">
        <f>$K$12+SUM($K$16:K32)</f>
        <v>7400</v>
      </c>
      <c r="Z32" s="174">
        <f>$L$12+SUM($L$16:L32)</f>
        <v>40000</v>
      </c>
      <c r="AA32" s="174">
        <f>$F$12+SUM($F$16:F32)</f>
        <v>583896.55000000005</v>
      </c>
    </row>
    <row r="33" spans="2:27" s="68" customFormat="1" ht="20.149999999999999" customHeight="1" x14ac:dyDescent="0.3">
      <c r="B33" s="192"/>
      <c r="C33" s="3"/>
      <c r="D33" s="1"/>
      <c r="E33" s="4"/>
      <c r="F33" s="92"/>
      <c r="G33" s="92"/>
      <c r="H33" s="92"/>
      <c r="I33" s="92"/>
      <c r="J33" s="92"/>
      <c r="K33" s="92"/>
      <c r="L33" s="92"/>
      <c r="M33" s="18">
        <f t="shared" si="2"/>
        <v>0</v>
      </c>
      <c r="N33" s="19">
        <f t="shared" si="3"/>
        <v>0</v>
      </c>
      <c r="O33" s="19">
        <f t="shared" si="4"/>
        <v>0</v>
      </c>
      <c r="P33" s="17"/>
      <c r="Q33" s="25"/>
      <c r="R33" s="17"/>
      <c r="S33" s="25"/>
      <c r="T33" s="175" t="str">
        <f t="shared" si="5"/>
        <v>19001</v>
      </c>
      <c r="U33" s="174">
        <f t="shared" si="6"/>
        <v>190605.65211800009</v>
      </c>
      <c r="V33" s="174"/>
      <c r="W33" s="174">
        <f>$G$12+SUM($G$16:G33)</f>
        <v>367515.14084000001</v>
      </c>
      <c r="X33" s="174">
        <f>$I$12+SUM($I$16:I33)+$J$12+SUM($J$16:J33)</f>
        <v>18375.757042000001</v>
      </c>
      <c r="Y33" s="174">
        <f>$K$12+SUM($K$16:K33)</f>
        <v>7400</v>
      </c>
      <c r="Z33" s="174">
        <f>$L$12+SUM($L$16:L33)</f>
        <v>40000</v>
      </c>
      <c r="AA33" s="174">
        <f>$F$12+SUM($F$16:F33)</f>
        <v>583896.55000000005</v>
      </c>
    </row>
    <row r="34" spans="2:27" s="68" customFormat="1" ht="20.149999999999999" customHeight="1" x14ac:dyDescent="0.3">
      <c r="B34" s="192"/>
      <c r="C34" s="3"/>
      <c r="D34" s="1"/>
      <c r="E34" s="4"/>
      <c r="F34" s="92"/>
      <c r="G34" s="92"/>
      <c r="H34" s="92"/>
      <c r="I34" s="92"/>
      <c r="J34" s="92"/>
      <c r="K34" s="92"/>
      <c r="L34" s="92"/>
      <c r="M34" s="18">
        <f t="shared" si="2"/>
        <v>0</v>
      </c>
      <c r="N34" s="19">
        <f t="shared" si="3"/>
        <v>0</v>
      </c>
      <c r="O34" s="19">
        <f t="shared" si="4"/>
        <v>0</v>
      </c>
      <c r="P34" s="17"/>
      <c r="Q34" s="25"/>
      <c r="R34" s="17"/>
      <c r="S34" s="25"/>
      <c r="T34" s="175" t="str">
        <f t="shared" si="5"/>
        <v>19001</v>
      </c>
      <c r="U34" s="174">
        <f t="shared" si="6"/>
        <v>190605.65211800009</v>
      </c>
      <c r="V34" s="174"/>
      <c r="W34" s="174">
        <f>$G$12+SUM($G$16:G34)</f>
        <v>367515.14084000001</v>
      </c>
      <c r="X34" s="174">
        <f>$I$12+SUM($I$16:I34)+$J$12+SUM($J$16:J34)</f>
        <v>18375.757042000001</v>
      </c>
      <c r="Y34" s="174">
        <f>$K$12+SUM($K$16:K34)</f>
        <v>7400</v>
      </c>
      <c r="Z34" s="174">
        <f>$L$12+SUM($L$16:L34)</f>
        <v>40000</v>
      </c>
      <c r="AA34" s="174">
        <f>$F$12+SUM($F$16:F34)</f>
        <v>583896.55000000005</v>
      </c>
    </row>
    <row r="35" spans="2:27" s="68" customFormat="1" ht="20.149999999999999" customHeight="1" x14ac:dyDescent="0.3">
      <c r="B35" s="192"/>
      <c r="C35" s="3"/>
      <c r="D35" s="1"/>
      <c r="E35" s="4"/>
      <c r="F35" s="92"/>
      <c r="G35" s="92"/>
      <c r="H35" s="92"/>
      <c r="I35" s="92"/>
      <c r="J35" s="92"/>
      <c r="K35" s="92"/>
      <c r="L35" s="92"/>
      <c r="M35" s="18">
        <f t="shared" si="2"/>
        <v>0</v>
      </c>
      <c r="N35" s="19">
        <f t="shared" si="3"/>
        <v>0</v>
      </c>
      <c r="O35" s="19">
        <f t="shared" si="4"/>
        <v>0</v>
      </c>
      <c r="P35" s="17"/>
      <c r="Q35" s="25"/>
      <c r="R35" s="17"/>
      <c r="S35" s="25"/>
      <c r="T35" s="175" t="str">
        <f t="shared" si="5"/>
        <v>19001</v>
      </c>
      <c r="U35" s="174">
        <f t="shared" si="6"/>
        <v>190605.65211800009</v>
      </c>
      <c r="V35" s="174"/>
      <c r="W35" s="174">
        <f>$G$12+SUM($G$16:G35)</f>
        <v>367515.14084000001</v>
      </c>
      <c r="X35" s="174">
        <f>$I$12+SUM($I$16:I35)+$J$12+SUM($J$16:J35)</f>
        <v>18375.757042000001</v>
      </c>
      <c r="Y35" s="174">
        <f>$K$12+SUM($K$16:K35)</f>
        <v>7400</v>
      </c>
      <c r="Z35" s="174">
        <f>$L$12+SUM($L$16:L35)</f>
        <v>40000</v>
      </c>
      <c r="AA35" s="174">
        <f>$F$12+SUM($F$16:F35)</f>
        <v>583896.55000000005</v>
      </c>
    </row>
    <row r="36" spans="2:27" s="90" customFormat="1" ht="20.149999999999999" customHeight="1" x14ac:dyDescent="0.35">
      <c r="B36" s="328" t="s">
        <v>112</v>
      </c>
      <c r="C36" s="329"/>
      <c r="D36" s="329"/>
      <c r="E36" s="329"/>
      <c r="F36" s="51">
        <f>SUMIF(B16:B35,"AMPLIACION",F16:F35)</f>
        <v>0</v>
      </c>
      <c r="G36" s="51">
        <f>SUMIF(B16:B35,"AMPLIACION",G16:G35)</f>
        <v>0</v>
      </c>
      <c r="H36" s="51">
        <f>SUMIF(B16:B35,"AMPLIACION",H16:H35)</f>
        <v>0</v>
      </c>
      <c r="I36" s="51">
        <f>SUMIF(B16:B35,"AMPLIACION",I16:I35)</f>
        <v>0</v>
      </c>
      <c r="J36" s="51">
        <f>SUMIF(B16:B35,"AMPLIACION",J16:J35)</f>
        <v>0</v>
      </c>
      <c r="K36" s="51">
        <f>SUMIF(B16:B35,"AMPLIACION",K16:K35)</f>
        <v>0</v>
      </c>
      <c r="L36" s="51">
        <f>SUMIF(B16:B35,"AMPLIACION",L16:L35)</f>
        <v>0</v>
      </c>
      <c r="M36" s="51">
        <f t="shared" si="2"/>
        <v>0</v>
      </c>
      <c r="N36" s="52">
        <f t="shared" si="3"/>
        <v>0</v>
      </c>
      <c r="O36" s="52">
        <f>IF(F36=0,0,(F36-G36/0.93-I36/0.93-J36/0.93-K36-L36)/F36)</f>
        <v>0</v>
      </c>
      <c r="P36" s="25"/>
      <c r="Q36" s="25"/>
      <c r="R36" s="25"/>
      <c r="S36" s="25"/>
      <c r="T36" s="176"/>
      <c r="U36" s="174"/>
      <c r="V36" s="174"/>
      <c r="W36" s="174"/>
      <c r="X36" s="174"/>
      <c r="Y36" s="174"/>
      <c r="Z36" s="174"/>
      <c r="AA36" s="174"/>
    </row>
    <row r="37" spans="2:27" s="90" customFormat="1" ht="20.149999999999999" customHeight="1" x14ac:dyDescent="0.35">
      <c r="B37" s="328" t="s">
        <v>113</v>
      </c>
      <c r="C37" s="329"/>
      <c r="D37" s="329"/>
      <c r="E37" s="329"/>
      <c r="F37" s="51">
        <f>SUMIF(B16:B35,"REESTIMACION",F16:F35)</f>
        <v>0</v>
      </c>
      <c r="G37" s="51">
        <f>SUMIF(B16:B35,"REESTIMACION",G16:G35)</f>
        <v>0</v>
      </c>
      <c r="H37" s="51">
        <f>SUMIF(B16:B35,"REESTIMACION",H16:H35)</f>
        <v>0</v>
      </c>
      <c r="I37" s="51">
        <f>SUMIF(B16:B35,"REESTIMACION",I16:I35)</f>
        <v>0</v>
      </c>
      <c r="J37" s="51">
        <f>SUMIF(B16:B35,"REESTIMACION",J16:J35)</f>
        <v>0</v>
      </c>
      <c r="K37" s="51">
        <f>SUMIF(B16:B35,"REESTIMACION",K16:K35)</f>
        <v>0</v>
      </c>
      <c r="L37" s="51">
        <f>SUMIF(B16:B35,"REESTIMACION",L16:L35)</f>
        <v>0</v>
      </c>
      <c r="M37" s="51">
        <f t="shared" si="2"/>
        <v>0</v>
      </c>
      <c r="N37" s="52">
        <f t="shared" si="3"/>
        <v>0</v>
      </c>
      <c r="O37" s="52">
        <f>IF(F37=0,0,(F37-G37/0.93-I37/0.93-J37/0.93-K37-L37)/F37)</f>
        <v>0</v>
      </c>
      <c r="P37" s="25"/>
      <c r="Q37" s="23"/>
      <c r="R37" s="25"/>
      <c r="S37" s="23"/>
      <c r="T37" s="176"/>
      <c r="U37" s="174"/>
      <c r="V37" s="174"/>
      <c r="W37" s="174"/>
      <c r="X37" s="174"/>
      <c r="Y37" s="174"/>
      <c r="Z37" s="174"/>
      <c r="AA37" s="174"/>
    </row>
    <row r="38" spans="2:27" ht="20.149999999999999" customHeight="1" x14ac:dyDescent="0.3">
      <c r="C38" s="24"/>
      <c r="D38" s="25"/>
      <c r="E38" s="25"/>
      <c r="F38" s="25"/>
      <c r="G38" s="25"/>
      <c r="H38" s="25"/>
      <c r="I38" s="25"/>
      <c r="J38" s="25"/>
      <c r="K38" s="25"/>
      <c r="L38" s="25"/>
      <c r="M38" s="25"/>
      <c r="N38" s="25"/>
      <c r="O38" s="25"/>
      <c r="P38" s="25"/>
      <c r="Q38" s="25"/>
      <c r="R38" s="25"/>
      <c r="S38" s="25"/>
      <c r="T38" s="176"/>
      <c r="U38" s="174"/>
      <c r="V38" s="174"/>
      <c r="W38" s="174"/>
      <c r="X38" s="174"/>
      <c r="Y38" s="174"/>
      <c r="Z38" s="174"/>
      <c r="AA38" s="174"/>
    </row>
    <row r="39" spans="2:27" s="53" customFormat="1" ht="20.149999999999999" customHeight="1" x14ac:dyDescent="0.35">
      <c r="C39" s="54"/>
      <c r="D39" s="54"/>
      <c r="E39" s="54"/>
      <c r="F39" s="54"/>
      <c r="G39" s="54"/>
      <c r="H39" s="54"/>
      <c r="I39" s="54"/>
      <c r="J39" s="54"/>
      <c r="K39" s="54"/>
      <c r="L39" s="54"/>
      <c r="M39" s="54"/>
      <c r="N39" s="54"/>
      <c r="O39" s="54"/>
      <c r="P39" s="54"/>
      <c r="Q39" s="54"/>
      <c r="R39" s="54"/>
      <c r="S39" s="54"/>
    </row>
    <row r="40" spans="2:27" s="53" customFormat="1" ht="20.149999999999999" customHeight="1" x14ac:dyDescent="0.35">
      <c r="C40" s="54"/>
      <c r="D40" s="54"/>
      <c r="E40" s="54"/>
      <c r="F40" s="54"/>
      <c r="G40" s="54"/>
      <c r="H40" s="54"/>
      <c r="I40" s="54"/>
      <c r="J40" s="54"/>
      <c r="K40" s="54"/>
      <c r="L40" s="54"/>
      <c r="M40" s="54"/>
      <c r="N40" s="54"/>
      <c r="O40" s="54"/>
      <c r="P40" s="54"/>
      <c r="Q40" s="54"/>
      <c r="R40" s="54"/>
      <c r="S40" s="54"/>
    </row>
    <row r="41" spans="2:27" s="53" customFormat="1" ht="20.149999999999999" customHeight="1" x14ac:dyDescent="0.35">
      <c r="C41" s="54"/>
      <c r="D41" s="54"/>
      <c r="E41" s="54"/>
      <c r="F41" s="54"/>
      <c r="G41" s="54"/>
      <c r="H41" s="54"/>
      <c r="I41" s="54"/>
      <c r="J41" s="54"/>
      <c r="K41" s="54"/>
      <c r="L41" s="54"/>
      <c r="M41" s="54"/>
      <c r="N41" s="54"/>
      <c r="O41" s="54"/>
      <c r="P41" s="54"/>
      <c r="Q41" s="54"/>
      <c r="R41" s="54"/>
      <c r="S41" s="54"/>
    </row>
    <row r="42" spans="2:27" ht="20.149999999999999" customHeight="1" x14ac:dyDescent="0.3">
      <c r="C42" s="25"/>
      <c r="D42" s="25"/>
      <c r="E42" s="25"/>
      <c r="F42" s="25"/>
      <c r="G42" s="25"/>
      <c r="H42" s="25"/>
      <c r="I42" s="25"/>
      <c r="J42" s="25"/>
      <c r="K42" s="25"/>
      <c r="L42" s="25"/>
      <c r="M42" s="25"/>
      <c r="N42" s="25"/>
      <c r="O42" s="25"/>
      <c r="P42" s="25"/>
      <c r="Q42" s="25"/>
      <c r="R42" s="25"/>
      <c r="S42" s="25"/>
    </row>
    <row r="43" spans="2:27" ht="20.149999999999999" customHeight="1" x14ac:dyDescent="0.3"/>
    <row r="48" spans="2:27" ht="20.149999999999999" customHeight="1" x14ac:dyDescent="0.3">
      <c r="B48" s="66" t="s">
        <v>114</v>
      </c>
      <c r="C48" s="66"/>
      <c r="D48" s="66"/>
      <c r="E48" s="25"/>
      <c r="F48" s="25"/>
      <c r="G48" s="25"/>
      <c r="H48" s="25"/>
      <c r="I48" s="25"/>
      <c r="J48" s="25"/>
      <c r="K48" s="25"/>
      <c r="L48" s="25"/>
      <c r="M48" s="25"/>
      <c r="N48" s="25"/>
      <c r="O48" s="25"/>
      <c r="P48" s="25"/>
      <c r="R48" s="25"/>
    </row>
    <row r="49" spans="2:18" ht="285.75" customHeight="1" x14ac:dyDescent="0.35">
      <c r="B49" s="307" t="s">
        <v>115</v>
      </c>
      <c r="C49" s="308"/>
      <c r="D49" s="308"/>
      <c r="E49" s="308"/>
      <c r="F49" s="308"/>
      <c r="G49" s="308"/>
      <c r="H49" s="308"/>
      <c r="I49" s="308"/>
      <c r="J49" s="309"/>
      <c r="K49" s="25"/>
      <c r="L49" s="25"/>
      <c r="M49" s="25"/>
      <c r="N49" s="25"/>
      <c r="O49" s="25"/>
      <c r="P49" s="25"/>
      <c r="R49" s="25"/>
    </row>
  </sheetData>
  <sheetProtection algorithmName="SHA-512" hashValue="A3Mj8ReEuAsPEZ5jAHugEyB921Xs0uRIm3PCSP91N/iA5MA1C0ePOt9CamFP9Zlw5AbeMCpWzMFsfqhpkRrkTA==" saltValue="nb87vTUVYiDedYTYYCcrwQ==" spinCount="100000" sheet="1" objects="1" scenarios="1"/>
  <mergeCells count="8">
    <mergeCell ref="B8:E8"/>
    <mergeCell ref="B10:O10"/>
    <mergeCell ref="B7:E7"/>
    <mergeCell ref="B5:O5"/>
    <mergeCell ref="B49:J49"/>
    <mergeCell ref="B37:E37"/>
    <mergeCell ref="B14:O14"/>
    <mergeCell ref="B36:E36"/>
  </mergeCells>
  <dataValidations count="1">
    <dataValidation type="list" allowBlank="1" showInputMessage="1" showErrorMessage="1" sqref="B16:B35" xr:uid="{00000000-0002-0000-0100-000000000000}">
      <formula1>"AMPLIACION,REESTIMACION,"</formula1>
    </dataValidation>
  </dataValidations>
  <pageMargins left="0.70866141732283472" right="0.70866141732283472" top="0.74803149606299213" bottom="0.74803149606299213" header="0.31496062992125978" footer="0.31496062992125978"/>
  <pageSetup paperSize="9" scale="21"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AQ69"/>
  <sheetViews>
    <sheetView showGridLines="0" zoomScale="55" zoomScaleNormal="55" workbookViewId="0">
      <selection activeCell="H7" sqref="H7:N8"/>
    </sheetView>
  </sheetViews>
  <sheetFormatPr baseColWidth="10" defaultColWidth="9.1796875" defaultRowHeight="13.5" x14ac:dyDescent="0.25"/>
  <cols>
    <col min="1" max="1" width="2.1796875" style="94" customWidth="1"/>
    <col min="2" max="2" width="25.7265625" style="94" customWidth="1"/>
    <col min="3" max="3" width="31" style="94" customWidth="1"/>
    <col min="4" max="4" width="15.7265625" style="94" customWidth="1"/>
    <col min="5" max="5" width="25.7265625" style="95" customWidth="1"/>
    <col min="6" max="30" width="14.7265625" style="94" customWidth="1"/>
    <col min="31" max="31" width="11.26953125" style="94" customWidth="1"/>
    <col min="32" max="32" width="9.1796875" style="94" customWidth="1"/>
    <col min="33" max="16384" width="9.1796875" style="94"/>
  </cols>
  <sheetData>
    <row r="2" spans="2:43" ht="21" customHeight="1" x14ac:dyDescent="0.25">
      <c r="B2" s="20" t="s">
        <v>0</v>
      </c>
      <c r="C2" s="21" t="str">
        <f>'Project Infor'!C10</f>
        <v>var2_SAP_PEP_WBS</v>
      </c>
      <c r="D2" s="96" t="str">
        <f>'Project Infor'!C11</f>
        <v>Smart Airport en la nueva terminal de Puerto Vallarta</v>
      </c>
      <c r="E2" s="97"/>
      <c r="F2" s="97"/>
      <c r="G2" s="97"/>
      <c r="H2" s="97"/>
      <c r="I2" s="97"/>
    </row>
    <row r="3" spans="2:43" ht="9" customHeight="1" x14ac:dyDescent="0.25">
      <c r="B3" s="65"/>
      <c r="C3" s="65"/>
      <c r="D3" s="98"/>
      <c r="E3" s="98"/>
      <c r="F3" s="65"/>
      <c r="G3" s="65"/>
    </row>
    <row r="4" spans="2:43" ht="15" customHeight="1" x14ac:dyDescent="0.25">
      <c r="B4" s="99"/>
      <c r="C4" s="100"/>
      <c r="D4" s="100"/>
      <c r="E4" s="100"/>
      <c r="F4" s="100"/>
      <c r="G4" s="100"/>
      <c r="H4" s="100"/>
      <c r="I4" s="100"/>
      <c r="J4" s="100"/>
      <c r="K4" s="100"/>
      <c r="L4" s="100"/>
      <c r="M4" s="100"/>
      <c r="N4" s="100"/>
      <c r="O4" s="100"/>
    </row>
    <row r="5" spans="2:43" ht="20.149999999999999" customHeight="1" x14ac:dyDescent="0.25">
      <c r="B5" s="75" t="s">
        <v>116</v>
      </c>
      <c r="C5" s="101"/>
      <c r="D5" s="100"/>
      <c r="E5" s="330" t="s">
        <v>117</v>
      </c>
      <c r="F5" s="331"/>
      <c r="G5" s="331"/>
      <c r="H5" s="331"/>
      <c r="I5" s="172"/>
      <c r="J5" s="100"/>
      <c r="K5" s="100"/>
      <c r="L5" s="100"/>
      <c r="M5" s="100"/>
      <c r="N5" s="100"/>
      <c r="O5" s="100"/>
      <c r="P5" s="100"/>
      <c r="Q5" s="100"/>
      <c r="R5" s="100"/>
      <c r="S5" s="100"/>
      <c r="T5" s="100"/>
    </row>
    <row r="6" spans="2:43" s="104" customFormat="1" ht="35.15" customHeight="1" x14ac:dyDescent="0.25">
      <c r="B6" s="234" t="s">
        <v>40</v>
      </c>
      <c r="C6" s="102" t="s">
        <v>118</v>
      </c>
      <c r="D6" s="102" t="s">
        <v>119</v>
      </c>
      <c r="E6" s="102" t="s">
        <v>120</v>
      </c>
      <c r="F6" s="103">
        <f>'Project Infor'!C8</f>
        <v>45962</v>
      </c>
      <c r="G6" s="103">
        <f t="shared" ref="G6:AD6" si="0">EOMONTH(F6,1)</f>
        <v>46022</v>
      </c>
      <c r="H6" s="103">
        <f t="shared" si="0"/>
        <v>46053</v>
      </c>
      <c r="I6" s="103">
        <f t="shared" si="0"/>
        <v>46081</v>
      </c>
      <c r="J6" s="103">
        <f t="shared" si="0"/>
        <v>46112</v>
      </c>
      <c r="K6" s="103">
        <f t="shared" si="0"/>
        <v>46142</v>
      </c>
      <c r="L6" s="103">
        <f t="shared" si="0"/>
        <v>46173</v>
      </c>
      <c r="M6" s="103">
        <f t="shared" si="0"/>
        <v>46203</v>
      </c>
      <c r="N6" s="103">
        <f t="shared" si="0"/>
        <v>46234</v>
      </c>
      <c r="O6" s="103">
        <f t="shared" si="0"/>
        <v>46265</v>
      </c>
      <c r="P6" s="103">
        <f t="shared" si="0"/>
        <v>46295</v>
      </c>
      <c r="Q6" s="103">
        <f t="shared" si="0"/>
        <v>46326</v>
      </c>
      <c r="R6" s="103">
        <f t="shared" si="0"/>
        <v>46356</v>
      </c>
      <c r="S6" s="103">
        <f t="shared" si="0"/>
        <v>46387</v>
      </c>
      <c r="T6" s="103">
        <f t="shared" si="0"/>
        <v>46418</v>
      </c>
      <c r="U6" s="103">
        <f t="shared" si="0"/>
        <v>46446</v>
      </c>
      <c r="V6" s="103">
        <f t="shared" si="0"/>
        <v>46477</v>
      </c>
      <c r="W6" s="103">
        <f t="shared" si="0"/>
        <v>46507</v>
      </c>
      <c r="X6" s="103">
        <f t="shared" si="0"/>
        <v>46538</v>
      </c>
      <c r="Y6" s="103">
        <f t="shared" si="0"/>
        <v>46568</v>
      </c>
      <c r="Z6" s="103">
        <f t="shared" si="0"/>
        <v>46599</v>
      </c>
      <c r="AA6" s="103">
        <f t="shared" si="0"/>
        <v>46630</v>
      </c>
      <c r="AB6" s="103">
        <f t="shared" si="0"/>
        <v>46660</v>
      </c>
      <c r="AC6" s="103">
        <f t="shared" si="0"/>
        <v>46691</v>
      </c>
      <c r="AD6" s="103">
        <f t="shared" si="0"/>
        <v>46721</v>
      </c>
      <c r="AF6" s="94"/>
      <c r="AG6" s="94"/>
      <c r="AH6" s="94"/>
      <c r="AI6" s="94"/>
      <c r="AJ6" s="94"/>
      <c r="AK6" s="94"/>
      <c r="AL6" s="94"/>
      <c r="AM6" s="94"/>
      <c r="AN6" s="94"/>
      <c r="AO6" s="94"/>
      <c r="AP6" s="94"/>
      <c r="AQ6" s="94"/>
    </row>
    <row r="7" spans="2:43" s="105" customFormat="1" ht="20.149999999999999" customHeight="1" x14ac:dyDescent="0.35">
      <c r="B7" s="283" t="s">
        <v>121</v>
      </c>
      <c r="C7" s="5" t="s">
        <v>122</v>
      </c>
      <c r="D7" s="5" t="s">
        <v>123</v>
      </c>
      <c r="E7" s="5" t="s">
        <v>124</v>
      </c>
      <c r="F7" s="284">
        <v>40</v>
      </c>
      <c r="G7" s="284">
        <v>40</v>
      </c>
      <c r="H7" s="284">
        <v>40</v>
      </c>
      <c r="I7" s="284">
        <v>40</v>
      </c>
      <c r="J7" s="284">
        <v>40</v>
      </c>
      <c r="K7" s="284">
        <v>40</v>
      </c>
      <c r="L7" s="284">
        <v>40</v>
      </c>
      <c r="M7" s="284">
        <v>40</v>
      </c>
      <c r="N7" s="284">
        <v>40</v>
      </c>
      <c r="O7" s="284">
        <v>40</v>
      </c>
      <c r="P7" s="284">
        <v>40</v>
      </c>
      <c r="Q7" s="284">
        <v>40</v>
      </c>
      <c r="R7" s="284"/>
      <c r="S7" s="284"/>
      <c r="T7" s="284"/>
      <c r="U7" s="284"/>
      <c r="V7" s="284"/>
      <c r="W7" s="284"/>
      <c r="X7" s="284"/>
      <c r="Y7" s="284"/>
      <c r="Z7" s="284"/>
      <c r="AA7" s="284"/>
      <c r="AB7" s="284"/>
      <c r="AC7" s="284"/>
      <c r="AD7" s="284"/>
      <c r="AE7" s="285"/>
      <c r="AF7" s="94"/>
      <c r="AG7" s="94"/>
      <c r="AH7" s="94"/>
      <c r="AI7" s="94"/>
      <c r="AJ7" s="94"/>
      <c r="AK7" s="94"/>
      <c r="AL7" s="94"/>
      <c r="AM7" s="94"/>
      <c r="AN7" s="94"/>
      <c r="AO7" s="94"/>
      <c r="AP7" s="94"/>
      <c r="AQ7" s="94"/>
    </row>
    <row r="8" spans="2:43" s="105" customFormat="1" ht="20.149999999999999" customHeight="1" x14ac:dyDescent="0.35">
      <c r="B8" s="283" t="s">
        <v>125</v>
      </c>
      <c r="C8" s="5" t="s">
        <v>126</v>
      </c>
      <c r="D8" s="5" t="s">
        <v>119</v>
      </c>
      <c r="E8" s="5" t="s">
        <v>127</v>
      </c>
      <c r="F8" s="284">
        <v>26</v>
      </c>
      <c r="G8" s="284">
        <v>26</v>
      </c>
      <c r="H8" s="284">
        <v>26</v>
      </c>
      <c r="I8" s="284">
        <v>26</v>
      </c>
      <c r="J8" s="284">
        <v>26</v>
      </c>
      <c r="K8" s="284">
        <v>26</v>
      </c>
      <c r="L8" s="284">
        <v>26</v>
      </c>
      <c r="M8" s="284">
        <v>26</v>
      </c>
      <c r="N8" s="284">
        <v>26</v>
      </c>
      <c r="O8" s="284">
        <v>26</v>
      </c>
      <c r="P8" s="284">
        <v>26</v>
      </c>
      <c r="Q8" s="284">
        <v>26</v>
      </c>
      <c r="R8" s="284"/>
      <c r="S8" s="284"/>
      <c r="T8" s="284"/>
      <c r="U8" s="284"/>
      <c r="V8" s="284"/>
      <c r="W8" s="284"/>
      <c r="X8" s="284"/>
      <c r="Y8" s="284"/>
      <c r="Z8" s="284"/>
      <c r="AA8" s="284"/>
      <c r="AB8" s="284"/>
      <c r="AC8" s="284"/>
      <c r="AD8" s="284"/>
      <c r="AE8" s="285"/>
      <c r="AF8" s="94"/>
      <c r="AG8" s="94"/>
      <c r="AH8" s="94"/>
      <c r="AI8" s="94"/>
      <c r="AJ8" s="94"/>
      <c r="AK8" s="94"/>
      <c r="AL8" s="94"/>
      <c r="AM8" s="94"/>
      <c r="AN8" s="94"/>
      <c r="AO8" s="94"/>
      <c r="AP8" s="94"/>
      <c r="AQ8" s="94"/>
    </row>
    <row r="9" spans="2:43" s="105" customFormat="1" ht="20.149999999999999" customHeight="1" x14ac:dyDescent="0.35">
      <c r="B9" s="283" t="s">
        <v>128</v>
      </c>
      <c r="C9" s="5" t="s">
        <v>129</v>
      </c>
      <c r="D9" s="5" t="s">
        <v>119</v>
      </c>
      <c r="E9" s="5" t="s">
        <v>130</v>
      </c>
      <c r="F9" s="284">
        <v>16</v>
      </c>
      <c r="G9" s="284">
        <v>16</v>
      </c>
      <c r="H9" s="284">
        <v>16</v>
      </c>
      <c r="I9" s="284">
        <v>16</v>
      </c>
      <c r="J9" s="284">
        <v>16</v>
      </c>
      <c r="K9" s="284">
        <v>16</v>
      </c>
      <c r="L9" s="284">
        <v>16</v>
      </c>
      <c r="M9" s="284">
        <v>16</v>
      </c>
      <c r="N9" s="284">
        <v>16</v>
      </c>
      <c r="O9" s="284">
        <v>16</v>
      </c>
      <c r="P9" s="284">
        <v>16</v>
      </c>
      <c r="Q9" s="284">
        <v>16</v>
      </c>
      <c r="R9" s="284"/>
      <c r="S9" s="284"/>
      <c r="T9" s="284"/>
      <c r="U9" s="284"/>
      <c r="V9" s="284"/>
      <c r="W9" s="284"/>
      <c r="X9" s="284"/>
      <c r="Y9" s="284"/>
      <c r="Z9" s="284"/>
      <c r="AA9" s="284"/>
      <c r="AB9" s="284"/>
      <c r="AC9" s="284"/>
      <c r="AD9" s="284"/>
      <c r="AE9" s="285"/>
      <c r="AF9" s="94"/>
      <c r="AG9" s="94"/>
      <c r="AH9" s="94"/>
      <c r="AI9" s="94"/>
      <c r="AJ9" s="94"/>
      <c r="AK9" s="94"/>
      <c r="AL9" s="94"/>
      <c r="AM9" s="94"/>
      <c r="AN9" s="94"/>
      <c r="AO9" s="94"/>
      <c r="AP9" s="94"/>
      <c r="AQ9" s="94"/>
    </row>
    <row r="10" spans="2:43" s="105" customFormat="1" ht="20.149999999999999" customHeight="1" x14ac:dyDescent="0.35">
      <c r="B10" s="283" t="s">
        <v>131</v>
      </c>
      <c r="C10" s="5" t="s">
        <v>132</v>
      </c>
      <c r="D10" s="5" t="s">
        <v>119</v>
      </c>
      <c r="E10" s="5" t="s">
        <v>133</v>
      </c>
      <c r="F10" s="284">
        <v>38.75</v>
      </c>
      <c r="G10" s="284">
        <v>38.75</v>
      </c>
      <c r="H10" s="284">
        <v>38.75</v>
      </c>
      <c r="I10" s="284">
        <v>38.75</v>
      </c>
      <c r="J10" s="284">
        <v>38.75</v>
      </c>
      <c r="K10" s="284">
        <v>38.75</v>
      </c>
      <c r="L10" s="284">
        <v>38.75</v>
      </c>
      <c r="M10" s="284">
        <v>38.75</v>
      </c>
      <c r="N10" s="284">
        <v>38.75</v>
      </c>
      <c r="O10" s="284">
        <v>38.75</v>
      </c>
      <c r="P10" s="284">
        <v>38.75</v>
      </c>
      <c r="Q10" s="284">
        <v>38.75</v>
      </c>
      <c r="R10" s="284"/>
      <c r="S10" s="284"/>
      <c r="T10" s="284"/>
      <c r="U10" s="284"/>
      <c r="V10" s="284"/>
      <c r="W10" s="284"/>
      <c r="X10" s="284"/>
      <c r="Y10" s="284"/>
      <c r="Z10" s="284"/>
      <c r="AA10" s="284"/>
      <c r="AB10" s="284"/>
      <c r="AC10" s="284"/>
      <c r="AD10" s="284"/>
      <c r="AE10" s="285"/>
      <c r="AF10" s="94"/>
      <c r="AG10" s="94"/>
      <c r="AH10" s="94"/>
      <c r="AI10" s="94"/>
      <c r="AJ10" s="94"/>
      <c r="AK10" s="94"/>
      <c r="AL10" s="94"/>
      <c r="AM10" s="94"/>
      <c r="AN10" s="94"/>
      <c r="AO10" s="94"/>
      <c r="AP10" s="94"/>
      <c r="AQ10" s="94"/>
    </row>
    <row r="11" spans="2:43" s="105" customFormat="1" ht="20.149999999999999" customHeight="1" x14ac:dyDescent="0.35">
      <c r="B11" s="283" t="s">
        <v>134</v>
      </c>
      <c r="C11" s="5" t="s">
        <v>135</v>
      </c>
      <c r="D11" s="5" t="s">
        <v>119</v>
      </c>
      <c r="E11" s="5" t="s">
        <v>136</v>
      </c>
      <c r="F11" s="284">
        <v>27</v>
      </c>
      <c r="G11" s="284">
        <v>27</v>
      </c>
      <c r="H11" s="284">
        <v>27</v>
      </c>
      <c r="I11" s="284">
        <v>27</v>
      </c>
      <c r="J11" s="284">
        <v>27</v>
      </c>
      <c r="K11" s="284">
        <v>27</v>
      </c>
      <c r="L11" s="284">
        <v>27</v>
      </c>
      <c r="M11" s="284">
        <v>27</v>
      </c>
      <c r="N11" s="284">
        <v>27</v>
      </c>
      <c r="O11" s="284">
        <v>27</v>
      </c>
      <c r="P11" s="284">
        <v>27</v>
      </c>
      <c r="Q11" s="284">
        <v>27</v>
      </c>
      <c r="R11" s="284"/>
      <c r="S11" s="284"/>
      <c r="T11" s="284"/>
      <c r="U11" s="284"/>
      <c r="V11" s="284"/>
      <c r="W11" s="284"/>
      <c r="X11" s="284"/>
      <c r="Y11" s="284"/>
      <c r="Z11" s="284"/>
      <c r="AA11" s="284"/>
      <c r="AB11" s="284"/>
      <c r="AC11" s="284"/>
      <c r="AD11" s="284"/>
      <c r="AE11" s="285"/>
      <c r="AF11" s="94"/>
      <c r="AG11" s="94"/>
      <c r="AH11" s="94"/>
      <c r="AI11" s="94"/>
      <c r="AJ11" s="94"/>
      <c r="AK11" s="94"/>
      <c r="AL11" s="94"/>
      <c r="AM11" s="94"/>
      <c r="AN11" s="94"/>
      <c r="AO11" s="94"/>
      <c r="AP11" s="94"/>
      <c r="AQ11" s="94"/>
    </row>
    <row r="12" spans="2:43" s="105" customFormat="1" ht="20.149999999999999" customHeight="1" x14ac:dyDescent="0.35">
      <c r="B12" s="283" t="s">
        <v>137</v>
      </c>
      <c r="C12" s="5" t="s">
        <v>138</v>
      </c>
      <c r="D12" s="5" t="s">
        <v>119</v>
      </c>
      <c r="E12" s="5" t="s">
        <v>139</v>
      </c>
      <c r="F12" s="284">
        <v>20</v>
      </c>
      <c r="G12" s="284">
        <v>20</v>
      </c>
      <c r="H12" s="284">
        <v>20</v>
      </c>
      <c r="I12" s="284">
        <v>20</v>
      </c>
      <c r="J12" s="284">
        <v>20</v>
      </c>
      <c r="K12" s="284">
        <v>20</v>
      </c>
      <c r="L12" s="284">
        <v>20</v>
      </c>
      <c r="M12" s="284">
        <v>20</v>
      </c>
      <c r="N12" s="284">
        <v>20</v>
      </c>
      <c r="O12" s="284">
        <v>20</v>
      </c>
      <c r="P12" s="284">
        <v>20</v>
      </c>
      <c r="Q12" s="284">
        <v>20</v>
      </c>
      <c r="R12" s="284"/>
      <c r="S12" s="284"/>
      <c r="T12" s="284"/>
      <c r="U12" s="284"/>
      <c r="V12" s="284"/>
      <c r="W12" s="284"/>
      <c r="X12" s="284"/>
      <c r="Y12" s="284"/>
      <c r="Z12" s="284"/>
      <c r="AA12" s="284"/>
      <c r="AB12" s="284"/>
      <c r="AC12" s="284"/>
      <c r="AD12" s="284"/>
      <c r="AE12" s="285"/>
    </row>
    <row r="13" spans="2:43" s="105" customFormat="1" ht="20.149999999999999" customHeight="1" x14ac:dyDescent="0.35">
      <c r="B13" s="283" t="s">
        <v>140</v>
      </c>
      <c r="C13" s="5" t="s">
        <v>141</v>
      </c>
      <c r="D13" s="5" t="s">
        <v>119</v>
      </c>
      <c r="E13" s="5" t="s">
        <v>142</v>
      </c>
      <c r="F13" s="284">
        <v>25</v>
      </c>
      <c r="G13" s="284">
        <v>25</v>
      </c>
      <c r="H13" s="284">
        <v>25</v>
      </c>
      <c r="I13" s="284">
        <v>25</v>
      </c>
      <c r="J13" s="284">
        <v>25</v>
      </c>
      <c r="K13" s="284">
        <v>25</v>
      </c>
      <c r="L13" s="284">
        <v>25</v>
      </c>
      <c r="M13" s="284">
        <v>25</v>
      </c>
      <c r="N13" s="284">
        <v>25</v>
      </c>
      <c r="O13" s="284">
        <v>25</v>
      </c>
      <c r="P13" s="284">
        <v>25</v>
      </c>
      <c r="Q13" s="284">
        <v>25</v>
      </c>
      <c r="R13" s="284"/>
      <c r="S13" s="284"/>
      <c r="T13" s="284"/>
      <c r="U13" s="284"/>
      <c r="V13" s="284"/>
      <c r="W13" s="284"/>
      <c r="X13" s="284"/>
      <c r="Y13" s="284"/>
      <c r="Z13" s="284"/>
      <c r="AA13" s="284"/>
      <c r="AB13" s="284"/>
      <c r="AC13" s="284"/>
      <c r="AD13" s="284"/>
      <c r="AE13" s="285"/>
    </row>
    <row r="14" spans="2:43" s="105" customFormat="1" ht="20.149999999999999" customHeight="1" x14ac:dyDescent="0.35">
      <c r="B14" s="233"/>
      <c r="C14" s="5"/>
      <c r="D14" s="5"/>
      <c r="E14" s="5"/>
      <c r="F14" s="284"/>
      <c r="G14" s="284"/>
      <c r="H14" s="284"/>
      <c r="I14" s="284"/>
      <c r="J14" s="284"/>
      <c r="K14" s="284"/>
      <c r="L14" s="284"/>
      <c r="M14" s="284"/>
      <c r="N14" s="284"/>
      <c r="O14" s="284"/>
      <c r="P14" s="284"/>
      <c r="Q14" s="284"/>
      <c r="R14" s="284"/>
      <c r="S14" s="284"/>
      <c r="T14" s="284"/>
      <c r="U14" s="284"/>
      <c r="V14" s="284"/>
      <c r="W14" s="284"/>
      <c r="X14" s="284"/>
      <c r="Y14" s="284"/>
      <c r="Z14" s="284"/>
      <c r="AA14" s="284"/>
      <c r="AB14" s="284"/>
      <c r="AC14" s="284"/>
      <c r="AD14" s="284"/>
      <c r="AE14" s="285"/>
    </row>
    <row r="15" spans="2:43" s="105" customFormat="1" ht="20.149999999999999" customHeight="1" x14ac:dyDescent="0.35">
      <c r="B15" s="233"/>
      <c r="C15" s="5"/>
      <c r="D15" s="5"/>
      <c r="E15" s="5"/>
      <c r="F15" s="284"/>
      <c r="G15" s="284"/>
      <c r="H15" s="284"/>
      <c r="I15" s="284"/>
      <c r="J15" s="284"/>
      <c r="K15" s="284"/>
      <c r="L15" s="284"/>
      <c r="M15" s="284"/>
      <c r="N15" s="284"/>
      <c r="O15" s="284"/>
      <c r="P15" s="284"/>
      <c r="Q15" s="284"/>
      <c r="R15" s="284"/>
      <c r="S15" s="284"/>
      <c r="T15" s="284"/>
      <c r="U15" s="284"/>
      <c r="V15" s="284"/>
      <c r="W15" s="284"/>
      <c r="X15" s="284"/>
      <c r="Y15" s="284"/>
      <c r="Z15" s="284"/>
      <c r="AA15" s="284"/>
      <c r="AB15" s="284"/>
      <c r="AC15" s="284"/>
      <c r="AD15" s="284"/>
      <c r="AE15" s="285"/>
    </row>
    <row r="16" spans="2:43" s="105" customFormat="1" ht="20.149999999999999" customHeight="1" x14ac:dyDescent="0.35">
      <c r="B16" s="233"/>
      <c r="C16" s="5"/>
      <c r="D16" s="5"/>
      <c r="E16" s="5"/>
      <c r="F16" s="284"/>
      <c r="G16" s="284"/>
      <c r="H16" s="284"/>
      <c r="I16" s="284"/>
      <c r="J16" s="284"/>
      <c r="K16" s="284"/>
      <c r="L16" s="284"/>
      <c r="M16" s="284"/>
      <c r="N16" s="284"/>
      <c r="O16" s="284"/>
      <c r="P16" s="284"/>
      <c r="Q16" s="284"/>
      <c r="R16" s="284"/>
      <c r="S16" s="284"/>
      <c r="T16" s="284"/>
      <c r="U16" s="284"/>
      <c r="V16" s="284"/>
      <c r="W16" s="284"/>
      <c r="X16" s="284"/>
      <c r="Y16" s="284"/>
      <c r="Z16" s="284"/>
      <c r="AA16" s="284"/>
      <c r="AB16" s="284"/>
      <c r="AC16" s="284"/>
      <c r="AD16" s="284"/>
      <c r="AE16" s="285"/>
    </row>
    <row r="17" spans="2:43" s="105" customFormat="1" ht="20.149999999999999" customHeight="1" x14ac:dyDescent="0.35">
      <c r="B17" s="233"/>
      <c r="C17" s="5"/>
      <c r="D17" s="5"/>
      <c r="E17" s="5"/>
      <c r="F17" s="284"/>
      <c r="G17" s="284"/>
      <c r="H17" s="284"/>
      <c r="I17" s="284"/>
      <c r="J17" s="284"/>
      <c r="K17" s="284"/>
      <c r="L17" s="284"/>
      <c r="M17" s="284"/>
      <c r="N17" s="284"/>
      <c r="O17" s="284"/>
      <c r="P17" s="284"/>
      <c r="Q17" s="284"/>
      <c r="R17" s="284"/>
      <c r="S17" s="284"/>
      <c r="T17" s="284"/>
      <c r="U17" s="284"/>
      <c r="V17" s="284"/>
      <c r="W17" s="284"/>
      <c r="X17" s="284"/>
      <c r="Y17" s="284"/>
      <c r="Z17" s="284"/>
      <c r="AA17" s="284"/>
      <c r="AB17" s="284"/>
      <c r="AC17" s="284"/>
      <c r="AD17" s="284"/>
      <c r="AE17" s="285"/>
      <c r="AF17" s="94"/>
      <c r="AG17" s="94"/>
      <c r="AH17" s="94"/>
      <c r="AI17" s="94"/>
      <c r="AJ17" s="94"/>
      <c r="AK17" s="94"/>
      <c r="AL17" s="94"/>
      <c r="AM17" s="94"/>
      <c r="AN17" s="94"/>
      <c r="AO17" s="94"/>
      <c r="AP17" s="94"/>
      <c r="AQ17" s="94"/>
    </row>
    <row r="18" spans="2:43" s="105" customFormat="1" ht="20.149999999999999" customHeight="1" x14ac:dyDescent="0.35">
      <c r="B18" s="233"/>
      <c r="C18" s="5"/>
      <c r="D18" s="5"/>
      <c r="E18" s="5"/>
      <c r="F18" s="284"/>
      <c r="G18" s="284"/>
      <c r="H18" s="284"/>
      <c r="I18" s="284"/>
      <c r="J18" s="284"/>
      <c r="K18" s="284"/>
      <c r="L18" s="284"/>
      <c r="M18" s="284"/>
      <c r="N18" s="284"/>
      <c r="O18" s="284"/>
      <c r="P18" s="284"/>
      <c r="Q18" s="284"/>
      <c r="R18" s="284"/>
      <c r="S18" s="284"/>
      <c r="T18" s="284"/>
      <c r="U18" s="284"/>
      <c r="V18" s="284"/>
      <c r="W18" s="284"/>
      <c r="X18" s="284"/>
      <c r="Y18" s="284"/>
      <c r="Z18" s="284"/>
      <c r="AA18" s="284"/>
      <c r="AB18" s="284"/>
      <c r="AC18" s="284"/>
      <c r="AD18" s="284"/>
      <c r="AE18" s="285"/>
      <c r="AF18" s="94"/>
      <c r="AG18" s="94"/>
      <c r="AH18" s="94"/>
      <c r="AI18" s="94"/>
      <c r="AJ18" s="94"/>
      <c r="AK18" s="94"/>
      <c r="AL18" s="94"/>
      <c r="AM18" s="94"/>
      <c r="AN18" s="94"/>
      <c r="AO18" s="94"/>
      <c r="AP18" s="94"/>
      <c r="AQ18" s="94"/>
    </row>
    <row r="19" spans="2:43" s="105" customFormat="1" ht="20.149999999999999" customHeight="1" x14ac:dyDescent="0.35">
      <c r="B19" s="233"/>
      <c r="C19" s="5"/>
      <c r="D19" s="5"/>
      <c r="E19" s="5"/>
      <c r="F19" s="284"/>
      <c r="G19" s="284"/>
      <c r="H19" s="284"/>
      <c r="I19" s="284"/>
      <c r="J19" s="284"/>
      <c r="K19" s="284"/>
      <c r="L19" s="284"/>
      <c r="M19" s="284"/>
      <c r="N19" s="284"/>
      <c r="O19" s="284"/>
      <c r="P19" s="284"/>
      <c r="Q19" s="284"/>
      <c r="R19" s="284"/>
      <c r="S19" s="284"/>
      <c r="T19" s="284"/>
      <c r="U19" s="284"/>
      <c r="V19" s="284"/>
      <c r="W19" s="284"/>
      <c r="X19" s="284"/>
      <c r="Y19" s="284"/>
      <c r="Z19" s="284"/>
      <c r="AA19" s="284"/>
      <c r="AB19" s="284"/>
      <c r="AC19" s="284"/>
      <c r="AD19" s="284"/>
      <c r="AE19" s="285"/>
      <c r="AF19" s="94"/>
      <c r="AG19" s="94"/>
      <c r="AH19" s="94"/>
      <c r="AI19" s="94"/>
      <c r="AJ19" s="94"/>
      <c r="AK19" s="94"/>
      <c r="AL19" s="94"/>
      <c r="AM19" s="94"/>
      <c r="AN19" s="94"/>
      <c r="AO19" s="94"/>
      <c r="AP19" s="94"/>
      <c r="AQ19" s="94"/>
    </row>
    <row r="20" spans="2:43" s="105" customFormat="1" ht="20.149999999999999" customHeight="1" x14ac:dyDescent="0.35">
      <c r="B20" s="233"/>
      <c r="C20" s="5"/>
      <c r="D20" s="5"/>
      <c r="E20" s="5"/>
      <c r="F20" s="284"/>
      <c r="G20" s="284"/>
      <c r="H20" s="284"/>
      <c r="I20" s="284"/>
      <c r="J20" s="284"/>
      <c r="K20" s="284"/>
      <c r="L20" s="284"/>
      <c r="M20" s="284"/>
      <c r="N20" s="284"/>
      <c r="O20" s="284"/>
      <c r="P20" s="284"/>
      <c r="Q20" s="284"/>
      <c r="R20" s="284"/>
      <c r="S20" s="284"/>
      <c r="T20" s="284"/>
      <c r="U20" s="284"/>
      <c r="V20" s="284"/>
      <c r="W20" s="284"/>
      <c r="X20" s="284"/>
      <c r="Y20" s="284"/>
      <c r="Z20" s="284"/>
      <c r="AA20" s="284"/>
      <c r="AB20" s="284"/>
      <c r="AC20" s="284"/>
      <c r="AD20" s="284"/>
      <c r="AE20" s="285"/>
      <c r="AF20" s="94"/>
      <c r="AG20" s="94"/>
      <c r="AH20" s="94"/>
      <c r="AI20" s="94"/>
      <c r="AJ20" s="94"/>
      <c r="AK20" s="94"/>
      <c r="AL20" s="94"/>
      <c r="AM20" s="94"/>
      <c r="AN20" s="94"/>
      <c r="AO20" s="94"/>
      <c r="AP20" s="94"/>
      <c r="AQ20" s="94"/>
    </row>
    <row r="21" spans="2:43" s="105" customFormat="1" ht="20.149999999999999" customHeight="1" x14ac:dyDescent="0.35">
      <c r="B21" s="233"/>
      <c r="C21" s="5"/>
      <c r="D21" s="5"/>
      <c r="E21" s="5"/>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c r="AD21" s="284"/>
      <c r="AE21" s="285"/>
      <c r="AF21" s="94"/>
      <c r="AG21" s="94"/>
      <c r="AH21" s="94"/>
      <c r="AI21" s="94"/>
      <c r="AJ21" s="94"/>
      <c r="AK21" s="94"/>
      <c r="AL21" s="94"/>
      <c r="AM21" s="94"/>
      <c r="AN21" s="94"/>
      <c r="AO21" s="94"/>
      <c r="AP21" s="94"/>
      <c r="AQ21" s="94"/>
    </row>
    <row r="22" spans="2:43" s="105" customFormat="1" ht="20.149999999999999" customHeight="1" x14ac:dyDescent="0.35">
      <c r="B22" s="233"/>
      <c r="C22" s="5"/>
      <c r="D22" s="5"/>
      <c r="E22" s="5"/>
      <c r="F22" s="284"/>
      <c r="G22" s="284"/>
      <c r="H22" s="284"/>
      <c r="I22" s="284"/>
      <c r="J22" s="284"/>
      <c r="K22" s="284"/>
      <c r="L22" s="284"/>
      <c r="M22" s="284"/>
      <c r="N22" s="284"/>
      <c r="O22" s="284"/>
      <c r="P22" s="284"/>
      <c r="Q22" s="284"/>
      <c r="R22" s="284"/>
      <c r="S22" s="284"/>
      <c r="T22" s="284"/>
      <c r="U22" s="284"/>
      <c r="V22" s="284"/>
      <c r="W22" s="284"/>
      <c r="X22" s="284"/>
      <c r="Y22" s="284"/>
      <c r="Z22" s="284"/>
      <c r="AA22" s="284"/>
      <c r="AB22" s="284"/>
      <c r="AC22" s="284"/>
      <c r="AD22" s="284"/>
      <c r="AE22" s="285"/>
    </row>
    <row r="23" spans="2:43" s="105" customFormat="1" ht="20.149999999999999" customHeight="1" x14ac:dyDescent="0.35">
      <c r="B23" s="233"/>
      <c r="C23" s="5"/>
      <c r="D23" s="5"/>
      <c r="E23" s="5"/>
      <c r="F23" s="284"/>
      <c r="G23" s="284"/>
      <c r="H23" s="284"/>
      <c r="I23" s="284"/>
      <c r="J23" s="284"/>
      <c r="K23" s="284"/>
      <c r="L23" s="284"/>
      <c r="M23" s="284"/>
      <c r="N23" s="284"/>
      <c r="O23" s="284"/>
      <c r="P23" s="284"/>
      <c r="Q23" s="284"/>
      <c r="R23" s="284"/>
      <c r="S23" s="284"/>
      <c r="T23" s="284"/>
      <c r="U23" s="284"/>
      <c r="V23" s="284"/>
      <c r="W23" s="284"/>
      <c r="X23" s="284"/>
      <c r="Y23" s="284"/>
      <c r="Z23" s="284"/>
      <c r="AA23" s="284"/>
      <c r="AB23" s="284"/>
      <c r="AC23" s="284"/>
      <c r="AD23" s="284"/>
      <c r="AE23" s="285"/>
    </row>
    <row r="24" spans="2:43" s="105" customFormat="1" ht="20.149999999999999" customHeight="1" x14ac:dyDescent="0.35">
      <c r="B24" s="233"/>
      <c r="C24" s="5"/>
      <c r="D24" s="5"/>
      <c r="E24" s="5"/>
      <c r="F24" s="284"/>
      <c r="G24" s="284"/>
      <c r="H24" s="284"/>
      <c r="I24" s="284"/>
      <c r="J24" s="284"/>
      <c r="K24" s="284"/>
      <c r="L24" s="284"/>
      <c r="M24" s="284"/>
      <c r="N24" s="284"/>
      <c r="O24" s="284"/>
      <c r="P24" s="284"/>
      <c r="Q24" s="284"/>
      <c r="R24" s="284"/>
      <c r="S24" s="284"/>
      <c r="T24" s="284"/>
      <c r="U24" s="284"/>
      <c r="V24" s="284"/>
      <c r="W24" s="284"/>
      <c r="X24" s="284"/>
      <c r="Y24" s="284"/>
      <c r="Z24" s="284"/>
      <c r="AA24" s="284"/>
      <c r="AB24" s="284"/>
      <c r="AC24" s="284"/>
      <c r="AD24" s="284"/>
      <c r="AE24" s="285"/>
    </row>
    <row r="25" spans="2:43" s="105" customFormat="1" ht="20.149999999999999" customHeight="1" x14ac:dyDescent="0.35">
      <c r="B25" s="233"/>
      <c r="C25" s="5"/>
      <c r="D25" s="5"/>
      <c r="E25" s="5"/>
      <c r="F25" s="284"/>
      <c r="G25" s="284"/>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5"/>
    </row>
    <row r="26" spans="2:43" s="105" customFormat="1" ht="20.149999999999999" customHeight="1" x14ac:dyDescent="0.35">
      <c r="B26" s="233"/>
      <c r="C26" s="5"/>
      <c r="D26" s="5"/>
      <c r="E26" s="5"/>
      <c r="F26" s="284"/>
      <c r="G26" s="284"/>
      <c r="H26" s="284"/>
      <c r="I26" s="284"/>
      <c r="J26" s="284"/>
      <c r="K26" s="284"/>
      <c r="L26" s="284"/>
      <c r="M26" s="284"/>
      <c r="N26" s="284"/>
      <c r="O26" s="284"/>
      <c r="P26" s="284"/>
      <c r="Q26" s="284"/>
      <c r="R26" s="284"/>
      <c r="S26" s="284"/>
      <c r="T26" s="284"/>
      <c r="U26" s="284"/>
      <c r="V26" s="284"/>
      <c r="W26" s="284"/>
      <c r="X26" s="284"/>
      <c r="Y26" s="284"/>
      <c r="Z26" s="284"/>
      <c r="AA26" s="284"/>
      <c r="AB26" s="284"/>
      <c r="AC26" s="284"/>
      <c r="AD26" s="284"/>
      <c r="AE26" s="285"/>
    </row>
    <row r="27" spans="2:43" s="105" customFormat="1" ht="20.149999999999999" customHeight="1" x14ac:dyDescent="0.35">
      <c r="B27" s="233"/>
      <c r="C27" s="5"/>
      <c r="D27" s="5"/>
      <c r="E27" s="5"/>
      <c r="F27" s="284"/>
      <c r="G27" s="284"/>
      <c r="H27" s="284"/>
      <c r="I27" s="284"/>
      <c r="J27" s="284"/>
      <c r="K27" s="284"/>
      <c r="L27" s="284"/>
      <c r="M27" s="284"/>
      <c r="N27" s="284"/>
      <c r="O27" s="284"/>
      <c r="P27" s="284"/>
      <c r="Q27" s="284"/>
      <c r="R27" s="284"/>
      <c r="S27" s="284"/>
      <c r="T27" s="284"/>
      <c r="U27" s="284"/>
      <c r="V27" s="284"/>
      <c r="W27" s="284"/>
      <c r="X27" s="284"/>
      <c r="Y27" s="284"/>
      <c r="Z27" s="284"/>
      <c r="AA27" s="284"/>
      <c r="AB27" s="284"/>
      <c r="AC27" s="284"/>
      <c r="AD27" s="284"/>
      <c r="AE27" s="285"/>
      <c r="AF27" s="94"/>
      <c r="AG27" s="94"/>
      <c r="AH27" s="94"/>
      <c r="AI27" s="94"/>
      <c r="AJ27" s="94"/>
      <c r="AK27" s="94"/>
      <c r="AL27" s="94"/>
      <c r="AM27" s="94"/>
      <c r="AN27" s="94"/>
      <c r="AO27" s="94"/>
      <c r="AP27" s="94"/>
      <c r="AQ27" s="94"/>
    </row>
    <row r="28" spans="2:43" s="105" customFormat="1" ht="20.149999999999999" customHeight="1" x14ac:dyDescent="0.35">
      <c r="B28" s="233"/>
      <c r="C28" s="5"/>
      <c r="D28" s="5"/>
      <c r="E28" s="5"/>
      <c r="F28" s="284"/>
      <c r="G28" s="284"/>
      <c r="H28" s="284"/>
      <c r="I28" s="284"/>
      <c r="J28" s="284"/>
      <c r="K28" s="284"/>
      <c r="L28" s="284"/>
      <c r="M28" s="284"/>
      <c r="N28" s="284"/>
      <c r="O28" s="284"/>
      <c r="P28" s="284"/>
      <c r="Q28" s="284"/>
      <c r="R28" s="284"/>
      <c r="S28" s="284"/>
      <c r="T28" s="284"/>
      <c r="U28" s="284"/>
      <c r="V28" s="284"/>
      <c r="W28" s="284"/>
      <c r="X28" s="284"/>
      <c r="Y28" s="284"/>
      <c r="Z28" s="284"/>
      <c r="AA28" s="284"/>
      <c r="AB28" s="284"/>
      <c r="AC28" s="284"/>
      <c r="AD28" s="284"/>
      <c r="AE28" s="285"/>
      <c r="AF28" s="94"/>
      <c r="AG28" s="94"/>
      <c r="AH28" s="94"/>
      <c r="AI28" s="94"/>
      <c r="AJ28" s="94"/>
      <c r="AK28" s="94"/>
      <c r="AL28" s="94"/>
      <c r="AM28" s="94"/>
      <c r="AN28" s="94"/>
      <c r="AO28" s="94"/>
      <c r="AP28" s="94"/>
      <c r="AQ28" s="94"/>
    </row>
    <row r="29" spans="2:43" s="105" customFormat="1" ht="20.149999999999999" customHeight="1" x14ac:dyDescent="0.35">
      <c r="B29" s="233"/>
      <c r="C29" s="5"/>
      <c r="D29" s="5"/>
      <c r="E29" s="5"/>
      <c r="F29" s="284"/>
      <c r="G29" s="284"/>
      <c r="H29" s="284"/>
      <c r="I29" s="284"/>
      <c r="J29" s="284"/>
      <c r="K29" s="284"/>
      <c r="L29" s="284"/>
      <c r="M29" s="284"/>
      <c r="N29" s="284"/>
      <c r="O29" s="284"/>
      <c r="P29" s="284"/>
      <c r="Q29" s="284"/>
      <c r="R29" s="284"/>
      <c r="S29" s="284"/>
      <c r="T29" s="284"/>
      <c r="U29" s="284"/>
      <c r="V29" s="284"/>
      <c r="W29" s="284"/>
      <c r="X29" s="284"/>
      <c r="Y29" s="284"/>
      <c r="Z29" s="284"/>
      <c r="AA29" s="284"/>
      <c r="AB29" s="284"/>
      <c r="AC29" s="284"/>
      <c r="AD29" s="284"/>
      <c r="AE29" s="285"/>
      <c r="AF29" s="94"/>
      <c r="AG29" s="94"/>
      <c r="AH29" s="94"/>
      <c r="AI29" s="94"/>
      <c r="AJ29" s="94"/>
      <c r="AK29" s="94"/>
      <c r="AL29" s="94"/>
      <c r="AM29" s="94"/>
      <c r="AN29" s="94"/>
      <c r="AO29" s="94"/>
      <c r="AP29" s="94"/>
      <c r="AQ29" s="94"/>
    </row>
    <row r="30" spans="2:43" s="105" customFormat="1" ht="20.149999999999999" customHeight="1" x14ac:dyDescent="0.35">
      <c r="B30" s="233"/>
      <c r="C30" s="5"/>
      <c r="D30" s="5"/>
      <c r="E30" s="5"/>
      <c r="F30" s="284"/>
      <c r="G30" s="284"/>
      <c r="H30" s="284"/>
      <c r="I30" s="284"/>
      <c r="J30" s="284"/>
      <c r="K30" s="284"/>
      <c r="L30" s="284"/>
      <c r="M30" s="284"/>
      <c r="N30" s="284"/>
      <c r="O30" s="284"/>
      <c r="P30" s="284"/>
      <c r="Q30" s="284"/>
      <c r="R30" s="284"/>
      <c r="S30" s="284"/>
      <c r="T30" s="284"/>
      <c r="U30" s="284"/>
      <c r="V30" s="284"/>
      <c r="W30" s="284"/>
      <c r="X30" s="284"/>
      <c r="Y30" s="284"/>
      <c r="Z30" s="284"/>
      <c r="AA30" s="284"/>
      <c r="AB30" s="284"/>
      <c r="AC30" s="284"/>
      <c r="AD30" s="284"/>
      <c r="AE30" s="285"/>
      <c r="AF30" s="94"/>
      <c r="AG30" s="94"/>
      <c r="AH30" s="94"/>
      <c r="AI30" s="94"/>
      <c r="AJ30" s="94"/>
      <c r="AK30" s="94"/>
      <c r="AL30" s="94"/>
      <c r="AM30" s="94"/>
      <c r="AN30" s="94"/>
      <c r="AO30" s="94"/>
      <c r="AP30" s="94"/>
      <c r="AQ30" s="94"/>
    </row>
    <row r="31" spans="2:43" s="105" customFormat="1" ht="20.149999999999999" customHeight="1" x14ac:dyDescent="0.35">
      <c r="B31" s="233"/>
      <c r="C31" s="5"/>
      <c r="D31" s="5"/>
      <c r="E31" s="5"/>
      <c r="F31" s="284"/>
      <c r="G31" s="284"/>
      <c r="H31" s="284"/>
      <c r="I31" s="284"/>
      <c r="J31" s="284"/>
      <c r="K31" s="284"/>
      <c r="L31" s="284"/>
      <c r="M31" s="284"/>
      <c r="N31" s="284"/>
      <c r="O31" s="284"/>
      <c r="P31" s="284"/>
      <c r="Q31" s="284"/>
      <c r="R31" s="284"/>
      <c r="S31" s="284"/>
      <c r="T31" s="284"/>
      <c r="U31" s="284"/>
      <c r="V31" s="284"/>
      <c r="W31" s="284"/>
      <c r="X31" s="284"/>
      <c r="Y31" s="284"/>
      <c r="Z31" s="284"/>
      <c r="AA31" s="284"/>
      <c r="AB31" s="284"/>
      <c r="AC31" s="284"/>
      <c r="AD31" s="284"/>
      <c r="AE31" s="285"/>
      <c r="AF31" s="94"/>
      <c r="AG31" s="94"/>
      <c r="AH31" s="94"/>
      <c r="AI31" s="94"/>
      <c r="AJ31" s="94"/>
      <c r="AK31" s="94"/>
      <c r="AL31" s="94"/>
      <c r="AM31" s="94"/>
      <c r="AN31" s="94"/>
      <c r="AO31" s="94"/>
      <c r="AP31" s="94"/>
      <c r="AQ31" s="94"/>
    </row>
    <row r="32" spans="2:43" s="105" customFormat="1" ht="20.149999999999999" customHeight="1" x14ac:dyDescent="0.35">
      <c r="B32" s="233"/>
      <c r="C32" s="5"/>
      <c r="D32" s="5"/>
      <c r="E32" s="5"/>
      <c r="F32" s="284"/>
      <c r="G32" s="284"/>
      <c r="H32" s="284"/>
      <c r="I32" s="284"/>
      <c r="J32" s="284"/>
      <c r="K32" s="284"/>
      <c r="L32" s="284"/>
      <c r="M32" s="284"/>
      <c r="N32" s="284"/>
      <c r="O32" s="284"/>
      <c r="P32" s="284"/>
      <c r="Q32" s="284"/>
      <c r="R32" s="284"/>
      <c r="S32" s="284"/>
      <c r="T32" s="284"/>
      <c r="U32" s="284"/>
      <c r="V32" s="284"/>
      <c r="W32" s="284"/>
      <c r="X32" s="284"/>
      <c r="Y32" s="284"/>
      <c r="Z32" s="284"/>
      <c r="AA32" s="284"/>
      <c r="AB32" s="284"/>
      <c r="AC32" s="284"/>
      <c r="AD32" s="284"/>
      <c r="AE32" s="285"/>
    </row>
    <row r="33" spans="2:43" s="105" customFormat="1" ht="20.149999999999999" customHeight="1" x14ac:dyDescent="0.35">
      <c r="B33" s="233"/>
      <c r="C33" s="5"/>
      <c r="D33" s="5"/>
      <c r="E33" s="5"/>
      <c r="F33" s="284"/>
      <c r="G33" s="284"/>
      <c r="H33" s="284"/>
      <c r="I33" s="284"/>
      <c r="J33" s="284"/>
      <c r="K33" s="284"/>
      <c r="L33" s="284"/>
      <c r="M33" s="284"/>
      <c r="N33" s="284"/>
      <c r="O33" s="284"/>
      <c r="P33" s="284"/>
      <c r="Q33" s="284"/>
      <c r="R33" s="284"/>
      <c r="S33" s="284"/>
      <c r="T33" s="284"/>
      <c r="U33" s="284"/>
      <c r="V33" s="284"/>
      <c r="W33" s="284"/>
      <c r="X33" s="284"/>
      <c r="Y33" s="284"/>
      <c r="Z33" s="284"/>
      <c r="AA33" s="284"/>
      <c r="AB33" s="284"/>
      <c r="AC33" s="284"/>
      <c r="AD33" s="284"/>
      <c r="AE33" s="285"/>
    </row>
    <row r="34" spans="2:43" s="105" customFormat="1" ht="20.149999999999999" customHeight="1" x14ac:dyDescent="0.35">
      <c r="B34" s="233"/>
      <c r="C34" s="5"/>
      <c r="D34" s="5"/>
      <c r="E34" s="5"/>
      <c r="F34" s="284"/>
      <c r="G34" s="284"/>
      <c r="H34" s="284"/>
      <c r="I34" s="284"/>
      <c r="J34" s="284"/>
      <c r="K34" s="284"/>
      <c r="L34" s="284"/>
      <c r="M34" s="284"/>
      <c r="N34" s="284"/>
      <c r="O34" s="284"/>
      <c r="P34" s="284"/>
      <c r="Q34" s="284"/>
      <c r="R34" s="284"/>
      <c r="S34" s="284"/>
      <c r="T34" s="284"/>
      <c r="U34" s="284"/>
      <c r="V34" s="284"/>
      <c r="W34" s="284"/>
      <c r="X34" s="284"/>
      <c r="Y34" s="284"/>
      <c r="Z34" s="284"/>
      <c r="AA34" s="284"/>
      <c r="AB34" s="284"/>
      <c r="AC34" s="284"/>
      <c r="AD34" s="284"/>
      <c r="AE34" s="285"/>
    </row>
    <row r="35" spans="2:43" s="105" customFormat="1" ht="20.149999999999999" customHeight="1" x14ac:dyDescent="0.35">
      <c r="B35" s="233"/>
      <c r="C35" s="5"/>
      <c r="D35" s="5"/>
      <c r="E35" s="5"/>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c r="AD35" s="284"/>
      <c r="AE35" s="285"/>
    </row>
    <row r="36" spans="2:43" s="105" customFormat="1" ht="20.149999999999999" customHeight="1" x14ac:dyDescent="0.35">
      <c r="B36" s="233"/>
      <c r="C36" s="5"/>
      <c r="D36" s="5"/>
      <c r="E36" s="5"/>
      <c r="F36" s="284"/>
      <c r="G36" s="284"/>
      <c r="H36" s="284"/>
      <c r="I36" s="284"/>
      <c r="J36" s="284"/>
      <c r="K36" s="284"/>
      <c r="L36" s="284"/>
      <c r="M36" s="284"/>
      <c r="N36" s="284"/>
      <c r="O36" s="284"/>
      <c r="P36" s="284"/>
      <c r="Q36" s="284"/>
      <c r="R36" s="284"/>
      <c r="S36" s="284"/>
      <c r="T36" s="284"/>
      <c r="U36" s="284"/>
      <c r="V36" s="284"/>
      <c r="W36" s="284"/>
      <c r="X36" s="284"/>
      <c r="Y36" s="284"/>
      <c r="Z36" s="284"/>
      <c r="AA36" s="284"/>
      <c r="AB36" s="284"/>
      <c r="AC36" s="284"/>
      <c r="AD36" s="284"/>
      <c r="AE36" s="285"/>
    </row>
    <row r="37" spans="2:43" s="105" customFormat="1" ht="20.149999999999999" customHeight="1" x14ac:dyDescent="0.25">
      <c r="B37" s="185"/>
      <c r="C37" s="185"/>
      <c r="D37" s="185"/>
      <c r="E37" s="185"/>
      <c r="F37" s="185"/>
      <c r="G37" s="185"/>
      <c r="H37" s="185"/>
      <c r="I37" s="185"/>
      <c r="J37" s="185"/>
      <c r="K37" s="185"/>
      <c r="L37" s="185"/>
      <c r="M37" s="185"/>
      <c r="N37" s="185"/>
      <c r="O37" s="185"/>
      <c r="P37" s="185"/>
      <c r="Q37" s="185"/>
      <c r="R37" s="185"/>
      <c r="S37" s="185"/>
      <c r="T37" s="185"/>
      <c r="U37" s="185"/>
      <c r="V37" s="185"/>
      <c r="W37" s="185"/>
      <c r="X37" s="185"/>
      <c r="Y37" s="185"/>
      <c r="Z37" s="185"/>
      <c r="AA37" s="185"/>
      <c r="AB37" s="185"/>
      <c r="AC37" s="185"/>
      <c r="AD37" s="185"/>
    </row>
    <row r="38" spans="2:43" x14ac:dyDescent="0.25">
      <c r="B38" s="107"/>
    </row>
    <row r="39" spans="2:43" x14ac:dyDescent="0.25">
      <c r="B39" s="107"/>
    </row>
    <row r="40" spans="2:43" x14ac:dyDescent="0.25">
      <c r="B40" s="107"/>
    </row>
    <row r="41" spans="2:43" x14ac:dyDescent="0.25">
      <c r="B41" s="107"/>
    </row>
    <row r="42" spans="2:43" x14ac:dyDescent="0.25">
      <c r="B42" s="107"/>
    </row>
    <row r="43" spans="2:43" x14ac:dyDescent="0.25">
      <c r="B43" s="107"/>
    </row>
    <row r="44" spans="2:43" ht="20.149999999999999" customHeight="1" x14ac:dyDescent="0.25">
      <c r="B44" s="100"/>
      <c r="C44" s="100"/>
      <c r="D44" s="100"/>
      <c r="E44" s="108"/>
      <c r="F44" s="100"/>
      <c r="G44" s="100"/>
      <c r="H44" s="100"/>
      <c r="I44" s="100"/>
      <c r="J44" s="100"/>
      <c r="K44" s="100"/>
      <c r="L44" s="100"/>
      <c r="M44" s="100"/>
      <c r="N44" s="100"/>
      <c r="O44" s="100"/>
      <c r="P44" s="100"/>
    </row>
    <row r="45" spans="2:43" ht="20.149999999999999" customHeight="1" x14ac:dyDescent="0.25">
      <c r="B45" s="75" t="s">
        <v>143</v>
      </c>
      <c r="C45" s="109"/>
      <c r="D45" s="100"/>
      <c r="E45" s="108"/>
      <c r="F45" s="100"/>
      <c r="G45" s="100"/>
      <c r="H45" s="100"/>
      <c r="I45" s="100"/>
      <c r="J45" s="100"/>
      <c r="K45" s="100"/>
      <c r="L45" s="100"/>
      <c r="M45" s="100"/>
      <c r="N45" s="100"/>
      <c r="O45" s="100"/>
      <c r="P45" s="100"/>
      <c r="Q45" s="100"/>
    </row>
    <row r="46" spans="2:43" s="104" customFormat="1" ht="31.5" customHeight="1" x14ac:dyDescent="0.25">
      <c r="B46" s="234" t="s">
        <v>144</v>
      </c>
      <c r="C46" s="102" t="s">
        <v>145</v>
      </c>
      <c r="D46" s="100"/>
      <c r="E46" s="108"/>
      <c r="F46" s="100"/>
      <c r="G46" s="100"/>
      <c r="H46" s="100"/>
      <c r="I46" s="100"/>
      <c r="J46" s="100"/>
      <c r="K46" s="100"/>
      <c r="L46" s="100"/>
      <c r="M46" s="100"/>
      <c r="N46" s="100"/>
      <c r="O46" s="100"/>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row>
    <row r="47" spans="2:43" s="105" customFormat="1" ht="20.149999999999999" customHeight="1" x14ac:dyDescent="0.25">
      <c r="B47" s="1" t="s">
        <v>146</v>
      </c>
      <c r="C47" s="4" t="s">
        <v>42</v>
      </c>
      <c r="E47" s="108"/>
      <c r="F47" s="100"/>
      <c r="G47" s="100"/>
      <c r="H47" s="100"/>
      <c r="I47" s="100"/>
      <c r="J47" s="100"/>
      <c r="K47" s="100"/>
      <c r="L47" s="100"/>
      <c r="M47" s="100"/>
      <c r="N47" s="100"/>
      <c r="O47" s="100"/>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row>
    <row r="48" spans="2:43" s="105" customFormat="1" ht="20.149999999999999" customHeight="1" x14ac:dyDescent="0.25">
      <c r="B48" s="1" t="s">
        <v>147</v>
      </c>
      <c r="C48" s="4" t="s">
        <v>148</v>
      </c>
      <c r="E48" s="108"/>
      <c r="F48" s="100"/>
      <c r="G48" s="100"/>
      <c r="H48" s="100"/>
      <c r="I48" s="100"/>
      <c r="J48" s="100"/>
      <c r="K48" s="100"/>
      <c r="L48" s="100"/>
      <c r="M48" s="100"/>
      <c r="N48" s="100"/>
      <c r="O48" s="100"/>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row>
    <row r="49" spans="2:43" s="105" customFormat="1" ht="20.149999999999999" customHeight="1" x14ac:dyDescent="0.25">
      <c r="B49" s="1" t="s">
        <v>149</v>
      </c>
      <c r="C49" s="4" t="s">
        <v>150</v>
      </c>
      <c r="E49" s="108"/>
      <c r="F49" s="100"/>
      <c r="G49" s="100"/>
      <c r="H49" s="100"/>
      <c r="I49" s="100"/>
      <c r="J49" s="100"/>
      <c r="K49" s="100"/>
      <c r="L49" s="100"/>
      <c r="M49" s="100"/>
      <c r="N49" s="100"/>
      <c r="O49" s="100"/>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row>
    <row r="50" spans="2:43" s="105" customFormat="1" ht="20.149999999999999" customHeight="1" x14ac:dyDescent="0.25">
      <c r="B50" s="1" t="s">
        <v>151</v>
      </c>
      <c r="C50" s="4" t="s">
        <v>152</v>
      </c>
      <c r="E50" s="108"/>
      <c r="F50" s="100"/>
      <c r="G50" s="100"/>
      <c r="H50" s="100"/>
      <c r="I50" s="100"/>
      <c r="J50" s="100"/>
      <c r="K50" s="100"/>
      <c r="L50" s="100"/>
      <c r="M50" s="100"/>
      <c r="N50" s="100"/>
      <c r="O50" s="100"/>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row>
    <row r="51" spans="2:43" s="105" customFormat="1" ht="20.149999999999999" customHeight="1" x14ac:dyDescent="0.25">
      <c r="B51" s="1" t="s">
        <v>153</v>
      </c>
      <c r="C51" s="4" t="s">
        <v>154</v>
      </c>
      <c r="E51" s="95"/>
      <c r="F51" s="100"/>
      <c r="G51" s="100"/>
      <c r="H51" s="100"/>
      <c r="I51" s="100"/>
      <c r="J51" s="100"/>
      <c r="K51" s="100"/>
      <c r="L51" s="100"/>
      <c r="M51" s="100"/>
      <c r="N51" s="100"/>
      <c r="O51" s="100"/>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row>
    <row r="52" spans="2:43" s="105" customFormat="1" ht="20.149999999999999" customHeight="1" x14ac:dyDescent="0.25">
      <c r="B52" s="1" t="s">
        <v>155</v>
      </c>
      <c r="C52" s="4" t="s">
        <v>156</v>
      </c>
      <c r="E52" s="95"/>
      <c r="F52" s="100"/>
      <c r="G52" s="100"/>
      <c r="H52" s="100"/>
      <c r="I52" s="100"/>
      <c r="J52" s="100"/>
      <c r="K52" s="100"/>
      <c r="L52" s="100"/>
      <c r="M52" s="100"/>
      <c r="N52" s="100"/>
      <c r="O52" s="100"/>
      <c r="P52" s="94"/>
      <c r="Q52" s="94"/>
      <c r="R52" s="94"/>
      <c r="S52" s="94"/>
      <c r="T52" s="94"/>
      <c r="U52" s="94"/>
      <c r="V52" s="94"/>
      <c r="W52" s="94"/>
      <c r="X52" s="94"/>
      <c r="Y52" s="94"/>
      <c r="Z52" s="94"/>
      <c r="AA52" s="94"/>
      <c r="AB52" s="94"/>
      <c r="AC52" s="94"/>
      <c r="AD52" s="94"/>
      <c r="AE52" s="94"/>
      <c r="AF52" s="94"/>
    </row>
    <row r="53" spans="2:43" s="105" customFormat="1" ht="20.149999999999999" customHeight="1" x14ac:dyDescent="0.25">
      <c r="B53" s="1" t="s">
        <v>157</v>
      </c>
      <c r="C53" s="4" t="s">
        <v>133</v>
      </c>
      <c r="E53" s="95"/>
      <c r="F53" s="100"/>
      <c r="G53" s="100"/>
      <c r="H53" s="100"/>
      <c r="I53" s="100"/>
      <c r="J53" s="100"/>
      <c r="K53" s="100"/>
      <c r="L53" s="100"/>
      <c r="M53" s="100"/>
      <c r="N53" s="100"/>
      <c r="O53" s="100"/>
      <c r="P53" s="94"/>
      <c r="Q53" s="94"/>
      <c r="R53" s="94"/>
      <c r="S53" s="94"/>
      <c r="T53" s="94"/>
      <c r="U53" s="94"/>
      <c r="V53" s="94"/>
      <c r="W53" s="94"/>
      <c r="X53" s="94"/>
      <c r="Y53" s="94"/>
      <c r="Z53" s="94"/>
      <c r="AA53" s="94"/>
      <c r="AB53" s="94"/>
      <c r="AC53" s="94"/>
      <c r="AD53" s="94"/>
      <c r="AE53" s="94"/>
      <c r="AF53" s="94"/>
    </row>
    <row r="54" spans="2:43" s="105" customFormat="1" ht="20.149999999999999" customHeight="1" x14ac:dyDescent="0.25">
      <c r="B54" s="1" t="s">
        <v>158</v>
      </c>
      <c r="C54" s="4" t="s">
        <v>159</v>
      </c>
      <c r="E54" s="95"/>
      <c r="F54" s="100"/>
      <c r="G54" s="100"/>
      <c r="H54" s="100"/>
      <c r="I54" s="100"/>
      <c r="J54" s="100"/>
      <c r="K54" s="100"/>
      <c r="L54" s="100"/>
      <c r="M54" s="100"/>
      <c r="N54" s="100"/>
      <c r="O54" s="100"/>
      <c r="P54" s="94"/>
      <c r="Q54" s="94"/>
      <c r="R54" s="94"/>
      <c r="S54" s="94"/>
      <c r="T54" s="94"/>
      <c r="U54" s="94"/>
      <c r="V54" s="94"/>
      <c r="W54" s="94"/>
      <c r="X54" s="94"/>
      <c r="Y54" s="94"/>
      <c r="Z54" s="94"/>
      <c r="AA54" s="94"/>
      <c r="AB54" s="94"/>
      <c r="AC54" s="94"/>
      <c r="AD54" s="94"/>
      <c r="AE54" s="94"/>
      <c r="AF54" s="94"/>
    </row>
    <row r="55" spans="2:43" s="105" customFormat="1" ht="20.149999999999999" customHeight="1" x14ac:dyDescent="0.25">
      <c r="B55" s="1" t="s">
        <v>160</v>
      </c>
      <c r="C55" s="4" t="s">
        <v>161</v>
      </c>
      <c r="E55" s="95"/>
      <c r="F55" s="100"/>
      <c r="G55" s="100"/>
      <c r="H55" s="100"/>
      <c r="I55" s="100"/>
      <c r="J55" s="100"/>
      <c r="K55" s="100"/>
      <c r="L55" s="100"/>
      <c r="M55" s="100"/>
      <c r="N55" s="100"/>
      <c r="O55" s="100"/>
      <c r="P55" s="94"/>
      <c r="Q55" s="94"/>
      <c r="R55" s="94"/>
      <c r="S55" s="94"/>
      <c r="T55" s="94"/>
      <c r="U55" s="94"/>
      <c r="V55" s="94"/>
      <c r="W55" s="94"/>
      <c r="X55" s="94"/>
      <c r="Y55" s="94"/>
      <c r="Z55" s="94"/>
      <c r="AA55" s="94"/>
      <c r="AB55" s="94"/>
      <c r="AC55" s="94"/>
      <c r="AD55" s="94"/>
      <c r="AE55" s="94"/>
      <c r="AF55" s="94"/>
    </row>
    <row r="56" spans="2:43" s="105" customFormat="1" ht="20.149999999999999" customHeight="1" x14ac:dyDescent="0.25">
      <c r="B56" s="1" t="s">
        <v>162</v>
      </c>
      <c r="C56" s="4" t="s">
        <v>163</v>
      </c>
      <c r="E56" s="95"/>
      <c r="F56" s="100"/>
      <c r="G56" s="100"/>
      <c r="H56" s="100"/>
      <c r="I56" s="100"/>
      <c r="J56" s="100"/>
      <c r="K56" s="100"/>
      <c r="L56" s="100"/>
      <c r="M56" s="100"/>
      <c r="N56" s="100"/>
      <c r="O56" s="100"/>
      <c r="P56" s="94"/>
      <c r="Q56" s="94"/>
      <c r="R56" s="94"/>
      <c r="S56" s="94"/>
      <c r="T56" s="94"/>
      <c r="U56" s="94"/>
      <c r="V56" s="94"/>
      <c r="W56" s="94"/>
      <c r="X56" s="94"/>
      <c r="Y56" s="94"/>
      <c r="Z56" s="94"/>
      <c r="AA56" s="94"/>
      <c r="AB56" s="94"/>
      <c r="AC56" s="94"/>
      <c r="AD56" s="94"/>
      <c r="AE56" s="94"/>
      <c r="AF56" s="94"/>
    </row>
    <row r="57" spans="2:43" s="105" customFormat="1" ht="20.149999999999999" customHeight="1" x14ac:dyDescent="0.25">
      <c r="B57" s="1" t="s">
        <v>78</v>
      </c>
      <c r="C57" s="4" t="s">
        <v>164</v>
      </c>
      <c r="E57" s="95"/>
      <c r="F57" s="100"/>
      <c r="G57" s="100"/>
      <c r="H57" s="100"/>
      <c r="I57" s="100"/>
      <c r="J57" s="100"/>
      <c r="K57" s="100"/>
      <c r="L57" s="100"/>
      <c r="M57" s="100"/>
      <c r="N57" s="100"/>
      <c r="O57" s="100"/>
      <c r="P57" s="94"/>
      <c r="Q57" s="94"/>
      <c r="R57" s="94"/>
      <c r="S57" s="94"/>
      <c r="T57" s="94"/>
      <c r="U57" s="94"/>
      <c r="V57" s="94"/>
      <c r="W57" s="94"/>
      <c r="X57" s="94"/>
      <c r="Y57" s="94"/>
      <c r="Z57" s="94"/>
      <c r="AA57" s="94"/>
      <c r="AB57" s="94"/>
      <c r="AC57" s="94"/>
      <c r="AD57" s="94"/>
      <c r="AE57" s="94"/>
      <c r="AF57" s="94"/>
    </row>
    <row r="58" spans="2:43" s="105" customFormat="1" ht="20.149999999999999" customHeight="1" x14ac:dyDescent="0.25">
      <c r="B58" s="1" t="s">
        <v>165</v>
      </c>
      <c r="C58" s="4" t="s">
        <v>166</v>
      </c>
      <c r="E58" s="95"/>
      <c r="F58" s="100"/>
      <c r="G58" s="100"/>
      <c r="H58" s="100"/>
      <c r="I58" s="100"/>
      <c r="J58" s="100"/>
      <c r="K58" s="100"/>
      <c r="L58" s="100"/>
      <c r="M58" s="100"/>
      <c r="N58" s="100"/>
      <c r="O58" s="100"/>
      <c r="P58" s="94"/>
      <c r="Q58" s="94"/>
      <c r="R58" s="94"/>
      <c r="S58" s="94"/>
      <c r="T58" s="94"/>
      <c r="U58" s="94"/>
      <c r="V58" s="94"/>
      <c r="W58" s="94"/>
      <c r="X58" s="94"/>
      <c r="Y58" s="94"/>
      <c r="Z58" s="94"/>
      <c r="AA58" s="94"/>
      <c r="AB58" s="94"/>
      <c r="AC58" s="94"/>
      <c r="AD58" s="94"/>
      <c r="AE58" s="94"/>
      <c r="AF58" s="94"/>
    </row>
    <row r="59" spans="2:43" s="105" customFormat="1" ht="20.149999999999999" customHeight="1" x14ac:dyDescent="0.25">
      <c r="B59" s="1" t="s">
        <v>167</v>
      </c>
      <c r="C59" s="4" t="s">
        <v>168</v>
      </c>
      <c r="E59" s="95"/>
      <c r="F59" s="100"/>
      <c r="G59" s="100"/>
      <c r="H59" s="100"/>
      <c r="I59" s="100"/>
      <c r="J59" s="100"/>
      <c r="K59" s="100"/>
      <c r="L59" s="100"/>
      <c r="M59" s="100"/>
      <c r="N59" s="100"/>
      <c r="O59" s="100"/>
      <c r="P59" s="94"/>
      <c r="Q59" s="94"/>
      <c r="R59" s="94"/>
      <c r="S59" s="94"/>
      <c r="T59" s="94"/>
      <c r="U59" s="94"/>
      <c r="V59" s="94"/>
      <c r="W59" s="94"/>
      <c r="X59" s="94"/>
      <c r="Y59" s="94"/>
      <c r="Z59" s="94"/>
      <c r="AA59" s="94"/>
      <c r="AB59" s="94"/>
      <c r="AC59" s="94"/>
      <c r="AD59" s="94"/>
      <c r="AE59" s="94"/>
      <c r="AF59" s="94"/>
    </row>
    <row r="60" spans="2:43" s="105" customFormat="1" ht="20.149999999999999" customHeight="1" x14ac:dyDescent="0.25">
      <c r="B60" s="1" t="s">
        <v>169</v>
      </c>
      <c r="C60" s="4" t="s">
        <v>170</v>
      </c>
      <c r="E60" s="95"/>
      <c r="F60" s="100"/>
      <c r="G60" s="100"/>
      <c r="H60" s="100"/>
      <c r="I60" s="100"/>
      <c r="J60" s="100"/>
      <c r="K60" s="100"/>
      <c r="L60" s="100"/>
      <c r="M60" s="100"/>
      <c r="N60" s="100"/>
      <c r="O60" s="100"/>
      <c r="P60" s="94"/>
      <c r="Q60" s="94"/>
      <c r="R60" s="94"/>
      <c r="S60" s="94"/>
      <c r="T60" s="94"/>
      <c r="U60" s="94"/>
      <c r="V60" s="94"/>
      <c r="W60" s="94"/>
      <c r="X60" s="94"/>
      <c r="Y60" s="94"/>
      <c r="Z60" s="94"/>
      <c r="AA60" s="94"/>
      <c r="AB60" s="94"/>
      <c r="AC60" s="94"/>
      <c r="AD60" s="94"/>
      <c r="AE60" s="94"/>
      <c r="AF60" s="94"/>
    </row>
    <row r="61" spans="2:43" s="105" customFormat="1" ht="20.149999999999999" customHeight="1" x14ac:dyDescent="0.25">
      <c r="B61" s="1" t="s">
        <v>141</v>
      </c>
      <c r="C61" s="4" t="s">
        <v>171</v>
      </c>
      <c r="E61" s="95"/>
      <c r="F61" s="100"/>
      <c r="G61" s="100"/>
      <c r="H61" s="100"/>
      <c r="I61" s="100"/>
      <c r="J61" s="100"/>
      <c r="K61" s="100"/>
      <c r="L61" s="100"/>
      <c r="M61" s="100"/>
      <c r="N61" s="100"/>
      <c r="O61" s="100"/>
      <c r="P61" s="94"/>
      <c r="Q61" s="94"/>
      <c r="R61" s="94"/>
      <c r="S61" s="94"/>
      <c r="T61" s="94"/>
      <c r="U61" s="94"/>
      <c r="V61" s="94"/>
      <c r="W61" s="94"/>
      <c r="X61" s="94"/>
      <c r="Y61" s="94"/>
      <c r="Z61" s="94"/>
      <c r="AA61" s="94"/>
      <c r="AB61" s="94"/>
      <c r="AC61" s="94"/>
      <c r="AD61" s="94"/>
      <c r="AE61" s="94"/>
      <c r="AF61" s="94"/>
    </row>
    <row r="62" spans="2:43" s="105" customFormat="1" ht="20.149999999999999" customHeight="1" x14ac:dyDescent="0.25">
      <c r="B62" s="1"/>
      <c r="C62" s="4"/>
      <c r="E62" s="95"/>
      <c r="F62" s="100"/>
      <c r="G62" s="100"/>
      <c r="H62" s="100"/>
      <c r="I62" s="100"/>
      <c r="J62" s="100"/>
      <c r="K62" s="100"/>
      <c r="L62" s="100"/>
      <c r="M62" s="100"/>
      <c r="N62" s="100"/>
      <c r="O62" s="100"/>
      <c r="P62" s="94"/>
      <c r="Q62" s="94"/>
      <c r="R62" s="94"/>
      <c r="S62" s="94"/>
      <c r="T62" s="94"/>
      <c r="U62" s="94"/>
      <c r="V62" s="94"/>
      <c r="W62" s="94"/>
      <c r="X62" s="94"/>
      <c r="Y62" s="94"/>
      <c r="Z62" s="94"/>
      <c r="AA62" s="94"/>
      <c r="AB62" s="94"/>
      <c r="AC62" s="94"/>
      <c r="AD62" s="94"/>
      <c r="AE62" s="94"/>
      <c r="AF62" s="94"/>
    </row>
    <row r="63" spans="2:43" s="105" customFormat="1" ht="20.149999999999999" customHeight="1" x14ac:dyDescent="0.25">
      <c r="B63" s="1"/>
      <c r="C63" s="4"/>
      <c r="E63" s="95"/>
      <c r="F63" s="100"/>
      <c r="G63" s="100"/>
      <c r="H63" s="100"/>
      <c r="I63" s="100"/>
      <c r="J63" s="100"/>
      <c r="K63" s="100"/>
      <c r="L63" s="100"/>
      <c r="M63" s="100"/>
      <c r="N63" s="100"/>
      <c r="O63" s="100"/>
      <c r="P63" s="94"/>
      <c r="Q63" s="94"/>
      <c r="R63" s="94"/>
      <c r="S63" s="94"/>
      <c r="T63" s="94"/>
      <c r="U63" s="94"/>
      <c r="V63" s="94"/>
      <c r="W63" s="94"/>
      <c r="X63" s="94"/>
      <c r="Y63" s="94"/>
      <c r="Z63" s="94"/>
      <c r="AA63" s="94"/>
      <c r="AB63" s="94"/>
      <c r="AC63" s="94"/>
      <c r="AD63" s="94"/>
      <c r="AE63" s="94"/>
      <c r="AF63" s="94"/>
    </row>
    <row r="64" spans="2:43" s="105" customFormat="1" ht="20.149999999999999" customHeight="1" x14ac:dyDescent="0.25">
      <c r="B64" s="1"/>
      <c r="C64" s="4"/>
      <c r="E64" s="95"/>
      <c r="F64" s="100"/>
      <c r="G64" s="100"/>
      <c r="H64" s="100"/>
      <c r="I64" s="100"/>
      <c r="J64" s="100"/>
      <c r="K64" s="100"/>
      <c r="L64" s="100"/>
      <c r="M64" s="100"/>
      <c r="N64" s="100"/>
      <c r="O64" s="100"/>
      <c r="P64" s="94"/>
      <c r="Q64" s="94"/>
      <c r="R64" s="94"/>
      <c r="S64" s="94"/>
      <c r="T64" s="94"/>
      <c r="U64" s="94"/>
      <c r="V64" s="94"/>
      <c r="W64" s="94"/>
      <c r="X64" s="94"/>
      <c r="Y64" s="94"/>
      <c r="Z64" s="94"/>
      <c r="AA64" s="94"/>
      <c r="AB64" s="94"/>
      <c r="AC64" s="94"/>
      <c r="AD64" s="94"/>
      <c r="AE64" s="94"/>
      <c r="AF64" s="94"/>
    </row>
    <row r="65" spans="2:32" s="105" customFormat="1" ht="20.149999999999999" customHeight="1" x14ac:dyDescent="0.25">
      <c r="B65" s="1"/>
      <c r="C65" s="4"/>
      <c r="E65" s="95"/>
      <c r="F65" s="100"/>
      <c r="G65" s="100"/>
      <c r="H65" s="100"/>
      <c r="I65" s="100"/>
      <c r="J65" s="100"/>
      <c r="K65" s="100"/>
      <c r="L65" s="100"/>
      <c r="M65" s="100"/>
      <c r="N65" s="100"/>
      <c r="O65" s="100"/>
      <c r="P65" s="94"/>
      <c r="Q65" s="94"/>
      <c r="R65" s="94"/>
      <c r="S65" s="94"/>
      <c r="T65" s="94"/>
      <c r="U65" s="94"/>
      <c r="V65" s="94"/>
      <c r="W65" s="94"/>
      <c r="X65" s="94"/>
      <c r="Y65" s="94"/>
      <c r="Z65" s="94"/>
      <c r="AA65" s="94"/>
      <c r="AB65" s="94"/>
      <c r="AC65" s="94"/>
      <c r="AD65" s="94"/>
      <c r="AE65" s="94"/>
      <c r="AF65" s="94"/>
    </row>
    <row r="66" spans="2:32" x14ac:dyDescent="0.25">
      <c r="F66" s="100"/>
      <c r="G66" s="100"/>
      <c r="H66" s="100"/>
      <c r="I66" s="100"/>
      <c r="J66" s="100"/>
      <c r="K66" s="100"/>
      <c r="L66" s="100"/>
      <c r="M66" s="100"/>
      <c r="N66" s="100"/>
      <c r="O66" s="100"/>
    </row>
    <row r="67" spans="2:32" x14ac:dyDescent="0.25">
      <c r="F67" s="100"/>
      <c r="G67" s="100"/>
      <c r="H67" s="100"/>
      <c r="I67" s="100"/>
      <c r="J67" s="100"/>
      <c r="K67" s="100"/>
      <c r="L67" s="100"/>
      <c r="M67" s="100"/>
      <c r="N67" s="100"/>
      <c r="O67" s="100"/>
    </row>
    <row r="68" spans="2:32" x14ac:dyDescent="0.25">
      <c r="F68" s="100"/>
      <c r="G68" s="100"/>
      <c r="H68" s="100"/>
      <c r="I68" s="100"/>
      <c r="J68" s="100"/>
      <c r="K68" s="100"/>
      <c r="L68" s="100"/>
      <c r="M68" s="100"/>
      <c r="N68" s="100"/>
      <c r="O68" s="100"/>
    </row>
    <row r="69" spans="2:32" x14ac:dyDescent="0.25">
      <c r="F69" s="100"/>
      <c r="G69" s="100"/>
      <c r="H69" s="100"/>
      <c r="I69" s="100"/>
      <c r="J69" s="100"/>
      <c r="K69" s="100"/>
      <c r="L69" s="100"/>
      <c r="M69" s="100"/>
      <c r="N69" s="100"/>
      <c r="O69" s="100"/>
    </row>
  </sheetData>
  <sheetProtection algorithmName="SHA-512" hashValue="K4P18EoILuY8HPiMbmcMNblChE3Zx1Rw3aEGWRf+51SDBMalt0sfENz1DLN7InO9Fko8LjI0lw68GSrvdVYFMw==" saltValue="+kX8/4PO8D0/KCrlNIslRA==" spinCount="100000" sheet="1" objects="1" scenarios="1"/>
  <autoFilter ref="B6:E6" xr:uid="{00000000-0009-0000-0000-000002000000}"/>
  <mergeCells count="1">
    <mergeCell ref="E5:H5"/>
  </mergeCells>
  <conditionalFormatting sqref="E5:F5 I5">
    <cfRule type="expression" dxfId="443" priority="1">
      <formula>$E$5=$F$41</formula>
    </cfRule>
  </conditionalFormatting>
  <dataValidations count="2">
    <dataValidation type="list" allowBlank="1" showInputMessage="1" showErrorMessage="1" sqref="E7:E36" xr:uid="{00000000-0002-0000-0200-000000000000}">
      <formula1>$C$47:$C$65</formula1>
    </dataValidation>
    <dataValidation type="list" allowBlank="1" showInputMessage="1" showErrorMessage="1" sqref="D7:D36" xr:uid="{00000000-0002-0000-0200-000001000000}">
      <formula1>"NO,INTERCO,"</formula1>
    </dataValidation>
  </dataValidations>
  <pageMargins left="0.70866141732283472" right="0.70866141732283472" top="0.74803149606299213" bottom="0.74803149606299213" header="0.31496062992125978" footer="0.31496062992125978"/>
  <pageSetup paperSize="9" scale="18"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AR96"/>
  <sheetViews>
    <sheetView showGridLines="0" zoomScale="55" zoomScaleNormal="55" workbookViewId="0">
      <pane xSplit="5" ySplit="8" topLeftCell="F9" activePane="bottomRight" state="frozen"/>
      <selection pane="topRight" activeCell="F1" sqref="F1"/>
      <selection pane="bottomLeft" activeCell="A9" sqref="A9"/>
      <selection pane="bottomRight" activeCell="H12" sqref="H12:T20"/>
    </sheetView>
  </sheetViews>
  <sheetFormatPr baseColWidth="10" defaultColWidth="9.1796875" defaultRowHeight="13.5" x14ac:dyDescent="0.25"/>
  <cols>
    <col min="1" max="1" width="2.1796875" style="94" customWidth="1"/>
    <col min="2" max="2" width="30.7265625" style="94" customWidth="1"/>
    <col min="3" max="3" width="55.1796875" style="94" customWidth="1"/>
    <col min="4" max="4" width="20.81640625" style="94" customWidth="1"/>
    <col min="5" max="6" width="25.7265625" style="95" customWidth="1"/>
    <col min="7" max="7" width="14.7265625" style="94" customWidth="1"/>
    <col min="8" max="8" width="15.26953125" style="94" customWidth="1"/>
    <col min="9" max="9" width="15.7265625" style="94" customWidth="1"/>
    <col min="10" max="31" width="14.7265625" style="94" customWidth="1"/>
    <col min="32" max="32" width="11.26953125" style="94" customWidth="1"/>
    <col min="33" max="33" width="9.1796875" style="94" customWidth="1"/>
    <col min="34" max="16384" width="9.1796875" style="94"/>
  </cols>
  <sheetData>
    <row r="1" spans="2:44" ht="14.5" customHeight="1" x14ac:dyDescent="0.25"/>
    <row r="2" spans="2:44" ht="21" customHeight="1" x14ac:dyDescent="0.25">
      <c r="B2" s="20" t="s">
        <v>0</v>
      </c>
      <c r="C2" s="21" t="str">
        <f>'Project Infor'!C10</f>
        <v>var2_SAP_PEP_WBS</v>
      </c>
      <c r="D2" s="96" t="str">
        <f>'Project Infor'!C11</f>
        <v>Smart Airport en la nueva terminal de Puerto Vallarta</v>
      </c>
      <c r="E2" s="97"/>
      <c r="F2" s="97"/>
      <c r="G2" s="97"/>
      <c r="H2" s="97"/>
      <c r="I2" s="97"/>
    </row>
    <row r="3" spans="2:44" ht="9" customHeight="1" x14ac:dyDescent="0.25">
      <c r="B3" s="65"/>
      <c r="C3" s="65"/>
    </row>
    <row r="4" spans="2:44" ht="15" customHeight="1" thickBot="1" x14ac:dyDescent="0.3">
      <c r="B4" s="99"/>
      <c r="C4" s="100"/>
      <c r="D4" s="110"/>
      <c r="E4" s="100"/>
      <c r="F4" s="100"/>
      <c r="G4" s="111"/>
      <c r="H4" s="111"/>
      <c r="I4" s="111"/>
      <c r="J4" s="100"/>
      <c r="K4" s="100"/>
      <c r="L4" s="100"/>
      <c r="M4" s="100"/>
      <c r="N4" s="100"/>
      <c r="O4" s="100"/>
      <c r="P4" s="100"/>
    </row>
    <row r="5" spans="2:44" ht="20.149999999999999" customHeight="1" thickBot="1" x14ac:dyDescent="0.35">
      <c r="B5" s="75" t="s">
        <v>172</v>
      </c>
      <c r="C5" s="100"/>
      <c r="D5" s="112" t="s">
        <v>173</v>
      </c>
      <c r="E5" s="112"/>
      <c r="F5" s="113">
        <f>costerecursosbaselineactual</f>
        <v>367515.14084000001</v>
      </c>
      <c r="G5" s="237" t="s">
        <v>174</v>
      </c>
      <c r="H5" s="114"/>
      <c r="I5" s="115">
        <f>F5-SUM(F40:AE41)</f>
        <v>51845.140840000007</v>
      </c>
      <c r="J5" s="100"/>
      <c r="K5" s="337" t="s">
        <v>175</v>
      </c>
      <c r="L5" s="331"/>
      <c r="M5" s="331"/>
      <c r="N5" s="331"/>
      <c r="O5" s="331"/>
      <c r="P5" s="331"/>
      <c r="R5" s="100"/>
    </row>
    <row r="6" spans="2:44" ht="12" customHeight="1" x14ac:dyDescent="0.25">
      <c r="B6" s="99"/>
      <c r="C6" s="100"/>
      <c r="D6" s="110"/>
      <c r="E6" s="110"/>
      <c r="F6" s="110"/>
      <c r="G6" s="100"/>
      <c r="H6" s="100"/>
      <c r="I6" s="100"/>
      <c r="J6" s="100"/>
      <c r="K6" s="116"/>
      <c r="L6" s="100"/>
      <c r="M6" s="100"/>
      <c r="N6" s="100"/>
      <c r="O6" s="100"/>
      <c r="P6" s="100"/>
    </row>
    <row r="7" spans="2:44" ht="20.149999999999999" customHeight="1" x14ac:dyDescent="0.25">
      <c r="B7" s="100"/>
      <c r="C7" s="100"/>
      <c r="D7" s="100"/>
      <c r="E7" s="110"/>
      <c r="F7" s="110"/>
      <c r="G7" s="117" t="str">
        <f t="shared" ref="G7:AE7" si="0">IF(G8&gt;EOMONTH(FIN,0),"Fin",IF(G8&gt;FECHA,"Prev","Real"))</f>
        <v>Real</v>
      </c>
      <c r="H7" s="117" t="str">
        <f t="shared" si="0"/>
        <v>Real</v>
      </c>
      <c r="I7" s="117" t="str">
        <f t="shared" si="0"/>
        <v>Real</v>
      </c>
      <c r="J7" s="117" t="str">
        <f t="shared" si="0"/>
        <v>Real</v>
      </c>
      <c r="K7" s="117" t="str">
        <f t="shared" si="0"/>
        <v>Real</v>
      </c>
      <c r="L7" s="117" t="str">
        <f t="shared" si="0"/>
        <v>Real</v>
      </c>
      <c r="M7" s="117" t="str">
        <f t="shared" si="0"/>
        <v>Prev</v>
      </c>
      <c r="N7" s="117" t="str">
        <f t="shared" si="0"/>
        <v>Prev</v>
      </c>
      <c r="O7" s="117" t="str">
        <f t="shared" si="0"/>
        <v>Prev</v>
      </c>
      <c r="P7" s="117" t="str">
        <f t="shared" si="0"/>
        <v>Prev</v>
      </c>
      <c r="Q7" s="117" t="str">
        <f t="shared" si="0"/>
        <v>Prev</v>
      </c>
      <c r="R7" s="117" t="str">
        <f t="shared" si="0"/>
        <v>Prev</v>
      </c>
      <c r="S7" s="117" t="str">
        <f t="shared" si="0"/>
        <v>Fin</v>
      </c>
      <c r="T7" s="117" t="str">
        <f t="shared" si="0"/>
        <v>Fin</v>
      </c>
      <c r="U7" s="117" t="str">
        <f t="shared" si="0"/>
        <v>Fin</v>
      </c>
      <c r="V7" s="117" t="str">
        <f t="shared" si="0"/>
        <v>Fin</v>
      </c>
      <c r="W7" s="117" t="str">
        <f t="shared" si="0"/>
        <v>Fin</v>
      </c>
      <c r="X7" s="117" t="str">
        <f t="shared" si="0"/>
        <v>Fin</v>
      </c>
      <c r="Y7" s="117" t="str">
        <f t="shared" si="0"/>
        <v>Fin</v>
      </c>
      <c r="Z7" s="117" t="str">
        <f t="shared" si="0"/>
        <v>Fin</v>
      </c>
      <c r="AA7" s="117" t="str">
        <f t="shared" si="0"/>
        <v>Fin</v>
      </c>
      <c r="AB7" s="117" t="str">
        <f t="shared" si="0"/>
        <v>Fin</v>
      </c>
      <c r="AC7" s="117" t="str">
        <f t="shared" si="0"/>
        <v>Fin</v>
      </c>
      <c r="AD7" s="117" t="str">
        <f t="shared" si="0"/>
        <v>Fin</v>
      </c>
      <c r="AE7" s="117" t="str">
        <f t="shared" si="0"/>
        <v>Fin</v>
      </c>
    </row>
    <row r="8" spans="2:44" s="104" customFormat="1" ht="35.15" customHeight="1" x14ac:dyDescent="0.25">
      <c r="B8" s="234" t="s">
        <v>40</v>
      </c>
      <c r="C8" s="102" t="s">
        <v>118</v>
      </c>
      <c r="D8" s="102" t="s">
        <v>119</v>
      </c>
      <c r="E8" s="102" t="s">
        <v>120</v>
      </c>
      <c r="F8" s="102" t="s">
        <v>176</v>
      </c>
      <c r="G8" s="103">
        <f>'Project Infor'!C8</f>
        <v>45962</v>
      </c>
      <c r="H8" s="103">
        <f t="shared" ref="H8:AE8" si="1">EOMONTH(G8,1)</f>
        <v>46022</v>
      </c>
      <c r="I8" s="103">
        <f t="shared" si="1"/>
        <v>46053</v>
      </c>
      <c r="J8" s="103">
        <f t="shared" si="1"/>
        <v>46081</v>
      </c>
      <c r="K8" s="103">
        <f t="shared" si="1"/>
        <v>46112</v>
      </c>
      <c r="L8" s="103">
        <f t="shared" si="1"/>
        <v>46142</v>
      </c>
      <c r="M8" s="103">
        <f t="shared" si="1"/>
        <v>46173</v>
      </c>
      <c r="N8" s="103">
        <f t="shared" si="1"/>
        <v>46203</v>
      </c>
      <c r="O8" s="103">
        <f t="shared" si="1"/>
        <v>46234</v>
      </c>
      <c r="P8" s="103">
        <f t="shared" si="1"/>
        <v>46265</v>
      </c>
      <c r="Q8" s="103">
        <f t="shared" si="1"/>
        <v>46295</v>
      </c>
      <c r="R8" s="103">
        <f t="shared" si="1"/>
        <v>46326</v>
      </c>
      <c r="S8" s="103">
        <f t="shared" si="1"/>
        <v>46356</v>
      </c>
      <c r="T8" s="103">
        <f t="shared" si="1"/>
        <v>46387</v>
      </c>
      <c r="U8" s="103">
        <f t="shared" si="1"/>
        <v>46418</v>
      </c>
      <c r="V8" s="103">
        <f t="shared" si="1"/>
        <v>46446</v>
      </c>
      <c r="W8" s="103">
        <f t="shared" si="1"/>
        <v>46477</v>
      </c>
      <c r="X8" s="103">
        <f t="shared" si="1"/>
        <v>46507</v>
      </c>
      <c r="Y8" s="103">
        <f t="shared" si="1"/>
        <v>46538</v>
      </c>
      <c r="Z8" s="103">
        <f t="shared" si="1"/>
        <v>46568</v>
      </c>
      <c r="AA8" s="103">
        <f t="shared" si="1"/>
        <v>46599</v>
      </c>
      <c r="AB8" s="103">
        <f t="shared" si="1"/>
        <v>46630</v>
      </c>
      <c r="AC8" s="103">
        <f t="shared" si="1"/>
        <v>46660</v>
      </c>
      <c r="AD8" s="103">
        <f t="shared" si="1"/>
        <v>46691</v>
      </c>
      <c r="AE8" s="103">
        <f t="shared" si="1"/>
        <v>46721</v>
      </c>
      <c r="AF8" s="94"/>
      <c r="AG8" s="94"/>
      <c r="AH8" s="94"/>
      <c r="AI8" s="94"/>
      <c r="AJ8" s="94"/>
      <c r="AK8" s="94"/>
      <c r="AL8" s="94"/>
      <c r="AM8" s="94"/>
      <c r="AN8" s="94"/>
      <c r="AO8" s="94"/>
      <c r="AP8" s="94"/>
      <c r="AQ8" s="94"/>
      <c r="AR8" s="94"/>
    </row>
    <row r="9" spans="2:44" ht="20.149999999999999" customHeight="1" x14ac:dyDescent="0.25">
      <c r="B9" s="118" t="s">
        <v>177</v>
      </c>
      <c r="C9" s="119"/>
      <c r="D9" s="120"/>
      <c r="E9" s="120"/>
      <c r="F9" s="183">
        <f>'Project Infor'!C46</f>
        <v>0</v>
      </c>
      <c r="G9" s="121">
        <f t="shared" ref="G9:AE9" si="2">SUM(G10:G39)</f>
        <v>610</v>
      </c>
      <c r="H9" s="121">
        <f t="shared" si="2"/>
        <v>610</v>
      </c>
      <c r="I9" s="121">
        <f t="shared" si="2"/>
        <v>1063</v>
      </c>
      <c r="J9" s="121">
        <f t="shared" si="2"/>
        <v>1063</v>
      </c>
      <c r="K9" s="121">
        <f t="shared" si="2"/>
        <v>1063</v>
      </c>
      <c r="L9" s="121">
        <f t="shared" si="2"/>
        <v>1063</v>
      </c>
      <c r="M9" s="121">
        <f t="shared" si="2"/>
        <v>1063</v>
      </c>
      <c r="N9" s="121">
        <f t="shared" si="2"/>
        <v>1063</v>
      </c>
      <c r="O9" s="121">
        <f t="shared" si="2"/>
        <v>1063</v>
      </c>
      <c r="P9" s="121">
        <f t="shared" si="2"/>
        <v>1063</v>
      </c>
      <c r="Q9" s="121">
        <f t="shared" si="2"/>
        <v>1063</v>
      </c>
      <c r="R9" s="121">
        <f t="shared" si="2"/>
        <v>1063</v>
      </c>
      <c r="S9" s="121">
        <f t="shared" si="2"/>
        <v>0</v>
      </c>
      <c r="T9" s="121">
        <f t="shared" si="2"/>
        <v>0</v>
      </c>
      <c r="U9" s="121">
        <f t="shared" si="2"/>
        <v>0</v>
      </c>
      <c r="V9" s="121">
        <f t="shared" si="2"/>
        <v>0</v>
      </c>
      <c r="W9" s="121">
        <f t="shared" si="2"/>
        <v>0</v>
      </c>
      <c r="X9" s="121">
        <f t="shared" si="2"/>
        <v>0</v>
      </c>
      <c r="Y9" s="121">
        <f t="shared" si="2"/>
        <v>0</v>
      </c>
      <c r="Z9" s="121">
        <f t="shared" si="2"/>
        <v>0</v>
      </c>
      <c r="AA9" s="121">
        <f t="shared" si="2"/>
        <v>0</v>
      </c>
      <c r="AB9" s="121">
        <f t="shared" si="2"/>
        <v>0</v>
      </c>
      <c r="AC9" s="121">
        <f t="shared" si="2"/>
        <v>0</v>
      </c>
      <c r="AD9" s="121">
        <f t="shared" si="2"/>
        <v>0</v>
      </c>
      <c r="AE9" s="121">
        <f t="shared" si="2"/>
        <v>0</v>
      </c>
    </row>
    <row r="10" spans="2:44" s="105" customFormat="1" ht="19.5" customHeight="1" x14ac:dyDescent="0.25">
      <c r="B10" s="122" t="str">
        <f>IF(Resources!B7="","",Resources!B7)</f>
        <v>var10_SAP_CodEmpleado_JP</v>
      </c>
      <c r="C10" s="122" t="str">
        <f>IF(Resources!C7="","",Resources!C7)</f>
        <v>JP</v>
      </c>
      <c r="D10" s="122" t="str">
        <f>IF(Resources!D7="","",Resources!D7)</f>
        <v>NO</v>
      </c>
      <c r="E10" s="122" t="str">
        <f>IF(Resources!E7="","",Resources!E7)</f>
        <v>Jefe Proyecto</v>
      </c>
      <c r="F10" s="233"/>
      <c r="G10" s="286">
        <v>10</v>
      </c>
      <c r="H10" s="286">
        <v>10</v>
      </c>
      <c r="I10" s="286">
        <v>46</v>
      </c>
      <c r="J10" s="286">
        <v>46</v>
      </c>
      <c r="K10" s="286">
        <v>46</v>
      </c>
      <c r="L10" s="286">
        <v>46</v>
      </c>
      <c r="M10" s="286">
        <v>46</v>
      </c>
      <c r="N10" s="286">
        <v>46</v>
      </c>
      <c r="O10" s="286">
        <v>46</v>
      </c>
      <c r="P10" s="286">
        <v>46</v>
      </c>
      <c r="Q10" s="286">
        <v>46</v>
      </c>
      <c r="R10" s="286">
        <v>46</v>
      </c>
      <c r="S10" s="286"/>
      <c r="T10" s="286"/>
      <c r="U10" s="286"/>
      <c r="V10" s="286"/>
      <c r="W10" s="286"/>
      <c r="X10" s="286"/>
      <c r="Y10" s="286"/>
      <c r="Z10" s="286"/>
      <c r="AA10" s="286"/>
      <c r="AB10" s="286"/>
      <c r="AC10" s="286"/>
      <c r="AD10" s="286"/>
      <c r="AE10" s="286"/>
      <c r="AG10" s="94"/>
      <c r="AH10" s="94"/>
      <c r="AI10" s="94"/>
      <c r="AJ10" s="94"/>
      <c r="AK10" s="94"/>
      <c r="AL10" s="94"/>
      <c r="AM10" s="94"/>
      <c r="AN10" s="94"/>
      <c r="AO10" s="94"/>
      <c r="AP10" s="94"/>
      <c r="AQ10" s="94"/>
      <c r="AR10" s="94"/>
    </row>
    <row r="11" spans="2:44" s="105" customFormat="1" ht="20.149999999999999" customHeight="1" x14ac:dyDescent="0.25">
      <c r="B11" s="122" t="str">
        <f>IF(Resources!B8="","",Resources!B8)</f>
        <v>var11_SAP_CodEmpleado_CSS</v>
      </c>
      <c r="C11" s="122" t="str">
        <f>IF(Resources!C8="","",Resources!C8)</f>
        <v>CSS</v>
      </c>
      <c r="D11" s="122" t="str">
        <f>IF(Resources!D8="","",Resources!D8)</f>
        <v>INTERCO</v>
      </c>
      <c r="E11" s="122" t="str">
        <f>IF(Resources!E8="","",Resources!E8)</f>
        <v>Consultor Smart Spaces</v>
      </c>
      <c r="F11" s="233"/>
      <c r="G11" s="286">
        <v>150</v>
      </c>
      <c r="H11" s="286">
        <v>150</v>
      </c>
      <c r="I11" s="286">
        <v>144</v>
      </c>
      <c r="J11" s="286">
        <v>144</v>
      </c>
      <c r="K11" s="286">
        <v>144</v>
      </c>
      <c r="L11" s="286">
        <v>144</v>
      </c>
      <c r="M11" s="286">
        <v>144</v>
      </c>
      <c r="N11" s="286">
        <v>144</v>
      </c>
      <c r="O11" s="286">
        <v>144</v>
      </c>
      <c r="P11" s="286">
        <v>144</v>
      </c>
      <c r="Q11" s="286">
        <v>144</v>
      </c>
      <c r="R11" s="286">
        <v>144</v>
      </c>
      <c r="S11" s="286"/>
      <c r="T11" s="286"/>
      <c r="U11" s="286"/>
      <c r="V11" s="286"/>
      <c r="W11" s="286"/>
      <c r="X11" s="286"/>
      <c r="Y11" s="286"/>
      <c r="Z11" s="286"/>
      <c r="AA11" s="286"/>
      <c r="AB11" s="286"/>
      <c r="AC11" s="286"/>
      <c r="AD11" s="286"/>
      <c r="AE11" s="286"/>
      <c r="AG11" s="94"/>
      <c r="AH11" s="94"/>
      <c r="AI11" s="94"/>
      <c r="AJ11" s="94"/>
      <c r="AK11" s="94"/>
      <c r="AL11" s="94"/>
      <c r="AM11" s="94"/>
      <c r="AN11" s="94"/>
      <c r="AO11" s="94"/>
      <c r="AP11" s="94"/>
      <c r="AQ11" s="94"/>
      <c r="AR11" s="94"/>
    </row>
    <row r="12" spans="2:44" s="105" customFormat="1" ht="20.149999999999999" customHeight="1" x14ac:dyDescent="0.25">
      <c r="B12" s="122" t="str">
        <f>IF(Resources!B9="","",Resources!B9)</f>
        <v>var12_SAP_CodEmpleado_CJSS</v>
      </c>
      <c r="C12" s="122" t="str">
        <f>IF(Resources!C9="","",Resources!C9)</f>
        <v>CJSS</v>
      </c>
      <c r="D12" s="122" t="str">
        <f>IF(Resources!D9="","",Resources!D9)</f>
        <v>INTERCO</v>
      </c>
      <c r="E12" s="122" t="str">
        <f>IF(Resources!E9="","",Resources!E9)</f>
        <v>Consultor Junior Smart Spaces</v>
      </c>
      <c r="F12" s="233"/>
      <c r="G12" s="286">
        <v>60</v>
      </c>
      <c r="H12" s="286">
        <v>60</v>
      </c>
      <c r="I12" s="286">
        <v>147</v>
      </c>
      <c r="J12" s="286">
        <v>147</v>
      </c>
      <c r="K12" s="286">
        <v>147</v>
      </c>
      <c r="L12" s="286">
        <v>147</v>
      </c>
      <c r="M12" s="286">
        <v>147</v>
      </c>
      <c r="N12" s="286">
        <v>147</v>
      </c>
      <c r="O12" s="286">
        <v>147</v>
      </c>
      <c r="P12" s="286">
        <v>147</v>
      </c>
      <c r="Q12" s="286">
        <v>147</v>
      </c>
      <c r="R12" s="286">
        <v>147</v>
      </c>
      <c r="S12" s="286"/>
      <c r="T12" s="286"/>
      <c r="U12" s="286"/>
      <c r="V12" s="286"/>
      <c r="W12" s="286"/>
      <c r="X12" s="286"/>
      <c r="Y12" s="286"/>
      <c r="Z12" s="286"/>
      <c r="AA12" s="286"/>
      <c r="AB12" s="286"/>
      <c r="AC12" s="286"/>
      <c r="AD12" s="286"/>
      <c r="AE12" s="286"/>
      <c r="AG12" s="94"/>
      <c r="AH12" s="94"/>
      <c r="AI12" s="94"/>
      <c r="AJ12" s="94"/>
      <c r="AK12" s="94"/>
      <c r="AL12" s="94"/>
      <c r="AM12" s="94"/>
      <c r="AN12" s="94"/>
      <c r="AO12" s="94"/>
      <c r="AP12" s="94"/>
      <c r="AQ12" s="94"/>
      <c r="AR12" s="94"/>
    </row>
    <row r="13" spans="2:44" s="105" customFormat="1" ht="20.149999999999999" customHeight="1" x14ac:dyDescent="0.25">
      <c r="B13" s="122" t="str">
        <f>IF(Resources!B10="","",Resources!B10)</f>
        <v>var13_SAP_CodEmpleado_A</v>
      </c>
      <c r="C13" s="122" t="str">
        <f>IF(Resources!C10="","",Resources!C10)</f>
        <v>A</v>
      </c>
      <c r="D13" s="122" t="str">
        <f>IF(Resources!D10="","",Resources!D10)</f>
        <v>INTERCO</v>
      </c>
      <c r="E13" s="122" t="str">
        <f>IF(Resources!E10="","",Resources!E10)</f>
        <v>Arquitecto</v>
      </c>
      <c r="F13" s="233"/>
      <c r="G13" s="286">
        <v>210</v>
      </c>
      <c r="H13" s="286">
        <v>210</v>
      </c>
      <c r="I13" s="286">
        <v>154</v>
      </c>
      <c r="J13" s="286">
        <v>154</v>
      </c>
      <c r="K13" s="286">
        <v>154</v>
      </c>
      <c r="L13" s="286">
        <v>154</v>
      </c>
      <c r="M13" s="286">
        <v>154</v>
      </c>
      <c r="N13" s="286">
        <v>154</v>
      </c>
      <c r="O13" s="286">
        <v>154</v>
      </c>
      <c r="P13" s="286">
        <v>154</v>
      </c>
      <c r="Q13" s="286">
        <v>154</v>
      </c>
      <c r="R13" s="286">
        <v>154</v>
      </c>
      <c r="S13" s="286"/>
      <c r="T13" s="286"/>
      <c r="U13" s="286"/>
      <c r="V13" s="286"/>
      <c r="W13" s="286"/>
      <c r="X13" s="286"/>
      <c r="Y13" s="286"/>
      <c r="Z13" s="286"/>
      <c r="AA13" s="286"/>
      <c r="AB13" s="286"/>
      <c r="AC13" s="286"/>
      <c r="AD13" s="286"/>
      <c r="AE13" s="286"/>
      <c r="AG13" s="94"/>
      <c r="AH13" s="94"/>
      <c r="AI13" s="94"/>
      <c r="AJ13" s="94"/>
      <c r="AK13" s="94"/>
      <c r="AL13" s="94"/>
      <c r="AM13" s="94"/>
      <c r="AN13" s="94"/>
      <c r="AO13" s="94"/>
      <c r="AP13" s="94"/>
      <c r="AQ13" s="94"/>
      <c r="AR13" s="94"/>
    </row>
    <row r="14" spans="2:44" s="105" customFormat="1" ht="20.149999999999999" customHeight="1" x14ac:dyDescent="0.25">
      <c r="B14" s="122" t="str">
        <f>IF(Resources!B11="","",Resources!B11)</f>
        <v>var14_SAP_CodEmpleado_II</v>
      </c>
      <c r="C14" s="122" t="str">
        <f>IF(Resources!C11="","",Resources!C11)</f>
        <v>II</v>
      </c>
      <c r="D14" s="122" t="str">
        <f>IF(Resources!D11="","",Resources!D11)</f>
        <v>INTERCO</v>
      </c>
      <c r="E14" s="122" t="str">
        <f>IF(Resources!E11="","",Resources!E11)</f>
        <v>Ingeniero Integración</v>
      </c>
      <c r="F14" s="233"/>
      <c r="G14" s="286">
        <v>60</v>
      </c>
      <c r="H14" s="286">
        <v>60</v>
      </c>
      <c r="I14" s="286">
        <v>380</v>
      </c>
      <c r="J14" s="286">
        <v>380</v>
      </c>
      <c r="K14" s="286">
        <v>380</v>
      </c>
      <c r="L14" s="286">
        <v>380</v>
      </c>
      <c r="M14" s="286">
        <v>380</v>
      </c>
      <c r="N14" s="286">
        <v>380</v>
      </c>
      <c r="O14" s="286">
        <v>380</v>
      </c>
      <c r="P14" s="286">
        <v>380</v>
      </c>
      <c r="Q14" s="286">
        <v>380</v>
      </c>
      <c r="R14" s="286">
        <v>380</v>
      </c>
      <c r="S14" s="286"/>
      <c r="T14" s="286"/>
      <c r="U14" s="286"/>
      <c r="V14" s="286"/>
      <c r="W14" s="286"/>
      <c r="X14" s="286"/>
      <c r="Y14" s="286"/>
      <c r="Z14" s="286"/>
      <c r="AA14" s="286"/>
      <c r="AB14" s="286"/>
      <c r="AC14" s="286"/>
      <c r="AD14" s="286"/>
      <c r="AE14" s="286"/>
      <c r="AG14" s="94"/>
      <c r="AH14" s="94"/>
      <c r="AI14" s="94"/>
      <c r="AJ14" s="94"/>
      <c r="AK14" s="94"/>
      <c r="AL14" s="94"/>
      <c r="AM14" s="94"/>
      <c r="AN14" s="94"/>
      <c r="AO14" s="94"/>
      <c r="AP14" s="94"/>
      <c r="AQ14" s="94"/>
      <c r="AR14" s="94"/>
    </row>
    <row r="15" spans="2:44" s="105" customFormat="1" ht="20.149999999999999" customHeight="1" x14ac:dyDescent="0.25">
      <c r="B15" s="122" t="str">
        <f>IF(Resources!B12="","",Resources!B12)</f>
        <v>var15_SAP_CodEmpleado_P</v>
      </c>
      <c r="C15" s="122" t="str">
        <f>IF(Resources!C12="","",Resources!C12)</f>
        <v>P</v>
      </c>
      <c r="D15" s="122" t="str">
        <f>IF(Resources!D12="","",Resources!D12)</f>
        <v>INTERCO</v>
      </c>
      <c r="E15" s="122" t="str">
        <f>IF(Resources!E12="","",Resources!E12)</f>
        <v>Configuración Portal</v>
      </c>
      <c r="F15" s="233"/>
      <c r="G15" s="287">
        <v>120</v>
      </c>
      <c r="H15" s="287">
        <v>120</v>
      </c>
      <c r="I15" s="287">
        <v>176</v>
      </c>
      <c r="J15" s="287">
        <v>176</v>
      </c>
      <c r="K15" s="287">
        <v>176</v>
      </c>
      <c r="L15" s="287">
        <v>176</v>
      </c>
      <c r="M15" s="287">
        <v>176</v>
      </c>
      <c r="N15" s="287">
        <v>176</v>
      </c>
      <c r="O15" s="287">
        <v>176</v>
      </c>
      <c r="P15" s="287">
        <v>176</v>
      </c>
      <c r="Q15" s="287">
        <v>176</v>
      </c>
      <c r="R15" s="287">
        <v>176</v>
      </c>
      <c r="S15" s="287"/>
      <c r="T15" s="287"/>
      <c r="U15" s="287"/>
      <c r="V15" s="287"/>
      <c r="W15" s="287"/>
      <c r="X15" s="287"/>
      <c r="Y15" s="287"/>
      <c r="Z15" s="287"/>
      <c r="AA15" s="287"/>
      <c r="AB15" s="287"/>
      <c r="AC15" s="287"/>
      <c r="AD15" s="287"/>
      <c r="AE15" s="287"/>
    </row>
    <row r="16" spans="2:44" s="105" customFormat="1" ht="20.149999999999999" customHeight="1" x14ac:dyDescent="0.25">
      <c r="B16" s="122" t="str">
        <f>IF(Resources!B13="","",Resources!B13)</f>
        <v>var16_SAP_CodEmpleado_DG</v>
      </c>
      <c r="C16" s="122" t="str">
        <f>IF(Resources!C13="","",Resources!C13)</f>
        <v>DG</v>
      </c>
      <c r="D16" s="122" t="str">
        <f>IF(Resources!D13="","",Resources!D13)</f>
        <v>INTERCO</v>
      </c>
      <c r="E16" s="122" t="str">
        <f>IF(Resources!E13="","",Resources!E13)</f>
        <v>Diseñador gráfico</v>
      </c>
      <c r="F16" s="233"/>
      <c r="G16" s="287"/>
      <c r="H16" s="287"/>
      <c r="I16" s="287">
        <v>16</v>
      </c>
      <c r="J16" s="287">
        <v>16</v>
      </c>
      <c r="K16" s="287">
        <v>16</v>
      </c>
      <c r="L16" s="287">
        <v>16</v>
      </c>
      <c r="M16" s="287">
        <v>16</v>
      </c>
      <c r="N16" s="287">
        <v>16</v>
      </c>
      <c r="O16" s="287">
        <v>16</v>
      </c>
      <c r="P16" s="287">
        <v>16</v>
      </c>
      <c r="Q16" s="287">
        <v>16</v>
      </c>
      <c r="R16" s="287">
        <v>16</v>
      </c>
      <c r="S16" s="287"/>
      <c r="T16" s="287"/>
      <c r="U16" s="287"/>
      <c r="V16" s="287"/>
      <c r="W16" s="287"/>
      <c r="X16" s="287"/>
      <c r="Y16" s="287"/>
      <c r="Z16" s="287"/>
      <c r="AA16" s="287"/>
      <c r="AB16" s="287"/>
      <c r="AC16" s="287"/>
      <c r="AD16" s="287"/>
      <c r="AE16" s="287"/>
    </row>
    <row r="17" spans="2:44" s="105" customFormat="1" ht="20.149999999999999" customHeight="1" x14ac:dyDescent="0.25">
      <c r="B17" s="122" t="str">
        <f>IF(Resources!B14="","",Resources!B14)</f>
        <v/>
      </c>
      <c r="C17" s="122" t="str">
        <f>IF(Resources!C14="","",Resources!C14)</f>
        <v/>
      </c>
      <c r="D17" s="122" t="str">
        <f>IF(Resources!D14="","",Resources!D14)</f>
        <v/>
      </c>
      <c r="E17" s="122" t="str">
        <f>IF(Resources!E14="","",Resources!E14)</f>
        <v/>
      </c>
      <c r="F17" s="233"/>
      <c r="G17" s="287"/>
      <c r="H17" s="287"/>
      <c r="I17" s="287"/>
      <c r="J17" s="287"/>
      <c r="K17" s="287"/>
      <c r="L17" s="287"/>
      <c r="M17" s="287"/>
      <c r="N17" s="287"/>
      <c r="O17" s="287"/>
      <c r="P17" s="287"/>
      <c r="Q17" s="287"/>
      <c r="R17" s="287"/>
      <c r="S17" s="287"/>
      <c r="T17" s="287"/>
      <c r="U17" s="287"/>
      <c r="V17" s="287"/>
      <c r="W17" s="287"/>
      <c r="X17" s="287"/>
      <c r="Y17" s="287"/>
      <c r="Z17" s="287"/>
      <c r="AA17" s="287"/>
      <c r="AB17" s="287"/>
      <c r="AC17" s="287"/>
      <c r="AD17" s="287"/>
      <c r="AE17" s="287"/>
    </row>
    <row r="18" spans="2:44" s="105" customFormat="1" ht="19.5" customHeight="1" x14ac:dyDescent="0.25">
      <c r="B18" s="122" t="str">
        <f>IF(Resources!B15="","",Resources!B15)</f>
        <v/>
      </c>
      <c r="C18" s="122" t="str">
        <f>IF(Resources!C15="","",Resources!C15)</f>
        <v/>
      </c>
      <c r="D18" s="122" t="str">
        <f>IF(Resources!D15="","",Resources!D15)</f>
        <v/>
      </c>
      <c r="E18" s="122" t="str">
        <f>IF(Resources!E15="","",Resources!E15)</f>
        <v/>
      </c>
      <c r="F18" s="233"/>
      <c r="G18" s="287"/>
      <c r="H18" s="287"/>
      <c r="I18" s="287"/>
      <c r="J18" s="287"/>
      <c r="K18" s="287"/>
      <c r="L18" s="287"/>
      <c r="M18" s="287"/>
      <c r="N18" s="287"/>
      <c r="O18" s="287"/>
      <c r="P18" s="287"/>
      <c r="Q18" s="287"/>
      <c r="R18" s="287"/>
      <c r="S18" s="287"/>
      <c r="T18" s="287"/>
      <c r="U18" s="287"/>
      <c r="V18" s="287"/>
      <c r="W18" s="287"/>
      <c r="X18" s="287"/>
      <c r="Y18" s="287"/>
      <c r="Z18" s="287"/>
      <c r="AA18" s="287"/>
      <c r="AB18" s="287"/>
      <c r="AC18" s="287"/>
      <c r="AD18" s="287"/>
      <c r="AE18" s="287"/>
    </row>
    <row r="19" spans="2:44" s="105" customFormat="1" ht="20.149999999999999" customHeight="1" x14ac:dyDescent="0.25">
      <c r="B19" s="122" t="str">
        <f>IF(Resources!B16="","",Resources!B16)</f>
        <v/>
      </c>
      <c r="C19" s="122" t="str">
        <f>IF(Resources!C16="","",Resources!C16)</f>
        <v/>
      </c>
      <c r="D19" s="122" t="str">
        <f>IF(Resources!D16="","",Resources!D16)</f>
        <v/>
      </c>
      <c r="E19" s="122" t="str">
        <f>IF(Resources!E16="","",Resources!E16)</f>
        <v/>
      </c>
      <c r="F19" s="233"/>
      <c r="G19" s="287"/>
      <c r="H19" s="287"/>
      <c r="I19" s="287"/>
      <c r="J19" s="287"/>
      <c r="K19" s="287"/>
      <c r="L19" s="287"/>
      <c r="M19" s="287"/>
      <c r="N19" s="287"/>
      <c r="O19" s="287"/>
      <c r="P19" s="287"/>
      <c r="Q19" s="287"/>
      <c r="R19" s="287"/>
      <c r="S19" s="287"/>
      <c r="T19" s="287"/>
      <c r="U19" s="287"/>
      <c r="V19" s="287"/>
      <c r="W19" s="287"/>
      <c r="X19" s="287"/>
      <c r="Y19" s="287"/>
      <c r="Z19" s="287"/>
      <c r="AA19" s="287"/>
      <c r="AB19" s="287"/>
      <c r="AC19" s="287"/>
      <c r="AD19" s="287"/>
      <c r="AE19" s="287"/>
    </row>
    <row r="20" spans="2:44" s="105" customFormat="1" ht="19.5" customHeight="1" x14ac:dyDescent="0.25">
      <c r="B20" s="122" t="str">
        <f>IF(Resources!B17="","",Resources!B17)</f>
        <v/>
      </c>
      <c r="C20" s="122" t="str">
        <f>IF(Resources!C17="","",Resources!C17)</f>
        <v/>
      </c>
      <c r="D20" s="122" t="str">
        <f>IF(Resources!D17="","",Resources!D17)</f>
        <v/>
      </c>
      <c r="E20" s="122" t="str">
        <f>IF(Resources!E17="","",Resources!E17)</f>
        <v/>
      </c>
      <c r="F20" s="233"/>
      <c r="G20" s="287"/>
      <c r="H20" s="287"/>
      <c r="I20" s="287"/>
      <c r="J20" s="287"/>
      <c r="K20" s="287"/>
      <c r="L20" s="287"/>
      <c r="M20" s="287"/>
      <c r="N20" s="287"/>
      <c r="O20" s="287"/>
      <c r="P20" s="287"/>
      <c r="Q20" s="287"/>
      <c r="R20" s="287"/>
      <c r="S20" s="287"/>
      <c r="T20" s="287"/>
      <c r="U20" s="287"/>
      <c r="V20" s="287"/>
      <c r="W20" s="287"/>
      <c r="X20" s="287"/>
      <c r="Y20" s="287"/>
      <c r="Z20" s="287"/>
      <c r="AA20" s="287"/>
      <c r="AB20" s="287"/>
      <c r="AC20" s="287"/>
      <c r="AD20" s="287"/>
      <c r="AE20" s="287"/>
      <c r="AG20" s="94"/>
      <c r="AH20" s="94"/>
      <c r="AI20" s="94"/>
      <c r="AJ20" s="94"/>
      <c r="AK20" s="94"/>
      <c r="AL20" s="94"/>
      <c r="AM20" s="94"/>
      <c r="AN20" s="94"/>
      <c r="AO20" s="94"/>
      <c r="AP20" s="94"/>
      <c r="AQ20" s="94"/>
      <c r="AR20" s="94"/>
    </row>
    <row r="21" spans="2:44" s="105" customFormat="1" ht="20.149999999999999" customHeight="1" x14ac:dyDescent="0.25">
      <c r="B21" s="122" t="str">
        <f>IF(Resources!B18="","",Resources!B18)</f>
        <v/>
      </c>
      <c r="C21" s="122" t="str">
        <f>IF(Resources!C18="","",Resources!C18)</f>
        <v/>
      </c>
      <c r="D21" s="122" t="str">
        <f>IF(Resources!D18="","",Resources!D18)</f>
        <v/>
      </c>
      <c r="E21" s="122" t="str">
        <f>IF(Resources!E18="","",Resources!E18)</f>
        <v/>
      </c>
      <c r="F21" s="233"/>
      <c r="G21" s="287"/>
      <c r="H21" s="287"/>
      <c r="I21" s="287"/>
      <c r="J21" s="287"/>
      <c r="K21" s="287"/>
      <c r="L21" s="287"/>
      <c r="M21" s="287"/>
      <c r="N21" s="287"/>
      <c r="O21" s="287"/>
      <c r="P21" s="287"/>
      <c r="Q21" s="287"/>
      <c r="R21" s="287"/>
      <c r="S21" s="287"/>
      <c r="T21" s="287"/>
      <c r="U21" s="287"/>
      <c r="V21" s="287"/>
      <c r="W21" s="287"/>
      <c r="X21" s="287"/>
      <c r="Y21" s="287"/>
      <c r="Z21" s="287"/>
      <c r="AA21" s="287"/>
      <c r="AB21" s="287"/>
      <c r="AC21" s="287"/>
      <c r="AD21" s="287"/>
      <c r="AE21" s="287"/>
      <c r="AG21" s="94"/>
      <c r="AH21" s="94"/>
      <c r="AI21" s="94"/>
      <c r="AJ21" s="94"/>
      <c r="AK21" s="94"/>
      <c r="AL21" s="94"/>
      <c r="AM21" s="94"/>
      <c r="AN21" s="94"/>
      <c r="AO21" s="94"/>
      <c r="AP21" s="94"/>
      <c r="AQ21" s="94"/>
      <c r="AR21" s="94"/>
    </row>
    <row r="22" spans="2:44" s="105" customFormat="1" ht="20.149999999999999" customHeight="1" x14ac:dyDescent="0.25">
      <c r="B22" s="122" t="str">
        <f>IF(Resources!B19="","",Resources!B19)</f>
        <v/>
      </c>
      <c r="C22" s="122" t="str">
        <f>IF(Resources!C19="","",Resources!C19)</f>
        <v/>
      </c>
      <c r="D22" s="122" t="str">
        <f>IF(Resources!D19="","",Resources!D19)</f>
        <v/>
      </c>
      <c r="E22" s="122" t="str">
        <f>IF(Resources!E19="","",Resources!E19)</f>
        <v/>
      </c>
      <c r="F22" s="233"/>
      <c r="G22" s="287"/>
      <c r="H22" s="287"/>
      <c r="I22" s="287"/>
      <c r="J22" s="287"/>
      <c r="K22" s="287"/>
      <c r="L22" s="287"/>
      <c r="M22" s="287"/>
      <c r="N22" s="287"/>
      <c r="O22" s="287"/>
      <c r="P22" s="287"/>
      <c r="Q22" s="287"/>
      <c r="R22" s="287"/>
      <c r="S22" s="287"/>
      <c r="T22" s="287"/>
      <c r="U22" s="287"/>
      <c r="V22" s="287"/>
      <c r="W22" s="287"/>
      <c r="X22" s="287"/>
      <c r="Y22" s="287"/>
      <c r="Z22" s="287"/>
      <c r="AA22" s="287"/>
      <c r="AB22" s="287"/>
      <c r="AC22" s="287"/>
      <c r="AD22" s="287"/>
      <c r="AE22" s="287"/>
      <c r="AG22" s="94"/>
      <c r="AH22" s="94"/>
      <c r="AI22" s="94"/>
      <c r="AJ22" s="94"/>
      <c r="AK22" s="94"/>
      <c r="AL22" s="94"/>
      <c r="AM22" s="94"/>
      <c r="AN22" s="94"/>
      <c r="AO22" s="94"/>
      <c r="AP22" s="94"/>
      <c r="AQ22" s="94"/>
      <c r="AR22" s="94"/>
    </row>
    <row r="23" spans="2:44" s="105" customFormat="1" ht="20.149999999999999" customHeight="1" x14ac:dyDescent="0.25">
      <c r="B23" s="122" t="str">
        <f>IF(Resources!B20="","",Resources!B20)</f>
        <v/>
      </c>
      <c r="C23" s="122" t="str">
        <f>IF(Resources!C20="","",Resources!C20)</f>
        <v/>
      </c>
      <c r="D23" s="122" t="str">
        <f>IF(Resources!D20="","",Resources!D20)</f>
        <v/>
      </c>
      <c r="E23" s="122" t="str">
        <f>IF(Resources!E20="","",Resources!E20)</f>
        <v/>
      </c>
      <c r="F23" s="233"/>
      <c r="G23" s="287"/>
      <c r="H23" s="287"/>
      <c r="I23" s="287"/>
      <c r="J23" s="287"/>
      <c r="K23" s="287"/>
      <c r="L23" s="287"/>
      <c r="M23" s="287"/>
      <c r="N23" s="287"/>
      <c r="O23" s="287"/>
      <c r="P23" s="287"/>
      <c r="Q23" s="287"/>
      <c r="R23" s="287"/>
      <c r="S23" s="287"/>
      <c r="T23" s="287"/>
      <c r="U23" s="287"/>
      <c r="V23" s="287"/>
      <c r="W23" s="287"/>
      <c r="X23" s="287"/>
      <c r="Y23" s="287"/>
      <c r="Z23" s="287"/>
      <c r="AA23" s="287"/>
      <c r="AB23" s="287"/>
      <c r="AC23" s="287"/>
      <c r="AD23" s="287"/>
      <c r="AE23" s="287"/>
      <c r="AG23" s="94"/>
      <c r="AH23" s="94"/>
      <c r="AI23" s="94"/>
      <c r="AJ23" s="94"/>
      <c r="AK23" s="94"/>
      <c r="AL23" s="94"/>
      <c r="AM23" s="94"/>
      <c r="AN23" s="94"/>
      <c r="AO23" s="94"/>
      <c r="AP23" s="94"/>
      <c r="AQ23" s="94"/>
      <c r="AR23" s="94"/>
    </row>
    <row r="24" spans="2:44" s="105" customFormat="1" ht="20.149999999999999" customHeight="1" x14ac:dyDescent="0.25">
      <c r="B24" s="122" t="str">
        <f>IF(Resources!B21="","",Resources!B21)</f>
        <v/>
      </c>
      <c r="C24" s="122" t="str">
        <f>IF(Resources!C21="","",Resources!C21)</f>
        <v/>
      </c>
      <c r="D24" s="122" t="str">
        <f>IF(Resources!D21="","",Resources!D21)</f>
        <v/>
      </c>
      <c r="E24" s="122" t="str">
        <f>IF(Resources!E21="","",Resources!E21)</f>
        <v/>
      </c>
      <c r="F24" s="233"/>
      <c r="G24" s="287"/>
      <c r="H24" s="287"/>
      <c r="I24" s="287"/>
      <c r="J24" s="287"/>
      <c r="K24" s="287"/>
      <c r="L24" s="287"/>
      <c r="M24" s="287"/>
      <c r="N24" s="287"/>
      <c r="O24" s="287"/>
      <c r="P24" s="287"/>
      <c r="Q24" s="287"/>
      <c r="R24" s="287"/>
      <c r="S24" s="287"/>
      <c r="T24" s="287"/>
      <c r="U24" s="287"/>
      <c r="V24" s="287"/>
      <c r="W24" s="287"/>
      <c r="X24" s="287"/>
      <c r="Y24" s="287"/>
      <c r="Z24" s="287"/>
      <c r="AA24" s="287"/>
      <c r="AB24" s="287"/>
      <c r="AC24" s="287"/>
      <c r="AD24" s="287"/>
      <c r="AE24" s="287"/>
      <c r="AG24" s="94"/>
      <c r="AH24" s="94"/>
      <c r="AI24" s="94"/>
      <c r="AJ24" s="94"/>
      <c r="AK24" s="94"/>
      <c r="AL24" s="94"/>
      <c r="AM24" s="94"/>
      <c r="AN24" s="94"/>
      <c r="AO24" s="94"/>
      <c r="AP24" s="94"/>
      <c r="AQ24" s="94"/>
      <c r="AR24" s="94"/>
    </row>
    <row r="25" spans="2:44" s="105" customFormat="1" ht="20.149999999999999" customHeight="1" x14ac:dyDescent="0.25">
      <c r="B25" s="122" t="str">
        <f>IF(Resources!B22="","",Resources!B22)</f>
        <v/>
      </c>
      <c r="C25" s="122" t="str">
        <f>IF(Resources!C22="","",Resources!C22)</f>
        <v/>
      </c>
      <c r="D25" s="122" t="str">
        <f>IF(Resources!D22="","",Resources!D22)</f>
        <v/>
      </c>
      <c r="E25" s="122" t="str">
        <f>IF(Resources!E22="","",Resources!E22)</f>
        <v/>
      </c>
      <c r="F25" s="233"/>
      <c r="G25" s="287"/>
      <c r="H25" s="287"/>
      <c r="I25" s="287"/>
      <c r="J25" s="287"/>
      <c r="K25" s="287"/>
      <c r="L25" s="287"/>
      <c r="M25" s="287"/>
      <c r="N25" s="287"/>
      <c r="O25" s="287"/>
      <c r="P25" s="287"/>
      <c r="Q25" s="287"/>
      <c r="R25" s="287"/>
      <c r="S25" s="287"/>
      <c r="T25" s="287"/>
      <c r="U25" s="287"/>
      <c r="V25" s="287"/>
      <c r="W25" s="287"/>
      <c r="X25" s="287"/>
      <c r="Y25" s="287"/>
      <c r="Z25" s="287"/>
      <c r="AA25" s="287"/>
      <c r="AB25" s="287"/>
      <c r="AC25" s="287"/>
      <c r="AD25" s="287"/>
      <c r="AE25" s="287"/>
    </row>
    <row r="26" spans="2:44" s="105" customFormat="1" ht="20.149999999999999" customHeight="1" x14ac:dyDescent="0.25">
      <c r="B26" s="122" t="str">
        <f>IF(Resources!B23="","",Resources!B23)</f>
        <v/>
      </c>
      <c r="C26" s="122" t="str">
        <f>IF(Resources!C23="","",Resources!C23)</f>
        <v/>
      </c>
      <c r="D26" s="122" t="str">
        <f>IF(Resources!D23="","",Resources!D23)</f>
        <v/>
      </c>
      <c r="E26" s="122" t="str">
        <f>IF(Resources!E23="","",Resources!E23)</f>
        <v/>
      </c>
      <c r="F26" s="233"/>
      <c r="G26" s="287"/>
      <c r="H26" s="287"/>
      <c r="I26" s="287"/>
      <c r="J26" s="287"/>
      <c r="K26" s="287"/>
      <c r="L26" s="287"/>
      <c r="M26" s="287"/>
      <c r="N26" s="287"/>
      <c r="O26" s="287"/>
      <c r="P26" s="287"/>
      <c r="Q26" s="287"/>
      <c r="R26" s="287"/>
      <c r="S26" s="287"/>
      <c r="T26" s="287"/>
      <c r="U26" s="287"/>
      <c r="V26" s="287"/>
      <c r="W26" s="287"/>
      <c r="X26" s="287"/>
      <c r="Y26" s="287"/>
      <c r="Z26" s="287"/>
      <c r="AA26" s="287"/>
      <c r="AB26" s="287"/>
      <c r="AC26" s="287"/>
      <c r="AD26" s="287"/>
      <c r="AE26" s="287"/>
    </row>
    <row r="27" spans="2:44" s="105" customFormat="1" ht="20.149999999999999" customHeight="1" x14ac:dyDescent="0.25">
      <c r="B27" s="122" t="str">
        <f>IF(Resources!B24="","",Resources!B24)</f>
        <v/>
      </c>
      <c r="C27" s="122" t="str">
        <f>IF(Resources!C24="","",Resources!C24)</f>
        <v/>
      </c>
      <c r="D27" s="122" t="str">
        <f>IF(Resources!D24="","",Resources!D24)</f>
        <v/>
      </c>
      <c r="E27" s="122" t="str">
        <f>IF(Resources!E24="","",Resources!E24)</f>
        <v/>
      </c>
      <c r="F27" s="233"/>
      <c r="G27" s="287"/>
      <c r="H27" s="287"/>
      <c r="I27" s="287"/>
      <c r="J27" s="287"/>
      <c r="K27" s="287"/>
      <c r="L27" s="287"/>
      <c r="M27" s="287"/>
      <c r="N27" s="287"/>
      <c r="O27" s="287"/>
      <c r="P27" s="287"/>
      <c r="Q27" s="287"/>
      <c r="R27" s="287"/>
      <c r="S27" s="287"/>
      <c r="T27" s="287"/>
      <c r="U27" s="287"/>
      <c r="V27" s="287"/>
      <c r="W27" s="287"/>
      <c r="X27" s="287"/>
      <c r="Y27" s="287"/>
      <c r="Z27" s="287"/>
      <c r="AA27" s="287"/>
      <c r="AB27" s="287"/>
      <c r="AC27" s="287"/>
      <c r="AD27" s="287"/>
      <c r="AE27" s="287"/>
    </row>
    <row r="28" spans="2:44" s="105" customFormat="1" ht="19.5" customHeight="1" x14ac:dyDescent="0.25">
      <c r="B28" s="122" t="str">
        <f>IF(Resources!B25="","",Resources!B25)</f>
        <v/>
      </c>
      <c r="C28" s="122" t="str">
        <f>IF(Resources!C25="","",Resources!C25)</f>
        <v/>
      </c>
      <c r="D28" s="122" t="str">
        <f>IF(Resources!D25="","",Resources!D25)</f>
        <v/>
      </c>
      <c r="E28" s="122" t="str">
        <f>IF(Resources!E25="","",Resources!E25)</f>
        <v/>
      </c>
      <c r="F28" s="233"/>
      <c r="G28" s="287"/>
      <c r="H28" s="287"/>
      <c r="I28" s="287"/>
      <c r="J28" s="287"/>
      <c r="K28" s="287"/>
      <c r="L28" s="287"/>
      <c r="M28" s="287"/>
      <c r="N28" s="287"/>
      <c r="O28" s="287"/>
      <c r="P28" s="287"/>
      <c r="Q28" s="287"/>
      <c r="R28" s="287"/>
      <c r="S28" s="287"/>
      <c r="T28" s="287"/>
      <c r="U28" s="287"/>
      <c r="V28" s="287"/>
      <c r="W28" s="287"/>
      <c r="X28" s="287"/>
      <c r="Y28" s="287"/>
      <c r="Z28" s="287"/>
      <c r="AA28" s="287"/>
      <c r="AB28" s="287"/>
      <c r="AC28" s="287"/>
      <c r="AD28" s="287"/>
      <c r="AE28" s="287"/>
    </row>
    <row r="29" spans="2:44" s="105" customFormat="1" ht="20.149999999999999" customHeight="1" x14ac:dyDescent="0.25">
      <c r="B29" s="122" t="str">
        <f>IF(Resources!B26="","",Resources!B26)</f>
        <v/>
      </c>
      <c r="C29" s="122" t="str">
        <f>IF(Resources!C26="","",Resources!C26)</f>
        <v/>
      </c>
      <c r="D29" s="122" t="str">
        <f>IF(Resources!D26="","",Resources!D26)</f>
        <v/>
      </c>
      <c r="E29" s="122" t="str">
        <f>IF(Resources!E26="","",Resources!E26)</f>
        <v/>
      </c>
      <c r="F29" s="233"/>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2:44" s="105" customFormat="1" ht="19.5" customHeight="1" x14ac:dyDescent="0.25">
      <c r="B30" s="122" t="str">
        <f>IF(Resources!B27="","",Resources!B27)</f>
        <v/>
      </c>
      <c r="C30" s="122" t="str">
        <f>IF(Resources!C27="","",Resources!C27)</f>
        <v/>
      </c>
      <c r="D30" s="122" t="str">
        <f>IF(Resources!D27="","",Resources!D27)</f>
        <v/>
      </c>
      <c r="E30" s="122" t="str">
        <f>IF(Resources!E27="","",Resources!E27)</f>
        <v/>
      </c>
      <c r="F30" s="233"/>
      <c r="G30" s="288"/>
      <c r="H30" s="288"/>
      <c r="I30" s="288"/>
      <c r="J30" s="288"/>
      <c r="K30" s="288"/>
      <c r="L30" s="288"/>
      <c r="M30" s="288"/>
      <c r="N30" s="288"/>
      <c r="O30" s="288"/>
      <c r="P30" s="288"/>
      <c r="Q30" s="288"/>
      <c r="R30" s="288"/>
      <c r="S30" s="288"/>
      <c r="T30" s="288"/>
      <c r="U30" s="288"/>
      <c r="V30" s="288"/>
      <c r="W30" s="288"/>
      <c r="X30" s="288"/>
      <c r="Y30" s="288"/>
      <c r="Z30" s="288"/>
      <c r="AA30" s="288"/>
      <c r="AB30" s="288"/>
      <c r="AC30" s="288"/>
      <c r="AD30" s="288"/>
      <c r="AE30" s="288"/>
      <c r="AG30" s="94"/>
      <c r="AH30" s="94"/>
      <c r="AI30" s="94"/>
      <c r="AJ30" s="94"/>
      <c r="AK30" s="94"/>
      <c r="AL30" s="94"/>
      <c r="AM30" s="94"/>
      <c r="AN30" s="94"/>
      <c r="AO30" s="94"/>
      <c r="AP30" s="94"/>
      <c r="AQ30" s="94"/>
      <c r="AR30" s="94"/>
    </row>
    <row r="31" spans="2:44" s="105" customFormat="1" ht="20.149999999999999" customHeight="1" x14ac:dyDescent="0.25">
      <c r="B31" s="122" t="str">
        <f>IF(Resources!B28="","",Resources!B28)</f>
        <v/>
      </c>
      <c r="C31" s="122" t="str">
        <f>IF(Resources!C28="","",Resources!C28)</f>
        <v/>
      </c>
      <c r="D31" s="122" t="str">
        <f>IF(Resources!D28="","",Resources!D28)</f>
        <v/>
      </c>
      <c r="E31" s="122" t="str">
        <f>IF(Resources!E28="","",Resources!E28)</f>
        <v/>
      </c>
      <c r="F31" s="233"/>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c r="AG31" s="94"/>
      <c r="AH31" s="94"/>
      <c r="AI31" s="94"/>
      <c r="AJ31" s="94"/>
      <c r="AK31" s="94"/>
      <c r="AL31" s="94"/>
      <c r="AM31" s="94"/>
      <c r="AN31" s="94"/>
      <c r="AO31" s="94"/>
      <c r="AP31" s="94"/>
      <c r="AQ31" s="94"/>
      <c r="AR31" s="94"/>
    </row>
    <row r="32" spans="2:44" s="105" customFormat="1" ht="20.149999999999999" customHeight="1" x14ac:dyDescent="0.25">
      <c r="B32" s="122" t="str">
        <f>IF(Resources!B29="","",Resources!B29)</f>
        <v/>
      </c>
      <c r="C32" s="122" t="str">
        <f>IF(Resources!C29="","",Resources!C29)</f>
        <v/>
      </c>
      <c r="D32" s="122" t="str">
        <f>IF(Resources!D29="","",Resources!D29)</f>
        <v/>
      </c>
      <c r="E32" s="122" t="str">
        <f>IF(Resources!E29="","",Resources!E29)</f>
        <v/>
      </c>
      <c r="F32" s="233"/>
      <c r="G32" s="289"/>
      <c r="H32" s="289"/>
      <c r="I32" s="289"/>
      <c r="J32" s="289"/>
      <c r="K32" s="289"/>
      <c r="L32" s="289"/>
      <c r="M32" s="289"/>
      <c r="N32" s="289"/>
      <c r="O32" s="289"/>
      <c r="P32" s="289"/>
      <c r="Q32" s="289"/>
      <c r="R32" s="289"/>
      <c r="S32" s="289"/>
      <c r="T32" s="289"/>
      <c r="U32" s="289"/>
      <c r="V32" s="289"/>
      <c r="W32" s="289"/>
      <c r="X32" s="289"/>
      <c r="Y32" s="289"/>
      <c r="Z32" s="289"/>
      <c r="AA32" s="289"/>
      <c r="AB32" s="289"/>
      <c r="AC32" s="289"/>
      <c r="AD32" s="289"/>
      <c r="AE32" s="289"/>
      <c r="AG32" s="94"/>
      <c r="AH32" s="94"/>
      <c r="AI32" s="94"/>
      <c r="AJ32" s="94"/>
      <c r="AK32" s="94"/>
      <c r="AL32" s="94"/>
      <c r="AM32" s="94"/>
      <c r="AN32" s="94"/>
      <c r="AO32" s="94"/>
      <c r="AP32" s="94"/>
      <c r="AQ32" s="94"/>
      <c r="AR32" s="94"/>
    </row>
    <row r="33" spans="2:44" s="105" customFormat="1" ht="20.149999999999999" customHeight="1" x14ac:dyDescent="0.25">
      <c r="B33" s="122" t="str">
        <f>IF(Resources!B30="","",Resources!B30)</f>
        <v/>
      </c>
      <c r="C33" s="122" t="str">
        <f>IF(Resources!C30="","",Resources!C30)</f>
        <v/>
      </c>
      <c r="D33" s="122" t="str">
        <f>IF(Resources!D30="","",Resources!D30)</f>
        <v/>
      </c>
      <c r="E33" s="122" t="str">
        <f>IF(Resources!E30="","",Resources!E30)</f>
        <v/>
      </c>
      <c r="F33" s="233"/>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c r="AG33" s="94"/>
      <c r="AH33" s="94"/>
      <c r="AI33" s="94"/>
      <c r="AJ33" s="94"/>
      <c r="AK33" s="94"/>
      <c r="AL33" s="94"/>
      <c r="AM33" s="94"/>
      <c r="AN33" s="94"/>
      <c r="AO33" s="94"/>
      <c r="AP33" s="94"/>
      <c r="AQ33" s="94"/>
      <c r="AR33" s="94"/>
    </row>
    <row r="34" spans="2:44" s="105" customFormat="1" ht="20.149999999999999" customHeight="1" x14ac:dyDescent="0.25">
      <c r="B34" s="122" t="str">
        <f>IF(Resources!B31="","",Resources!B31)</f>
        <v/>
      </c>
      <c r="C34" s="122" t="str">
        <f>IF(Resources!C31="","",Resources!C31)</f>
        <v/>
      </c>
      <c r="D34" s="122" t="str">
        <f>IF(Resources!D31="","",Resources!D31)</f>
        <v/>
      </c>
      <c r="E34" s="122" t="str">
        <f>IF(Resources!E31="","",Resources!E31)</f>
        <v/>
      </c>
      <c r="F34" s="233"/>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c r="AG34" s="94"/>
      <c r="AH34" s="94"/>
      <c r="AI34" s="94"/>
      <c r="AJ34" s="94"/>
      <c r="AK34" s="94"/>
      <c r="AL34" s="94"/>
      <c r="AM34" s="94"/>
      <c r="AN34" s="94"/>
      <c r="AO34" s="94"/>
      <c r="AP34" s="94"/>
      <c r="AQ34" s="94"/>
      <c r="AR34" s="94"/>
    </row>
    <row r="35" spans="2:44" s="105" customFormat="1" ht="20.149999999999999" customHeight="1" x14ac:dyDescent="0.25">
      <c r="B35" s="122" t="str">
        <f>IF(Resources!B32="","",Resources!B32)</f>
        <v/>
      </c>
      <c r="C35" s="122" t="str">
        <f>IF(Resources!C32="","",Resources!C32)</f>
        <v/>
      </c>
      <c r="D35" s="122" t="str">
        <f>IF(Resources!D32="","",Resources!D32)</f>
        <v/>
      </c>
      <c r="E35" s="122" t="str">
        <f>IF(Resources!E32="","",Resources!E32)</f>
        <v/>
      </c>
      <c r="F35" s="233"/>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2:44" s="105" customFormat="1" ht="20.149999999999999" customHeight="1" x14ac:dyDescent="0.25">
      <c r="B36" s="122" t="str">
        <f>IF(Resources!B33="","",Resources!B33)</f>
        <v/>
      </c>
      <c r="C36" s="122" t="str">
        <f>IF(Resources!C33="","",Resources!C33)</f>
        <v/>
      </c>
      <c r="D36" s="122" t="str">
        <f>IF(Resources!D33="","",Resources!D33)</f>
        <v/>
      </c>
      <c r="E36" s="122" t="str">
        <f>IF(Resources!E33="","",Resources!E33)</f>
        <v/>
      </c>
      <c r="F36" s="233"/>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2:44" s="105" customFormat="1" ht="20.149999999999999" customHeight="1" x14ac:dyDescent="0.25">
      <c r="B37" s="122" t="str">
        <f>IF(Resources!B34="","",Resources!B34)</f>
        <v/>
      </c>
      <c r="C37" s="122" t="str">
        <f>IF(Resources!C34="","",Resources!C34)</f>
        <v/>
      </c>
      <c r="D37" s="122" t="str">
        <f>IF(Resources!D34="","",Resources!D34)</f>
        <v/>
      </c>
      <c r="E37" s="122" t="str">
        <f>IF(Resources!E34="","",Resources!E34)</f>
        <v/>
      </c>
      <c r="F37" s="233"/>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2:44" s="105" customFormat="1" ht="19.5" customHeight="1" x14ac:dyDescent="0.25">
      <c r="B38" s="122" t="str">
        <f>IF(Resources!B35="","",Resources!B35)</f>
        <v/>
      </c>
      <c r="C38" s="122" t="str">
        <f>IF(Resources!C35="","",Resources!C35)</f>
        <v/>
      </c>
      <c r="D38" s="122" t="str">
        <f>IF(Resources!D35="","",Resources!D35)</f>
        <v/>
      </c>
      <c r="E38" s="122" t="str">
        <f>IF(Resources!E35="","",Resources!E35)</f>
        <v/>
      </c>
      <c r="F38" s="233"/>
      <c r="G38" s="284"/>
      <c r="H38" s="284"/>
      <c r="I38" s="284"/>
      <c r="J38" s="284"/>
      <c r="K38" s="284"/>
      <c r="L38" s="284"/>
      <c r="M38" s="284"/>
      <c r="N38" s="284"/>
      <c r="O38" s="284"/>
      <c r="P38" s="284"/>
      <c r="Q38" s="284"/>
      <c r="R38" s="284"/>
      <c r="S38" s="284"/>
      <c r="T38" s="284"/>
      <c r="U38" s="284"/>
      <c r="V38" s="284"/>
      <c r="W38" s="284"/>
      <c r="X38" s="284"/>
      <c r="Y38" s="284"/>
      <c r="Z38" s="284"/>
      <c r="AA38" s="284"/>
      <c r="AB38" s="284"/>
      <c r="AC38" s="284"/>
      <c r="AD38" s="284"/>
      <c r="AE38" s="284"/>
    </row>
    <row r="39" spans="2:44" s="105" customFormat="1" ht="19.5" customHeight="1" x14ac:dyDescent="0.25">
      <c r="B39" s="122" t="str">
        <f>IF(Resources!B36="","",Resources!B36)</f>
        <v/>
      </c>
      <c r="C39" s="122" t="str">
        <f>IF(Resources!C36="","",Resources!C36)</f>
        <v/>
      </c>
      <c r="D39" s="122" t="str">
        <f>IF(Resources!D36="","",Resources!D36)</f>
        <v/>
      </c>
      <c r="E39" s="122" t="str">
        <f>IF(Resources!E36="","",Resources!E36)</f>
        <v/>
      </c>
      <c r="F39" s="233"/>
      <c r="G39" s="284"/>
      <c r="H39" s="284"/>
      <c r="I39" s="284"/>
      <c r="J39" s="284"/>
      <c r="K39" s="284"/>
      <c r="L39" s="284"/>
      <c r="M39" s="284"/>
      <c r="N39" s="284"/>
      <c r="O39" s="284"/>
      <c r="P39" s="284"/>
      <c r="Q39" s="284"/>
      <c r="R39" s="284"/>
      <c r="S39" s="284"/>
      <c r="T39" s="284"/>
      <c r="U39" s="284"/>
      <c r="V39" s="284"/>
      <c r="W39" s="284"/>
      <c r="X39" s="284"/>
      <c r="Y39" s="284"/>
      <c r="Z39" s="284"/>
      <c r="AA39" s="284"/>
      <c r="AB39" s="284"/>
      <c r="AC39" s="284"/>
      <c r="AD39" s="284"/>
      <c r="AE39" s="284"/>
    </row>
    <row r="40" spans="2:44" ht="20.149999999999999" customHeight="1" x14ac:dyDescent="0.25">
      <c r="B40" s="118" t="s">
        <v>178</v>
      </c>
      <c r="C40" s="119"/>
      <c r="D40" s="120"/>
      <c r="E40" s="120"/>
      <c r="F40" s="183">
        <f>'Project Infor'!C47</f>
        <v>0</v>
      </c>
      <c r="G40" s="121">
        <f t="array" ref="G40">SUMPRODUCT(($D$10:$D$39="NO")*1,G$10:G$39,Resources!F7:F36)+G42</f>
        <v>400</v>
      </c>
      <c r="H40" s="121">
        <f t="array" ref="H40">SUMPRODUCT(($D$10:$D$39="NO")*1,H$10:H$39,Resources!G7:G36)+H42</f>
        <v>400</v>
      </c>
      <c r="I40" s="121">
        <f t="array" ref="I40">SUMPRODUCT(($D$10:$D$39="NO")*1,I$10:I$39,Resources!H7:H36)+I42</f>
        <v>1840</v>
      </c>
      <c r="J40" s="121">
        <f t="array" ref="J40">SUMPRODUCT(($D$10:$D$39="NO")*1,J$10:J$39,Resources!I7:I36)+J42</f>
        <v>1840</v>
      </c>
      <c r="K40" s="121">
        <f t="array" ref="K40">SUMPRODUCT(($D$10:$D$39="NO")*1,K$10:K$39,Resources!J7:J36)+K42</f>
        <v>1840</v>
      </c>
      <c r="L40" s="121">
        <f t="array" ref="L40">SUMPRODUCT(($D$10:$D$39="NO")*1,L$10:L$39,Resources!K7:K36)+L42</f>
        <v>1840</v>
      </c>
      <c r="M40" s="121">
        <f t="array" ref="M40">SUMPRODUCT(($D$10:$D$39="NO")*1,M$10:M$39,Resources!L7:L36)+M42</f>
        <v>1840</v>
      </c>
      <c r="N40" s="121">
        <f t="array" ref="N40">SUMPRODUCT(($D$10:$D$39="NO")*1,N$10:N$39,Resources!M7:M36)+N42</f>
        <v>1840</v>
      </c>
      <c r="O40" s="121">
        <f t="array" ref="O40">SUMPRODUCT(($D$10:$D$39="NO")*1,O$10:O$39,Resources!N7:N36)+O42</f>
        <v>1840</v>
      </c>
      <c r="P40" s="121">
        <f t="array" ref="P40">SUMPRODUCT(($D$10:$D$39="NO")*1,P$10:P$39,Resources!O7:O36)+P42</f>
        <v>1840</v>
      </c>
      <c r="Q40" s="121">
        <f t="array" ref="Q40">SUMPRODUCT(($D$10:$D$39="NO")*1,Q$10:Q$39,Resources!P7:P36)+Q42</f>
        <v>1840</v>
      </c>
      <c r="R40" s="121">
        <f t="array" ref="R40">SUMPRODUCT(($D$10:$D$39="NO")*1,R$10:R$39,Resources!Q7:Q36)+R42</f>
        <v>1840</v>
      </c>
      <c r="S40" s="121">
        <f t="array" ref="S40">SUMPRODUCT(($D$10:$D$39="NO")*1,S$10:S$39,Resources!R7:R36)+S42</f>
        <v>0</v>
      </c>
      <c r="T40" s="121">
        <f t="array" ref="T40">SUMPRODUCT(($D$10:$D$39="NO")*1,T$10:T$39,Resources!S7:S36)+T42</f>
        <v>0</v>
      </c>
      <c r="U40" s="121">
        <f t="array" ref="U40">SUMPRODUCT(($D$10:$D$39="NO")*1,U$10:U$39,Resources!T7:T36)+U42</f>
        <v>0</v>
      </c>
      <c r="V40" s="121">
        <f t="array" ref="V40">SUMPRODUCT(($D$10:$D$39="NO")*1,V$10:V$39,Resources!U7:U36)+V42</f>
        <v>0</v>
      </c>
      <c r="W40" s="121">
        <f t="array" ref="W40">SUMPRODUCT(($D$10:$D$39="NO")*1,W$10:W$39,Resources!V7:V36)+W42</f>
        <v>0</v>
      </c>
      <c r="X40" s="121">
        <f t="array" ref="X40">SUMPRODUCT(($D$10:$D$39="NO")*1,X$10:X$39,Resources!W7:W36)+X42</f>
        <v>0</v>
      </c>
      <c r="Y40" s="121">
        <f t="array" ref="Y40">SUMPRODUCT(($D$10:$D$39="NO")*1,Y$10:Y$39,Resources!X7:X36)+Y42</f>
        <v>0</v>
      </c>
      <c r="Z40" s="121">
        <f t="array" ref="Z40">SUMPRODUCT(($D$10:$D$39="NO")*1,Z$10:Z$39,Resources!Y7:Y36)+Z42</f>
        <v>0</v>
      </c>
      <c r="AA40" s="121">
        <f t="array" ref="AA40">SUMPRODUCT(($D$10:$D$39="NO")*1,AA$10:AA$39,Resources!Z7:Z36)+AA42</f>
        <v>0</v>
      </c>
      <c r="AB40" s="121">
        <f t="array" ref="AB40">SUMPRODUCT(($D$10:$D$39="NO")*1,AB$10:AB$39,Resources!AA7:AA36)+AB42</f>
        <v>0</v>
      </c>
      <c r="AC40" s="121">
        <f t="array" ref="AC40">SUMPRODUCT(($D$10:$D$39="NO")*1,AC$10:AC$39,Resources!AB7:AB36)+AC42</f>
        <v>0</v>
      </c>
      <c r="AD40" s="121">
        <f t="array" ref="AD40">SUMPRODUCT(($D$10:$D$39="NO")*1,AD$10:AD$39,Resources!AC7:AC36)+AD42</f>
        <v>0</v>
      </c>
      <c r="AE40" s="121">
        <f t="array" ref="AE40">SUMPRODUCT(($D$10:$D$39="NO")*1,AE$10:AE$39,Resources!AD7:AD36)+AE42</f>
        <v>0</v>
      </c>
    </row>
    <row r="41" spans="2:44" ht="20.149999999999999" customHeight="1" x14ac:dyDescent="0.25">
      <c r="B41" s="123" t="s">
        <v>179</v>
      </c>
      <c r="C41" s="124"/>
      <c r="D41" s="125"/>
      <c r="E41" s="125"/>
      <c r="F41" s="121"/>
      <c r="G41" s="121">
        <f t="array" ref="G41">SUMPRODUCT(($D$10:$D$39="INTERCO")*1,G$10:G$39,Resources!F7:F36)+G43</f>
        <v>17017.5</v>
      </c>
      <c r="H41" s="121">
        <f t="array" ref="H41">SUMPRODUCT(($D$10:$D$39="INTERCO")*1,H$10:H$39,Resources!G7:G36)+H43</f>
        <v>17017.5</v>
      </c>
      <c r="I41" s="121">
        <f t="array" ref="I41">SUMPRODUCT(($D$10:$D$39="INTERCO")*1,I$10:I$39,Resources!H7:H36)+I43</f>
        <v>26243.5</v>
      </c>
      <c r="J41" s="121">
        <f t="array" ref="J41">SUMPRODUCT(($D$10:$D$39="INTERCO")*1,J$10:J$39,Resources!I7:I36)+J43</f>
        <v>26243.5</v>
      </c>
      <c r="K41" s="121">
        <f t="array" ref="K41">SUMPRODUCT(($D$10:$D$39="INTERCO")*1,K$10:K$39,Resources!J7:J36)+K43</f>
        <v>26243.5</v>
      </c>
      <c r="L41" s="121">
        <f t="array" ref="L41">SUMPRODUCT(($D$10:$D$39="INTERCO")*1,L$10:L$39,Resources!K7:K36)+L43</f>
        <v>26243.5</v>
      </c>
      <c r="M41" s="121">
        <f t="array" ref="M41">SUMPRODUCT(($D$10:$D$39="INTERCO")*1,M$10:M$39,Resources!L7:L36)+M43</f>
        <v>26243.5</v>
      </c>
      <c r="N41" s="121">
        <f t="array" ref="N41">SUMPRODUCT(($D$10:$D$39="INTERCO")*1,N$10:N$39,Resources!M7:M36)+N43</f>
        <v>26243.5</v>
      </c>
      <c r="O41" s="121">
        <f t="array" ref="O41">SUMPRODUCT(($D$10:$D$39="INTERCO")*1,O$10:O$39,Resources!N7:N36)+O43</f>
        <v>26243.5</v>
      </c>
      <c r="P41" s="121">
        <f t="array" ref="P41">SUMPRODUCT(($D$10:$D$39="INTERCO")*1,P$10:P$39,Resources!O7:O36)+P43</f>
        <v>26243.5</v>
      </c>
      <c r="Q41" s="121">
        <f t="array" ref="Q41">SUMPRODUCT(($D$10:$D$39="INTERCO")*1,Q$10:Q$39,Resources!P7:P36)+Q43</f>
        <v>26243.5</v>
      </c>
      <c r="R41" s="121">
        <f t="array" ref="R41">SUMPRODUCT(($D$10:$D$39="INTERCO")*1,R$10:R$39,Resources!Q7:Q36)+R43</f>
        <v>26243.5</v>
      </c>
      <c r="S41" s="121">
        <f t="array" ref="S41">SUMPRODUCT(($D$10:$D$39="INTERCO")*1,S$10:S$39,Resources!R7:R36)+S43</f>
        <v>0</v>
      </c>
      <c r="T41" s="121">
        <f t="array" ref="T41">SUMPRODUCT(($D$10:$D$39="INTERCO")*1,T$10:T$39,Resources!S7:S36)+T43</f>
        <v>0</v>
      </c>
      <c r="U41" s="121">
        <f t="array" ref="U41">SUMPRODUCT(($D$10:$D$39="INTERCO")*1,U$10:U$39,Resources!T7:T36)+U43</f>
        <v>0</v>
      </c>
      <c r="V41" s="121">
        <f t="array" ref="V41">SUMPRODUCT(($D$10:$D$39="INTERCO")*1,V$10:V$39,Resources!U7:U36)+V43</f>
        <v>0</v>
      </c>
      <c r="W41" s="121">
        <f t="array" ref="W41">SUMPRODUCT(($D$10:$D$39="INTERCO")*1,W$10:W$39,Resources!V7:V36)+W43</f>
        <v>0</v>
      </c>
      <c r="X41" s="121">
        <f t="array" ref="X41">SUMPRODUCT(($D$10:$D$39="INTERCO")*1,X$10:X$39,Resources!W7:W36)+X43</f>
        <v>0</v>
      </c>
      <c r="Y41" s="121">
        <f t="array" ref="Y41">SUMPRODUCT(($D$10:$D$39="INTERCO")*1,Y$10:Y$39,Resources!X7:X36)+Y43</f>
        <v>0</v>
      </c>
      <c r="Z41" s="121">
        <f t="array" ref="Z41">SUMPRODUCT(($D$10:$D$39="INTERCO")*1,Z$10:Z$39,Resources!Y7:Y36)+Z43</f>
        <v>0</v>
      </c>
      <c r="AA41" s="121">
        <f t="array" ref="AA41">SUMPRODUCT(($D$10:$D$39="INTERCO")*1,AA$10:AA$39,Resources!Z7:Z36)+AA43</f>
        <v>0</v>
      </c>
      <c r="AB41" s="121">
        <f t="array" ref="AB41">SUMPRODUCT(($D$10:$D$39="INTERCO")*1,AB$10:AB$39,Resources!AA7:AA36)+AB43</f>
        <v>0</v>
      </c>
      <c r="AC41" s="121">
        <f t="array" ref="AC41">SUMPRODUCT(($D$10:$D$39="INTERCO")*1,AC$10:AC$39,Resources!AB7:AB36)+AC43</f>
        <v>0</v>
      </c>
      <c r="AD41" s="121">
        <f t="array" ref="AD41">SUMPRODUCT(($D$10:$D$39="INTERCO")*1,AD$10:AD$39,Resources!AC7:AC36)+AD43</f>
        <v>0</v>
      </c>
      <c r="AE41" s="121">
        <f t="array" ref="AE41">SUMPRODUCT(($D$10:$D$39="INTERCO")*1,AE$10:AE$39,Resources!AD7:AD36)+AE43</f>
        <v>0</v>
      </c>
    </row>
    <row r="42" spans="2:44" s="105" customFormat="1" ht="19.5" customHeight="1" x14ac:dyDescent="0.35">
      <c r="B42" s="235"/>
      <c r="C42" s="332" t="s">
        <v>180</v>
      </c>
      <c r="D42" s="333"/>
      <c r="E42" s="333"/>
      <c r="F42" s="106"/>
      <c r="G42" s="230"/>
      <c r="H42" s="230"/>
      <c r="I42" s="230"/>
      <c r="J42" s="230"/>
      <c r="K42" s="230"/>
      <c r="L42" s="230"/>
      <c r="M42" s="230"/>
      <c r="N42" s="230"/>
      <c r="O42" s="230"/>
      <c r="P42" s="230"/>
      <c r="Q42" s="230"/>
      <c r="R42" s="230"/>
      <c r="S42" s="230"/>
      <c r="T42" s="230"/>
      <c r="U42" s="230"/>
      <c r="V42" s="230"/>
      <c r="W42" s="230"/>
      <c r="X42" s="230"/>
      <c r="Y42" s="230"/>
      <c r="Z42" s="230"/>
      <c r="AA42" s="230"/>
      <c r="AB42" s="230"/>
      <c r="AC42" s="230"/>
      <c r="AD42" s="230"/>
      <c r="AE42" s="230"/>
    </row>
    <row r="43" spans="2:44" s="105" customFormat="1" ht="19.5" customHeight="1" x14ac:dyDescent="0.35">
      <c r="B43" s="235"/>
      <c r="C43" s="338" t="s">
        <v>181</v>
      </c>
      <c r="D43" s="329"/>
      <c r="E43" s="329"/>
      <c r="F43" s="106"/>
      <c r="G43" s="230"/>
      <c r="H43" s="230"/>
      <c r="I43" s="230"/>
      <c r="J43" s="230"/>
      <c r="K43" s="230"/>
      <c r="L43" s="230"/>
      <c r="M43" s="230"/>
      <c r="N43" s="230"/>
      <c r="O43" s="230"/>
      <c r="P43" s="230"/>
      <c r="Q43" s="230"/>
      <c r="R43" s="230"/>
      <c r="S43" s="230"/>
      <c r="T43" s="230"/>
      <c r="U43" s="230"/>
      <c r="V43" s="230"/>
      <c r="W43" s="230"/>
      <c r="X43" s="230"/>
      <c r="Y43" s="230"/>
      <c r="Z43" s="230"/>
      <c r="AA43" s="230"/>
      <c r="AB43" s="230"/>
      <c r="AC43" s="230"/>
      <c r="AD43" s="230"/>
      <c r="AE43" s="230"/>
    </row>
    <row r="44" spans="2:44" ht="20.149999999999999" customHeight="1" x14ac:dyDescent="0.25">
      <c r="B44" s="99"/>
      <c r="C44" s="100"/>
      <c r="D44" s="100"/>
      <c r="E44" s="110"/>
      <c r="F44" s="126"/>
      <c r="G44" s="126"/>
      <c r="H44" s="126"/>
      <c r="I44" s="126"/>
      <c r="J44" s="126"/>
      <c r="K44" s="126"/>
      <c r="L44" s="126"/>
      <c r="M44" s="126"/>
      <c r="N44" s="126"/>
      <c r="O44" s="126"/>
      <c r="P44" s="126"/>
      <c r="Q44" s="126"/>
      <c r="R44" s="126"/>
      <c r="S44" s="126"/>
      <c r="T44" s="127"/>
      <c r="U44" s="127"/>
      <c r="V44" s="127"/>
      <c r="W44" s="127"/>
      <c r="X44" s="127"/>
      <c r="Y44" s="127"/>
      <c r="Z44" s="127"/>
      <c r="AA44" s="127"/>
      <c r="AB44" s="127"/>
      <c r="AC44" s="127"/>
      <c r="AD44" s="127"/>
      <c r="AE44" s="127"/>
    </row>
    <row r="45" spans="2:44" ht="12" customHeight="1" x14ac:dyDescent="0.25">
      <c r="B45" s="99"/>
      <c r="C45" s="100"/>
      <c r="D45" s="110"/>
      <c r="E45" s="110"/>
      <c r="F45" s="110"/>
      <c r="G45" s="100"/>
      <c r="H45" s="100"/>
      <c r="I45" s="100"/>
      <c r="J45" s="100"/>
      <c r="K45" s="100"/>
      <c r="L45" s="100"/>
      <c r="M45" s="100"/>
      <c r="N45" s="100"/>
      <c r="O45" s="100"/>
      <c r="P45" s="100"/>
    </row>
    <row r="46" spans="2:44" s="104" customFormat="1" ht="35.15" customHeight="1" thickBot="1" x14ac:dyDescent="0.3">
      <c r="B46" s="99"/>
      <c r="C46" s="128"/>
      <c r="D46" s="128" t="s">
        <v>182</v>
      </c>
      <c r="E46" s="129" t="s">
        <v>174</v>
      </c>
      <c r="F46" s="234"/>
      <c r="G46" s="103">
        <f>'Project Infor'!C8</f>
        <v>45962</v>
      </c>
      <c r="H46" s="103">
        <f t="shared" ref="H46:AE46" si="3">EOMONTH(G46,1)</f>
        <v>46022</v>
      </c>
      <c r="I46" s="103">
        <f t="shared" si="3"/>
        <v>46053</v>
      </c>
      <c r="J46" s="103">
        <f t="shared" si="3"/>
        <v>46081</v>
      </c>
      <c r="K46" s="103">
        <f t="shared" si="3"/>
        <v>46112</v>
      </c>
      <c r="L46" s="103">
        <f t="shared" si="3"/>
        <v>46142</v>
      </c>
      <c r="M46" s="103">
        <f t="shared" si="3"/>
        <v>46173</v>
      </c>
      <c r="N46" s="103">
        <f t="shared" si="3"/>
        <v>46203</v>
      </c>
      <c r="O46" s="103">
        <f t="shared" si="3"/>
        <v>46234</v>
      </c>
      <c r="P46" s="103">
        <f t="shared" si="3"/>
        <v>46265</v>
      </c>
      <c r="Q46" s="103">
        <f t="shared" si="3"/>
        <v>46295</v>
      </c>
      <c r="R46" s="103">
        <f t="shared" si="3"/>
        <v>46326</v>
      </c>
      <c r="S46" s="103">
        <f t="shared" si="3"/>
        <v>46356</v>
      </c>
      <c r="T46" s="103">
        <f t="shared" si="3"/>
        <v>46387</v>
      </c>
      <c r="U46" s="103">
        <f t="shared" si="3"/>
        <v>46418</v>
      </c>
      <c r="V46" s="103">
        <f t="shared" si="3"/>
        <v>46446</v>
      </c>
      <c r="W46" s="103">
        <f t="shared" si="3"/>
        <v>46477</v>
      </c>
      <c r="X46" s="103">
        <f t="shared" si="3"/>
        <v>46507</v>
      </c>
      <c r="Y46" s="103">
        <f t="shared" si="3"/>
        <v>46538</v>
      </c>
      <c r="Z46" s="103">
        <f t="shared" si="3"/>
        <v>46568</v>
      </c>
      <c r="AA46" s="103">
        <f t="shared" si="3"/>
        <v>46599</v>
      </c>
      <c r="AB46" s="103">
        <f t="shared" si="3"/>
        <v>46630</v>
      </c>
      <c r="AC46" s="103">
        <f t="shared" si="3"/>
        <v>46660</v>
      </c>
      <c r="AD46" s="103">
        <f t="shared" si="3"/>
        <v>46691</v>
      </c>
      <c r="AE46" s="103">
        <f t="shared" si="3"/>
        <v>46721</v>
      </c>
      <c r="AF46" s="94"/>
      <c r="AG46" s="94"/>
      <c r="AH46" s="94"/>
      <c r="AI46" s="94"/>
      <c r="AJ46" s="94"/>
      <c r="AK46" s="94"/>
      <c r="AL46" s="94"/>
      <c r="AM46" s="94"/>
      <c r="AN46" s="94"/>
      <c r="AO46" s="94"/>
      <c r="AP46" s="94"/>
      <c r="AQ46" s="94"/>
      <c r="AR46" s="94"/>
    </row>
    <row r="47" spans="2:44" s="105" customFormat="1" ht="19.5" customHeight="1" thickBot="1" x14ac:dyDescent="0.3">
      <c r="B47" s="130" t="s">
        <v>4</v>
      </c>
      <c r="C47" s="131" t="s">
        <v>183</v>
      </c>
      <c r="D47" s="132">
        <f>'Cost Overview'!I8</f>
        <v>18375.757042000001</v>
      </c>
      <c r="E47" s="133">
        <f>D47-SUM(G47:AE47)</f>
        <v>0</v>
      </c>
      <c r="F47" s="134"/>
      <c r="G47" s="290"/>
      <c r="H47" s="290"/>
      <c r="I47" s="290"/>
      <c r="J47" s="290"/>
      <c r="K47" s="290"/>
      <c r="L47" s="290"/>
      <c r="M47" s="290"/>
      <c r="N47" s="290"/>
      <c r="O47" s="290"/>
      <c r="P47" s="284"/>
      <c r="Q47" s="284"/>
      <c r="R47" s="284">
        <v>18375.757042000001</v>
      </c>
      <c r="S47" s="284"/>
      <c r="T47" s="284"/>
      <c r="U47" s="284"/>
      <c r="V47" s="284"/>
      <c r="W47" s="284"/>
      <c r="X47" s="284"/>
      <c r="Y47" s="284"/>
      <c r="Z47" s="284"/>
      <c r="AA47" s="284"/>
      <c r="AB47" s="284"/>
      <c r="AC47" s="284"/>
      <c r="AD47" s="284"/>
      <c r="AE47" s="284"/>
      <c r="AG47" s="94"/>
      <c r="AH47" s="94"/>
      <c r="AI47" s="94"/>
      <c r="AJ47" s="94"/>
      <c r="AK47" s="94"/>
      <c r="AL47" s="94"/>
      <c r="AM47" s="94"/>
      <c r="AN47" s="94"/>
      <c r="AO47" s="94"/>
      <c r="AP47" s="94"/>
      <c r="AQ47" s="94"/>
      <c r="AR47" s="94"/>
    </row>
    <row r="48" spans="2:44" s="105" customFormat="1" ht="19.5" customHeight="1" thickBot="1" x14ac:dyDescent="0.3">
      <c r="B48" s="135" t="s">
        <v>184</v>
      </c>
      <c r="C48" s="136" t="s">
        <v>185</v>
      </c>
      <c r="D48" s="137">
        <f>'Cost Overview'!J8</f>
        <v>0</v>
      </c>
      <c r="E48" s="133">
        <f>D48-SUM(G48:AE48)</f>
        <v>0</v>
      </c>
      <c r="F48" s="138"/>
      <c r="G48" s="290"/>
      <c r="H48" s="290"/>
      <c r="I48" s="290"/>
      <c r="J48" s="290"/>
      <c r="K48" s="290"/>
      <c r="L48" s="290"/>
      <c r="M48" s="290"/>
      <c r="N48" s="290"/>
      <c r="O48" s="290"/>
      <c r="P48" s="284"/>
      <c r="Q48" s="284"/>
      <c r="R48" s="284"/>
      <c r="S48" s="284"/>
      <c r="T48" s="284"/>
      <c r="U48" s="284"/>
      <c r="V48" s="284"/>
      <c r="W48" s="284"/>
      <c r="X48" s="284"/>
      <c r="Y48" s="284"/>
      <c r="Z48" s="284"/>
      <c r="AA48" s="284"/>
      <c r="AB48" s="284"/>
      <c r="AC48" s="284"/>
      <c r="AD48" s="284"/>
      <c r="AE48" s="284"/>
      <c r="AG48" s="94"/>
      <c r="AH48" s="94"/>
      <c r="AI48" s="94"/>
      <c r="AJ48" s="94"/>
      <c r="AK48" s="94"/>
      <c r="AL48" s="94"/>
      <c r="AM48" s="94"/>
      <c r="AN48" s="94"/>
      <c r="AO48" s="94"/>
      <c r="AP48" s="94"/>
      <c r="AQ48" s="94"/>
      <c r="AR48" s="94"/>
    </row>
    <row r="49" spans="2:44" ht="25" customHeight="1" thickBot="1" x14ac:dyDescent="0.3">
      <c r="B49" s="99"/>
      <c r="C49" s="100"/>
      <c r="D49" s="110"/>
      <c r="E49" s="110"/>
      <c r="F49" s="110"/>
      <c r="G49" s="111"/>
      <c r="H49" s="111"/>
      <c r="I49" s="111"/>
      <c r="J49" s="100"/>
      <c r="K49" s="100"/>
      <c r="L49" s="100"/>
      <c r="M49" s="100"/>
      <c r="N49" s="100"/>
      <c r="O49" s="100"/>
      <c r="P49" s="100"/>
    </row>
    <row r="50" spans="2:44" ht="20.149999999999999" customHeight="1" thickBot="1" x14ac:dyDescent="0.35">
      <c r="B50" s="75" t="s">
        <v>6</v>
      </c>
      <c r="C50" s="100"/>
      <c r="D50" s="112" t="s">
        <v>186</v>
      </c>
      <c r="E50" s="112"/>
      <c r="F50" s="113">
        <f>'Cost Overview'!K8</f>
        <v>7400</v>
      </c>
      <c r="G50" s="237" t="s">
        <v>174</v>
      </c>
      <c r="H50" s="114"/>
      <c r="I50" s="115">
        <f>F50-SUM(F59:AE59)</f>
        <v>0</v>
      </c>
      <c r="J50" s="100"/>
      <c r="K50" s="337" t="s">
        <v>187</v>
      </c>
      <c r="L50" s="331"/>
      <c r="M50" s="331"/>
      <c r="N50" s="331"/>
      <c r="O50" s="331"/>
      <c r="P50" s="331"/>
      <c r="R50" s="100"/>
    </row>
    <row r="51" spans="2:44" ht="12" customHeight="1" x14ac:dyDescent="0.25">
      <c r="B51" s="99"/>
      <c r="C51" s="100"/>
      <c r="D51" s="110"/>
      <c r="E51" s="110"/>
      <c r="F51" s="110"/>
      <c r="G51" s="100"/>
      <c r="H51" s="100"/>
      <c r="I51" s="100"/>
      <c r="J51" s="100"/>
      <c r="K51" s="100"/>
      <c r="L51" s="100"/>
      <c r="M51" s="100"/>
      <c r="N51" s="100"/>
      <c r="O51" s="100"/>
      <c r="P51" s="100"/>
    </row>
    <row r="52" spans="2:44" s="104" customFormat="1" ht="35.15" customHeight="1" x14ac:dyDescent="0.35">
      <c r="B52" s="234" t="s">
        <v>188</v>
      </c>
      <c r="C52" s="234" t="s">
        <v>189</v>
      </c>
      <c r="D52" s="334" t="s">
        <v>190</v>
      </c>
      <c r="E52" s="335"/>
      <c r="F52" s="102"/>
      <c r="G52" s="103">
        <f>'Project Infor'!C8</f>
        <v>45962</v>
      </c>
      <c r="H52" s="103">
        <f t="shared" ref="H52:AE52" si="4">EOMONTH(G52,1)</f>
        <v>46022</v>
      </c>
      <c r="I52" s="103">
        <f t="shared" si="4"/>
        <v>46053</v>
      </c>
      <c r="J52" s="103">
        <f t="shared" si="4"/>
        <v>46081</v>
      </c>
      <c r="K52" s="103">
        <f t="shared" si="4"/>
        <v>46112</v>
      </c>
      <c r="L52" s="103">
        <f t="shared" si="4"/>
        <v>46142</v>
      </c>
      <c r="M52" s="103">
        <f t="shared" si="4"/>
        <v>46173</v>
      </c>
      <c r="N52" s="103">
        <f t="shared" si="4"/>
        <v>46203</v>
      </c>
      <c r="O52" s="103">
        <f t="shared" si="4"/>
        <v>46234</v>
      </c>
      <c r="P52" s="103">
        <f t="shared" si="4"/>
        <v>46265</v>
      </c>
      <c r="Q52" s="103">
        <f t="shared" si="4"/>
        <v>46295</v>
      </c>
      <c r="R52" s="103">
        <f t="shared" si="4"/>
        <v>46326</v>
      </c>
      <c r="S52" s="103">
        <f t="shared" si="4"/>
        <v>46356</v>
      </c>
      <c r="T52" s="103">
        <f t="shared" si="4"/>
        <v>46387</v>
      </c>
      <c r="U52" s="103">
        <f t="shared" si="4"/>
        <v>46418</v>
      </c>
      <c r="V52" s="103">
        <f t="shared" si="4"/>
        <v>46446</v>
      </c>
      <c r="W52" s="103">
        <f t="shared" si="4"/>
        <v>46477</v>
      </c>
      <c r="X52" s="103">
        <f t="shared" si="4"/>
        <v>46507</v>
      </c>
      <c r="Y52" s="103">
        <f t="shared" si="4"/>
        <v>46538</v>
      </c>
      <c r="Z52" s="103">
        <f t="shared" si="4"/>
        <v>46568</v>
      </c>
      <c r="AA52" s="103">
        <f t="shared" si="4"/>
        <v>46599</v>
      </c>
      <c r="AB52" s="103">
        <f t="shared" si="4"/>
        <v>46630</v>
      </c>
      <c r="AC52" s="103">
        <f t="shared" si="4"/>
        <v>46660</v>
      </c>
      <c r="AD52" s="103">
        <f t="shared" si="4"/>
        <v>46691</v>
      </c>
      <c r="AE52" s="103">
        <f t="shared" si="4"/>
        <v>46721</v>
      </c>
      <c r="AF52" s="94"/>
      <c r="AG52" s="94"/>
      <c r="AH52" s="94"/>
      <c r="AI52" s="94"/>
      <c r="AJ52" s="94"/>
      <c r="AK52" s="94"/>
      <c r="AL52" s="94"/>
      <c r="AM52" s="94"/>
      <c r="AN52" s="94"/>
      <c r="AO52" s="94"/>
      <c r="AP52" s="94"/>
      <c r="AQ52" s="94"/>
      <c r="AR52" s="94"/>
    </row>
    <row r="53" spans="2:44" s="105" customFormat="1" ht="19.5" customHeight="1" x14ac:dyDescent="0.35">
      <c r="B53" s="1" t="s">
        <v>191</v>
      </c>
      <c r="C53" s="233" t="s">
        <v>192</v>
      </c>
      <c r="D53" s="336" t="s">
        <v>193</v>
      </c>
      <c r="E53" s="318"/>
      <c r="F53" s="233"/>
      <c r="G53" s="290"/>
      <c r="H53" s="290"/>
      <c r="I53" s="290">
        <v>650</v>
      </c>
      <c r="J53" s="290">
        <v>650</v>
      </c>
      <c r="K53" s="290">
        <v>650</v>
      </c>
      <c r="L53" s="290">
        <v>650</v>
      </c>
      <c r="M53" s="290">
        <v>650</v>
      </c>
      <c r="N53" s="290">
        <v>650</v>
      </c>
      <c r="O53" s="290">
        <v>650</v>
      </c>
      <c r="P53" s="290">
        <v>650</v>
      </c>
      <c r="Q53" s="284">
        <v>650</v>
      </c>
      <c r="R53" s="284">
        <v>650</v>
      </c>
      <c r="S53" s="284"/>
      <c r="T53" s="284"/>
      <c r="U53" s="284"/>
      <c r="V53" s="284"/>
      <c r="W53" s="284"/>
      <c r="X53" s="284"/>
      <c r="Y53" s="284"/>
      <c r="Z53" s="284"/>
      <c r="AA53" s="284"/>
      <c r="AB53" s="284"/>
      <c r="AC53" s="284"/>
      <c r="AD53" s="284"/>
      <c r="AE53" s="284"/>
      <c r="AG53" s="94"/>
      <c r="AH53" s="94"/>
      <c r="AI53" s="94"/>
      <c r="AJ53" s="94"/>
      <c r="AK53" s="94"/>
      <c r="AL53" s="94"/>
      <c r="AM53" s="94"/>
      <c r="AN53" s="94"/>
      <c r="AO53" s="94"/>
      <c r="AP53" s="94"/>
      <c r="AQ53" s="94"/>
      <c r="AR53" s="94"/>
    </row>
    <row r="54" spans="2:44" s="105" customFormat="1" ht="19.5" customHeight="1" x14ac:dyDescent="0.35">
      <c r="B54" s="1" t="s">
        <v>194</v>
      </c>
      <c r="C54" s="233" t="s">
        <v>195</v>
      </c>
      <c r="D54" s="336" t="s">
        <v>193</v>
      </c>
      <c r="E54" s="318"/>
      <c r="F54" s="233"/>
      <c r="G54" s="290"/>
      <c r="H54" s="290"/>
      <c r="I54" s="290">
        <v>90</v>
      </c>
      <c r="J54" s="290">
        <v>90</v>
      </c>
      <c r="K54" s="290">
        <v>90</v>
      </c>
      <c r="L54" s="290">
        <v>90</v>
      </c>
      <c r="M54" s="290">
        <v>90</v>
      </c>
      <c r="N54" s="290">
        <v>90</v>
      </c>
      <c r="O54" s="290">
        <v>90</v>
      </c>
      <c r="P54" s="284">
        <v>90</v>
      </c>
      <c r="Q54" s="284">
        <v>90</v>
      </c>
      <c r="R54" s="284">
        <v>90</v>
      </c>
      <c r="S54" s="284"/>
      <c r="T54" s="284"/>
      <c r="U54" s="284"/>
      <c r="V54" s="284"/>
      <c r="W54" s="284"/>
      <c r="X54" s="284"/>
      <c r="Y54" s="284"/>
      <c r="Z54" s="284"/>
      <c r="AA54" s="284"/>
      <c r="AB54" s="284"/>
      <c r="AC54" s="284"/>
      <c r="AD54" s="284"/>
      <c r="AE54" s="284"/>
      <c r="AG54" s="94"/>
      <c r="AH54" s="94"/>
      <c r="AI54" s="94"/>
      <c r="AJ54" s="94"/>
      <c r="AK54" s="94"/>
      <c r="AL54" s="94"/>
      <c r="AM54" s="94"/>
      <c r="AN54" s="94"/>
      <c r="AO54" s="94"/>
      <c r="AP54" s="94"/>
      <c r="AQ54" s="94"/>
      <c r="AR54" s="94"/>
    </row>
    <row r="55" spans="2:44" s="105" customFormat="1" ht="19.5" customHeight="1" x14ac:dyDescent="0.35">
      <c r="B55" s="1"/>
      <c r="C55" s="233"/>
      <c r="D55" s="336"/>
      <c r="E55" s="318"/>
      <c r="F55" s="233"/>
      <c r="G55" s="290"/>
      <c r="H55" s="290"/>
      <c r="I55" s="290"/>
      <c r="J55" s="290"/>
      <c r="K55" s="290"/>
      <c r="L55" s="290"/>
      <c r="M55" s="290"/>
      <c r="N55" s="290"/>
      <c r="O55" s="290"/>
      <c r="P55" s="284"/>
      <c r="Q55" s="284"/>
      <c r="R55" s="284"/>
      <c r="S55" s="284"/>
      <c r="T55" s="284"/>
      <c r="U55" s="284"/>
      <c r="V55" s="284"/>
      <c r="W55" s="284"/>
      <c r="X55" s="284"/>
      <c r="Y55" s="284"/>
      <c r="Z55" s="284"/>
      <c r="AA55" s="284"/>
      <c r="AB55" s="284"/>
      <c r="AC55" s="284"/>
      <c r="AD55" s="284"/>
      <c r="AE55" s="284"/>
      <c r="AG55" s="94"/>
      <c r="AH55" s="94"/>
      <c r="AI55" s="94"/>
      <c r="AJ55" s="94"/>
      <c r="AK55" s="94"/>
      <c r="AL55" s="94"/>
      <c r="AM55" s="94"/>
      <c r="AN55" s="94"/>
      <c r="AO55" s="94"/>
      <c r="AP55" s="94"/>
      <c r="AQ55" s="94"/>
      <c r="AR55" s="94"/>
    </row>
    <row r="56" spans="2:44" s="105" customFormat="1" ht="19.5" customHeight="1" x14ac:dyDescent="0.35">
      <c r="B56" s="1"/>
      <c r="C56" s="233"/>
      <c r="D56" s="336"/>
      <c r="E56" s="318"/>
      <c r="F56" s="233"/>
      <c r="G56" s="290"/>
      <c r="H56" s="290"/>
      <c r="I56" s="290"/>
      <c r="J56" s="290"/>
      <c r="K56" s="290"/>
      <c r="L56" s="290"/>
      <c r="M56" s="290"/>
      <c r="N56" s="290"/>
      <c r="O56" s="290"/>
      <c r="P56" s="284"/>
      <c r="Q56" s="284"/>
      <c r="R56" s="284"/>
      <c r="S56" s="284"/>
      <c r="T56" s="284"/>
      <c r="U56" s="284"/>
      <c r="V56" s="284"/>
      <c r="W56" s="284"/>
      <c r="X56" s="284"/>
      <c r="Y56" s="284"/>
      <c r="Z56" s="284"/>
      <c r="AA56" s="284"/>
      <c r="AB56" s="284"/>
      <c r="AC56" s="284"/>
      <c r="AD56" s="284"/>
      <c r="AE56" s="284"/>
      <c r="AG56" s="94"/>
      <c r="AH56" s="94"/>
      <c r="AI56" s="94"/>
      <c r="AJ56" s="94"/>
      <c r="AK56" s="94"/>
      <c r="AL56" s="94"/>
      <c r="AM56" s="94"/>
      <c r="AN56" s="94"/>
      <c r="AO56" s="94"/>
      <c r="AP56" s="94"/>
      <c r="AQ56" s="94"/>
      <c r="AR56" s="94"/>
    </row>
    <row r="57" spans="2:44" s="105" customFormat="1" ht="19.5" customHeight="1" x14ac:dyDescent="0.35">
      <c r="B57" s="1"/>
      <c r="C57" s="233"/>
      <c r="D57" s="336"/>
      <c r="E57" s="318"/>
      <c r="F57" s="233"/>
      <c r="G57" s="290"/>
      <c r="H57" s="290"/>
      <c r="I57" s="290"/>
      <c r="J57" s="290"/>
      <c r="K57" s="290"/>
      <c r="L57" s="290"/>
      <c r="M57" s="290"/>
      <c r="N57" s="290"/>
      <c r="O57" s="290"/>
      <c r="P57" s="284"/>
      <c r="Q57" s="284"/>
      <c r="R57" s="284"/>
      <c r="S57" s="284"/>
      <c r="T57" s="284"/>
      <c r="U57" s="284"/>
      <c r="V57" s="284"/>
      <c r="W57" s="284"/>
      <c r="X57" s="284"/>
      <c r="Y57" s="284"/>
      <c r="Z57" s="284"/>
      <c r="AA57" s="284"/>
      <c r="AB57" s="284"/>
      <c r="AC57" s="284"/>
      <c r="AD57" s="284"/>
      <c r="AE57" s="284"/>
      <c r="AG57" s="94"/>
      <c r="AH57" s="94"/>
      <c r="AI57" s="94"/>
      <c r="AJ57" s="94"/>
      <c r="AK57" s="94"/>
      <c r="AL57" s="94"/>
      <c r="AM57" s="94"/>
      <c r="AN57" s="94"/>
      <c r="AO57" s="94"/>
      <c r="AP57" s="94"/>
      <c r="AQ57" s="94"/>
      <c r="AR57" s="94"/>
    </row>
    <row r="58" spans="2:44" s="105" customFormat="1" ht="19.5" customHeight="1" x14ac:dyDescent="0.35">
      <c r="B58" s="1"/>
      <c r="C58" s="233"/>
      <c r="D58" s="336"/>
      <c r="E58" s="318"/>
      <c r="F58" s="233"/>
      <c r="G58" s="290"/>
      <c r="H58" s="290"/>
      <c r="I58" s="290"/>
      <c r="J58" s="290"/>
      <c r="K58" s="290"/>
      <c r="L58" s="290"/>
      <c r="M58" s="290"/>
      <c r="N58" s="290"/>
      <c r="O58" s="290"/>
      <c r="P58" s="284"/>
      <c r="Q58" s="284"/>
      <c r="R58" s="284"/>
      <c r="S58" s="284"/>
      <c r="T58" s="284"/>
      <c r="U58" s="284"/>
      <c r="V58" s="284"/>
      <c r="W58" s="284"/>
      <c r="X58" s="284"/>
      <c r="Y58" s="284"/>
      <c r="Z58" s="284"/>
      <c r="AA58" s="284"/>
      <c r="AB58" s="284"/>
      <c r="AC58" s="284"/>
      <c r="AD58" s="284"/>
      <c r="AE58" s="284"/>
      <c r="AG58" s="94"/>
      <c r="AH58" s="94"/>
      <c r="AI58" s="94"/>
      <c r="AJ58" s="94"/>
      <c r="AK58" s="94"/>
      <c r="AL58" s="94"/>
      <c r="AM58" s="94"/>
      <c r="AN58" s="94"/>
      <c r="AO58" s="94"/>
      <c r="AP58" s="94"/>
      <c r="AQ58" s="94"/>
      <c r="AR58" s="94"/>
    </row>
    <row r="59" spans="2:44" ht="20.149999999999999" customHeight="1" x14ac:dyDescent="0.25">
      <c r="B59" s="118" t="s">
        <v>196</v>
      </c>
      <c r="C59" s="119"/>
      <c r="D59" s="120"/>
      <c r="E59" s="120"/>
      <c r="F59" s="121">
        <f>'Project Infor'!C48</f>
        <v>0</v>
      </c>
      <c r="G59" s="121">
        <f t="shared" ref="G59:AE59" si="5">SUM(G53:G58)</f>
        <v>0</v>
      </c>
      <c r="H59" s="121">
        <f t="shared" si="5"/>
        <v>0</v>
      </c>
      <c r="I59" s="121">
        <f t="shared" si="5"/>
        <v>740</v>
      </c>
      <c r="J59" s="121">
        <f t="shared" si="5"/>
        <v>740</v>
      </c>
      <c r="K59" s="121">
        <f t="shared" si="5"/>
        <v>740</v>
      </c>
      <c r="L59" s="121">
        <f t="shared" si="5"/>
        <v>740</v>
      </c>
      <c r="M59" s="121">
        <f t="shared" si="5"/>
        <v>740</v>
      </c>
      <c r="N59" s="121">
        <f t="shared" si="5"/>
        <v>740</v>
      </c>
      <c r="O59" s="121">
        <f t="shared" si="5"/>
        <v>740</v>
      </c>
      <c r="P59" s="121">
        <f t="shared" si="5"/>
        <v>740</v>
      </c>
      <c r="Q59" s="121">
        <f t="shared" si="5"/>
        <v>740</v>
      </c>
      <c r="R59" s="121">
        <f t="shared" si="5"/>
        <v>740</v>
      </c>
      <c r="S59" s="121">
        <f t="shared" si="5"/>
        <v>0</v>
      </c>
      <c r="T59" s="121">
        <f t="shared" si="5"/>
        <v>0</v>
      </c>
      <c r="U59" s="121">
        <f t="shared" si="5"/>
        <v>0</v>
      </c>
      <c r="V59" s="121">
        <f t="shared" si="5"/>
        <v>0</v>
      </c>
      <c r="W59" s="121">
        <f t="shared" si="5"/>
        <v>0</v>
      </c>
      <c r="X59" s="121">
        <f t="shared" si="5"/>
        <v>0</v>
      </c>
      <c r="Y59" s="121">
        <f t="shared" si="5"/>
        <v>0</v>
      </c>
      <c r="Z59" s="121">
        <f t="shared" si="5"/>
        <v>0</v>
      </c>
      <c r="AA59" s="121">
        <f t="shared" si="5"/>
        <v>0</v>
      </c>
      <c r="AB59" s="121">
        <f t="shared" si="5"/>
        <v>0</v>
      </c>
      <c r="AC59" s="121">
        <f t="shared" si="5"/>
        <v>0</v>
      </c>
      <c r="AD59" s="121">
        <f t="shared" si="5"/>
        <v>0</v>
      </c>
      <c r="AE59" s="121">
        <f t="shared" si="5"/>
        <v>0</v>
      </c>
    </row>
    <row r="60" spans="2:44" ht="25" customHeight="1" thickBot="1" x14ac:dyDescent="0.3">
      <c r="B60" s="99"/>
      <c r="C60" s="100"/>
      <c r="D60" s="110"/>
      <c r="E60" s="110"/>
      <c r="F60" s="110"/>
      <c r="G60" s="139"/>
      <c r="H60" s="139"/>
      <c r="I60" s="139"/>
      <c r="J60" s="100"/>
      <c r="K60" s="100"/>
      <c r="L60" s="100"/>
      <c r="M60" s="100"/>
      <c r="N60" s="100"/>
      <c r="O60" s="100"/>
      <c r="P60" s="100"/>
    </row>
    <row r="61" spans="2:44" ht="20.149999999999999" customHeight="1" thickBot="1" x14ac:dyDescent="0.35">
      <c r="B61" s="75" t="s">
        <v>7</v>
      </c>
      <c r="C61" s="100"/>
      <c r="D61" s="112" t="s">
        <v>197</v>
      </c>
      <c r="E61" s="112"/>
      <c r="F61" s="113">
        <f>'Cost Overview'!L8</f>
        <v>40000</v>
      </c>
      <c r="G61" s="238" t="s">
        <v>174</v>
      </c>
      <c r="H61" s="140"/>
      <c r="I61" s="115">
        <f>F61-SUM(F74:AE74)</f>
        <v>0</v>
      </c>
      <c r="J61" s="100"/>
      <c r="K61" s="337" t="s">
        <v>198</v>
      </c>
      <c r="L61" s="331"/>
      <c r="M61" s="331"/>
      <c r="N61" s="331"/>
      <c r="O61" s="331"/>
      <c r="P61" s="331"/>
      <c r="R61" s="100"/>
    </row>
    <row r="62" spans="2:44" ht="12" customHeight="1" x14ac:dyDescent="0.25">
      <c r="B62" s="99"/>
      <c r="C62" s="100"/>
      <c r="D62" s="110"/>
      <c r="E62" s="110"/>
      <c r="F62" s="110"/>
      <c r="G62" s="100"/>
      <c r="H62" s="100"/>
      <c r="I62" s="100"/>
      <c r="J62" s="100"/>
      <c r="K62" s="100"/>
      <c r="L62" s="100"/>
      <c r="M62" s="100"/>
      <c r="N62" s="100"/>
      <c r="O62" s="100"/>
      <c r="P62" s="100"/>
    </row>
    <row r="63" spans="2:44" s="104" customFormat="1" ht="35.15" customHeight="1" x14ac:dyDescent="0.25">
      <c r="B63" s="234" t="s">
        <v>199</v>
      </c>
      <c r="C63" s="234" t="s">
        <v>200</v>
      </c>
      <c r="D63" s="234" t="s">
        <v>201</v>
      </c>
      <c r="E63" s="234" t="s">
        <v>202</v>
      </c>
      <c r="F63" s="102"/>
      <c r="G63" s="103">
        <f>'Project Infor'!C8</f>
        <v>45962</v>
      </c>
      <c r="H63" s="103">
        <f t="shared" ref="H63:AE63" si="6">EOMONTH(G63,1)</f>
        <v>46022</v>
      </c>
      <c r="I63" s="103">
        <f t="shared" si="6"/>
        <v>46053</v>
      </c>
      <c r="J63" s="103">
        <f t="shared" si="6"/>
        <v>46081</v>
      </c>
      <c r="K63" s="103">
        <f t="shared" si="6"/>
        <v>46112</v>
      </c>
      <c r="L63" s="103">
        <f t="shared" si="6"/>
        <v>46142</v>
      </c>
      <c r="M63" s="103">
        <f t="shared" si="6"/>
        <v>46173</v>
      </c>
      <c r="N63" s="103">
        <f t="shared" si="6"/>
        <v>46203</v>
      </c>
      <c r="O63" s="103">
        <f t="shared" si="6"/>
        <v>46234</v>
      </c>
      <c r="P63" s="103">
        <f t="shared" si="6"/>
        <v>46265</v>
      </c>
      <c r="Q63" s="103">
        <f t="shared" si="6"/>
        <v>46295</v>
      </c>
      <c r="R63" s="103">
        <f t="shared" si="6"/>
        <v>46326</v>
      </c>
      <c r="S63" s="103">
        <f t="shared" si="6"/>
        <v>46356</v>
      </c>
      <c r="T63" s="103">
        <f t="shared" si="6"/>
        <v>46387</v>
      </c>
      <c r="U63" s="103">
        <f t="shared" si="6"/>
        <v>46418</v>
      </c>
      <c r="V63" s="103">
        <f t="shared" si="6"/>
        <v>46446</v>
      </c>
      <c r="W63" s="103">
        <f t="shared" si="6"/>
        <v>46477</v>
      </c>
      <c r="X63" s="103">
        <f t="shared" si="6"/>
        <v>46507</v>
      </c>
      <c r="Y63" s="103">
        <f t="shared" si="6"/>
        <v>46538</v>
      </c>
      <c r="Z63" s="103">
        <f t="shared" si="6"/>
        <v>46568</v>
      </c>
      <c r="AA63" s="103">
        <f t="shared" si="6"/>
        <v>46599</v>
      </c>
      <c r="AB63" s="103">
        <f t="shared" si="6"/>
        <v>46630</v>
      </c>
      <c r="AC63" s="103">
        <f t="shared" si="6"/>
        <v>46660</v>
      </c>
      <c r="AD63" s="103">
        <f t="shared" si="6"/>
        <v>46691</v>
      </c>
      <c r="AE63" s="103">
        <f t="shared" si="6"/>
        <v>46721</v>
      </c>
      <c r="AF63" s="94"/>
      <c r="AG63" s="94"/>
      <c r="AH63" s="94"/>
      <c r="AI63" s="94"/>
      <c r="AJ63" s="94"/>
      <c r="AK63" s="94"/>
      <c r="AL63" s="94"/>
      <c r="AM63" s="94"/>
      <c r="AN63" s="94"/>
      <c r="AO63" s="94"/>
      <c r="AP63" s="94"/>
      <c r="AQ63" s="94"/>
      <c r="AR63" s="94"/>
    </row>
    <row r="64" spans="2:44" s="105" customFormat="1" ht="19.5" customHeight="1" x14ac:dyDescent="0.25">
      <c r="B64" s="291" t="s">
        <v>203</v>
      </c>
      <c r="C64" s="8" t="s">
        <v>204</v>
      </c>
      <c r="D64" s="292" t="s">
        <v>205</v>
      </c>
      <c r="E64" s="292" t="s">
        <v>206</v>
      </c>
      <c r="F64" s="8"/>
      <c r="G64" s="293">
        <v>20000</v>
      </c>
      <c r="H64" s="293">
        <v>20000</v>
      </c>
      <c r="I64" s="293"/>
      <c r="J64" s="293"/>
      <c r="K64" s="293"/>
      <c r="L64" s="293"/>
      <c r="M64" s="293"/>
      <c r="N64" s="293"/>
      <c r="O64" s="293"/>
      <c r="P64" s="294"/>
      <c r="Q64" s="294"/>
      <c r="R64" s="294"/>
      <c r="S64" s="294"/>
      <c r="T64" s="294"/>
      <c r="U64" s="294"/>
      <c r="V64" s="294"/>
      <c r="W64" s="294"/>
      <c r="X64" s="294"/>
      <c r="Y64" s="294"/>
      <c r="Z64" s="294"/>
      <c r="AA64" s="294"/>
      <c r="AB64" s="294"/>
      <c r="AC64" s="294"/>
      <c r="AD64" s="294"/>
      <c r="AE64" s="294"/>
      <c r="AG64" s="94"/>
      <c r="AH64" s="94"/>
      <c r="AI64" s="94"/>
      <c r="AJ64" s="94"/>
      <c r="AK64" s="94"/>
      <c r="AL64" s="94"/>
      <c r="AM64" s="94"/>
      <c r="AN64" s="94"/>
      <c r="AO64" s="94"/>
      <c r="AP64" s="94"/>
      <c r="AQ64" s="94"/>
      <c r="AR64" s="94"/>
    </row>
    <row r="65" spans="2:44" s="105" customFormat="1" ht="19.5" customHeight="1" x14ac:dyDescent="0.25">
      <c r="B65" s="7"/>
      <c r="C65" s="8"/>
      <c r="D65" s="8"/>
      <c r="E65" s="8"/>
      <c r="F65" s="8"/>
      <c r="G65" s="293"/>
      <c r="H65" s="293"/>
      <c r="I65" s="293"/>
      <c r="J65" s="293"/>
      <c r="K65" s="293"/>
      <c r="L65" s="293"/>
      <c r="M65" s="293"/>
      <c r="N65" s="293"/>
      <c r="O65" s="293"/>
      <c r="P65" s="294"/>
      <c r="Q65" s="294"/>
      <c r="R65" s="294"/>
      <c r="S65" s="294"/>
      <c r="T65" s="294"/>
      <c r="U65" s="294"/>
      <c r="V65" s="294"/>
      <c r="W65" s="294"/>
      <c r="X65" s="294"/>
      <c r="Y65" s="294"/>
      <c r="Z65" s="294"/>
      <c r="AA65" s="294"/>
      <c r="AB65" s="294"/>
      <c r="AC65" s="294"/>
      <c r="AD65" s="294"/>
      <c r="AE65" s="294"/>
      <c r="AG65" s="94"/>
      <c r="AH65" s="94"/>
      <c r="AI65" s="94"/>
      <c r="AJ65" s="94"/>
      <c r="AK65" s="94"/>
      <c r="AL65" s="94"/>
      <c r="AM65" s="94"/>
      <c r="AN65" s="94"/>
      <c r="AO65" s="94"/>
      <c r="AP65" s="94"/>
      <c r="AQ65" s="94"/>
      <c r="AR65" s="94"/>
    </row>
    <row r="66" spans="2:44" s="105" customFormat="1" ht="19.5" customHeight="1" x14ac:dyDescent="0.25">
      <c r="B66" s="7"/>
      <c r="C66" s="8"/>
      <c r="D66" s="8"/>
      <c r="E66" s="8"/>
      <c r="F66" s="8"/>
      <c r="G66" s="293"/>
      <c r="H66" s="293"/>
      <c r="I66" s="293"/>
      <c r="J66" s="293"/>
      <c r="K66" s="293"/>
      <c r="L66" s="293"/>
      <c r="M66" s="293"/>
      <c r="N66" s="293"/>
      <c r="O66" s="293"/>
      <c r="P66" s="294"/>
      <c r="Q66" s="294"/>
      <c r="R66" s="294"/>
      <c r="S66" s="294"/>
      <c r="T66" s="294"/>
      <c r="U66" s="294"/>
      <c r="V66" s="294"/>
      <c r="W66" s="294"/>
      <c r="X66" s="294"/>
      <c r="Y66" s="294"/>
      <c r="Z66" s="294"/>
      <c r="AA66" s="294"/>
      <c r="AB66" s="294"/>
      <c r="AC66" s="294"/>
      <c r="AD66" s="294"/>
      <c r="AE66" s="294"/>
      <c r="AG66" s="94"/>
      <c r="AH66" s="94"/>
      <c r="AI66" s="94"/>
      <c r="AJ66" s="94"/>
      <c r="AK66" s="94"/>
      <c r="AL66" s="94"/>
      <c r="AM66" s="94"/>
      <c r="AN66" s="94"/>
      <c r="AO66" s="94"/>
      <c r="AP66" s="94"/>
      <c r="AQ66" s="94"/>
      <c r="AR66" s="94"/>
    </row>
    <row r="67" spans="2:44" s="105" customFormat="1" ht="19.5" customHeight="1" x14ac:dyDescent="0.25">
      <c r="B67" s="7"/>
      <c r="C67" s="8"/>
      <c r="D67" s="8"/>
      <c r="E67" s="8"/>
      <c r="F67" s="8"/>
      <c r="G67" s="293"/>
      <c r="H67" s="293"/>
      <c r="I67" s="293"/>
      <c r="J67" s="293"/>
      <c r="K67" s="293"/>
      <c r="L67" s="293"/>
      <c r="M67" s="293"/>
      <c r="N67" s="293"/>
      <c r="O67" s="293"/>
      <c r="P67" s="294"/>
      <c r="Q67" s="294"/>
      <c r="R67" s="294"/>
      <c r="S67" s="294"/>
      <c r="T67" s="294"/>
      <c r="U67" s="294"/>
      <c r="V67" s="294"/>
      <c r="W67" s="294"/>
      <c r="X67" s="294"/>
      <c r="Y67" s="294"/>
      <c r="Z67" s="294"/>
      <c r="AA67" s="294"/>
      <c r="AB67" s="294"/>
      <c r="AC67" s="294"/>
      <c r="AD67" s="294"/>
      <c r="AE67" s="294"/>
      <c r="AG67" s="94"/>
      <c r="AH67" s="94"/>
      <c r="AI67" s="94"/>
      <c r="AJ67" s="94"/>
      <c r="AK67" s="94"/>
      <c r="AL67" s="94"/>
      <c r="AM67" s="94"/>
      <c r="AN67" s="94"/>
      <c r="AO67" s="94"/>
      <c r="AP67" s="94"/>
      <c r="AQ67" s="94"/>
      <c r="AR67" s="94"/>
    </row>
    <row r="68" spans="2:44" s="105" customFormat="1" ht="19.5" customHeight="1" x14ac:dyDescent="0.25">
      <c r="B68" s="7"/>
      <c r="C68" s="8"/>
      <c r="D68" s="8"/>
      <c r="E68" s="8"/>
      <c r="F68" s="8"/>
      <c r="G68" s="293"/>
      <c r="H68" s="293"/>
      <c r="I68" s="293"/>
      <c r="J68" s="293"/>
      <c r="K68" s="293"/>
      <c r="L68" s="293"/>
      <c r="M68" s="293"/>
      <c r="N68" s="293"/>
      <c r="O68" s="293"/>
      <c r="P68" s="294"/>
      <c r="Q68" s="294"/>
      <c r="R68" s="294"/>
      <c r="S68" s="294"/>
      <c r="T68" s="294"/>
      <c r="U68" s="294"/>
      <c r="V68" s="294"/>
      <c r="W68" s="294"/>
      <c r="X68" s="294"/>
      <c r="Y68" s="294"/>
      <c r="Z68" s="294"/>
      <c r="AA68" s="294"/>
      <c r="AB68" s="294"/>
      <c r="AC68" s="294"/>
      <c r="AD68" s="294"/>
      <c r="AE68" s="294"/>
      <c r="AG68" s="94"/>
      <c r="AH68" s="94"/>
      <c r="AI68" s="94"/>
      <c r="AJ68" s="94"/>
      <c r="AK68" s="94"/>
      <c r="AL68" s="94"/>
      <c r="AM68" s="94"/>
      <c r="AN68" s="94"/>
      <c r="AO68" s="94"/>
      <c r="AP68" s="94"/>
      <c r="AQ68" s="94"/>
      <c r="AR68" s="94"/>
    </row>
    <row r="69" spans="2:44" s="105" customFormat="1" ht="19.5" customHeight="1" x14ac:dyDescent="0.25">
      <c r="B69" s="7"/>
      <c r="C69" s="8"/>
      <c r="D69" s="8"/>
      <c r="E69" s="8"/>
      <c r="F69" s="8"/>
      <c r="G69" s="293"/>
      <c r="H69" s="293"/>
      <c r="I69" s="293"/>
      <c r="J69" s="293"/>
      <c r="K69" s="293"/>
      <c r="L69" s="293"/>
      <c r="M69" s="293"/>
      <c r="N69" s="293"/>
      <c r="O69" s="293"/>
      <c r="P69" s="294"/>
      <c r="Q69" s="294"/>
      <c r="R69" s="294"/>
      <c r="S69" s="294"/>
      <c r="T69" s="294"/>
      <c r="U69" s="294"/>
      <c r="V69" s="294"/>
      <c r="W69" s="294"/>
      <c r="X69" s="294"/>
      <c r="Y69" s="294"/>
      <c r="Z69" s="294"/>
      <c r="AA69" s="294"/>
      <c r="AB69" s="294"/>
      <c r="AC69" s="294"/>
      <c r="AD69" s="294"/>
      <c r="AE69" s="294"/>
      <c r="AG69" s="94"/>
      <c r="AH69" s="94"/>
      <c r="AI69" s="94"/>
      <c r="AJ69" s="94"/>
      <c r="AK69" s="94"/>
      <c r="AL69" s="94"/>
      <c r="AM69" s="94"/>
      <c r="AN69" s="94"/>
      <c r="AO69" s="94"/>
      <c r="AP69" s="94"/>
      <c r="AQ69" s="94"/>
      <c r="AR69" s="94"/>
    </row>
    <row r="70" spans="2:44" s="105" customFormat="1" ht="19.5" customHeight="1" x14ac:dyDescent="0.25">
      <c r="B70" s="7"/>
      <c r="C70" s="8"/>
      <c r="D70" s="8"/>
      <c r="E70" s="8"/>
      <c r="F70" s="8"/>
      <c r="G70" s="293"/>
      <c r="H70" s="293"/>
      <c r="I70" s="293"/>
      <c r="J70" s="293"/>
      <c r="K70" s="293"/>
      <c r="L70" s="293"/>
      <c r="M70" s="293"/>
      <c r="N70" s="293"/>
      <c r="O70" s="293"/>
      <c r="P70" s="294"/>
      <c r="Q70" s="294"/>
      <c r="R70" s="294"/>
      <c r="S70" s="294"/>
      <c r="T70" s="294"/>
      <c r="U70" s="294"/>
      <c r="V70" s="294"/>
      <c r="W70" s="294"/>
      <c r="X70" s="294"/>
      <c r="Y70" s="294"/>
      <c r="Z70" s="294"/>
      <c r="AA70" s="294"/>
      <c r="AB70" s="294"/>
      <c r="AC70" s="294"/>
      <c r="AD70" s="294"/>
      <c r="AE70" s="294"/>
      <c r="AG70" s="94"/>
      <c r="AH70" s="94"/>
      <c r="AI70" s="94"/>
      <c r="AJ70" s="94"/>
      <c r="AK70" s="94"/>
      <c r="AL70" s="94"/>
      <c r="AM70" s="94"/>
      <c r="AN70" s="94"/>
      <c r="AO70" s="94"/>
      <c r="AP70" s="94"/>
      <c r="AQ70" s="94"/>
      <c r="AR70" s="94"/>
    </row>
    <row r="71" spans="2:44" s="105" customFormat="1" ht="19.5" customHeight="1" x14ac:dyDescent="0.25">
      <c r="B71" s="7"/>
      <c r="C71" s="8"/>
      <c r="D71" s="8"/>
      <c r="E71" s="8"/>
      <c r="F71" s="8"/>
      <c r="G71" s="293"/>
      <c r="H71" s="293"/>
      <c r="I71" s="293"/>
      <c r="J71" s="293"/>
      <c r="K71" s="293"/>
      <c r="L71" s="293"/>
      <c r="M71" s="293"/>
      <c r="N71" s="293"/>
      <c r="O71" s="293"/>
      <c r="P71" s="294"/>
      <c r="Q71" s="294"/>
      <c r="R71" s="294"/>
      <c r="S71" s="294"/>
      <c r="T71" s="294"/>
      <c r="U71" s="294"/>
      <c r="V71" s="294"/>
      <c r="W71" s="294"/>
      <c r="X71" s="294"/>
      <c r="Y71" s="294"/>
      <c r="Z71" s="294"/>
      <c r="AA71" s="294"/>
      <c r="AB71" s="294"/>
      <c r="AC71" s="294"/>
      <c r="AD71" s="294"/>
      <c r="AE71" s="294"/>
      <c r="AG71" s="94"/>
      <c r="AH71" s="94"/>
      <c r="AI71" s="94"/>
      <c r="AJ71" s="94"/>
      <c r="AK71" s="94"/>
      <c r="AL71" s="94"/>
      <c r="AM71" s="94"/>
      <c r="AN71" s="94"/>
      <c r="AO71" s="94"/>
      <c r="AP71" s="94"/>
      <c r="AQ71" s="94"/>
      <c r="AR71" s="94"/>
    </row>
    <row r="72" spans="2:44" s="105" customFormat="1" ht="19.5" customHeight="1" x14ac:dyDescent="0.25">
      <c r="B72" s="7"/>
      <c r="C72" s="8"/>
      <c r="D72" s="8"/>
      <c r="E72" s="8"/>
      <c r="F72" s="8"/>
      <c r="G72" s="293"/>
      <c r="H72" s="293"/>
      <c r="I72" s="293"/>
      <c r="J72" s="293"/>
      <c r="K72" s="293"/>
      <c r="L72" s="293"/>
      <c r="M72" s="293"/>
      <c r="N72" s="293"/>
      <c r="O72" s="293"/>
      <c r="P72" s="294"/>
      <c r="Q72" s="294"/>
      <c r="R72" s="294"/>
      <c r="S72" s="294"/>
      <c r="T72" s="294"/>
      <c r="U72" s="294"/>
      <c r="V72" s="294"/>
      <c r="W72" s="294"/>
      <c r="X72" s="294"/>
      <c r="Y72" s="294"/>
      <c r="Z72" s="294"/>
      <c r="AA72" s="294"/>
      <c r="AB72" s="294"/>
      <c r="AC72" s="294"/>
      <c r="AD72" s="294"/>
      <c r="AE72" s="294"/>
      <c r="AG72" s="94"/>
      <c r="AH72" s="94"/>
      <c r="AI72" s="94"/>
      <c r="AJ72" s="94"/>
      <c r="AK72" s="94"/>
      <c r="AL72" s="94"/>
      <c r="AM72" s="94"/>
      <c r="AN72" s="94"/>
      <c r="AO72" s="94"/>
      <c r="AP72" s="94"/>
      <c r="AQ72" s="94"/>
      <c r="AR72" s="94"/>
    </row>
    <row r="73" spans="2:44" s="105" customFormat="1" ht="19.5" customHeight="1" x14ac:dyDescent="0.25">
      <c r="B73" s="7"/>
      <c r="C73" s="8"/>
      <c r="D73" s="8"/>
      <c r="E73" s="8"/>
      <c r="F73" s="8"/>
      <c r="G73" s="293"/>
      <c r="H73" s="293"/>
      <c r="I73" s="293"/>
      <c r="J73" s="293"/>
      <c r="K73" s="293"/>
      <c r="L73" s="293"/>
      <c r="M73" s="293"/>
      <c r="N73" s="293"/>
      <c r="O73" s="293"/>
      <c r="P73" s="294"/>
      <c r="Q73" s="294"/>
      <c r="R73" s="294"/>
      <c r="S73" s="294"/>
      <c r="T73" s="294"/>
      <c r="U73" s="294"/>
      <c r="V73" s="294"/>
      <c r="W73" s="294"/>
      <c r="X73" s="294"/>
      <c r="Y73" s="294"/>
      <c r="Z73" s="294"/>
      <c r="AA73" s="294"/>
      <c r="AB73" s="294"/>
      <c r="AC73" s="294"/>
      <c r="AD73" s="294"/>
      <c r="AE73" s="294"/>
      <c r="AG73" s="94"/>
      <c r="AH73" s="94"/>
      <c r="AI73" s="94"/>
      <c r="AJ73" s="94"/>
      <c r="AK73" s="94"/>
      <c r="AL73" s="94"/>
      <c r="AM73" s="94"/>
      <c r="AN73" s="94"/>
      <c r="AO73" s="94"/>
      <c r="AP73" s="94"/>
      <c r="AQ73" s="94"/>
      <c r="AR73" s="94"/>
    </row>
    <row r="74" spans="2:44" ht="20.149999999999999" customHeight="1" x14ac:dyDescent="0.25">
      <c r="B74" s="141" t="s">
        <v>207</v>
      </c>
      <c r="C74" s="142"/>
      <c r="D74" s="142"/>
      <c r="E74" s="142"/>
      <c r="F74" s="143">
        <f>'Project Infor'!C49</f>
        <v>0</v>
      </c>
      <c r="G74" s="143">
        <f t="shared" ref="G74:AE74" si="7">SUM(G64:G73)</f>
        <v>20000</v>
      </c>
      <c r="H74" s="143">
        <f t="shared" si="7"/>
        <v>20000</v>
      </c>
      <c r="I74" s="143">
        <f t="shared" si="7"/>
        <v>0</v>
      </c>
      <c r="J74" s="143">
        <f t="shared" si="7"/>
        <v>0</v>
      </c>
      <c r="K74" s="143">
        <f t="shared" si="7"/>
        <v>0</v>
      </c>
      <c r="L74" s="143">
        <f t="shared" si="7"/>
        <v>0</v>
      </c>
      <c r="M74" s="143">
        <f t="shared" si="7"/>
        <v>0</v>
      </c>
      <c r="N74" s="143">
        <f t="shared" si="7"/>
        <v>0</v>
      </c>
      <c r="O74" s="143">
        <f t="shared" si="7"/>
        <v>0</v>
      </c>
      <c r="P74" s="143">
        <f t="shared" si="7"/>
        <v>0</v>
      </c>
      <c r="Q74" s="143">
        <f t="shared" si="7"/>
        <v>0</v>
      </c>
      <c r="R74" s="143">
        <f t="shared" si="7"/>
        <v>0</v>
      </c>
      <c r="S74" s="143">
        <f t="shared" si="7"/>
        <v>0</v>
      </c>
      <c r="T74" s="143">
        <f t="shared" si="7"/>
        <v>0</v>
      </c>
      <c r="U74" s="143">
        <f t="shared" si="7"/>
        <v>0</v>
      </c>
      <c r="V74" s="143">
        <f t="shared" si="7"/>
        <v>0</v>
      </c>
      <c r="W74" s="143">
        <f t="shared" si="7"/>
        <v>0</v>
      </c>
      <c r="X74" s="143">
        <f t="shared" si="7"/>
        <v>0</v>
      </c>
      <c r="Y74" s="143">
        <f t="shared" si="7"/>
        <v>0</v>
      </c>
      <c r="Z74" s="143">
        <f t="shared" si="7"/>
        <v>0</v>
      </c>
      <c r="AA74" s="143">
        <f t="shared" si="7"/>
        <v>0</v>
      </c>
      <c r="AB74" s="143">
        <f t="shared" si="7"/>
        <v>0</v>
      </c>
      <c r="AC74" s="143">
        <f t="shared" si="7"/>
        <v>0</v>
      </c>
      <c r="AD74" s="143">
        <f t="shared" si="7"/>
        <v>0</v>
      </c>
      <c r="AE74" s="143">
        <f t="shared" si="7"/>
        <v>0</v>
      </c>
    </row>
    <row r="75" spans="2:44" ht="20.149999999999999" customHeight="1" x14ac:dyDescent="0.25">
      <c r="B75" s="99"/>
      <c r="C75" s="100"/>
      <c r="D75" s="100"/>
      <c r="E75" s="110"/>
      <c r="F75" s="126"/>
      <c r="G75" s="126"/>
      <c r="H75" s="126"/>
      <c r="I75" s="126"/>
      <c r="J75" s="126"/>
      <c r="K75" s="126"/>
      <c r="L75" s="126"/>
      <c r="M75" s="126"/>
      <c r="N75" s="126"/>
      <c r="O75" s="126"/>
      <c r="P75" s="126"/>
      <c r="Q75" s="126"/>
      <c r="R75" s="126"/>
      <c r="S75" s="126"/>
      <c r="T75" s="127"/>
      <c r="U75" s="127"/>
      <c r="V75" s="127"/>
      <c r="W75" s="127"/>
      <c r="X75" s="127"/>
      <c r="Y75" s="127"/>
      <c r="Z75" s="127"/>
      <c r="AA75" s="127"/>
      <c r="AB75" s="127"/>
      <c r="AC75" s="127"/>
      <c r="AD75" s="127"/>
      <c r="AE75" s="127"/>
    </row>
    <row r="76" spans="2:44" ht="20.149999999999999" customHeight="1" x14ac:dyDescent="0.25">
      <c r="C76" s="100"/>
      <c r="D76" s="100"/>
      <c r="E76" s="110"/>
      <c r="F76" s="126"/>
      <c r="G76" s="126"/>
      <c r="H76" s="126"/>
      <c r="I76" s="126"/>
      <c r="J76" s="126"/>
      <c r="K76" s="126"/>
      <c r="L76" s="126"/>
      <c r="M76" s="126"/>
      <c r="N76" s="126"/>
      <c r="O76" s="126"/>
      <c r="P76" s="126"/>
      <c r="Q76" s="126"/>
      <c r="R76" s="126"/>
      <c r="S76" s="126"/>
      <c r="T76" s="127"/>
      <c r="U76" s="127"/>
      <c r="V76" s="127"/>
      <c r="W76" s="127"/>
      <c r="X76" s="127"/>
      <c r="Y76" s="127"/>
      <c r="Z76" s="127"/>
      <c r="AA76" s="127"/>
      <c r="AB76" s="127"/>
      <c r="AC76" s="127"/>
      <c r="AD76" s="127"/>
      <c r="AE76" s="127"/>
    </row>
    <row r="77" spans="2:44" ht="20.149999999999999" customHeight="1" x14ac:dyDescent="0.25">
      <c r="B77" s="99"/>
      <c r="C77" s="100"/>
      <c r="D77" s="100"/>
      <c r="E77" s="110"/>
      <c r="F77" s="126"/>
      <c r="G77" s="126"/>
      <c r="H77" s="126"/>
      <c r="I77" s="126"/>
      <c r="J77" s="126"/>
      <c r="K77" s="126"/>
      <c r="L77" s="126"/>
      <c r="M77" s="126"/>
      <c r="N77" s="126"/>
      <c r="O77" s="126"/>
      <c r="P77" s="126"/>
      <c r="Q77" s="126"/>
      <c r="R77" s="126"/>
      <c r="S77" s="126"/>
      <c r="T77" s="127"/>
      <c r="U77" s="127"/>
      <c r="V77" s="127"/>
      <c r="W77" s="127"/>
      <c r="X77" s="127"/>
      <c r="Y77" s="127"/>
      <c r="Z77" s="127"/>
      <c r="AA77" s="127"/>
      <c r="AB77" s="127"/>
      <c r="AC77" s="127"/>
      <c r="AD77" s="127"/>
      <c r="AE77" s="127"/>
    </row>
    <row r="78" spans="2:44" ht="20.149999999999999" customHeight="1" x14ac:dyDescent="0.25">
      <c r="B78" s="99"/>
      <c r="C78" s="100"/>
      <c r="D78" s="100"/>
      <c r="E78" s="110"/>
      <c r="F78" s="126"/>
      <c r="G78" s="126"/>
      <c r="H78" s="126"/>
      <c r="I78" s="126"/>
      <c r="J78" s="126"/>
      <c r="K78" s="126"/>
      <c r="L78" s="126"/>
      <c r="M78" s="126"/>
      <c r="N78" s="126"/>
      <c r="O78" s="126"/>
      <c r="P78" s="126"/>
      <c r="Q78" s="126"/>
      <c r="R78" s="126"/>
      <c r="S78" s="126"/>
      <c r="T78" s="127"/>
      <c r="U78" s="127"/>
      <c r="V78" s="127"/>
      <c r="W78" s="127"/>
      <c r="X78" s="127"/>
      <c r="Y78" s="127"/>
      <c r="Z78" s="127"/>
      <c r="AA78" s="127"/>
      <c r="AB78" s="127"/>
      <c r="AC78" s="127"/>
      <c r="AD78" s="127"/>
      <c r="AE78" s="127"/>
    </row>
    <row r="79" spans="2:44" x14ac:dyDescent="0.25">
      <c r="G79" s="100"/>
      <c r="H79" s="100"/>
      <c r="I79" s="100"/>
      <c r="J79" s="100"/>
      <c r="K79" s="100"/>
      <c r="L79" s="100"/>
      <c r="M79" s="100"/>
      <c r="N79" s="100"/>
      <c r="O79" s="100"/>
      <c r="P79" s="100"/>
    </row>
    <row r="82" spans="2:2" hidden="1" x14ac:dyDescent="0.25"/>
    <row r="83" spans="2:2" hidden="1" x14ac:dyDescent="0.25"/>
    <row r="84" spans="2:2" hidden="1" x14ac:dyDescent="0.25"/>
    <row r="85" spans="2:2" ht="14" hidden="1" customHeight="1" x14ac:dyDescent="0.3">
      <c r="B85" s="144" t="s">
        <v>208</v>
      </c>
    </row>
    <row r="86" spans="2:2" ht="14" hidden="1" customHeight="1" x14ac:dyDescent="0.3">
      <c r="B86" s="22" t="s">
        <v>191</v>
      </c>
    </row>
    <row r="87" spans="2:2" ht="14" hidden="1" customHeight="1" x14ac:dyDescent="0.3">
      <c r="B87" s="22" t="s">
        <v>209</v>
      </c>
    </row>
    <row r="88" spans="2:2" ht="14" hidden="1" customHeight="1" x14ac:dyDescent="0.3">
      <c r="B88" s="22" t="s">
        <v>210</v>
      </c>
    </row>
    <row r="89" spans="2:2" ht="14" hidden="1" customHeight="1" x14ac:dyDescent="0.3">
      <c r="B89" s="22" t="s">
        <v>211</v>
      </c>
    </row>
    <row r="90" spans="2:2" ht="14" hidden="1" customHeight="1" x14ac:dyDescent="0.3">
      <c r="B90" s="22" t="s">
        <v>212</v>
      </c>
    </row>
    <row r="91" spans="2:2" ht="14" hidden="1" customHeight="1" x14ac:dyDescent="0.3">
      <c r="B91" s="22" t="s">
        <v>194</v>
      </c>
    </row>
    <row r="92" spans="2:2" ht="14" hidden="1" customHeight="1" x14ac:dyDescent="0.3">
      <c r="B92" s="22"/>
    </row>
    <row r="93" spans="2:2" ht="14" hidden="1" customHeight="1" x14ac:dyDescent="0.3">
      <c r="B93" s="22"/>
    </row>
    <row r="94" spans="2:2" ht="14" hidden="1" customHeight="1" x14ac:dyDescent="0.3">
      <c r="B94" s="22"/>
    </row>
    <row r="95" spans="2:2" ht="14" hidden="1" customHeight="1" x14ac:dyDescent="0.3">
      <c r="B95" s="22"/>
    </row>
    <row r="96" spans="2:2" ht="14" hidden="1" customHeight="1" x14ac:dyDescent="0.3">
      <c r="B96" s="22"/>
    </row>
  </sheetData>
  <sheetProtection algorithmName="SHA-512" hashValue="Am2YedbsXJ1GCf+bk4/uCdk9k+1fbsGgH6SPA3u4fjPBSWQclwKr+g0ybQqJgo/xaaE8achQFcjFMaKcZewRSw==" saltValue="v8U8hPMDIwvEjV/8xQug/g==" spinCount="100000" sheet="1" objects="1" scenarios="1"/>
  <autoFilter ref="B63:E63" xr:uid="{00000000-0009-0000-0000-000003000000}"/>
  <mergeCells count="12">
    <mergeCell ref="D57:E57"/>
    <mergeCell ref="K61:P61"/>
    <mergeCell ref="D54:E54"/>
    <mergeCell ref="D58:E58"/>
    <mergeCell ref="D56:E56"/>
    <mergeCell ref="C42:E42"/>
    <mergeCell ref="D52:E52"/>
    <mergeCell ref="D55:E55"/>
    <mergeCell ref="K5:P5"/>
    <mergeCell ref="K50:P50"/>
    <mergeCell ref="C43:E43"/>
    <mergeCell ref="D53:E53"/>
  </mergeCells>
  <conditionalFormatting sqref="E47">
    <cfRule type="expression" dxfId="442" priority="4">
      <formula>$E$47&lt;0</formula>
    </cfRule>
  </conditionalFormatting>
  <conditionalFormatting sqref="E48">
    <cfRule type="expression" dxfId="441" priority="2">
      <formula>$E$48&lt;0</formula>
    </cfRule>
  </conditionalFormatting>
  <conditionalFormatting sqref="G7">
    <cfRule type="expression" dxfId="440" priority="154">
      <formula>$G$7="Real"</formula>
    </cfRule>
    <cfRule type="expression" dxfId="439" priority="152">
      <formula>$G$7="Fin"</formula>
    </cfRule>
    <cfRule type="expression" dxfId="438" priority="153">
      <formula>$G$7="Prev"</formula>
    </cfRule>
  </conditionalFormatting>
  <conditionalFormatting sqref="G10:G39">
    <cfRule type="expression" dxfId="437" priority="92">
      <formula>$G$7="Fin"</formula>
    </cfRule>
    <cfRule type="expression" dxfId="436" priority="93">
      <formula>$G$7="Prev"</formula>
    </cfRule>
    <cfRule type="expression" dxfId="435" priority="94">
      <formula>$G$7="Real"</formula>
    </cfRule>
  </conditionalFormatting>
  <conditionalFormatting sqref="H7">
    <cfRule type="expression" dxfId="434" priority="155">
      <formula>$H$7="Fin"</formula>
    </cfRule>
    <cfRule type="expression" dxfId="433" priority="157">
      <formula>$H$7="Real"</formula>
    </cfRule>
    <cfRule type="expression" dxfId="432" priority="156">
      <formula>$H$7="Prev"</formula>
    </cfRule>
  </conditionalFormatting>
  <conditionalFormatting sqref="H10:H39">
    <cfRule type="expression" dxfId="431" priority="90">
      <formula>$H$7="Prev"</formula>
    </cfRule>
    <cfRule type="expression" dxfId="430" priority="91">
      <formula>$H$7="Real"</formula>
    </cfRule>
    <cfRule type="expression" dxfId="429" priority="89">
      <formula>$H$7="Fin"</formula>
    </cfRule>
  </conditionalFormatting>
  <conditionalFormatting sqref="I5">
    <cfRule type="expression" dxfId="428" priority="6">
      <formula>$I$5&lt;0</formula>
    </cfRule>
  </conditionalFormatting>
  <conditionalFormatting sqref="I7">
    <cfRule type="expression" dxfId="427" priority="158">
      <formula>$I$7="Fin"</formula>
    </cfRule>
    <cfRule type="expression" dxfId="426" priority="159">
      <formula>$I$7="Prev"</formula>
    </cfRule>
    <cfRule type="expression" dxfId="425" priority="160">
      <formula>$I$7="Real"</formula>
    </cfRule>
  </conditionalFormatting>
  <conditionalFormatting sqref="I10:I39">
    <cfRule type="expression" dxfId="424" priority="84">
      <formula>$I$7="Prev"</formula>
    </cfRule>
    <cfRule type="expression" dxfId="423" priority="83">
      <formula>$I$7="Fin"</formula>
    </cfRule>
    <cfRule type="expression" dxfId="422" priority="85">
      <formula>$I$7="Real"</formula>
    </cfRule>
  </conditionalFormatting>
  <conditionalFormatting sqref="I50">
    <cfRule type="expression" dxfId="421" priority="5">
      <formula>$I$50&lt;0</formula>
    </cfRule>
  </conditionalFormatting>
  <conditionalFormatting sqref="I61">
    <cfRule type="expression" dxfId="420" priority="1">
      <formula>$I$61&lt;0</formula>
    </cfRule>
  </conditionalFormatting>
  <conditionalFormatting sqref="J7">
    <cfRule type="expression" dxfId="419" priority="163">
      <formula>$J$7="Real"</formula>
    </cfRule>
    <cfRule type="expression" dxfId="418" priority="162">
      <formula>$J$7="Prev"</formula>
    </cfRule>
    <cfRule type="expression" dxfId="417" priority="161">
      <formula>$J$7="Fin"</formula>
    </cfRule>
  </conditionalFormatting>
  <conditionalFormatting sqref="J10:J39">
    <cfRule type="expression" dxfId="416" priority="82">
      <formula>$J$7="Real"</formula>
    </cfRule>
    <cfRule type="expression" dxfId="415" priority="81">
      <formula>$J$7="Prev"</formula>
    </cfRule>
    <cfRule type="expression" dxfId="414" priority="80">
      <formula>$J$7="Fin"</formula>
    </cfRule>
  </conditionalFormatting>
  <conditionalFormatting sqref="K7">
    <cfRule type="expression" dxfId="413" priority="164">
      <formula>$K$7="Fin"</formula>
    </cfRule>
    <cfRule type="expression" dxfId="412" priority="165">
      <formula>$K$7="Prev"</formula>
    </cfRule>
    <cfRule type="expression" dxfId="411" priority="166">
      <formula>$K$7="Real"</formula>
    </cfRule>
  </conditionalFormatting>
  <conditionalFormatting sqref="K10:K39">
    <cfRule type="expression" dxfId="410" priority="78">
      <formula>$K$7="Prev"</formula>
    </cfRule>
    <cfRule type="expression" dxfId="409" priority="79">
      <formula>$K$7="Real"</formula>
    </cfRule>
    <cfRule type="expression" dxfId="408" priority="77">
      <formula>$K$7="Fin"</formula>
    </cfRule>
  </conditionalFormatting>
  <conditionalFormatting sqref="K5:P5">
    <cfRule type="expression" dxfId="407" priority="16">
      <formula>$I$5&gt;=0</formula>
    </cfRule>
  </conditionalFormatting>
  <conditionalFormatting sqref="K50:P50">
    <cfRule type="expression" dxfId="406" priority="14">
      <formula>$I$50&gt;=0</formula>
    </cfRule>
  </conditionalFormatting>
  <conditionalFormatting sqref="K61:P61">
    <cfRule type="expression" dxfId="405" priority="13">
      <formula>$I$61&gt;=0</formula>
    </cfRule>
  </conditionalFormatting>
  <conditionalFormatting sqref="L7">
    <cfRule type="expression" dxfId="404" priority="150">
      <formula>$L$7="Prev"</formula>
    </cfRule>
    <cfRule type="expression" dxfId="403" priority="151">
      <formula>$L$7="Real"</formula>
    </cfRule>
    <cfRule type="expression" dxfId="402" priority="149">
      <formula>$L$7="Fin"</formula>
    </cfRule>
  </conditionalFormatting>
  <conditionalFormatting sqref="L10:L39">
    <cfRule type="expression" dxfId="401" priority="76">
      <formula>$L$7="Real"</formula>
    </cfRule>
    <cfRule type="expression" dxfId="400" priority="75">
      <formula>$L$7="Prev"</formula>
    </cfRule>
    <cfRule type="expression" dxfId="399" priority="74">
      <formula>$L$7="Fin"</formula>
    </cfRule>
  </conditionalFormatting>
  <conditionalFormatting sqref="M7">
    <cfRule type="expression" dxfId="398" priority="147">
      <formula>$M$7="Prev"</formula>
    </cfRule>
    <cfRule type="expression" dxfId="397" priority="146">
      <formula>$M$7="Fin"</formula>
    </cfRule>
    <cfRule type="expression" dxfId="396" priority="148">
      <formula>$M$7="Real"</formula>
    </cfRule>
  </conditionalFormatting>
  <conditionalFormatting sqref="M10:M39">
    <cfRule type="expression" dxfId="395" priority="73">
      <formula>$M$7="Real"</formula>
    </cfRule>
    <cfRule type="expression" dxfId="394" priority="72">
      <formula>$M$7="Prev"</formula>
    </cfRule>
    <cfRule type="expression" dxfId="393" priority="71">
      <formula>$M$7="Fin"</formula>
    </cfRule>
  </conditionalFormatting>
  <conditionalFormatting sqref="N7">
    <cfRule type="expression" dxfId="392" priority="145">
      <formula>$N$7="Real"</formula>
    </cfRule>
    <cfRule type="expression" dxfId="391" priority="144">
      <formula>$N$7="Prev"</formula>
    </cfRule>
    <cfRule type="expression" dxfId="390" priority="143">
      <formula>$N$7="Fin"</formula>
    </cfRule>
  </conditionalFormatting>
  <conditionalFormatting sqref="N10:N39">
    <cfRule type="expression" dxfId="389" priority="70">
      <formula>$N$7="Real"</formula>
    </cfRule>
    <cfRule type="expression" dxfId="388" priority="68">
      <formula>$N$7="Fin"</formula>
    </cfRule>
    <cfRule type="expression" dxfId="387" priority="69">
      <formula>$N$7="Prev"</formula>
    </cfRule>
  </conditionalFormatting>
  <conditionalFormatting sqref="O7">
    <cfRule type="expression" dxfId="386" priority="141">
      <formula>$O$7="Prev"</formula>
    </cfRule>
    <cfRule type="expression" dxfId="385" priority="142">
      <formula>$O$7="Real"</formula>
    </cfRule>
    <cfRule type="expression" dxfId="384" priority="140">
      <formula>$O$7="Fin"</formula>
    </cfRule>
  </conditionalFormatting>
  <conditionalFormatting sqref="O10:O39">
    <cfRule type="expression" dxfId="383" priority="65">
      <formula>$O$7="Fin"</formula>
    </cfRule>
    <cfRule type="expression" dxfId="382" priority="67">
      <formula>$O$7="Real"</formula>
    </cfRule>
    <cfRule type="expression" dxfId="381" priority="66">
      <formula>$O$7="Prev"</formula>
    </cfRule>
  </conditionalFormatting>
  <conditionalFormatting sqref="P7">
    <cfRule type="expression" dxfId="380" priority="137">
      <formula>$P$7="Fin"</formula>
    </cfRule>
    <cfRule type="expression" dxfId="379" priority="138">
      <formula>$P$7="Prev"</formula>
    </cfRule>
    <cfRule type="expression" dxfId="378" priority="139">
      <formula>$P$7="Real"</formula>
    </cfRule>
  </conditionalFormatting>
  <conditionalFormatting sqref="P10:P39">
    <cfRule type="expression" dxfId="377" priority="64">
      <formula>$P$7="Real"</formula>
    </cfRule>
    <cfRule type="expression" dxfId="376" priority="62">
      <formula>$P$7="Fin"</formula>
    </cfRule>
    <cfRule type="expression" dxfId="375" priority="63">
      <formula>$P$7="Prev"</formula>
    </cfRule>
  </conditionalFormatting>
  <conditionalFormatting sqref="Q7">
    <cfRule type="expression" dxfId="374" priority="134">
      <formula>$Q$7="Fin"</formula>
    </cfRule>
    <cfRule type="expression" dxfId="373" priority="136">
      <formula>$Q$7="Real"</formula>
    </cfRule>
    <cfRule type="expression" dxfId="372" priority="135">
      <formula>$Q$7="Prev"</formula>
    </cfRule>
  </conditionalFormatting>
  <conditionalFormatting sqref="Q10:Q39">
    <cfRule type="expression" dxfId="371" priority="61">
      <formula>$Q$7="Real"</formula>
    </cfRule>
    <cfRule type="expression" dxfId="370" priority="60">
      <formula>$Q$7="Prev"</formula>
    </cfRule>
    <cfRule type="expression" dxfId="369" priority="59">
      <formula>$Q$7="Fin"</formula>
    </cfRule>
  </conditionalFormatting>
  <conditionalFormatting sqref="R7">
    <cfRule type="expression" dxfId="368" priority="133">
      <formula>$R$7="Real"</formula>
    </cfRule>
    <cfRule type="expression" dxfId="367" priority="132">
      <formula>$R$7="Prev"</formula>
    </cfRule>
    <cfRule type="expression" dxfId="366" priority="131">
      <formula>$R$7="Fin"</formula>
    </cfRule>
  </conditionalFormatting>
  <conditionalFormatting sqref="R10:R39">
    <cfRule type="expression" dxfId="365" priority="58">
      <formula>$R$7="Real"</formula>
    </cfRule>
    <cfRule type="expression" dxfId="364" priority="56">
      <formula>$R$7="Fin"</formula>
    </cfRule>
    <cfRule type="expression" dxfId="363" priority="57">
      <formula>$R$7="Prev"</formula>
    </cfRule>
  </conditionalFormatting>
  <conditionalFormatting sqref="S7">
    <cfRule type="expression" dxfId="362" priority="130">
      <formula>$S$7="Real"</formula>
    </cfRule>
    <cfRule type="expression" dxfId="361" priority="129">
      <formula>$S$7="Prev"</formula>
    </cfRule>
    <cfRule type="expression" dxfId="360" priority="128">
      <formula>$S$7="Fin"</formula>
    </cfRule>
  </conditionalFormatting>
  <conditionalFormatting sqref="S10:S39">
    <cfRule type="expression" dxfId="359" priority="55">
      <formula>$S$7="Real"</formula>
    </cfRule>
    <cfRule type="expression" dxfId="358" priority="53">
      <formula>$S$7="Fin"</formula>
    </cfRule>
    <cfRule type="expression" dxfId="357" priority="54">
      <formula>$S$7="Prev"</formula>
    </cfRule>
  </conditionalFormatting>
  <conditionalFormatting sqref="T7">
    <cfRule type="expression" dxfId="356" priority="127">
      <formula>$T$7="Real"</formula>
    </cfRule>
    <cfRule type="expression" dxfId="355" priority="126">
      <formula>$T$7="Prev"</formula>
    </cfRule>
    <cfRule type="expression" dxfId="354" priority="125">
      <formula>$T$7="Fin"</formula>
    </cfRule>
  </conditionalFormatting>
  <conditionalFormatting sqref="T10:T39">
    <cfRule type="expression" dxfId="353" priority="52">
      <formula>$T$7="Real"</formula>
    </cfRule>
    <cfRule type="expression" dxfId="352" priority="51">
      <formula>$T$7="Prev"</formula>
    </cfRule>
    <cfRule type="expression" dxfId="351" priority="50">
      <formula>$T$7="Fin"</formula>
    </cfRule>
  </conditionalFormatting>
  <conditionalFormatting sqref="U7">
    <cfRule type="expression" dxfId="350" priority="124">
      <formula>$U$7="Real"</formula>
    </cfRule>
    <cfRule type="expression" dxfId="349" priority="123">
      <formula>$U$7="Prev"</formula>
    </cfRule>
    <cfRule type="expression" dxfId="348" priority="122">
      <formula>$U$7="Fin"</formula>
    </cfRule>
  </conditionalFormatting>
  <conditionalFormatting sqref="U10:U39">
    <cfRule type="expression" dxfId="347" priority="49">
      <formula>$U$7="Real"</formula>
    </cfRule>
    <cfRule type="expression" dxfId="346" priority="48">
      <formula>$U$7="Prev"</formula>
    </cfRule>
    <cfRule type="expression" dxfId="345" priority="47">
      <formula>$U$7="Fin"</formula>
    </cfRule>
  </conditionalFormatting>
  <conditionalFormatting sqref="V7">
    <cfRule type="expression" dxfId="344" priority="119">
      <formula>$V$7="Fin"</formula>
    </cfRule>
    <cfRule type="expression" dxfId="343" priority="120">
      <formula>$V$7="Prev"</formula>
    </cfRule>
    <cfRule type="expression" dxfId="342" priority="121">
      <formula>$V$7="Real"</formula>
    </cfRule>
  </conditionalFormatting>
  <conditionalFormatting sqref="V10:V39">
    <cfRule type="expression" dxfId="341" priority="45">
      <formula>$V$7="Prev"</formula>
    </cfRule>
    <cfRule type="expression" dxfId="340" priority="46">
      <formula>$V$7="Real"</formula>
    </cfRule>
    <cfRule type="expression" dxfId="339" priority="44">
      <formula>$V$7="Fin"</formula>
    </cfRule>
  </conditionalFormatting>
  <conditionalFormatting sqref="W7">
    <cfRule type="expression" dxfId="338" priority="116">
      <formula>$W$7="Fin"</formula>
    </cfRule>
    <cfRule type="expression" dxfId="337" priority="118">
      <formula>$W$7="Real"</formula>
    </cfRule>
    <cfRule type="expression" dxfId="336" priority="117">
      <formula>$W$7="Prev"</formula>
    </cfRule>
  </conditionalFormatting>
  <conditionalFormatting sqref="W10:W39">
    <cfRule type="expression" dxfId="335" priority="41">
      <formula>$W$7="Fin"</formula>
    </cfRule>
    <cfRule type="expression" dxfId="334" priority="42">
      <formula>$W$7="Prev"</formula>
    </cfRule>
    <cfRule type="expression" dxfId="333" priority="43">
      <formula>$W$7="Real"</formula>
    </cfRule>
  </conditionalFormatting>
  <conditionalFormatting sqref="X7">
    <cfRule type="expression" dxfId="332" priority="115">
      <formula>$X$7="Real"</formula>
    </cfRule>
    <cfRule type="expression" dxfId="331" priority="114">
      <formula>$X$7="Prev"</formula>
    </cfRule>
    <cfRule type="expression" dxfId="330" priority="113">
      <formula>$X$7="Fin"</formula>
    </cfRule>
  </conditionalFormatting>
  <conditionalFormatting sqref="X10:X39">
    <cfRule type="expression" dxfId="329" priority="40">
      <formula>$X$7="Real"</formula>
    </cfRule>
    <cfRule type="expression" dxfId="328" priority="39">
      <formula>$X$7="Prev"</formula>
    </cfRule>
    <cfRule type="expression" dxfId="327" priority="38">
      <formula>$X$7="Fin"</formula>
    </cfRule>
  </conditionalFormatting>
  <conditionalFormatting sqref="Y7">
    <cfRule type="expression" dxfId="326" priority="112">
      <formula>$Y$7="Real"</formula>
    </cfRule>
    <cfRule type="expression" dxfId="325" priority="111">
      <formula>$Y$7="Prev"</formula>
    </cfRule>
    <cfRule type="expression" dxfId="324" priority="110">
      <formula>$Y$7="Fin"</formula>
    </cfRule>
  </conditionalFormatting>
  <conditionalFormatting sqref="Y10:Y39">
    <cfRule type="expression" dxfId="323" priority="37">
      <formula>$Y$7="Real"</formula>
    </cfRule>
    <cfRule type="expression" dxfId="322" priority="36">
      <formula>$Y$7="Prev"</formula>
    </cfRule>
    <cfRule type="expression" dxfId="321" priority="35">
      <formula>$Y$7="Fin"</formula>
    </cfRule>
  </conditionalFormatting>
  <conditionalFormatting sqref="Z7">
    <cfRule type="expression" dxfId="320" priority="107">
      <formula>$Z$7="Fin"</formula>
    </cfRule>
    <cfRule type="expression" dxfId="319" priority="109">
      <formula>$Z$7="Real"</formula>
    </cfRule>
    <cfRule type="expression" dxfId="318" priority="108">
      <formula>$Z$7="Prev"</formula>
    </cfRule>
  </conditionalFormatting>
  <conditionalFormatting sqref="Z10:Z39">
    <cfRule type="expression" dxfId="317" priority="32">
      <formula>$Z$7="Fin"</formula>
    </cfRule>
    <cfRule type="expression" dxfId="316" priority="34">
      <formula>$Z$7="Real"</formula>
    </cfRule>
    <cfRule type="expression" dxfId="315" priority="33">
      <formula>$Z$7="Prev"</formula>
    </cfRule>
  </conditionalFormatting>
  <conditionalFormatting sqref="AA7">
    <cfRule type="expression" dxfId="314" priority="106">
      <formula>$AA$7="Real"</formula>
    </cfRule>
    <cfRule type="expression" dxfId="313" priority="105">
      <formula>$AA$7="Prev"</formula>
    </cfRule>
    <cfRule type="expression" dxfId="312" priority="104">
      <formula>$AA$7="Fin"</formula>
    </cfRule>
  </conditionalFormatting>
  <conditionalFormatting sqref="AA10:AA39">
    <cfRule type="expression" dxfId="311" priority="29">
      <formula>$AA$7="Fin"</formula>
    </cfRule>
    <cfRule type="expression" dxfId="310" priority="30">
      <formula>$AA$7="Prev"</formula>
    </cfRule>
    <cfRule type="expression" dxfId="309" priority="31">
      <formula>$AA$7="Real"</formula>
    </cfRule>
  </conditionalFormatting>
  <conditionalFormatting sqref="AB7">
    <cfRule type="expression" dxfId="308" priority="103">
      <formula>$AB$7="Real"</formula>
    </cfRule>
    <cfRule type="expression" dxfId="307" priority="102">
      <formula>$AB$7="Prev"</formula>
    </cfRule>
    <cfRule type="expression" dxfId="306" priority="101">
      <formula>$AB$7="Fin"</formula>
    </cfRule>
  </conditionalFormatting>
  <conditionalFormatting sqref="AB10:AB39">
    <cfRule type="expression" dxfId="305" priority="26">
      <formula>$AB$7="Fin"</formula>
    </cfRule>
    <cfRule type="expression" dxfId="304" priority="28">
      <formula>$AB$7="Real"</formula>
    </cfRule>
    <cfRule type="expression" dxfId="303" priority="27">
      <formula>$AB$7="Prev"</formula>
    </cfRule>
  </conditionalFormatting>
  <conditionalFormatting sqref="AC7">
    <cfRule type="expression" dxfId="302" priority="100">
      <formula>$AC$7="Real"</formula>
    </cfRule>
    <cfRule type="expression" dxfId="301" priority="99">
      <formula>$AC$7="Prev"</formula>
    </cfRule>
    <cfRule type="expression" dxfId="300" priority="98">
      <formula>$AC$7="Fin"</formula>
    </cfRule>
  </conditionalFormatting>
  <conditionalFormatting sqref="AC10:AC39">
    <cfRule type="expression" dxfId="299" priority="12">
      <formula>$AC$7="Fin"</formula>
    </cfRule>
    <cfRule type="expression" dxfId="298" priority="11">
      <formula>$AC$7="Prev"</formula>
    </cfRule>
    <cfRule type="expression" dxfId="297" priority="10">
      <formula>$AC$7="Real"</formula>
    </cfRule>
  </conditionalFormatting>
  <conditionalFormatting sqref="AD7">
    <cfRule type="expression" dxfId="296" priority="7">
      <formula>$AD$7="Fin"</formula>
    </cfRule>
    <cfRule type="expression" dxfId="295" priority="9">
      <formula>$AD$7="Real"</formula>
    </cfRule>
    <cfRule type="expression" dxfId="294" priority="8">
      <formula>$AD$7="Prev"</formula>
    </cfRule>
  </conditionalFormatting>
  <conditionalFormatting sqref="AD10:AD39">
    <cfRule type="expression" dxfId="293" priority="24">
      <formula>$AD$7="Prev"</formula>
    </cfRule>
    <cfRule type="expression" dxfId="292" priority="23">
      <formula>$AD$7="Fin"</formula>
    </cfRule>
    <cfRule type="expression" dxfId="291" priority="25">
      <formula>$AD$7="Real"</formula>
    </cfRule>
  </conditionalFormatting>
  <conditionalFormatting sqref="AE7">
    <cfRule type="expression" dxfId="290" priority="97">
      <formula>$AE$7="Real"</formula>
    </cfRule>
    <cfRule type="expression" dxfId="289" priority="96">
      <formula>$AE$7="Prev"</formula>
    </cfRule>
    <cfRule type="expression" dxfId="288" priority="95">
      <formula>$AE$7="Fin"</formula>
    </cfRule>
  </conditionalFormatting>
  <conditionalFormatting sqref="AE10:AE39">
    <cfRule type="expression" dxfId="287" priority="21">
      <formula>$AE$7="Prev"</formula>
    </cfRule>
    <cfRule type="expression" dxfId="286" priority="22">
      <formula>$AE$7="Real"</formula>
    </cfRule>
    <cfRule type="expression" dxfId="285" priority="20">
      <formula>$AE$7="Fin"</formula>
    </cfRule>
  </conditionalFormatting>
  <dataValidations count="1">
    <dataValidation type="list" allowBlank="1" showInputMessage="1" showErrorMessage="1" sqref="B53:B58" xr:uid="{00000000-0002-0000-0300-000000000000}">
      <formula1>$B$86:$B$92</formula1>
    </dataValidation>
  </dataValidations>
  <pageMargins left="0.70866141732283472" right="0.70866141732283472" top="0.74803149606299213" bottom="0.74803149606299213" header="0.31496062992125978" footer="0.31496062992125978"/>
  <pageSetup paperSize="9" scale="16"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AP46"/>
  <sheetViews>
    <sheetView showGridLines="0" zoomScale="70" zoomScaleNormal="70" workbookViewId="0">
      <selection activeCell="F18" sqref="F18:O23"/>
    </sheetView>
  </sheetViews>
  <sheetFormatPr baseColWidth="10" defaultColWidth="9.1796875" defaultRowHeight="13.5" outlineLevelRow="1" x14ac:dyDescent="0.3"/>
  <cols>
    <col min="1" max="1" width="4" style="22" customWidth="1"/>
    <col min="2" max="2" width="21.453125" style="22" customWidth="1"/>
    <col min="3" max="3" width="29" style="22" customWidth="1"/>
    <col min="4" max="4" width="18.1796875" style="57" customWidth="1"/>
    <col min="5" max="29" width="16.7265625" style="22" customWidth="1"/>
    <col min="30" max="30" width="11.26953125" style="22" customWidth="1"/>
    <col min="31" max="31" width="9.1796875" style="22" customWidth="1"/>
    <col min="32" max="16384" width="9.1796875" style="22"/>
  </cols>
  <sheetData>
    <row r="1" spans="2:42" ht="14.5" customHeight="1" x14ac:dyDescent="0.3"/>
    <row r="2" spans="2:42" ht="21" customHeight="1" x14ac:dyDescent="0.3">
      <c r="B2" s="20" t="s">
        <v>0</v>
      </c>
      <c r="C2" s="21" t="str">
        <f>'Project Infor'!C10</f>
        <v>var2_SAP_PEP_WBS</v>
      </c>
      <c r="D2" s="96" t="str">
        <f>'Project Infor'!C11</f>
        <v>Smart Airport en la nueva terminal de Puerto Vallarta</v>
      </c>
      <c r="E2" s="97"/>
      <c r="F2" s="97"/>
      <c r="G2" s="97"/>
      <c r="H2" s="97"/>
      <c r="I2" s="97"/>
      <c r="J2" s="97"/>
      <c r="K2" s="97"/>
    </row>
    <row r="3" spans="2:42" ht="6" customHeight="1" x14ac:dyDescent="0.3">
      <c r="B3" s="23"/>
      <c r="C3" s="23"/>
      <c r="D3" s="145"/>
      <c r="E3" s="23"/>
      <c r="F3" s="23"/>
    </row>
    <row r="4" spans="2:42" ht="20.149999999999999" customHeight="1" x14ac:dyDescent="0.3">
      <c r="B4" s="25"/>
      <c r="C4" s="25"/>
      <c r="D4" s="146"/>
      <c r="E4" s="147" t="str">
        <f t="shared" ref="E4:AC4" si="0">IF(E5&gt;EOMONTH(FIN,0),"Fin",IF(E5&gt;FECHA,"Prev","Real"))</f>
        <v>Real</v>
      </c>
      <c r="F4" s="147" t="str">
        <f t="shared" si="0"/>
        <v>Real</v>
      </c>
      <c r="G4" s="147" t="str">
        <f t="shared" si="0"/>
        <v>Real</v>
      </c>
      <c r="H4" s="147" t="str">
        <f t="shared" si="0"/>
        <v>Real</v>
      </c>
      <c r="I4" s="147" t="str">
        <f t="shared" si="0"/>
        <v>Real</v>
      </c>
      <c r="J4" s="147" t="str">
        <f t="shared" si="0"/>
        <v>Real</v>
      </c>
      <c r="K4" s="147" t="str">
        <f t="shared" si="0"/>
        <v>Prev</v>
      </c>
      <c r="L4" s="147" t="str">
        <f t="shared" si="0"/>
        <v>Prev</v>
      </c>
      <c r="M4" s="147" t="str">
        <f t="shared" si="0"/>
        <v>Prev</v>
      </c>
      <c r="N4" s="147" t="str">
        <f t="shared" si="0"/>
        <v>Prev</v>
      </c>
      <c r="O4" s="147" t="str">
        <f t="shared" si="0"/>
        <v>Prev</v>
      </c>
      <c r="P4" s="147" t="str">
        <f t="shared" si="0"/>
        <v>Prev</v>
      </c>
      <c r="Q4" s="147" t="str">
        <f t="shared" si="0"/>
        <v>Fin</v>
      </c>
      <c r="R4" s="147" t="str">
        <f t="shared" si="0"/>
        <v>Fin</v>
      </c>
      <c r="S4" s="147" t="str">
        <f t="shared" si="0"/>
        <v>Fin</v>
      </c>
      <c r="T4" s="147" t="str">
        <f t="shared" si="0"/>
        <v>Fin</v>
      </c>
      <c r="U4" s="147" t="str">
        <f t="shared" si="0"/>
        <v>Fin</v>
      </c>
      <c r="V4" s="147" t="str">
        <f t="shared" si="0"/>
        <v>Fin</v>
      </c>
      <c r="W4" s="147" t="str">
        <f t="shared" si="0"/>
        <v>Fin</v>
      </c>
      <c r="X4" s="147" t="str">
        <f t="shared" si="0"/>
        <v>Fin</v>
      </c>
      <c r="Y4" s="147" t="str">
        <f t="shared" si="0"/>
        <v>Fin</v>
      </c>
      <c r="Z4" s="147" t="str">
        <f t="shared" si="0"/>
        <v>Fin</v>
      </c>
      <c r="AA4" s="147" t="str">
        <f t="shared" si="0"/>
        <v>Fin</v>
      </c>
      <c r="AB4" s="147" t="str">
        <f t="shared" si="0"/>
        <v>Fin</v>
      </c>
      <c r="AC4" s="147" t="str">
        <f t="shared" si="0"/>
        <v>Fin</v>
      </c>
    </row>
    <row r="5" spans="2:42" s="87" customFormat="1" ht="25" customHeight="1" x14ac:dyDescent="0.35">
      <c r="B5" s="334" t="s">
        <v>213</v>
      </c>
      <c r="C5" s="335"/>
      <c r="D5" s="148" t="s">
        <v>214</v>
      </c>
      <c r="E5" s="149">
        <f>'Project Infor'!C8</f>
        <v>45962</v>
      </c>
      <c r="F5" s="149">
        <f t="shared" ref="F5:AC5" si="1">EOMONTH(E5,1)</f>
        <v>46022</v>
      </c>
      <c r="G5" s="149">
        <f t="shared" si="1"/>
        <v>46053</v>
      </c>
      <c r="H5" s="149">
        <f t="shared" si="1"/>
        <v>46081</v>
      </c>
      <c r="I5" s="149">
        <f t="shared" si="1"/>
        <v>46112</v>
      </c>
      <c r="J5" s="149">
        <f t="shared" si="1"/>
        <v>46142</v>
      </c>
      <c r="K5" s="149">
        <f t="shared" si="1"/>
        <v>46173</v>
      </c>
      <c r="L5" s="150">
        <f t="shared" si="1"/>
        <v>46203</v>
      </c>
      <c r="M5" s="150">
        <f t="shared" si="1"/>
        <v>46234</v>
      </c>
      <c r="N5" s="149">
        <f t="shared" si="1"/>
        <v>46265</v>
      </c>
      <c r="O5" s="151">
        <f t="shared" si="1"/>
        <v>46295</v>
      </c>
      <c r="P5" s="151">
        <f t="shared" si="1"/>
        <v>46326</v>
      </c>
      <c r="Q5" s="151">
        <f t="shared" si="1"/>
        <v>46356</v>
      </c>
      <c r="R5" s="151">
        <f t="shared" si="1"/>
        <v>46387</v>
      </c>
      <c r="S5" s="151">
        <f t="shared" si="1"/>
        <v>46418</v>
      </c>
      <c r="T5" s="151">
        <f t="shared" si="1"/>
        <v>46446</v>
      </c>
      <c r="U5" s="151">
        <f t="shared" si="1"/>
        <v>46477</v>
      </c>
      <c r="V5" s="151">
        <f t="shared" si="1"/>
        <v>46507</v>
      </c>
      <c r="W5" s="151">
        <f t="shared" si="1"/>
        <v>46538</v>
      </c>
      <c r="X5" s="151">
        <f t="shared" si="1"/>
        <v>46568</v>
      </c>
      <c r="Y5" s="151">
        <f t="shared" si="1"/>
        <v>46599</v>
      </c>
      <c r="Z5" s="151">
        <f t="shared" si="1"/>
        <v>46630</v>
      </c>
      <c r="AA5" s="151">
        <f t="shared" si="1"/>
        <v>46660</v>
      </c>
      <c r="AB5" s="151">
        <f t="shared" si="1"/>
        <v>46691</v>
      </c>
      <c r="AC5" s="151">
        <f t="shared" si="1"/>
        <v>46721</v>
      </c>
      <c r="AD5" s="22"/>
      <c r="AE5" s="22"/>
      <c r="AF5" s="22"/>
      <c r="AG5" s="22"/>
      <c r="AH5" s="22"/>
      <c r="AI5" s="22"/>
      <c r="AJ5" s="22"/>
      <c r="AK5" s="22"/>
      <c r="AL5" s="22"/>
      <c r="AM5" s="22"/>
      <c r="AN5" s="22"/>
      <c r="AO5" s="22"/>
      <c r="AP5" s="22"/>
    </row>
    <row r="6" spans="2:42" s="68" customFormat="1" ht="25" customHeight="1" x14ac:dyDescent="0.35">
      <c r="B6" s="341" t="s">
        <v>215</v>
      </c>
      <c r="C6" s="329"/>
      <c r="D6" s="152">
        <f>'Project Infor'!C28</f>
        <v>583896.55000000005</v>
      </c>
      <c r="E6" s="153">
        <f>D6+SUMIF('Cost Overview'!$T$16:$T$35,(YEAR(E$5)&amp;MONTH(E$5)),'Cost Overview'!$F$16:$F$35)</f>
        <v>583896.55000000005</v>
      </c>
      <c r="F6" s="153">
        <f>E6+SUMIF('Cost Overview'!$T$16:$T$35,(YEAR(F$5)&amp;MONTH(F$5)),'Cost Overview'!$F$16:$F$35)</f>
        <v>583896.55000000005</v>
      </c>
      <c r="G6" s="153">
        <f>F6+SUMIF('Cost Overview'!$T$16:$T$35,(YEAR(G$5)&amp;MONTH(G$5)),'Cost Overview'!$F$16:$F$35)</f>
        <v>583896.55000000005</v>
      </c>
      <c r="H6" s="153">
        <f>G6+SUMIF('Cost Overview'!$T$16:$T$35,(YEAR(H$5)&amp;MONTH(H$5)),'Cost Overview'!$F$16:$F$35)</f>
        <v>583896.55000000005</v>
      </c>
      <c r="I6" s="153">
        <f>H6+SUMIF('Cost Overview'!$T$16:$T$35,(YEAR(I$5)&amp;MONTH(I$5)),'Cost Overview'!$F$16:$F$35)</f>
        <v>583896.55000000005</v>
      </c>
      <c r="J6" s="153">
        <f>I6+SUMIF('Cost Overview'!$T$16:$T$35,(YEAR(J$5)&amp;MONTH(J$5)),'Cost Overview'!$F$16:$F$35)</f>
        <v>583896.55000000005</v>
      </c>
      <c r="K6" s="153">
        <f>J6+SUMIF('Cost Overview'!$T$16:$T$35,(YEAR(K$5)&amp;MONTH(K$5)),'Cost Overview'!$F$16:$F$35)</f>
        <v>583896.55000000005</v>
      </c>
      <c r="L6" s="153">
        <f>K6+SUMIF('Cost Overview'!$T$16:$T$35,(YEAR(L$5)&amp;MONTH(L$5)),'Cost Overview'!$F$16:$F$35)</f>
        <v>583896.55000000005</v>
      </c>
      <c r="M6" s="153">
        <f>L6+SUMIF('Cost Overview'!$T$16:$T$35,(YEAR(M$5)&amp;MONTH(M$5)),'Cost Overview'!$F$16:$F$35)</f>
        <v>583896.55000000005</v>
      </c>
      <c r="N6" s="153">
        <f>M6+SUMIF('Cost Overview'!$T$16:$T$35,(YEAR(N$5)&amp;MONTH(N$5)),'Cost Overview'!$F$16:$F$35)</f>
        <v>583896.55000000005</v>
      </c>
      <c r="O6" s="153">
        <f>N6+SUMIF('Cost Overview'!$T$16:$T$35,(YEAR(O$5)&amp;MONTH(O$5)),'Cost Overview'!$F$16:$F$35)</f>
        <v>583896.55000000005</v>
      </c>
      <c r="P6" s="153">
        <f>O6+SUMIF('Cost Overview'!$T$16:$T$35,(YEAR(P$5)&amp;MONTH(P$5)),'Cost Overview'!$F$16:$F$35)</f>
        <v>583896.55000000005</v>
      </c>
      <c r="Q6" s="153">
        <f>P6+SUMIF('Cost Overview'!$T$16:$T$35,(YEAR(Q$5)&amp;MONTH(Q$5)),'Cost Overview'!$F$16:$F$35)</f>
        <v>583896.55000000005</v>
      </c>
      <c r="R6" s="153">
        <f>Q6+SUMIF('Cost Overview'!$T$16:$T$35,(YEAR(R$5)&amp;MONTH(R$5)),'Cost Overview'!$F$16:$F$35)</f>
        <v>583896.55000000005</v>
      </c>
      <c r="S6" s="153">
        <f>R6+SUMIF('Cost Overview'!$T$16:$T$35,(YEAR(S$5)&amp;MONTH(S$5)),'Cost Overview'!$F$16:$F$35)</f>
        <v>583896.55000000005</v>
      </c>
      <c r="T6" s="153">
        <f>S6+SUMIF('Cost Overview'!$T$16:$T$35,(YEAR(T$5)&amp;MONTH(T$5)),'Cost Overview'!$F$16:$F$35)</f>
        <v>583896.55000000005</v>
      </c>
      <c r="U6" s="153">
        <f>T6+SUMIF('Cost Overview'!$T$16:$T$35,(YEAR(U$5)&amp;MONTH(U$5)),'Cost Overview'!$F$16:$F$35)</f>
        <v>583896.55000000005</v>
      </c>
      <c r="V6" s="153">
        <f>U6+SUMIF('Cost Overview'!$T$16:$T$35,(YEAR(V$5)&amp;MONTH(V$5)),'Cost Overview'!$F$16:$F$35)</f>
        <v>583896.55000000005</v>
      </c>
      <c r="W6" s="153">
        <f>V6+SUMIF('Cost Overview'!$T$16:$T$35,(YEAR(W$5)&amp;MONTH(W$5)),'Cost Overview'!$F$16:$F$35)</f>
        <v>583896.55000000005</v>
      </c>
      <c r="X6" s="153">
        <f>W6+SUMIF('Cost Overview'!$T$16:$T$35,(YEAR(X$5)&amp;MONTH(X$5)),'Cost Overview'!$F$16:$F$35)</f>
        <v>583896.55000000005</v>
      </c>
      <c r="Y6" s="153">
        <f>X6+SUMIF('Cost Overview'!$T$16:$T$35,(YEAR(Y$5)&amp;MONTH(Y$5)),'Cost Overview'!$F$16:$F$35)</f>
        <v>583896.55000000005</v>
      </c>
      <c r="Z6" s="153">
        <f>Y6+SUMIF('Cost Overview'!$T$16:$T$35,(YEAR(Z$5)&amp;MONTH(Z$5)),'Cost Overview'!$F$16:$F$35)</f>
        <v>583896.55000000005</v>
      </c>
      <c r="AA6" s="153">
        <f>Z6+SUMIF('Cost Overview'!$T$16:$T$35,(YEAR(AA$5)&amp;MONTH(AA$5)),'Cost Overview'!$F$16:$F$35)</f>
        <v>583896.55000000005</v>
      </c>
      <c r="AB6" s="153">
        <f>AA6+SUMIF('Cost Overview'!$T$16:$T$35,(YEAR(AB$5)&amp;MONTH(AB$5)),'Cost Overview'!$F$16:$F$35)</f>
        <v>583896.55000000005</v>
      </c>
      <c r="AC6" s="153">
        <f>AB6+SUMIF('Cost Overview'!$T$16:$T$35,(YEAR(AC$5)&amp;MONTH(AC$5)),'Cost Overview'!$F$16:$F$35)</f>
        <v>583896.55000000005</v>
      </c>
      <c r="AD6" s="22"/>
      <c r="AE6" s="22"/>
      <c r="AF6" s="22"/>
      <c r="AG6" s="22"/>
      <c r="AH6" s="22"/>
      <c r="AI6" s="22"/>
      <c r="AJ6" s="22"/>
      <c r="AK6" s="22"/>
      <c r="AL6" s="22"/>
      <c r="AM6" s="22"/>
      <c r="AN6" s="22"/>
      <c r="AO6" s="22"/>
      <c r="AP6" s="22"/>
    </row>
    <row r="7" spans="2:42" s="68" customFormat="1" ht="25" hidden="1" customHeight="1" outlineLevel="1" x14ac:dyDescent="0.35">
      <c r="B7" s="339" t="s">
        <v>3</v>
      </c>
      <c r="C7" s="329"/>
      <c r="D7" s="154">
        <f>'Project Infor'!C29</f>
        <v>13570</v>
      </c>
      <c r="E7" s="155">
        <f>D7+SUMIF('Cost Overview'!$T$16:$T$35,(YEAR(E$5)&amp;MONTH(E$5)),'Cost Overview'!$H$16:$H$35)</f>
        <v>13570</v>
      </c>
      <c r="F7" s="155">
        <f>E7+SUMIF('Cost Overview'!$T$16:$T$35,(YEAR(F$5)&amp;MONTH(F$5)),'Cost Overview'!$H$16:$H$35)</f>
        <v>13570</v>
      </c>
      <c r="G7" s="155">
        <f>F7+SUMIF('Cost Overview'!$T$16:$T$35,(YEAR(G$5)&amp;MONTH(G$5)),'Cost Overview'!$H$16:$H$35)</f>
        <v>13570</v>
      </c>
      <c r="H7" s="155">
        <f>G7+SUMIF('Cost Overview'!$T$16:$T$35,(YEAR(H$5)&amp;MONTH(H$5)),'Cost Overview'!$H$16:$H$35)</f>
        <v>13570</v>
      </c>
      <c r="I7" s="155">
        <f>H7+SUMIF('Cost Overview'!$T$16:$T$35,(YEAR(I$5)&amp;MONTH(I$5)),'Cost Overview'!$H$16:$H$35)</f>
        <v>13570</v>
      </c>
      <c r="J7" s="155">
        <f>I7+SUMIF('Cost Overview'!$T$16:$T$35,(YEAR(J$5)&amp;MONTH(J$5)),'Cost Overview'!$H$16:$H$35)</f>
        <v>13570</v>
      </c>
      <c r="K7" s="155">
        <f>J7+SUMIF('Cost Overview'!$T$16:$T$35,(YEAR(K$5)&amp;MONTH(K$5)),'Cost Overview'!$H$16:$H$35)</f>
        <v>13570</v>
      </c>
      <c r="L7" s="155">
        <f>K7+SUMIF('Cost Overview'!$T$16:$T$35,(YEAR(L$5)&amp;MONTH(L$5)),'Cost Overview'!$H$16:$H$35)</f>
        <v>13570</v>
      </c>
      <c r="M7" s="155">
        <f>L7+SUMIF('Cost Overview'!$T$16:$T$35,(YEAR(M$5)&amp;MONTH(M$5)),'Cost Overview'!$H$16:$H$35)</f>
        <v>13570</v>
      </c>
      <c r="N7" s="155">
        <f>M7+SUMIF('Cost Overview'!$T$16:$T$35,(YEAR(N$5)&amp;MONTH(N$5)),'Cost Overview'!$H$16:$H$35)</f>
        <v>13570</v>
      </c>
      <c r="O7" s="155">
        <f>N7+SUMIF('Cost Overview'!$T$16:$T$35,(YEAR(O$5)&amp;MONTH(O$5)),'Cost Overview'!$H$16:$H$35)</f>
        <v>13570</v>
      </c>
      <c r="P7" s="155">
        <f>O7+SUMIF('Cost Overview'!$T$16:$T$35,(YEAR(P$5)&amp;MONTH(P$5)),'Cost Overview'!$H$16:$H$35)</f>
        <v>13570</v>
      </c>
      <c r="Q7" s="155">
        <f>P7+SUMIF('Cost Overview'!$T$16:$T$35,(YEAR(Q$5)&amp;MONTH(Q$5)),'Cost Overview'!$H$16:$H$35)</f>
        <v>13570</v>
      </c>
      <c r="R7" s="155">
        <f>Q7+SUMIF('Cost Overview'!$T$16:$T$35,(YEAR(R$5)&amp;MONTH(R$5)),'Cost Overview'!$H$16:$H$35)</f>
        <v>13570</v>
      </c>
      <c r="S7" s="155">
        <f>R7+SUMIF('Cost Overview'!$T$16:$T$35,(YEAR(S$5)&amp;MONTH(S$5)),'Cost Overview'!$H$16:$H$35)</f>
        <v>13570</v>
      </c>
      <c r="T7" s="155">
        <f>S7+SUMIF('Cost Overview'!$T$16:$T$35,(YEAR(T$5)&amp;MONTH(T$5)),'Cost Overview'!$H$16:$H$35)</f>
        <v>13570</v>
      </c>
      <c r="U7" s="155">
        <f>T7+SUMIF('Cost Overview'!$T$16:$T$35,(YEAR(U$5)&amp;MONTH(U$5)),'Cost Overview'!$H$16:$H$35)</f>
        <v>13570</v>
      </c>
      <c r="V7" s="155">
        <f>U7+SUMIF('Cost Overview'!$T$16:$T$35,(YEAR(V$5)&amp;MONTH(V$5)),'Cost Overview'!$H$16:$H$35)</f>
        <v>13570</v>
      </c>
      <c r="W7" s="155">
        <f>V7+SUMIF('Cost Overview'!$T$16:$T$35,(YEAR(W$5)&amp;MONTH(W$5)),'Cost Overview'!$H$16:$H$35)</f>
        <v>13570</v>
      </c>
      <c r="X7" s="155">
        <f>W7+SUMIF('Cost Overview'!$T$16:$T$35,(YEAR(X$5)&amp;MONTH(X$5)),'Cost Overview'!$H$16:$H$35)</f>
        <v>13570</v>
      </c>
      <c r="Y7" s="155">
        <f>X7+SUMIF('Cost Overview'!$T$16:$T$35,(YEAR(Y$5)&amp;MONTH(Y$5)),'Cost Overview'!$H$16:$H$35)</f>
        <v>13570</v>
      </c>
      <c r="Z7" s="155">
        <f>Y7+SUMIF('Cost Overview'!$T$16:$T$35,(YEAR(Z$5)&amp;MONTH(Z$5)),'Cost Overview'!$H$16:$H$35)</f>
        <v>13570</v>
      </c>
      <c r="AA7" s="155">
        <f>Z7+SUMIF('Cost Overview'!$T$16:$T$35,(YEAR(AA$5)&amp;MONTH(AA$5)),'Cost Overview'!$H$16:$H$35)</f>
        <v>13570</v>
      </c>
      <c r="AB7" s="155">
        <f>AA7+SUMIF('Cost Overview'!$T$16:$T$35,(YEAR(AB$5)&amp;MONTH(AB$5)),'Cost Overview'!$H$16:$H$35)</f>
        <v>13570</v>
      </c>
      <c r="AC7" s="155">
        <f>AB7+SUMIF('Cost Overview'!$T$16:$T$35,(YEAR(AC$5)&amp;MONTH(AC$5)),'Cost Overview'!$H$16:$H$35)</f>
        <v>13570</v>
      </c>
      <c r="AE7" s="22"/>
      <c r="AF7" s="22"/>
      <c r="AG7" s="22"/>
      <c r="AH7" s="22"/>
      <c r="AI7" s="22"/>
      <c r="AJ7" s="22"/>
      <c r="AK7" s="22"/>
      <c r="AL7" s="22"/>
      <c r="AM7" s="22"/>
      <c r="AN7" s="22"/>
      <c r="AO7" s="22"/>
      <c r="AP7" s="22"/>
    </row>
    <row r="8" spans="2:42" s="68" customFormat="1" ht="25" hidden="1" customHeight="1" outlineLevel="1" x14ac:dyDescent="0.35">
      <c r="B8" s="339" t="s">
        <v>216</v>
      </c>
      <c r="C8" s="329"/>
      <c r="D8" s="154">
        <f>'Project Infor'!C30</f>
        <v>367515.14084000001</v>
      </c>
      <c r="E8" s="155">
        <f>D8+SUMIF('Cost Overview'!$T$16:$T$35,(YEAR(E$5)&amp;MONTH(E$5)),'Cost Overview'!$G$16:$G$35)</f>
        <v>367515.14084000001</v>
      </c>
      <c r="F8" s="155">
        <f>E8+SUMIF('Cost Overview'!$T$16:$T$35,(YEAR(F$5)&amp;MONTH(F$5)),'Cost Overview'!$G$16:$G$35)</f>
        <v>367515.14084000001</v>
      </c>
      <c r="G8" s="155">
        <f>F8+SUMIF('Cost Overview'!$T$16:$T$35,(YEAR(G$5)&amp;MONTH(G$5)),'Cost Overview'!$G$16:$G$35)</f>
        <v>367515.14084000001</v>
      </c>
      <c r="H8" s="155">
        <f>G8+SUMIF('Cost Overview'!$T$16:$T$35,(YEAR(H$5)&amp;MONTH(H$5)),'Cost Overview'!$G$16:$G$35)</f>
        <v>367515.14084000001</v>
      </c>
      <c r="I8" s="155">
        <f>H8+SUMIF('Cost Overview'!$T$16:$T$35,(YEAR(I$5)&amp;MONTH(I$5)),'Cost Overview'!$G$16:$G$35)</f>
        <v>367515.14084000001</v>
      </c>
      <c r="J8" s="155">
        <f>I8+SUMIF('Cost Overview'!$T$16:$T$35,(YEAR(J$5)&amp;MONTH(J$5)),'Cost Overview'!$G$16:$G$35)</f>
        <v>367515.14084000001</v>
      </c>
      <c r="K8" s="155">
        <f>J8+SUMIF('Cost Overview'!$T$16:$T$35,(YEAR(K$5)&amp;MONTH(K$5)),'Cost Overview'!$G$16:$G$35)</f>
        <v>367515.14084000001</v>
      </c>
      <c r="L8" s="155">
        <f>K8+SUMIF('Cost Overview'!$T$16:$T$35,(YEAR(L$5)&amp;MONTH(L$5)),'Cost Overview'!$G$16:$G$35)</f>
        <v>367515.14084000001</v>
      </c>
      <c r="M8" s="155">
        <f>L8+SUMIF('Cost Overview'!$T$16:$T$35,(YEAR(M$5)&amp;MONTH(M$5)),'Cost Overview'!$G$16:$G$35)</f>
        <v>367515.14084000001</v>
      </c>
      <c r="N8" s="155">
        <f>M8+SUMIF('Cost Overview'!$T$16:$T$35,(YEAR(N$5)&amp;MONTH(N$5)),'Cost Overview'!$G$16:$G$35)</f>
        <v>367515.14084000001</v>
      </c>
      <c r="O8" s="155">
        <f>N8+SUMIF('Cost Overview'!$T$16:$T$35,(YEAR(O$5)&amp;MONTH(O$5)),'Cost Overview'!$G$16:$G$35)</f>
        <v>367515.14084000001</v>
      </c>
      <c r="P8" s="155">
        <f>O8+SUMIF('Cost Overview'!$T$16:$T$35,(YEAR(P$5)&amp;MONTH(P$5)),'Cost Overview'!$G$16:$G$35)</f>
        <v>367515.14084000001</v>
      </c>
      <c r="Q8" s="155">
        <f>P8+SUMIF('Cost Overview'!$T$16:$T$35,(YEAR(Q$5)&amp;MONTH(Q$5)),'Cost Overview'!$G$16:$G$35)</f>
        <v>367515.14084000001</v>
      </c>
      <c r="R8" s="155">
        <f>Q8+SUMIF('Cost Overview'!$T$16:$T$35,(YEAR(R$5)&amp;MONTH(R$5)),'Cost Overview'!$G$16:$G$35)</f>
        <v>367515.14084000001</v>
      </c>
      <c r="S8" s="155">
        <f>R8+SUMIF('Cost Overview'!$T$16:$T$35,(YEAR(S$5)&amp;MONTH(S$5)),'Cost Overview'!$G$16:$G$35)</f>
        <v>367515.14084000001</v>
      </c>
      <c r="T8" s="155">
        <f>S8+SUMIF('Cost Overview'!$T$16:$T$35,(YEAR(T$5)&amp;MONTH(T$5)),'Cost Overview'!$G$16:$G$35)</f>
        <v>367515.14084000001</v>
      </c>
      <c r="U8" s="155">
        <f>T8+SUMIF('Cost Overview'!$T$16:$T$35,(YEAR(U$5)&amp;MONTH(U$5)),'Cost Overview'!$G$16:$G$35)</f>
        <v>367515.14084000001</v>
      </c>
      <c r="V8" s="155">
        <f>U8+SUMIF('Cost Overview'!$T$16:$T$35,(YEAR(V$5)&amp;MONTH(V$5)),'Cost Overview'!$G$16:$G$35)</f>
        <v>367515.14084000001</v>
      </c>
      <c r="W8" s="155">
        <f>V8+SUMIF('Cost Overview'!$T$16:$T$35,(YEAR(W$5)&amp;MONTH(W$5)),'Cost Overview'!$G$16:$G$35)</f>
        <v>367515.14084000001</v>
      </c>
      <c r="X8" s="155">
        <f>W8+SUMIF('Cost Overview'!$T$16:$T$35,(YEAR(X$5)&amp;MONTH(X$5)),'Cost Overview'!$G$16:$G$35)</f>
        <v>367515.14084000001</v>
      </c>
      <c r="Y8" s="155">
        <f>X8+SUMIF('Cost Overview'!$T$16:$T$35,(YEAR(Y$5)&amp;MONTH(Y$5)),'Cost Overview'!$G$16:$G$35)</f>
        <v>367515.14084000001</v>
      </c>
      <c r="Z8" s="155">
        <f>Y8+SUMIF('Cost Overview'!$T$16:$T$35,(YEAR(Z$5)&amp;MONTH(Z$5)),'Cost Overview'!$G$16:$G$35)</f>
        <v>367515.14084000001</v>
      </c>
      <c r="AA8" s="155">
        <f>Z8+SUMIF('Cost Overview'!$T$16:$T$35,(YEAR(AA$5)&amp;MONTH(AA$5)),'Cost Overview'!$G$16:$G$35)</f>
        <v>367515.14084000001</v>
      </c>
      <c r="AB8" s="155">
        <f>AA8+SUMIF('Cost Overview'!$T$16:$T$35,(YEAR(AB$5)&amp;MONTH(AB$5)),'Cost Overview'!$G$16:$G$35)</f>
        <v>367515.14084000001</v>
      </c>
      <c r="AC8" s="155">
        <f>AB8+SUMIF('Cost Overview'!$T$16:$T$35,(YEAR(AC$5)&amp;MONTH(AC$5)),'Cost Overview'!$G$16:$G$35)</f>
        <v>367515.14084000001</v>
      </c>
      <c r="AE8" s="22"/>
      <c r="AF8" s="22"/>
      <c r="AG8" s="22"/>
      <c r="AH8" s="22"/>
      <c r="AI8" s="22"/>
      <c r="AJ8" s="22"/>
      <c r="AK8" s="22"/>
      <c r="AL8" s="22"/>
      <c r="AM8" s="22"/>
      <c r="AN8" s="22"/>
      <c r="AO8" s="22"/>
      <c r="AP8" s="22"/>
    </row>
    <row r="9" spans="2:42" s="68" customFormat="1" ht="25" hidden="1" customHeight="1" outlineLevel="1" x14ac:dyDescent="0.35">
      <c r="B9" s="339" t="s">
        <v>217</v>
      </c>
      <c r="C9" s="329"/>
      <c r="D9" s="154">
        <f>'Project Infor'!C31</f>
        <v>18375.757042000001</v>
      </c>
      <c r="E9" s="155">
        <f>D9+SUMIF('Cost Overview'!$T$16:$T$35,(YEAR(E$5)&amp;MONTH(E$5)),'Cost Overview'!$I$16:$I$35)</f>
        <v>18375.757042000001</v>
      </c>
      <c r="F9" s="155">
        <f>E9+SUMIF('Cost Overview'!$T$16:$T$35,(YEAR(F$5)&amp;MONTH(F$5)),'Cost Overview'!$I$16:$I$35)</f>
        <v>18375.757042000001</v>
      </c>
      <c r="G9" s="155">
        <f>F9+SUMIF('Cost Overview'!$T$16:$T$35,(YEAR(G$5)&amp;MONTH(G$5)),'Cost Overview'!$I$16:$I$35)</f>
        <v>18375.757042000001</v>
      </c>
      <c r="H9" s="155">
        <f>G9+SUMIF('Cost Overview'!$T$16:$T$35,(YEAR(H$5)&amp;MONTH(H$5)),'Cost Overview'!$I$16:$I$35)</f>
        <v>18375.757042000001</v>
      </c>
      <c r="I9" s="155">
        <f>H9+SUMIF('Cost Overview'!$T$16:$T$35,(YEAR(I$5)&amp;MONTH(I$5)),'Cost Overview'!$I$16:$I$35)</f>
        <v>18375.757042000001</v>
      </c>
      <c r="J9" s="155">
        <f>I9+SUMIF('Cost Overview'!$T$16:$T$35,(YEAR(J$5)&amp;MONTH(J$5)),'Cost Overview'!$I$16:$I$35)</f>
        <v>18375.757042000001</v>
      </c>
      <c r="K9" s="155">
        <f>J9+SUMIF('Cost Overview'!$T$16:$T$35,(YEAR(K$5)&amp;MONTH(K$5)),'Cost Overview'!$I$16:$I$35)</f>
        <v>18375.757042000001</v>
      </c>
      <c r="L9" s="155">
        <f>K9+SUMIF('Cost Overview'!$T$16:$T$35,(YEAR(L$5)&amp;MONTH(L$5)),'Cost Overview'!$I$16:$I$35)</f>
        <v>18375.757042000001</v>
      </c>
      <c r="M9" s="155">
        <f>L9+SUMIF('Cost Overview'!$T$16:$T$35,(YEAR(M$5)&amp;MONTH(M$5)),'Cost Overview'!$I$16:$I$35)</f>
        <v>18375.757042000001</v>
      </c>
      <c r="N9" s="155">
        <f>M9+SUMIF('Cost Overview'!$T$16:$T$35,(YEAR(N$5)&amp;MONTH(N$5)),'Cost Overview'!$I$16:$I$35)</f>
        <v>18375.757042000001</v>
      </c>
      <c r="O9" s="155">
        <f>N9+SUMIF('Cost Overview'!$T$16:$T$35,(YEAR(O$5)&amp;MONTH(O$5)),'Cost Overview'!$I$16:$I$35)</f>
        <v>18375.757042000001</v>
      </c>
      <c r="P9" s="155">
        <f>O9+SUMIF('Cost Overview'!$T$16:$T$35,(YEAR(P$5)&amp;MONTH(P$5)),'Cost Overview'!$I$16:$I$35)</f>
        <v>18375.757042000001</v>
      </c>
      <c r="Q9" s="155">
        <f>P9+SUMIF('Cost Overview'!$T$16:$T$35,(YEAR(Q$5)&amp;MONTH(Q$5)),'Cost Overview'!$I$16:$I$35)</f>
        <v>18375.757042000001</v>
      </c>
      <c r="R9" s="155">
        <f>Q9+SUMIF('Cost Overview'!$T$16:$T$35,(YEAR(R$5)&amp;MONTH(R$5)),'Cost Overview'!$I$16:$I$35)</f>
        <v>18375.757042000001</v>
      </c>
      <c r="S9" s="155">
        <f>R9+SUMIF('Cost Overview'!$T$16:$T$35,(YEAR(S$5)&amp;MONTH(S$5)),'Cost Overview'!$I$16:$I$35)</f>
        <v>18375.757042000001</v>
      </c>
      <c r="T9" s="155">
        <f>S9+SUMIF('Cost Overview'!$T$16:$T$35,(YEAR(T$5)&amp;MONTH(T$5)),'Cost Overview'!$I$16:$I$35)</f>
        <v>18375.757042000001</v>
      </c>
      <c r="U9" s="155">
        <f>T9+SUMIF('Cost Overview'!$T$16:$T$35,(YEAR(U$5)&amp;MONTH(U$5)),'Cost Overview'!$I$16:$I$35)</f>
        <v>18375.757042000001</v>
      </c>
      <c r="V9" s="155">
        <f>U9+SUMIF('Cost Overview'!$T$16:$T$35,(YEAR(V$5)&amp;MONTH(V$5)),'Cost Overview'!$I$16:$I$35)</f>
        <v>18375.757042000001</v>
      </c>
      <c r="W9" s="155">
        <f>V9+SUMIF('Cost Overview'!$T$16:$T$35,(YEAR(W$5)&amp;MONTH(W$5)),'Cost Overview'!$I$16:$I$35)</f>
        <v>18375.757042000001</v>
      </c>
      <c r="X9" s="155">
        <f>W9+SUMIF('Cost Overview'!$T$16:$T$35,(YEAR(X$5)&amp;MONTH(X$5)),'Cost Overview'!$I$16:$I$35)</f>
        <v>18375.757042000001</v>
      </c>
      <c r="Y9" s="155">
        <f>X9+SUMIF('Cost Overview'!$T$16:$T$35,(YEAR(Y$5)&amp;MONTH(Y$5)),'Cost Overview'!$I$16:$I$35)</f>
        <v>18375.757042000001</v>
      </c>
      <c r="Z9" s="155">
        <f>Y9+SUMIF('Cost Overview'!$T$16:$T$35,(YEAR(Z$5)&amp;MONTH(Z$5)),'Cost Overview'!$I$16:$I$35)</f>
        <v>18375.757042000001</v>
      </c>
      <c r="AA9" s="155">
        <f>Z9+SUMIF('Cost Overview'!$T$16:$T$35,(YEAR(AA$5)&amp;MONTH(AA$5)),'Cost Overview'!$I$16:$I$35)</f>
        <v>18375.757042000001</v>
      </c>
      <c r="AB9" s="155">
        <f>AA9+SUMIF('Cost Overview'!$T$16:$T$35,(YEAR(AB$5)&amp;MONTH(AB$5)),'Cost Overview'!$I$16:$I$35)</f>
        <v>18375.757042000001</v>
      </c>
      <c r="AC9" s="155">
        <f>AB9+SUMIF('Cost Overview'!$T$16:$T$35,(YEAR(AC$5)&amp;MONTH(AC$5)),'Cost Overview'!$I$16:$I$35)</f>
        <v>18375.757042000001</v>
      </c>
      <c r="AE9" s="22"/>
      <c r="AF9" s="22"/>
      <c r="AG9" s="22"/>
      <c r="AH9" s="22"/>
      <c r="AI9" s="22"/>
      <c r="AJ9" s="22"/>
      <c r="AK9" s="22"/>
      <c r="AL9" s="22"/>
      <c r="AM9" s="22"/>
      <c r="AN9" s="22"/>
      <c r="AO9" s="22"/>
      <c r="AP9" s="22"/>
    </row>
    <row r="10" spans="2:42" s="68" customFormat="1" ht="25" hidden="1" customHeight="1" outlineLevel="1" x14ac:dyDescent="0.35">
      <c r="B10" s="339" t="s">
        <v>218</v>
      </c>
      <c r="C10" s="329"/>
      <c r="D10" s="154">
        <f>'Project Infor'!C32</f>
        <v>0</v>
      </c>
      <c r="E10" s="155">
        <f>D10+SUMIF('Cost Overview'!$T$16:$T$35,(YEAR(E$5)&amp;MONTH(E$5)),'Cost Overview'!$J$16:$J$35)</f>
        <v>0</v>
      </c>
      <c r="F10" s="155">
        <f>E10+SUMIF('Cost Overview'!$T$16:$T$35,(YEAR(F$5)&amp;MONTH(F$5)),'Cost Overview'!$J$16:$J$35)</f>
        <v>0</v>
      </c>
      <c r="G10" s="155">
        <f>F10+SUMIF('Cost Overview'!$T$16:$T$35,(YEAR(G$5)&amp;MONTH(G$5)),'Cost Overview'!$J$16:$J$35)</f>
        <v>0</v>
      </c>
      <c r="H10" s="155">
        <f>G10+SUMIF('Cost Overview'!$T$16:$T$35,(YEAR(H$5)&amp;MONTH(H$5)),'Cost Overview'!$J$16:$J$35)</f>
        <v>0</v>
      </c>
      <c r="I10" s="155">
        <f>H10+SUMIF('Cost Overview'!$T$16:$T$35,(YEAR(I$5)&amp;MONTH(I$5)),'Cost Overview'!$J$16:$J$35)</f>
        <v>0</v>
      </c>
      <c r="J10" s="155">
        <f>I10+SUMIF('Cost Overview'!$T$16:$T$35,(YEAR(J$5)&amp;MONTH(J$5)),'Cost Overview'!$J$16:$J$35)</f>
        <v>0</v>
      </c>
      <c r="K10" s="155">
        <f>J10+SUMIF('Cost Overview'!$T$16:$T$35,(YEAR(K$5)&amp;MONTH(K$5)),'Cost Overview'!$J$16:$J$35)</f>
        <v>0</v>
      </c>
      <c r="L10" s="155">
        <f>K10+SUMIF('Cost Overview'!$T$16:$T$35,(YEAR(L$5)&amp;MONTH(L$5)),'Cost Overview'!$J$16:$J$35)</f>
        <v>0</v>
      </c>
      <c r="M10" s="155">
        <f>L10+SUMIF('Cost Overview'!$T$16:$T$35,(YEAR(M$5)&amp;MONTH(M$5)),'Cost Overview'!$J$16:$J$35)</f>
        <v>0</v>
      </c>
      <c r="N10" s="155">
        <f>M10+SUMIF('Cost Overview'!$T$16:$T$35,(YEAR(N$5)&amp;MONTH(N$5)),'Cost Overview'!$J$16:$J$35)</f>
        <v>0</v>
      </c>
      <c r="O10" s="155">
        <f>N10+SUMIF('Cost Overview'!$T$16:$T$35,(YEAR(O$5)&amp;MONTH(O$5)),'Cost Overview'!$J$16:$J$35)</f>
        <v>0</v>
      </c>
      <c r="P10" s="155">
        <f>O10+SUMIF('Cost Overview'!$T$16:$T$35,(YEAR(P$5)&amp;MONTH(P$5)),'Cost Overview'!$J$16:$J$35)</f>
        <v>0</v>
      </c>
      <c r="Q10" s="155">
        <f>P10+SUMIF('Cost Overview'!$T$16:$T$35,(YEAR(Q$5)&amp;MONTH(Q$5)),'Cost Overview'!$J$16:$J$35)</f>
        <v>0</v>
      </c>
      <c r="R10" s="155">
        <f>Q10+SUMIF('Cost Overview'!$T$16:$T$35,(YEAR(R$5)&amp;MONTH(R$5)),'Cost Overview'!$J$16:$J$35)</f>
        <v>0</v>
      </c>
      <c r="S10" s="155">
        <f>R10+SUMIF('Cost Overview'!$T$16:$T$35,(YEAR(S$5)&amp;MONTH(S$5)),'Cost Overview'!$J$16:$J$35)</f>
        <v>0</v>
      </c>
      <c r="T10" s="155">
        <f>S10+SUMIF('Cost Overview'!$T$16:$T$35,(YEAR(T$5)&amp;MONTH(T$5)),'Cost Overview'!$J$16:$J$35)</f>
        <v>0</v>
      </c>
      <c r="U10" s="155">
        <f>T10+SUMIF('Cost Overview'!$T$16:$T$35,(YEAR(U$5)&amp;MONTH(U$5)),'Cost Overview'!$J$16:$J$35)</f>
        <v>0</v>
      </c>
      <c r="V10" s="155">
        <f>U10+SUMIF('Cost Overview'!$T$16:$T$35,(YEAR(V$5)&amp;MONTH(V$5)),'Cost Overview'!$J$16:$J$35)</f>
        <v>0</v>
      </c>
      <c r="W10" s="155">
        <f>V10+SUMIF('Cost Overview'!$T$16:$T$35,(YEAR(W$5)&amp;MONTH(W$5)),'Cost Overview'!$J$16:$J$35)</f>
        <v>0</v>
      </c>
      <c r="X10" s="155">
        <f>W10+SUMIF('Cost Overview'!$T$16:$T$35,(YEAR(X$5)&amp;MONTH(X$5)),'Cost Overview'!$J$16:$J$35)</f>
        <v>0</v>
      </c>
      <c r="Y10" s="155">
        <f>X10+SUMIF('Cost Overview'!$T$16:$T$35,(YEAR(Y$5)&amp;MONTH(Y$5)),'Cost Overview'!$J$16:$J$35)</f>
        <v>0</v>
      </c>
      <c r="Z10" s="155">
        <f>Y10+SUMIF('Cost Overview'!$T$16:$T$35,(YEAR(Z$5)&amp;MONTH(Z$5)),'Cost Overview'!$J$16:$J$35)</f>
        <v>0</v>
      </c>
      <c r="AA10" s="155">
        <f>Z10+SUMIF('Cost Overview'!$T$16:$T$35,(YEAR(AA$5)&amp;MONTH(AA$5)),'Cost Overview'!$J$16:$J$35)</f>
        <v>0</v>
      </c>
      <c r="AB10" s="155">
        <f>AA10+SUMIF('Cost Overview'!$T$16:$T$35,(YEAR(AB$5)&amp;MONTH(AB$5)),'Cost Overview'!$J$16:$J$35)</f>
        <v>0</v>
      </c>
      <c r="AC10" s="155">
        <f>AB10+SUMIF('Cost Overview'!$T$16:$T$35,(YEAR(AC$5)&amp;MONTH(AC$5)),'Cost Overview'!$J$16:$J$35)</f>
        <v>0</v>
      </c>
      <c r="AE10" s="22"/>
      <c r="AF10" s="22"/>
      <c r="AG10" s="22"/>
      <c r="AH10" s="22"/>
      <c r="AI10" s="22"/>
      <c r="AJ10" s="22"/>
      <c r="AK10" s="22"/>
      <c r="AL10" s="22"/>
      <c r="AM10" s="22"/>
      <c r="AN10" s="22"/>
      <c r="AO10" s="22"/>
      <c r="AP10" s="22"/>
    </row>
    <row r="11" spans="2:42" s="68" customFormat="1" ht="25" hidden="1" customHeight="1" outlineLevel="1" x14ac:dyDescent="0.35">
      <c r="B11" s="339" t="s">
        <v>219</v>
      </c>
      <c r="C11" s="329"/>
      <c r="D11" s="154">
        <f>'Project Infor'!C33</f>
        <v>7400</v>
      </c>
      <c r="E11" s="155">
        <f>D11+SUMIF('Cost Overview'!$T$16:$T$35,(YEAR(E$5)&amp;MONTH(E$5)),'Cost Overview'!$K$16:$K$35)</f>
        <v>7400</v>
      </c>
      <c r="F11" s="155">
        <f>E11+SUMIF('Cost Overview'!$T$16:$T$35,(YEAR(F$5)&amp;MONTH(F$5)),'Cost Overview'!$K$16:$K$35)</f>
        <v>7400</v>
      </c>
      <c r="G11" s="155">
        <f>F11+SUMIF('Cost Overview'!$T$16:$T$35,(YEAR(G$5)&amp;MONTH(G$5)),'Cost Overview'!$K$16:$K$35)</f>
        <v>7400</v>
      </c>
      <c r="H11" s="155">
        <f>G11+SUMIF('Cost Overview'!$T$16:$T$35,(YEAR(H$5)&amp;MONTH(H$5)),'Cost Overview'!$K$16:$K$35)</f>
        <v>7400</v>
      </c>
      <c r="I11" s="155">
        <f>H11+SUMIF('Cost Overview'!$T$16:$T$35,(YEAR(I$5)&amp;MONTH(I$5)),'Cost Overview'!$K$16:$K$35)</f>
        <v>7400</v>
      </c>
      <c r="J11" s="155">
        <f>I11+SUMIF('Cost Overview'!$T$16:$T$35,(YEAR(J$5)&amp;MONTH(J$5)),'Cost Overview'!$K$16:$K$35)</f>
        <v>7400</v>
      </c>
      <c r="K11" s="155">
        <f>J11+SUMIF('Cost Overview'!$T$16:$T$35,(YEAR(K$5)&amp;MONTH(K$5)),'Cost Overview'!$K$16:$K$35)</f>
        <v>7400</v>
      </c>
      <c r="L11" s="155">
        <f>K11+SUMIF('Cost Overview'!$T$16:$T$35,(YEAR(L$5)&amp;MONTH(L$5)),'Cost Overview'!$K$16:$K$35)</f>
        <v>7400</v>
      </c>
      <c r="M11" s="155">
        <f>L11+SUMIF('Cost Overview'!$T$16:$T$35,(YEAR(M$5)&amp;MONTH(M$5)),'Cost Overview'!$K$16:$K$35)</f>
        <v>7400</v>
      </c>
      <c r="N11" s="155">
        <f>M11+SUMIF('Cost Overview'!$T$16:$T$35,(YEAR(N$5)&amp;MONTH(N$5)),'Cost Overview'!$K$16:$K$35)</f>
        <v>7400</v>
      </c>
      <c r="O11" s="155">
        <f>N11+SUMIF('Cost Overview'!$T$16:$T$35,(YEAR(O$5)&amp;MONTH(O$5)),'Cost Overview'!$K$16:$K$35)</f>
        <v>7400</v>
      </c>
      <c r="P11" s="155">
        <f>O11+SUMIF('Cost Overview'!$T$16:$T$35,(YEAR(P$5)&amp;MONTH(P$5)),'Cost Overview'!$K$16:$K$35)</f>
        <v>7400</v>
      </c>
      <c r="Q11" s="155">
        <f>P11+SUMIF('Cost Overview'!$T$16:$T$35,(YEAR(Q$5)&amp;MONTH(Q$5)),'Cost Overview'!$K$16:$K$35)</f>
        <v>7400</v>
      </c>
      <c r="R11" s="155">
        <f>Q11+SUMIF('Cost Overview'!$T$16:$T$35,(YEAR(R$5)&amp;MONTH(R$5)),'Cost Overview'!$K$16:$K$35)</f>
        <v>7400</v>
      </c>
      <c r="S11" s="155">
        <f>R11+SUMIF('Cost Overview'!$T$16:$T$35,(YEAR(S$5)&amp;MONTH(S$5)),'Cost Overview'!$K$16:$K$35)</f>
        <v>7400</v>
      </c>
      <c r="T11" s="155">
        <f>S11+SUMIF('Cost Overview'!$T$16:$T$35,(YEAR(T$5)&amp;MONTH(T$5)),'Cost Overview'!$K$16:$K$35)</f>
        <v>7400</v>
      </c>
      <c r="U11" s="155">
        <f>T11+SUMIF('Cost Overview'!$T$16:$T$35,(YEAR(U$5)&amp;MONTH(U$5)),'Cost Overview'!$K$16:$K$35)</f>
        <v>7400</v>
      </c>
      <c r="V11" s="155">
        <f>U11+SUMIF('Cost Overview'!$T$16:$T$35,(YEAR(V$5)&amp;MONTH(V$5)),'Cost Overview'!$K$16:$K$35)</f>
        <v>7400</v>
      </c>
      <c r="W11" s="155">
        <f>V11+SUMIF('Cost Overview'!$T$16:$T$35,(YEAR(W$5)&amp;MONTH(W$5)),'Cost Overview'!$K$16:$K$35)</f>
        <v>7400</v>
      </c>
      <c r="X11" s="155">
        <f>W11+SUMIF('Cost Overview'!$T$16:$T$35,(YEAR(X$5)&amp;MONTH(X$5)),'Cost Overview'!$K$16:$K$35)</f>
        <v>7400</v>
      </c>
      <c r="Y11" s="155">
        <f>X11+SUMIF('Cost Overview'!$T$16:$T$35,(YEAR(Y$5)&amp;MONTH(Y$5)),'Cost Overview'!$K$16:$K$35)</f>
        <v>7400</v>
      </c>
      <c r="Z11" s="155">
        <f>Y11+SUMIF('Cost Overview'!$T$16:$T$35,(YEAR(Z$5)&amp;MONTH(Z$5)),'Cost Overview'!$K$16:$K$35)</f>
        <v>7400</v>
      </c>
      <c r="AA11" s="155">
        <f>Z11+SUMIF('Cost Overview'!$T$16:$T$35,(YEAR(AA$5)&amp;MONTH(AA$5)),'Cost Overview'!$K$16:$K$35)</f>
        <v>7400</v>
      </c>
      <c r="AB11" s="155">
        <f>AA11+SUMIF('Cost Overview'!$T$16:$T$35,(YEAR(AB$5)&amp;MONTH(AB$5)),'Cost Overview'!$K$16:$K$35)</f>
        <v>7400</v>
      </c>
      <c r="AC11" s="155">
        <f>AB11+SUMIF('Cost Overview'!$T$16:$T$35,(YEAR(AC$5)&amp;MONTH(AC$5)),'Cost Overview'!$K$16:$K$35)</f>
        <v>7400</v>
      </c>
    </row>
    <row r="12" spans="2:42" s="68" customFormat="1" ht="25" hidden="1" customHeight="1" outlineLevel="1" x14ac:dyDescent="0.35">
      <c r="B12" s="339" t="s">
        <v>220</v>
      </c>
      <c r="C12" s="329"/>
      <c r="D12" s="154">
        <f>'Project Infor'!C34</f>
        <v>40000</v>
      </c>
      <c r="E12" s="155">
        <f>D12+SUMIF('Cost Overview'!$T$16:$T$35,(YEAR(E$5)&amp;MONTH(E$5)),'Cost Overview'!$L$16:$L$35)</f>
        <v>40000</v>
      </c>
      <c r="F12" s="155">
        <f>E12+SUMIF('Cost Overview'!$T$16:$T$35,(YEAR(F$5)&amp;MONTH(F$5)),'Cost Overview'!$L$16:$L$35)</f>
        <v>40000</v>
      </c>
      <c r="G12" s="155">
        <f>F12+SUMIF('Cost Overview'!$T$16:$T$35,(YEAR(G$5)&amp;MONTH(G$5)),'Cost Overview'!$L$16:$L$35)</f>
        <v>40000</v>
      </c>
      <c r="H12" s="155">
        <f>G12+SUMIF('Cost Overview'!$T$16:$T$35,(YEAR(H$5)&amp;MONTH(H$5)),'Cost Overview'!$L$16:$L$35)</f>
        <v>40000</v>
      </c>
      <c r="I12" s="155">
        <f>H12+SUMIF('Cost Overview'!$T$16:$T$35,(YEAR(I$5)&amp;MONTH(I$5)),'Cost Overview'!$L$16:$L$35)</f>
        <v>40000</v>
      </c>
      <c r="J12" s="155">
        <f>I12+SUMIF('Cost Overview'!$T$16:$T$35,(YEAR(J$5)&amp;MONTH(J$5)),'Cost Overview'!$L$16:$L$35)</f>
        <v>40000</v>
      </c>
      <c r="K12" s="155">
        <f>J12+SUMIF('Cost Overview'!$T$16:$T$35,(YEAR(K$5)&amp;MONTH(K$5)),'Cost Overview'!$L$16:$L$35)</f>
        <v>40000</v>
      </c>
      <c r="L12" s="155">
        <f>K12+SUMIF('Cost Overview'!$T$16:$T$35,(YEAR(L$5)&amp;MONTH(L$5)),'Cost Overview'!$L$16:$L$35)</f>
        <v>40000</v>
      </c>
      <c r="M12" s="155">
        <f>L12+SUMIF('Cost Overview'!$T$16:$T$35,(YEAR(M$5)&amp;MONTH(M$5)),'Cost Overview'!$L$16:$L$35)</f>
        <v>40000</v>
      </c>
      <c r="N12" s="155">
        <f>M12+SUMIF('Cost Overview'!$T$16:$T$35,(YEAR(N$5)&amp;MONTH(N$5)),'Cost Overview'!$L$16:$L$35)</f>
        <v>40000</v>
      </c>
      <c r="O12" s="155">
        <f>N12+SUMIF('Cost Overview'!$T$16:$T$35,(YEAR(O$5)&amp;MONTH(O$5)),'Cost Overview'!$L$16:$L$35)</f>
        <v>40000</v>
      </c>
      <c r="P12" s="155">
        <f>O12+SUMIF('Cost Overview'!$T$16:$T$35,(YEAR(P$5)&amp;MONTH(P$5)),'Cost Overview'!$L$16:$L$35)</f>
        <v>40000</v>
      </c>
      <c r="Q12" s="155">
        <f>P12+SUMIF('Cost Overview'!$T$16:$T$35,(YEAR(Q$5)&amp;MONTH(Q$5)),'Cost Overview'!$L$16:$L$35)</f>
        <v>40000</v>
      </c>
      <c r="R12" s="155">
        <f>Q12+SUMIF('Cost Overview'!$T$16:$T$35,(YEAR(R$5)&amp;MONTH(R$5)),'Cost Overview'!$L$16:$L$35)</f>
        <v>40000</v>
      </c>
      <c r="S12" s="155">
        <f>R12+SUMIF('Cost Overview'!$T$16:$T$35,(YEAR(S$5)&amp;MONTH(S$5)),'Cost Overview'!$L$16:$L$35)</f>
        <v>40000</v>
      </c>
      <c r="T12" s="155">
        <f>S12+SUMIF('Cost Overview'!$T$16:$T$35,(YEAR(T$5)&amp;MONTH(T$5)),'Cost Overview'!$L$16:$L$35)</f>
        <v>40000</v>
      </c>
      <c r="U12" s="155">
        <f>T12+SUMIF('Cost Overview'!$T$16:$T$35,(YEAR(U$5)&amp;MONTH(U$5)),'Cost Overview'!$L$16:$L$35)</f>
        <v>40000</v>
      </c>
      <c r="V12" s="155">
        <f>U12+SUMIF('Cost Overview'!$T$16:$T$35,(YEAR(V$5)&amp;MONTH(V$5)),'Cost Overview'!$L$16:$L$35)</f>
        <v>40000</v>
      </c>
      <c r="W12" s="155">
        <f>V12+SUMIF('Cost Overview'!$T$16:$T$35,(YEAR(W$5)&amp;MONTH(W$5)),'Cost Overview'!$L$16:$L$35)</f>
        <v>40000</v>
      </c>
      <c r="X12" s="155">
        <f>W12+SUMIF('Cost Overview'!$T$16:$T$35,(YEAR(X$5)&amp;MONTH(X$5)),'Cost Overview'!$L$16:$L$35)</f>
        <v>40000</v>
      </c>
      <c r="Y12" s="155">
        <f>X12+SUMIF('Cost Overview'!$T$16:$T$35,(YEAR(Y$5)&amp;MONTH(Y$5)),'Cost Overview'!$L$16:$L$35)</f>
        <v>40000</v>
      </c>
      <c r="Z12" s="155">
        <f>Y12+SUMIF('Cost Overview'!$T$16:$T$35,(YEAR(Z$5)&amp;MONTH(Z$5)),'Cost Overview'!$L$16:$L$35)</f>
        <v>40000</v>
      </c>
      <c r="AA12" s="155">
        <f>Z12+SUMIF('Cost Overview'!$T$16:$T$35,(YEAR(AA$5)&amp;MONTH(AA$5)),'Cost Overview'!$L$16:$L$35)</f>
        <v>40000</v>
      </c>
      <c r="AB12" s="155">
        <f>AA12+SUMIF('Cost Overview'!$T$16:$T$35,(YEAR(AB$5)&amp;MONTH(AB$5)),'Cost Overview'!$L$16:$L$35)</f>
        <v>40000</v>
      </c>
      <c r="AC12" s="155">
        <f>AB12+SUMIF('Cost Overview'!$T$16:$T$35,(YEAR(AC$5)&amp;MONTH(AC$5)),'Cost Overview'!$L$16:$L$35)</f>
        <v>40000</v>
      </c>
    </row>
    <row r="13" spans="2:42" s="68" customFormat="1" ht="25" customHeight="1" collapsed="1" x14ac:dyDescent="0.35">
      <c r="B13" s="339" t="s">
        <v>8</v>
      </c>
      <c r="C13" s="329"/>
      <c r="D13" s="154">
        <f t="shared" ref="D13:AC13" si="2">SUM(D8:D12)</f>
        <v>433290.89788200002</v>
      </c>
      <c r="E13" s="154">
        <f t="shared" si="2"/>
        <v>433290.89788200002</v>
      </c>
      <c r="F13" s="154">
        <f t="shared" si="2"/>
        <v>433290.89788200002</v>
      </c>
      <c r="G13" s="154">
        <f t="shared" si="2"/>
        <v>433290.89788200002</v>
      </c>
      <c r="H13" s="154">
        <f t="shared" si="2"/>
        <v>433290.89788200002</v>
      </c>
      <c r="I13" s="154">
        <f t="shared" si="2"/>
        <v>433290.89788200002</v>
      </c>
      <c r="J13" s="154">
        <f t="shared" si="2"/>
        <v>433290.89788200002</v>
      </c>
      <c r="K13" s="154">
        <f t="shared" si="2"/>
        <v>433290.89788200002</v>
      </c>
      <c r="L13" s="154">
        <f t="shared" si="2"/>
        <v>433290.89788200002</v>
      </c>
      <c r="M13" s="154">
        <f t="shared" si="2"/>
        <v>433290.89788200002</v>
      </c>
      <c r="N13" s="154">
        <f t="shared" si="2"/>
        <v>433290.89788200002</v>
      </c>
      <c r="O13" s="154">
        <f t="shared" si="2"/>
        <v>433290.89788200002</v>
      </c>
      <c r="P13" s="154">
        <f t="shared" si="2"/>
        <v>433290.89788200002</v>
      </c>
      <c r="Q13" s="154">
        <f t="shared" si="2"/>
        <v>433290.89788200002</v>
      </c>
      <c r="R13" s="154">
        <f t="shared" si="2"/>
        <v>433290.89788200002</v>
      </c>
      <c r="S13" s="154">
        <f t="shared" si="2"/>
        <v>433290.89788200002</v>
      </c>
      <c r="T13" s="154">
        <f t="shared" si="2"/>
        <v>433290.89788200002</v>
      </c>
      <c r="U13" s="154">
        <f t="shared" si="2"/>
        <v>433290.89788200002</v>
      </c>
      <c r="V13" s="154">
        <f t="shared" si="2"/>
        <v>433290.89788200002</v>
      </c>
      <c r="W13" s="154">
        <f t="shared" si="2"/>
        <v>433290.89788200002</v>
      </c>
      <c r="X13" s="154">
        <f t="shared" si="2"/>
        <v>433290.89788200002</v>
      </c>
      <c r="Y13" s="154">
        <f t="shared" si="2"/>
        <v>433290.89788200002</v>
      </c>
      <c r="Z13" s="154">
        <f t="shared" si="2"/>
        <v>433290.89788200002</v>
      </c>
      <c r="AA13" s="154">
        <f t="shared" si="2"/>
        <v>433290.89788200002</v>
      </c>
      <c r="AB13" s="154">
        <f t="shared" si="2"/>
        <v>433290.89788200002</v>
      </c>
      <c r="AC13" s="154">
        <f t="shared" si="2"/>
        <v>433290.89788200002</v>
      </c>
    </row>
    <row r="14" spans="2:42" s="68" customFormat="1" ht="25" customHeight="1" x14ac:dyDescent="0.35">
      <c r="B14" s="343" t="s">
        <v>221</v>
      </c>
      <c r="C14" s="329"/>
      <c r="D14" s="156">
        <f t="shared" ref="D14:AC14" si="3">D6-D13</f>
        <v>150605.65211800003</v>
      </c>
      <c r="E14" s="156">
        <f t="shared" si="3"/>
        <v>150605.65211800003</v>
      </c>
      <c r="F14" s="156">
        <f t="shared" si="3"/>
        <v>150605.65211800003</v>
      </c>
      <c r="G14" s="156">
        <f t="shared" si="3"/>
        <v>150605.65211800003</v>
      </c>
      <c r="H14" s="156">
        <f t="shared" si="3"/>
        <v>150605.65211800003</v>
      </c>
      <c r="I14" s="156">
        <f t="shared" si="3"/>
        <v>150605.65211800003</v>
      </c>
      <c r="J14" s="156">
        <f t="shared" si="3"/>
        <v>150605.65211800003</v>
      </c>
      <c r="K14" s="156">
        <f t="shared" si="3"/>
        <v>150605.65211800003</v>
      </c>
      <c r="L14" s="156">
        <f t="shared" si="3"/>
        <v>150605.65211800003</v>
      </c>
      <c r="M14" s="156">
        <f t="shared" si="3"/>
        <v>150605.65211800003</v>
      </c>
      <c r="N14" s="156">
        <f t="shared" si="3"/>
        <v>150605.65211800003</v>
      </c>
      <c r="O14" s="156">
        <f t="shared" si="3"/>
        <v>150605.65211800003</v>
      </c>
      <c r="P14" s="156">
        <f t="shared" si="3"/>
        <v>150605.65211800003</v>
      </c>
      <c r="Q14" s="156">
        <f t="shared" si="3"/>
        <v>150605.65211800003</v>
      </c>
      <c r="R14" s="156">
        <f t="shared" si="3"/>
        <v>150605.65211800003</v>
      </c>
      <c r="S14" s="156">
        <f t="shared" si="3"/>
        <v>150605.65211800003</v>
      </c>
      <c r="T14" s="156">
        <f t="shared" si="3"/>
        <v>150605.65211800003</v>
      </c>
      <c r="U14" s="156">
        <f t="shared" si="3"/>
        <v>150605.65211800003</v>
      </c>
      <c r="V14" s="156">
        <f t="shared" si="3"/>
        <v>150605.65211800003</v>
      </c>
      <c r="W14" s="156">
        <f t="shared" si="3"/>
        <v>150605.65211800003</v>
      </c>
      <c r="X14" s="156">
        <f t="shared" si="3"/>
        <v>150605.65211800003</v>
      </c>
      <c r="Y14" s="156">
        <f t="shared" si="3"/>
        <v>150605.65211800003</v>
      </c>
      <c r="Z14" s="156">
        <f t="shared" si="3"/>
        <v>150605.65211800003</v>
      </c>
      <c r="AA14" s="156">
        <f t="shared" si="3"/>
        <v>150605.65211800003</v>
      </c>
      <c r="AB14" s="156">
        <f t="shared" si="3"/>
        <v>150605.65211800003</v>
      </c>
      <c r="AC14" s="157">
        <f t="shared" si="3"/>
        <v>150605.65211800003</v>
      </c>
    </row>
    <row r="15" spans="2:42" s="68" customFormat="1" ht="25" customHeight="1" x14ac:dyDescent="0.35">
      <c r="B15" s="343" t="s">
        <v>222</v>
      </c>
      <c r="C15" s="329"/>
      <c r="D15" s="158">
        <f t="shared" ref="D15:AC15" si="4">IF(D6=0,0,(D6-D13)/D6)</f>
        <v>0.2579320808078075</v>
      </c>
      <c r="E15" s="158">
        <f t="shared" si="4"/>
        <v>0.2579320808078075</v>
      </c>
      <c r="F15" s="158">
        <f t="shared" si="4"/>
        <v>0.2579320808078075</v>
      </c>
      <c r="G15" s="158">
        <f t="shared" si="4"/>
        <v>0.2579320808078075</v>
      </c>
      <c r="H15" s="158">
        <f t="shared" si="4"/>
        <v>0.2579320808078075</v>
      </c>
      <c r="I15" s="158">
        <f t="shared" si="4"/>
        <v>0.2579320808078075</v>
      </c>
      <c r="J15" s="158">
        <f t="shared" si="4"/>
        <v>0.2579320808078075</v>
      </c>
      <c r="K15" s="158">
        <f t="shared" si="4"/>
        <v>0.2579320808078075</v>
      </c>
      <c r="L15" s="158">
        <f t="shared" si="4"/>
        <v>0.2579320808078075</v>
      </c>
      <c r="M15" s="158">
        <f t="shared" si="4"/>
        <v>0.2579320808078075</v>
      </c>
      <c r="N15" s="158">
        <f t="shared" si="4"/>
        <v>0.2579320808078075</v>
      </c>
      <c r="O15" s="158">
        <f t="shared" si="4"/>
        <v>0.2579320808078075</v>
      </c>
      <c r="P15" s="158">
        <f t="shared" si="4"/>
        <v>0.2579320808078075</v>
      </c>
      <c r="Q15" s="158">
        <f t="shared" si="4"/>
        <v>0.2579320808078075</v>
      </c>
      <c r="R15" s="158">
        <f t="shared" si="4"/>
        <v>0.2579320808078075</v>
      </c>
      <c r="S15" s="158">
        <f t="shared" si="4"/>
        <v>0.2579320808078075</v>
      </c>
      <c r="T15" s="158">
        <f t="shared" si="4"/>
        <v>0.2579320808078075</v>
      </c>
      <c r="U15" s="158">
        <f t="shared" si="4"/>
        <v>0.2579320808078075</v>
      </c>
      <c r="V15" s="158">
        <f t="shared" si="4"/>
        <v>0.2579320808078075</v>
      </c>
      <c r="W15" s="158">
        <f t="shared" si="4"/>
        <v>0.2579320808078075</v>
      </c>
      <c r="X15" s="158">
        <f t="shared" si="4"/>
        <v>0.2579320808078075</v>
      </c>
      <c r="Y15" s="158">
        <f t="shared" si="4"/>
        <v>0.2579320808078075</v>
      </c>
      <c r="Z15" s="158">
        <f t="shared" si="4"/>
        <v>0.2579320808078075</v>
      </c>
      <c r="AA15" s="158">
        <f t="shared" si="4"/>
        <v>0.2579320808078075</v>
      </c>
      <c r="AB15" s="158">
        <f t="shared" si="4"/>
        <v>0.2579320808078075</v>
      </c>
      <c r="AC15" s="158">
        <f t="shared" si="4"/>
        <v>0.2579320808078075</v>
      </c>
    </row>
    <row r="16" spans="2:42" ht="20.149999999999999" customHeight="1" x14ac:dyDescent="0.3">
      <c r="B16" s="25"/>
      <c r="C16" s="25"/>
      <c r="D16" s="108"/>
      <c r="E16" s="25"/>
    </row>
    <row r="17" spans="2:42" s="87" customFormat="1" ht="25" customHeight="1" x14ac:dyDescent="0.35">
      <c r="B17" s="334" t="s">
        <v>223</v>
      </c>
      <c r="C17" s="335"/>
      <c r="D17" s="159"/>
      <c r="E17" s="160">
        <f>'Project Infor'!C8</f>
        <v>45962</v>
      </c>
      <c r="F17" s="160">
        <f t="shared" ref="F17:AC17" si="5">EOMONTH(E17,1)</f>
        <v>46022</v>
      </c>
      <c r="G17" s="160">
        <f t="shared" si="5"/>
        <v>46053</v>
      </c>
      <c r="H17" s="160">
        <f t="shared" si="5"/>
        <v>46081</v>
      </c>
      <c r="I17" s="160">
        <f t="shared" si="5"/>
        <v>46112</v>
      </c>
      <c r="J17" s="160">
        <f t="shared" si="5"/>
        <v>46142</v>
      </c>
      <c r="K17" s="160">
        <f t="shared" si="5"/>
        <v>46173</v>
      </c>
      <c r="L17" s="160">
        <f t="shared" si="5"/>
        <v>46203</v>
      </c>
      <c r="M17" s="160">
        <f t="shared" si="5"/>
        <v>46234</v>
      </c>
      <c r="N17" s="160">
        <f t="shared" si="5"/>
        <v>46265</v>
      </c>
      <c r="O17" s="160">
        <f t="shared" si="5"/>
        <v>46295</v>
      </c>
      <c r="P17" s="160">
        <f t="shared" si="5"/>
        <v>46326</v>
      </c>
      <c r="Q17" s="160">
        <f t="shared" si="5"/>
        <v>46356</v>
      </c>
      <c r="R17" s="160">
        <f t="shared" si="5"/>
        <v>46387</v>
      </c>
      <c r="S17" s="160">
        <f t="shared" si="5"/>
        <v>46418</v>
      </c>
      <c r="T17" s="160">
        <f t="shared" si="5"/>
        <v>46446</v>
      </c>
      <c r="U17" s="160">
        <f t="shared" si="5"/>
        <v>46477</v>
      </c>
      <c r="V17" s="160">
        <f t="shared" si="5"/>
        <v>46507</v>
      </c>
      <c r="W17" s="160">
        <f t="shared" si="5"/>
        <v>46538</v>
      </c>
      <c r="X17" s="160">
        <f t="shared" si="5"/>
        <v>46568</v>
      </c>
      <c r="Y17" s="160">
        <f t="shared" si="5"/>
        <v>46599</v>
      </c>
      <c r="Z17" s="160">
        <f t="shared" si="5"/>
        <v>46630</v>
      </c>
      <c r="AA17" s="160">
        <f t="shared" si="5"/>
        <v>46660</v>
      </c>
      <c r="AB17" s="160">
        <f t="shared" si="5"/>
        <v>46691</v>
      </c>
      <c r="AC17" s="160">
        <f t="shared" si="5"/>
        <v>46721</v>
      </c>
      <c r="AD17" s="22"/>
      <c r="AE17" s="22"/>
      <c r="AF17" s="22"/>
      <c r="AG17" s="22"/>
      <c r="AH17" s="22"/>
      <c r="AI17" s="22"/>
      <c r="AJ17" s="22"/>
      <c r="AK17" s="22"/>
      <c r="AL17" s="22"/>
      <c r="AM17" s="22"/>
      <c r="AN17" s="22"/>
      <c r="AO17" s="22"/>
      <c r="AP17" s="22"/>
    </row>
    <row r="18" spans="2:42" s="68" customFormat="1" ht="25" customHeight="1" x14ac:dyDescent="0.35">
      <c r="B18" s="341" t="s">
        <v>224</v>
      </c>
      <c r="C18" s="329"/>
      <c r="D18" s="153"/>
      <c r="E18" s="153">
        <f t="shared" ref="E18:AC18" ca="1" si="6">E30-D30</f>
        <v>50423.282063900973</v>
      </c>
      <c r="F18" s="153">
        <f t="shared" ca="1" si="6"/>
        <v>50423.282063900973</v>
      </c>
      <c r="G18" s="153">
        <f t="shared" ca="1" si="6"/>
        <v>38842.131905361137</v>
      </c>
      <c r="H18" s="153">
        <f t="shared" ca="1" si="6"/>
        <v>38842.131905361108</v>
      </c>
      <c r="I18" s="153">
        <f t="shared" ca="1" si="6"/>
        <v>38842.131905361137</v>
      </c>
      <c r="J18" s="153">
        <f t="shared" ca="1" si="6"/>
        <v>38842.131905361108</v>
      </c>
      <c r="K18" s="153">
        <f t="shared" ca="1" si="6"/>
        <v>38842.131905361108</v>
      </c>
      <c r="L18" s="153">
        <f t="shared" ca="1" si="6"/>
        <v>38842.131905361195</v>
      </c>
      <c r="M18" s="153">
        <f t="shared" ca="1" si="6"/>
        <v>38842.131905361079</v>
      </c>
      <c r="N18" s="153">
        <f t="shared" ca="1" si="6"/>
        <v>38842.131905361137</v>
      </c>
      <c r="O18" s="153">
        <f t="shared" ca="1" si="6"/>
        <v>38842.131905361079</v>
      </c>
      <c r="P18" s="153">
        <f t="shared" ca="1" si="6"/>
        <v>133470.79872394801</v>
      </c>
      <c r="Q18" s="153">
        <f t="shared" ca="1" si="6"/>
        <v>0</v>
      </c>
      <c r="R18" s="153">
        <f t="shared" ca="1" si="6"/>
        <v>0</v>
      </c>
      <c r="S18" s="153">
        <f t="shared" ca="1" si="6"/>
        <v>0</v>
      </c>
      <c r="T18" s="153">
        <f t="shared" ca="1" si="6"/>
        <v>0</v>
      </c>
      <c r="U18" s="153">
        <f t="shared" ca="1" si="6"/>
        <v>0</v>
      </c>
      <c r="V18" s="153">
        <f t="shared" ca="1" si="6"/>
        <v>0</v>
      </c>
      <c r="W18" s="153">
        <f t="shared" ca="1" si="6"/>
        <v>0</v>
      </c>
      <c r="X18" s="153">
        <f t="shared" ca="1" si="6"/>
        <v>0</v>
      </c>
      <c r="Y18" s="153">
        <f t="shared" ca="1" si="6"/>
        <v>0</v>
      </c>
      <c r="Z18" s="153">
        <f t="shared" ca="1" si="6"/>
        <v>0</v>
      </c>
      <c r="AA18" s="153">
        <f t="shared" ca="1" si="6"/>
        <v>0</v>
      </c>
      <c r="AB18" s="153">
        <f t="shared" ca="1" si="6"/>
        <v>0</v>
      </c>
      <c r="AC18" s="153">
        <f t="shared" ca="1" si="6"/>
        <v>-69865.762282835378</v>
      </c>
      <c r="AD18" s="22"/>
      <c r="AE18" s="22"/>
      <c r="AF18" s="22"/>
      <c r="AG18" s="22"/>
      <c r="AH18" s="22"/>
      <c r="AI18" s="22"/>
      <c r="AJ18" s="22"/>
      <c r="AK18" s="22"/>
      <c r="AL18" s="22"/>
      <c r="AM18" s="22"/>
      <c r="AN18" s="22"/>
      <c r="AO18" s="22"/>
      <c r="AP18" s="22"/>
    </row>
    <row r="19" spans="2:42" s="68" customFormat="1" ht="25" customHeight="1" outlineLevel="1" x14ac:dyDescent="0.35">
      <c r="B19" s="339" t="s">
        <v>3</v>
      </c>
      <c r="C19" s="329"/>
      <c r="D19" s="155"/>
      <c r="E19" s="155">
        <f t="shared" ref="E19:AC19" si="7">E31-D31</f>
        <v>610</v>
      </c>
      <c r="F19" s="155">
        <f t="shared" si="7"/>
        <v>610</v>
      </c>
      <c r="G19" s="155">
        <f t="shared" si="7"/>
        <v>1063</v>
      </c>
      <c r="H19" s="155">
        <f t="shared" si="7"/>
        <v>1063</v>
      </c>
      <c r="I19" s="155">
        <f t="shared" si="7"/>
        <v>1063</v>
      </c>
      <c r="J19" s="155">
        <f t="shared" si="7"/>
        <v>1063</v>
      </c>
      <c r="K19" s="155">
        <f t="shared" si="7"/>
        <v>1063</v>
      </c>
      <c r="L19" s="155">
        <f t="shared" si="7"/>
        <v>1063</v>
      </c>
      <c r="M19" s="155">
        <f t="shared" si="7"/>
        <v>1063</v>
      </c>
      <c r="N19" s="155">
        <f t="shared" si="7"/>
        <v>1063</v>
      </c>
      <c r="O19" s="155">
        <f t="shared" si="7"/>
        <v>1063</v>
      </c>
      <c r="P19" s="155">
        <f t="shared" si="7"/>
        <v>1063</v>
      </c>
      <c r="Q19" s="155">
        <f t="shared" si="7"/>
        <v>0</v>
      </c>
      <c r="R19" s="155">
        <f t="shared" si="7"/>
        <v>0</v>
      </c>
      <c r="S19" s="155">
        <f t="shared" si="7"/>
        <v>0</v>
      </c>
      <c r="T19" s="155">
        <f t="shared" si="7"/>
        <v>0</v>
      </c>
      <c r="U19" s="155">
        <f t="shared" si="7"/>
        <v>0</v>
      </c>
      <c r="V19" s="155">
        <f t="shared" si="7"/>
        <v>0</v>
      </c>
      <c r="W19" s="155">
        <f t="shared" si="7"/>
        <v>0</v>
      </c>
      <c r="X19" s="155">
        <f t="shared" si="7"/>
        <v>0</v>
      </c>
      <c r="Y19" s="155">
        <f t="shared" si="7"/>
        <v>0</v>
      </c>
      <c r="Z19" s="155">
        <f t="shared" si="7"/>
        <v>0</v>
      </c>
      <c r="AA19" s="155">
        <f t="shared" si="7"/>
        <v>0</v>
      </c>
      <c r="AB19" s="155">
        <f t="shared" si="7"/>
        <v>0</v>
      </c>
      <c r="AC19" s="155">
        <f t="shared" si="7"/>
        <v>0</v>
      </c>
      <c r="AE19" s="22"/>
      <c r="AF19" s="22"/>
      <c r="AG19" s="22"/>
      <c r="AH19" s="22"/>
      <c r="AI19" s="22"/>
      <c r="AJ19" s="22"/>
      <c r="AK19" s="22"/>
      <c r="AL19" s="22"/>
      <c r="AM19" s="22"/>
      <c r="AN19" s="22"/>
      <c r="AO19" s="22"/>
      <c r="AP19" s="22"/>
    </row>
    <row r="20" spans="2:42" s="68" customFormat="1" ht="25" customHeight="1" outlineLevel="1" x14ac:dyDescent="0.35">
      <c r="B20" s="339" t="s">
        <v>216</v>
      </c>
      <c r="C20" s="329"/>
      <c r="D20" s="155"/>
      <c r="E20" s="155">
        <f t="shared" ref="E20:AC20" si="8">E32-D32</f>
        <v>17417.5</v>
      </c>
      <c r="F20" s="155">
        <f t="shared" si="8"/>
        <v>17417.5</v>
      </c>
      <c r="G20" s="155">
        <f t="shared" si="8"/>
        <v>28083.5</v>
      </c>
      <c r="H20" s="155">
        <f t="shared" si="8"/>
        <v>28083.5</v>
      </c>
      <c r="I20" s="155">
        <f t="shared" si="8"/>
        <v>28083.5</v>
      </c>
      <c r="J20" s="155">
        <f t="shared" si="8"/>
        <v>28083.5</v>
      </c>
      <c r="K20" s="155">
        <f t="shared" si="8"/>
        <v>28083.5</v>
      </c>
      <c r="L20" s="155">
        <f t="shared" si="8"/>
        <v>28083.5</v>
      </c>
      <c r="M20" s="155">
        <f t="shared" si="8"/>
        <v>28083.5</v>
      </c>
      <c r="N20" s="155">
        <f t="shared" si="8"/>
        <v>28083.5</v>
      </c>
      <c r="O20" s="155">
        <f t="shared" si="8"/>
        <v>28083.5</v>
      </c>
      <c r="P20" s="155">
        <f t="shared" si="8"/>
        <v>28083.5</v>
      </c>
      <c r="Q20" s="155">
        <f t="shared" si="8"/>
        <v>0</v>
      </c>
      <c r="R20" s="155">
        <f t="shared" si="8"/>
        <v>0</v>
      </c>
      <c r="S20" s="155">
        <f t="shared" si="8"/>
        <v>0</v>
      </c>
      <c r="T20" s="155">
        <f t="shared" si="8"/>
        <v>0</v>
      </c>
      <c r="U20" s="155">
        <f t="shared" si="8"/>
        <v>0</v>
      </c>
      <c r="V20" s="155">
        <f t="shared" si="8"/>
        <v>0</v>
      </c>
      <c r="W20" s="155">
        <f t="shared" si="8"/>
        <v>0</v>
      </c>
      <c r="X20" s="155">
        <f t="shared" si="8"/>
        <v>0</v>
      </c>
      <c r="Y20" s="155">
        <f t="shared" si="8"/>
        <v>0</v>
      </c>
      <c r="Z20" s="155">
        <f t="shared" si="8"/>
        <v>0</v>
      </c>
      <c r="AA20" s="155">
        <f t="shared" si="8"/>
        <v>0</v>
      </c>
      <c r="AB20" s="155">
        <f t="shared" si="8"/>
        <v>0</v>
      </c>
      <c r="AC20" s="155">
        <f t="shared" si="8"/>
        <v>0</v>
      </c>
      <c r="AE20" s="22"/>
      <c r="AF20" s="22"/>
      <c r="AG20" s="22"/>
      <c r="AH20" s="22"/>
      <c r="AI20" s="22"/>
      <c r="AJ20" s="22"/>
      <c r="AK20" s="22"/>
      <c r="AL20" s="22"/>
      <c r="AM20" s="22"/>
      <c r="AN20" s="22"/>
      <c r="AO20" s="22"/>
      <c r="AP20" s="22"/>
    </row>
    <row r="21" spans="2:42" s="68" customFormat="1" ht="25" customHeight="1" outlineLevel="1" x14ac:dyDescent="0.35">
      <c r="B21" s="339" t="s">
        <v>217</v>
      </c>
      <c r="C21" s="329"/>
      <c r="D21" s="155"/>
      <c r="E21" s="155">
        <f t="shared" ref="E21:AC21" si="9">E33-D33</f>
        <v>0</v>
      </c>
      <c r="F21" s="155">
        <f t="shared" si="9"/>
        <v>0</v>
      </c>
      <c r="G21" s="155">
        <f t="shared" si="9"/>
        <v>0</v>
      </c>
      <c r="H21" s="155">
        <f t="shared" si="9"/>
        <v>0</v>
      </c>
      <c r="I21" s="155">
        <f t="shared" si="9"/>
        <v>0</v>
      </c>
      <c r="J21" s="155">
        <f t="shared" si="9"/>
        <v>0</v>
      </c>
      <c r="K21" s="155">
        <f t="shared" si="9"/>
        <v>0</v>
      </c>
      <c r="L21" s="155">
        <f t="shared" si="9"/>
        <v>0</v>
      </c>
      <c r="M21" s="155">
        <f t="shared" si="9"/>
        <v>0</v>
      </c>
      <c r="N21" s="155">
        <f t="shared" si="9"/>
        <v>0</v>
      </c>
      <c r="O21" s="155">
        <f t="shared" si="9"/>
        <v>0</v>
      </c>
      <c r="P21" s="155">
        <f t="shared" si="9"/>
        <v>18375.757042000001</v>
      </c>
      <c r="Q21" s="155">
        <f t="shared" si="9"/>
        <v>0</v>
      </c>
      <c r="R21" s="155">
        <f t="shared" si="9"/>
        <v>0</v>
      </c>
      <c r="S21" s="155">
        <f t="shared" si="9"/>
        <v>0</v>
      </c>
      <c r="T21" s="155">
        <f t="shared" si="9"/>
        <v>0</v>
      </c>
      <c r="U21" s="155">
        <f t="shared" si="9"/>
        <v>0</v>
      </c>
      <c r="V21" s="155">
        <f t="shared" si="9"/>
        <v>0</v>
      </c>
      <c r="W21" s="155">
        <f t="shared" si="9"/>
        <v>0</v>
      </c>
      <c r="X21" s="155">
        <f t="shared" si="9"/>
        <v>0</v>
      </c>
      <c r="Y21" s="155">
        <f t="shared" si="9"/>
        <v>0</v>
      </c>
      <c r="Z21" s="155">
        <f t="shared" si="9"/>
        <v>0</v>
      </c>
      <c r="AA21" s="155">
        <f t="shared" si="9"/>
        <v>0</v>
      </c>
      <c r="AB21" s="155">
        <f t="shared" si="9"/>
        <v>0</v>
      </c>
      <c r="AC21" s="155">
        <f t="shared" si="9"/>
        <v>0</v>
      </c>
      <c r="AE21" s="22"/>
      <c r="AF21" s="22"/>
      <c r="AG21" s="22"/>
      <c r="AH21" s="22"/>
      <c r="AI21" s="22"/>
      <c r="AJ21" s="22"/>
      <c r="AK21" s="22"/>
      <c r="AL21" s="22"/>
      <c r="AM21" s="22"/>
      <c r="AN21" s="22"/>
      <c r="AO21" s="22"/>
      <c r="AP21" s="22"/>
    </row>
    <row r="22" spans="2:42" s="68" customFormat="1" ht="25" customHeight="1" outlineLevel="1" x14ac:dyDescent="0.35">
      <c r="B22" s="339" t="s">
        <v>218</v>
      </c>
      <c r="C22" s="329"/>
      <c r="D22" s="155"/>
      <c r="E22" s="155">
        <f t="shared" ref="E22:AC22" si="10">E34-D34</f>
        <v>0</v>
      </c>
      <c r="F22" s="155">
        <f t="shared" si="10"/>
        <v>0</v>
      </c>
      <c r="G22" s="155">
        <f t="shared" si="10"/>
        <v>0</v>
      </c>
      <c r="H22" s="155">
        <f t="shared" si="10"/>
        <v>0</v>
      </c>
      <c r="I22" s="155">
        <f t="shared" si="10"/>
        <v>0</v>
      </c>
      <c r="J22" s="155">
        <f t="shared" si="10"/>
        <v>0</v>
      </c>
      <c r="K22" s="155">
        <f t="shared" si="10"/>
        <v>0</v>
      </c>
      <c r="L22" s="155">
        <f t="shared" si="10"/>
        <v>0</v>
      </c>
      <c r="M22" s="155">
        <f t="shared" si="10"/>
        <v>0</v>
      </c>
      <c r="N22" s="155">
        <f t="shared" si="10"/>
        <v>0</v>
      </c>
      <c r="O22" s="155">
        <f t="shared" si="10"/>
        <v>0</v>
      </c>
      <c r="P22" s="155">
        <f t="shared" si="10"/>
        <v>0</v>
      </c>
      <c r="Q22" s="155">
        <f t="shared" si="10"/>
        <v>0</v>
      </c>
      <c r="R22" s="155">
        <f t="shared" si="10"/>
        <v>0</v>
      </c>
      <c r="S22" s="155">
        <f t="shared" si="10"/>
        <v>0</v>
      </c>
      <c r="T22" s="155">
        <f t="shared" si="10"/>
        <v>0</v>
      </c>
      <c r="U22" s="155">
        <f t="shared" si="10"/>
        <v>0</v>
      </c>
      <c r="V22" s="155">
        <f t="shared" si="10"/>
        <v>0</v>
      </c>
      <c r="W22" s="155">
        <f t="shared" si="10"/>
        <v>0</v>
      </c>
      <c r="X22" s="155">
        <f t="shared" si="10"/>
        <v>0</v>
      </c>
      <c r="Y22" s="155">
        <f t="shared" si="10"/>
        <v>0</v>
      </c>
      <c r="Z22" s="155">
        <f t="shared" si="10"/>
        <v>0</v>
      </c>
      <c r="AA22" s="155">
        <f t="shared" si="10"/>
        <v>0</v>
      </c>
      <c r="AB22" s="155">
        <f t="shared" si="10"/>
        <v>0</v>
      </c>
      <c r="AC22" s="155">
        <f t="shared" si="10"/>
        <v>0</v>
      </c>
      <c r="AE22" s="22"/>
      <c r="AF22" s="22"/>
      <c r="AG22" s="22"/>
      <c r="AH22" s="22"/>
      <c r="AI22" s="22"/>
      <c r="AJ22" s="22"/>
      <c r="AK22" s="22"/>
      <c r="AL22" s="22"/>
      <c r="AM22" s="22"/>
      <c r="AN22" s="22"/>
      <c r="AO22" s="22"/>
      <c r="AP22" s="22"/>
    </row>
    <row r="23" spans="2:42" s="68" customFormat="1" ht="25" customHeight="1" outlineLevel="1" x14ac:dyDescent="0.35">
      <c r="B23" s="339" t="s">
        <v>219</v>
      </c>
      <c r="C23" s="329"/>
      <c r="D23" s="155"/>
      <c r="E23" s="155">
        <f t="shared" ref="E23:AC23" si="11">E35-D35</f>
        <v>0</v>
      </c>
      <c r="F23" s="155">
        <f t="shared" si="11"/>
        <v>0</v>
      </c>
      <c r="G23" s="155">
        <f t="shared" si="11"/>
        <v>740</v>
      </c>
      <c r="H23" s="155">
        <f t="shared" si="11"/>
        <v>740</v>
      </c>
      <c r="I23" s="155">
        <f t="shared" si="11"/>
        <v>740</v>
      </c>
      <c r="J23" s="155">
        <f t="shared" si="11"/>
        <v>740</v>
      </c>
      <c r="K23" s="155">
        <f t="shared" si="11"/>
        <v>740</v>
      </c>
      <c r="L23" s="155">
        <f t="shared" si="11"/>
        <v>740</v>
      </c>
      <c r="M23" s="155">
        <f t="shared" si="11"/>
        <v>740</v>
      </c>
      <c r="N23" s="155">
        <f t="shared" si="11"/>
        <v>740</v>
      </c>
      <c r="O23" s="155">
        <f t="shared" si="11"/>
        <v>740</v>
      </c>
      <c r="P23" s="155">
        <f t="shared" si="11"/>
        <v>740</v>
      </c>
      <c r="Q23" s="155">
        <f t="shared" si="11"/>
        <v>0</v>
      </c>
      <c r="R23" s="155">
        <f t="shared" si="11"/>
        <v>0</v>
      </c>
      <c r="S23" s="155">
        <f t="shared" si="11"/>
        <v>0</v>
      </c>
      <c r="T23" s="155">
        <f t="shared" si="11"/>
        <v>0</v>
      </c>
      <c r="U23" s="155">
        <f t="shared" si="11"/>
        <v>0</v>
      </c>
      <c r="V23" s="155">
        <f t="shared" si="11"/>
        <v>0</v>
      </c>
      <c r="W23" s="155">
        <f t="shared" si="11"/>
        <v>0</v>
      </c>
      <c r="X23" s="155">
        <f t="shared" si="11"/>
        <v>0</v>
      </c>
      <c r="Y23" s="155">
        <f t="shared" si="11"/>
        <v>0</v>
      </c>
      <c r="Z23" s="155">
        <f t="shared" si="11"/>
        <v>0</v>
      </c>
      <c r="AA23" s="155">
        <f t="shared" si="11"/>
        <v>0</v>
      </c>
      <c r="AB23" s="155">
        <f t="shared" si="11"/>
        <v>0</v>
      </c>
      <c r="AC23" s="155">
        <f t="shared" si="11"/>
        <v>0</v>
      </c>
    </row>
    <row r="24" spans="2:42" s="68" customFormat="1" ht="25" customHeight="1" outlineLevel="1" x14ac:dyDescent="0.35">
      <c r="B24" s="339" t="s">
        <v>220</v>
      </c>
      <c r="C24" s="329"/>
      <c r="D24" s="155"/>
      <c r="E24" s="155">
        <f t="shared" ref="E24:AC24" si="12">E36-D36</f>
        <v>20000</v>
      </c>
      <c r="F24" s="155">
        <f t="shared" si="12"/>
        <v>20000</v>
      </c>
      <c r="G24" s="155">
        <f t="shared" si="12"/>
        <v>0</v>
      </c>
      <c r="H24" s="155">
        <f t="shared" si="12"/>
        <v>0</v>
      </c>
      <c r="I24" s="155">
        <f t="shared" si="12"/>
        <v>0</v>
      </c>
      <c r="J24" s="155">
        <f t="shared" si="12"/>
        <v>0</v>
      </c>
      <c r="K24" s="155">
        <f t="shared" si="12"/>
        <v>0</v>
      </c>
      <c r="L24" s="155">
        <f t="shared" si="12"/>
        <v>0</v>
      </c>
      <c r="M24" s="155">
        <f t="shared" si="12"/>
        <v>0</v>
      </c>
      <c r="N24" s="155">
        <f t="shared" si="12"/>
        <v>0</v>
      </c>
      <c r="O24" s="155">
        <f t="shared" si="12"/>
        <v>0</v>
      </c>
      <c r="P24" s="155">
        <f t="shared" si="12"/>
        <v>0</v>
      </c>
      <c r="Q24" s="155">
        <f t="shared" si="12"/>
        <v>0</v>
      </c>
      <c r="R24" s="155">
        <f t="shared" si="12"/>
        <v>0</v>
      </c>
      <c r="S24" s="155">
        <f t="shared" si="12"/>
        <v>0</v>
      </c>
      <c r="T24" s="155">
        <f t="shared" si="12"/>
        <v>0</v>
      </c>
      <c r="U24" s="155">
        <f t="shared" si="12"/>
        <v>0</v>
      </c>
      <c r="V24" s="155">
        <f t="shared" si="12"/>
        <v>0</v>
      </c>
      <c r="W24" s="155">
        <f t="shared" si="12"/>
        <v>0</v>
      </c>
      <c r="X24" s="155">
        <f t="shared" si="12"/>
        <v>0</v>
      </c>
      <c r="Y24" s="155">
        <f t="shared" si="12"/>
        <v>0</v>
      </c>
      <c r="Z24" s="155">
        <f t="shared" si="12"/>
        <v>0</v>
      </c>
      <c r="AA24" s="155">
        <f t="shared" si="12"/>
        <v>0</v>
      </c>
      <c r="AB24" s="155">
        <f t="shared" si="12"/>
        <v>0</v>
      </c>
      <c r="AC24" s="155">
        <f t="shared" si="12"/>
        <v>0</v>
      </c>
    </row>
    <row r="25" spans="2:42" s="68" customFormat="1" ht="25" customHeight="1" x14ac:dyDescent="0.35">
      <c r="B25" s="339" t="s">
        <v>8</v>
      </c>
      <c r="C25" s="329"/>
      <c r="D25" s="154"/>
      <c r="E25" s="154">
        <f t="shared" ref="E25:AC25" si="13">SUM(E20:E24)</f>
        <v>37417.5</v>
      </c>
      <c r="F25" s="154">
        <f t="shared" si="13"/>
        <v>37417.5</v>
      </c>
      <c r="G25" s="154">
        <f t="shared" si="13"/>
        <v>28823.5</v>
      </c>
      <c r="H25" s="154">
        <f t="shared" si="13"/>
        <v>28823.5</v>
      </c>
      <c r="I25" s="154">
        <f t="shared" si="13"/>
        <v>28823.5</v>
      </c>
      <c r="J25" s="154">
        <f t="shared" si="13"/>
        <v>28823.5</v>
      </c>
      <c r="K25" s="154">
        <f t="shared" si="13"/>
        <v>28823.5</v>
      </c>
      <c r="L25" s="154">
        <f t="shared" si="13"/>
        <v>28823.5</v>
      </c>
      <c r="M25" s="154">
        <f t="shared" si="13"/>
        <v>28823.5</v>
      </c>
      <c r="N25" s="154">
        <f t="shared" si="13"/>
        <v>28823.5</v>
      </c>
      <c r="O25" s="154">
        <f t="shared" si="13"/>
        <v>28823.5</v>
      </c>
      <c r="P25" s="154">
        <f t="shared" si="13"/>
        <v>47199.257041999997</v>
      </c>
      <c r="Q25" s="154">
        <f t="shared" si="13"/>
        <v>0</v>
      </c>
      <c r="R25" s="154">
        <f t="shared" si="13"/>
        <v>0</v>
      </c>
      <c r="S25" s="154">
        <f t="shared" si="13"/>
        <v>0</v>
      </c>
      <c r="T25" s="154">
        <f t="shared" si="13"/>
        <v>0</v>
      </c>
      <c r="U25" s="154">
        <f t="shared" si="13"/>
        <v>0</v>
      </c>
      <c r="V25" s="154">
        <f t="shared" si="13"/>
        <v>0</v>
      </c>
      <c r="W25" s="154">
        <f t="shared" si="13"/>
        <v>0</v>
      </c>
      <c r="X25" s="154">
        <f t="shared" si="13"/>
        <v>0</v>
      </c>
      <c r="Y25" s="154">
        <f t="shared" si="13"/>
        <v>0</v>
      </c>
      <c r="Z25" s="154">
        <f t="shared" si="13"/>
        <v>0</v>
      </c>
      <c r="AA25" s="154">
        <f t="shared" si="13"/>
        <v>0</v>
      </c>
      <c r="AB25" s="154">
        <f t="shared" si="13"/>
        <v>0</v>
      </c>
      <c r="AC25" s="154">
        <f t="shared" si="13"/>
        <v>0</v>
      </c>
    </row>
    <row r="26" spans="2:42" s="68" customFormat="1" ht="25" customHeight="1" x14ac:dyDescent="0.35">
      <c r="B26" s="340" t="s">
        <v>221</v>
      </c>
      <c r="C26" s="329"/>
      <c r="D26" s="156"/>
      <c r="E26" s="156">
        <f t="shared" ref="E26:AC26" ca="1" si="14">E18-E25</f>
        <v>13005.782063900973</v>
      </c>
      <c r="F26" s="161">
        <f t="shared" ca="1" si="14"/>
        <v>13005.782063900973</v>
      </c>
      <c r="G26" s="161">
        <f t="shared" ca="1" si="14"/>
        <v>10018.631905361137</v>
      </c>
      <c r="H26" s="161">
        <f t="shared" ca="1" si="14"/>
        <v>10018.631905361108</v>
      </c>
      <c r="I26" s="161">
        <f t="shared" ca="1" si="14"/>
        <v>10018.631905361137</v>
      </c>
      <c r="J26" s="161">
        <f t="shared" ca="1" si="14"/>
        <v>10018.631905361108</v>
      </c>
      <c r="K26" s="161">
        <f t="shared" ca="1" si="14"/>
        <v>10018.631905361108</v>
      </c>
      <c r="L26" s="161">
        <f t="shared" ca="1" si="14"/>
        <v>10018.631905361195</v>
      </c>
      <c r="M26" s="161">
        <f t="shared" ca="1" si="14"/>
        <v>10018.631905361079</v>
      </c>
      <c r="N26" s="161">
        <f t="shared" ca="1" si="14"/>
        <v>10018.631905361137</v>
      </c>
      <c r="O26" s="161">
        <f t="shared" ca="1" si="14"/>
        <v>10018.631905361079</v>
      </c>
      <c r="P26" s="161">
        <f t="shared" ca="1" si="14"/>
        <v>86271.541681948016</v>
      </c>
      <c r="Q26" s="161">
        <f t="shared" ca="1" si="14"/>
        <v>0</v>
      </c>
      <c r="R26" s="161">
        <f t="shared" ca="1" si="14"/>
        <v>0</v>
      </c>
      <c r="S26" s="161">
        <f t="shared" ca="1" si="14"/>
        <v>0</v>
      </c>
      <c r="T26" s="161">
        <f t="shared" ca="1" si="14"/>
        <v>0</v>
      </c>
      <c r="U26" s="161">
        <f t="shared" ca="1" si="14"/>
        <v>0</v>
      </c>
      <c r="V26" s="156">
        <f t="shared" ca="1" si="14"/>
        <v>0</v>
      </c>
      <c r="W26" s="156">
        <f t="shared" ca="1" si="14"/>
        <v>0</v>
      </c>
      <c r="X26" s="156">
        <f t="shared" ca="1" si="14"/>
        <v>0</v>
      </c>
      <c r="Y26" s="156">
        <f t="shared" ca="1" si="14"/>
        <v>0</v>
      </c>
      <c r="Z26" s="156">
        <f t="shared" ca="1" si="14"/>
        <v>0</v>
      </c>
      <c r="AA26" s="156">
        <f t="shared" ca="1" si="14"/>
        <v>0</v>
      </c>
      <c r="AB26" s="156">
        <f t="shared" ca="1" si="14"/>
        <v>0</v>
      </c>
      <c r="AC26" s="156">
        <f t="shared" ca="1" si="14"/>
        <v>-69865.762282835378</v>
      </c>
    </row>
    <row r="27" spans="2:42" s="68" customFormat="1" ht="25" customHeight="1" x14ac:dyDescent="0.35">
      <c r="B27" s="340" t="s">
        <v>222</v>
      </c>
      <c r="C27" s="329"/>
      <c r="D27" s="158"/>
      <c r="E27" s="158">
        <f t="shared" ref="E27:AC27" ca="1" si="15">IF(E18=0,0,(E18-SUM(E20,E21,E22,E23,E24))/E18)</f>
        <v>0.25793208080780744</v>
      </c>
      <c r="F27" s="158">
        <f t="shared" ca="1" si="15"/>
        <v>0.25793208080780744</v>
      </c>
      <c r="G27" s="158">
        <f t="shared" ca="1" si="15"/>
        <v>0.25793208080780777</v>
      </c>
      <c r="H27" s="158">
        <f t="shared" ca="1" si="15"/>
        <v>0.25793208080780722</v>
      </c>
      <c r="I27" s="158">
        <f t="shared" ca="1" si="15"/>
        <v>0.25793208080780777</v>
      </c>
      <c r="J27" s="158">
        <f t="shared" ca="1" si="15"/>
        <v>0.25793208080780722</v>
      </c>
      <c r="K27" s="158">
        <f t="shared" ca="1" si="15"/>
        <v>0.25793208080780722</v>
      </c>
      <c r="L27" s="158">
        <f t="shared" ca="1" si="15"/>
        <v>0.25793208080780888</v>
      </c>
      <c r="M27" s="158">
        <f t="shared" ca="1" si="15"/>
        <v>0.25793208080780666</v>
      </c>
      <c r="N27" s="158">
        <f t="shared" ca="1" si="15"/>
        <v>0.25793208080780777</v>
      </c>
      <c r="O27" s="158">
        <f t="shared" ca="1" si="15"/>
        <v>0.25793208080780666</v>
      </c>
      <c r="P27" s="158">
        <f t="shared" ca="1" si="15"/>
        <v>0.646370161164464</v>
      </c>
      <c r="Q27" s="158">
        <f t="shared" ca="1" si="15"/>
        <v>0</v>
      </c>
      <c r="R27" s="158">
        <f t="shared" ca="1" si="15"/>
        <v>0</v>
      </c>
      <c r="S27" s="158">
        <f t="shared" ca="1" si="15"/>
        <v>0</v>
      </c>
      <c r="T27" s="158">
        <f t="shared" ca="1" si="15"/>
        <v>0</v>
      </c>
      <c r="U27" s="158">
        <f t="shared" ca="1" si="15"/>
        <v>0</v>
      </c>
      <c r="V27" s="158">
        <f t="shared" ca="1" si="15"/>
        <v>0</v>
      </c>
      <c r="W27" s="158">
        <f t="shared" ca="1" si="15"/>
        <v>0</v>
      </c>
      <c r="X27" s="158">
        <f t="shared" ca="1" si="15"/>
        <v>0</v>
      </c>
      <c r="Y27" s="158">
        <f t="shared" ca="1" si="15"/>
        <v>0</v>
      </c>
      <c r="Z27" s="158">
        <f t="shared" ca="1" si="15"/>
        <v>0</v>
      </c>
      <c r="AA27" s="158">
        <f t="shared" ca="1" si="15"/>
        <v>0</v>
      </c>
      <c r="AB27" s="158">
        <f t="shared" ca="1" si="15"/>
        <v>0</v>
      </c>
      <c r="AC27" s="158">
        <f t="shared" ca="1" si="15"/>
        <v>1</v>
      </c>
    </row>
    <row r="28" spans="2:42" ht="20.149999999999999" customHeight="1" x14ac:dyDescent="0.3">
      <c r="B28" s="25"/>
      <c r="C28" s="25"/>
      <c r="D28" s="25"/>
      <c r="E28" s="25"/>
    </row>
    <row r="29" spans="2:42" s="87" customFormat="1" ht="25" customHeight="1" x14ac:dyDescent="0.35">
      <c r="B29" s="334" t="s">
        <v>225</v>
      </c>
      <c r="C29" s="335"/>
      <c r="D29" s="148" t="s">
        <v>226</v>
      </c>
      <c r="E29" s="160">
        <f>'Project Infor'!C8</f>
        <v>45962</v>
      </c>
      <c r="F29" s="160">
        <f t="shared" ref="F29:AC29" si="16">EOMONTH(E29,1)</f>
        <v>46022</v>
      </c>
      <c r="G29" s="160">
        <f t="shared" si="16"/>
        <v>46053</v>
      </c>
      <c r="H29" s="160">
        <f t="shared" si="16"/>
        <v>46081</v>
      </c>
      <c r="I29" s="160">
        <f t="shared" si="16"/>
        <v>46112</v>
      </c>
      <c r="J29" s="160">
        <f t="shared" si="16"/>
        <v>46142</v>
      </c>
      <c r="K29" s="160">
        <f t="shared" si="16"/>
        <v>46173</v>
      </c>
      <c r="L29" s="160">
        <f t="shared" si="16"/>
        <v>46203</v>
      </c>
      <c r="M29" s="160">
        <f t="shared" si="16"/>
        <v>46234</v>
      </c>
      <c r="N29" s="160">
        <f t="shared" si="16"/>
        <v>46265</v>
      </c>
      <c r="O29" s="160">
        <f t="shared" si="16"/>
        <v>46295</v>
      </c>
      <c r="P29" s="160">
        <f t="shared" si="16"/>
        <v>46326</v>
      </c>
      <c r="Q29" s="160">
        <f t="shared" si="16"/>
        <v>46356</v>
      </c>
      <c r="R29" s="160">
        <f t="shared" si="16"/>
        <v>46387</v>
      </c>
      <c r="S29" s="160">
        <f t="shared" si="16"/>
        <v>46418</v>
      </c>
      <c r="T29" s="160">
        <f t="shared" si="16"/>
        <v>46446</v>
      </c>
      <c r="U29" s="160">
        <f t="shared" si="16"/>
        <v>46477</v>
      </c>
      <c r="V29" s="160">
        <f t="shared" si="16"/>
        <v>46507</v>
      </c>
      <c r="W29" s="160">
        <f t="shared" si="16"/>
        <v>46538</v>
      </c>
      <c r="X29" s="160">
        <f t="shared" si="16"/>
        <v>46568</v>
      </c>
      <c r="Y29" s="160">
        <f t="shared" si="16"/>
        <v>46599</v>
      </c>
      <c r="Z29" s="160">
        <f t="shared" si="16"/>
        <v>46630</v>
      </c>
      <c r="AA29" s="160">
        <f t="shared" si="16"/>
        <v>46660</v>
      </c>
      <c r="AB29" s="160">
        <f t="shared" si="16"/>
        <v>46691</v>
      </c>
      <c r="AC29" s="160">
        <f t="shared" si="16"/>
        <v>46721</v>
      </c>
      <c r="AD29" s="22"/>
      <c r="AE29" s="22"/>
      <c r="AF29" s="22"/>
      <c r="AG29" s="22"/>
      <c r="AH29" s="22"/>
      <c r="AI29" s="22"/>
      <c r="AJ29" s="22"/>
      <c r="AK29" s="22"/>
      <c r="AL29" s="22"/>
      <c r="AM29" s="22"/>
      <c r="AN29" s="22"/>
      <c r="AO29" s="22"/>
      <c r="AP29" s="22"/>
    </row>
    <row r="30" spans="2:42" s="68" customFormat="1" ht="25" customHeight="1" x14ac:dyDescent="0.35">
      <c r="B30" s="341" t="s">
        <v>227</v>
      </c>
      <c r="C30" s="329"/>
      <c r="D30" s="153">
        <f>'Project Infor'!C45</f>
        <v>0</v>
      </c>
      <c r="E30" s="153">
        <f t="array" aca="1" ref="E30" ca="1">IF(E40,E40,E6*((E32+E33+E34+E35+E36)/(IF(E14&lt;margendirectofinal,E6-E14,pedidobaselineactual-margendirectofinal))))</f>
        <v>50423.282063900973</v>
      </c>
      <c r="F30" s="153">
        <f t="array" aca="1" ref="F30" ca="1">IF(F40,F40,F6*((F32+F33+F34+F35+F36)/(IF(F14&lt;margendirectofinal,F6-F14,pedidobaselineactual-margendirectofinal))))</f>
        <v>100846.56412780195</v>
      </c>
      <c r="G30" s="153">
        <f t="array" aca="1" ref="G30" ca="1">IF(G40,G40,G6*((G32+G33+G34+G35+G36)/(IF(G14&lt;margendirectofinal,G6-G14,pedidobaselineactual-margendirectofinal))))</f>
        <v>139688.69603316308</v>
      </c>
      <c r="H30" s="153">
        <f t="array" aca="1" ref="H30" ca="1">IF(H40,H40,H6*((H32+H33+H34+H35+H36)/(IF(H14&lt;margendirectofinal,H6-H14,pedidobaselineactual-margendirectofinal))))</f>
        <v>178530.82793852419</v>
      </c>
      <c r="I30" s="153">
        <f t="array" aca="1" ref="I30" ca="1">IF(I40,I40,I6*((I32+I33+I34+I35+I36)/(IF(I14&lt;margendirectofinal,I6-I14,pedidobaselineactual-margendirectofinal))))</f>
        <v>217372.95984388533</v>
      </c>
      <c r="J30" s="153">
        <f t="array" aca="1" ref="J30" ca="1">IF(J40,J40,J6*((J32+J33+J34+J35+J36)/(IF(J14&lt;margendirectofinal,J6-J14,pedidobaselineactual-margendirectofinal))))</f>
        <v>256215.09174924644</v>
      </c>
      <c r="K30" s="153">
        <f t="array" aca="1" ref="K30" ca="1">IF(K40,K40,K6*((K32+K33+K34+K35+K36)/(IF(K14&lt;margendirectofinal,K6-K14,pedidobaselineactual-margendirectofinal))))</f>
        <v>295057.22365460754</v>
      </c>
      <c r="L30" s="153">
        <f t="array" aca="1" ref="L30" ca="1">IF(L40,L40,L6*((L32+L33+L34+L35+L36)/(IF(L14&lt;margendirectofinal,L6-L14,pedidobaselineactual-margendirectofinal))))</f>
        <v>333899.35555996874</v>
      </c>
      <c r="M30" s="153">
        <f t="array" aca="1" ref="M30" ca="1">IF(M40,M40,M6*((M32+M33+M34+M35+M36)/(IF(M14&lt;margendirectofinal,M6-M14,pedidobaselineactual-margendirectofinal))))</f>
        <v>372741.48746532982</v>
      </c>
      <c r="N30" s="153">
        <f t="array" aca="1" ref="N30" ca="1">IF(N40,N40,N6*((N32+N33+N34+N35+N36)/(IF(N14&lt;margendirectofinal,N6-N14,pedidobaselineactual-margendirectofinal))))</f>
        <v>411583.61937069095</v>
      </c>
      <c r="O30" s="153">
        <f t="array" aca="1" ref="O30" ca="1">IF(O40,O40,O6*((O32+O33+O34+O35+O36)/(IF(O14&lt;margendirectofinal,O6-O14,pedidobaselineactual-margendirectofinal))))</f>
        <v>450425.75127605203</v>
      </c>
      <c r="P30" s="153">
        <f t="array" aca="1" ref="P30" ca="1">IF(P40,P40,P6*((P32+P33+P34+P35+P36)/(IF(P14&lt;margendirectofinal,P6-P14,pedidobaselineactual-margendirectofinal))))</f>
        <v>583896.55000000005</v>
      </c>
      <c r="Q30" s="153">
        <f t="array" aca="1" ref="Q30" ca="1">IF(Q40,Q40,Q6*((Q32+Q33+Q34+Q35+Q36)/(IF(Q14&lt;margendirectofinal,Q6-Q14,pedidobaselineactual-margendirectofinal))))</f>
        <v>583896.55000000005</v>
      </c>
      <c r="R30" s="153">
        <f t="array" aca="1" ref="R30" ca="1">IF(R40,R40,R6*((R32+R33+R34+R35+R36)/(IF(R14&lt;margendirectofinal,R6-R14,pedidobaselineactual-margendirectofinal))))</f>
        <v>583896.55000000005</v>
      </c>
      <c r="S30" s="153">
        <f t="array" aca="1" ref="S30" ca="1">IF(S40,S40,S6*((S32+S33+S34+S35+S36)/(IF(S14&lt;margendirectofinal,S6-S14,pedidobaselineactual-margendirectofinal))))</f>
        <v>583896.55000000005</v>
      </c>
      <c r="T30" s="153">
        <f t="array" aca="1" ref="T30" ca="1">IF(T40,T40,T6*((T32+T33+T34+T35+T36)/(IF(T14&lt;margendirectofinal,T6-T14,pedidobaselineactual-margendirectofinal))))</f>
        <v>583896.55000000005</v>
      </c>
      <c r="U30" s="153">
        <f t="array" aca="1" ref="U30" ca="1">IF(U40,U40,U6*((U32+U33+U34+U35+U36)/(IF(U14&lt;margendirectofinal,U6-U14,pedidobaselineactual-margendirectofinal))))</f>
        <v>583896.55000000005</v>
      </c>
      <c r="V30" s="153">
        <f t="array" aca="1" ref="V30" ca="1">IF(V40,V40,V6*((V32+V33+V34+V35+V36)/(IF(V14&lt;margendirectofinal,V6-V14,pedidobaselineactual-margendirectofinal))))</f>
        <v>583896.55000000005</v>
      </c>
      <c r="W30" s="153">
        <f t="array" aca="1" ref="W30" ca="1">IF(W40,W40,W6*((W32+W33+W34+W35+W36)/(IF(W14&lt;margendirectofinal,W6-W14,pedidobaselineactual-margendirectofinal))))</f>
        <v>583896.55000000005</v>
      </c>
      <c r="X30" s="153">
        <f t="array" aca="1" ref="X30" ca="1">IF(X40,X40,X6*((X32+X33+X34+X35+X36)/(IF(X14&lt;margendirectofinal,X6-X14,pedidobaselineactual-margendirectofinal))))</f>
        <v>583896.55000000005</v>
      </c>
      <c r="Y30" s="153">
        <f t="array" aca="1" ref="Y30" ca="1">IF(Y40,Y40,Y6*((Y32+Y33+Y34+Y35+Y36)/(IF(Y14&lt;margendirectofinal,Y6-Y14,pedidobaselineactual-margendirectofinal))))</f>
        <v>583896.55000000005</v>
      </c>
      <c r="Z30" s="153">
        <f t="array" aca="1" ref="Z30" ca="1">IF(Z40,Z40,Z6*((Z32+Z33+Z34+Z35+Z36)/(IF(Z14&lt;margendirectofinal,Z6-Z14,pedidobaselineactual-margendirectofinal))))</f>
        <v>583896.55000000005</v>
      </c>
      <c r="AA30" s="153">
        <f t="array" aca="1" ref="AA30" ca="1">IF(AA40,AA40,AA6*((AA32+AA33+AA34+AA35+AA36)/(IF(AA14&lt;margendirectofinal,AA6-AA14,pedidobaselineactual-margendirectofinal))))</f>
        <v>583896.55000000005</v>
      </c>
      <c r="AB30" s="153">
        <f t="array" aca="1" ref="AB30" ca="1">IF(AB40,AB40,AB6*((AB32+AB33+AB34+AB35+AB36)/(IF(AB14&lt;margendirectofinal,AB6-AB14,pedidobaselineactual-margendirectofinal))))</f>
        <v>583896.55000000005</v>
      </c>
      <c r="AC30" s="153">
        <f t="array" aca="1" ref="AC30" ca="1">IF(AC40,AC40,AC6*((AC32+AC33+AC34+AC35+AC36)/(IF(AC14&lt;margendirectofinal,AC6-AC14,pedidobaselineactual-margendirectofinal))))</f>
        <v>514030.78771716467</v>
      </c>
      <c r="AD30" s="22"/>
      <c r="AE30" s="22"/>
      <c r="AF30" s="22"/>
      <c r="AG30" s="22"/>
      <c r="AH30" s="22"/>
      <c r="AI30" s="22"/>
      <c r="AJ30" s="22"/>
      <c r="AK30" s="22"/>
      <c r="AL30" s="22"/>
      <c r="AM30" s="22"/>
      <c r="AN30" s="22"/>
      <c r="AO30" s="22"/>
      <c r="AP30" s="22"/>
    </row>
    <row r="31" spans="2:42" s="68" customFormat="1" ht="25" hidden="1" customHeight="1" outlineLevel="1" x14ac:dyDescent="0.35">
      <c r="B31" s="339" t="s">
        <v>3</v>
      </c>
      <c r="C31" s="329"/>
      <c r="D31" s="162">
        <f>'Project Infor'!C46</f>
        <v>0</v>
      </c>
      <c r="E31" s="162">
        <f>D31+LOOKUP(E$5,'Cost Planning'!$G$8:$AE$8,'Cost Planning'!$G$9:$AE$9)</f>
        <v>610</v>
      </c>
      <c r="F31" s="162">
        <f>E31+LOOKUP(F$5,'Cost Planning'!$G$8:$AE$8,'Cost Planning'!$G$9:$AE$9)</f>
        <v>1220</v>
      </c>
      <c r="G31" s="162">
        <f>F31+LOOKUP(G$5,'Cost Planning'!$G$8:$AE$8,'Cost Planning'!$G$9:$AE$9)</f>
        <v>2283</v>
      </c>
      <c r="H31" s="162">
        <f>G31+LOOKUP(H$5,'Cost Planning'!$G$8:$AE$8,'Cost Planning'!$G$9:$AE$9)</f>
        <v>3346</v>
      </c>
      <c r="I31" s="162">
        <f>H31+LOOKUP(I$5,'Cost Planning'!$G$8:$AE$8,'Cost Planning'!$G$9:$AE$9)</f>
        <v>4409</v>
      </c>
      <c r="J31" s="162">
        <f>I31+LOOKUP(J$5,'Cost Planning'!$G$8:$AE$8,'Cost Planning'!$G$9:$AE$9)</f>
        <v>5472</v>
      </c>
      <c r="K31" s="162">
        <f>J31+LOOKUP(K$5,'Cost Planning'!$G$8:$AE$8,'Cost Planning'!$G$9:$AE$9)</f>
        <v>6535</v>
      </c>
      <c r="L31" s="162">
        <f>K31+LOOKUP(L$5,'Cost Planning'!$G$8:$AE$8,'Cost Planning'!$G$9:$AE$9)</f>
        <v>7598</v>
      </c>
      <c r="M31" s="162">
        <f>L31+LOOKUP(M$5,'Cost Planning'!$G$8:$AE$8,'Cost Planning'!$G$9:$AE$9)</f>
        <v>8661</v>
      </c>
      <c r="N31" s="162">
        <f>M31+LOOKUP(N$5,'Cost Planning'!$G$8:$AE$8,'Cost Planning'!$G$9:$AE$9)</f>
        <v>9724</v>
      </c>
      <c r="O31" s="162">
        <f>N31+LOOKUP(O$5,'Cost Planning'!$G$8:$AE$8,'Cost Planning'!$G$9:$AE$9)</f>
        <v>10787</v>
      </c>
      <c r="P31" s="162">
        <f>O31+LOOKUP(P$5,'Cost Planning'!$G$8:$AE$8,'Cost Planning'!$G$9:$AE$9)</f>
        <v>11850</v>
      </c>
      <c r="Q31" s="162">
        <f>P31+LOOKUP(Q$5,'Cost Planning'!$G$8:$AE$8,'Cost Planning'!$G$9:$AE$9)</f>
        <v>11850</v>
      </c>
      <c r="R31" s="162">
        <f>Q31+LOOKUP(R$5,'Cost Planning'!$G$8:$AE$8,'Cost Planning'!$G$9:$AE$9)</f>
        <v>11850</v>
      </c>
      <c r="S31" s="162">
        <f>R31+LOOKUP(S$5,'Cost Planning'!$G$8:$AE$8,'Cost Planning'!$G$9:$AE$9)</f>
        <v>11850</v>
      </c>
      <c r="T31" s="162">
        <f>S31+LOOKUP(T$5,'Cost Planning'!$G$8:$AE$8,'Cost Planning'!$G$9:$AE$9)</f>
        <v>11850</v>
      </c>
      <c r="U31" s="162">
        <f>T31+LOOKUP(U$5,'Cost Planning'!$G$8:$AE$8,'Cost Planning'!$G$9:$AE$9)</f>
        <v>11850</v>
      </c>
      <c r="V31" s="162">
        <f>U31+LOOKUP(V$5,'Cost Planning'!$G$8:$AE$8,'Cost Planning'!$G$9:$AE$9)</f>
        <v>11850</v>
      </c>
      <c r="W31" s="162">
        <f>V31+LOOKUP(W$5,'Cost Planning'!$G$8:$AE$8,'Cost Planning'!$G$9:$AE$9)</f>
        <v>11850</v>
      </c>
      <c r="X31" s="162">
        <f>W31+LOOKUP(X$5,'Cost Planning'!$G$8:$AE$8,'Cost Planning'!$G$9:$AE$9)</f>
        <v>11850</v>
      </c>
      <c r="Y31" s="162">
        <f>X31+LOOKUP(Y$5,'Cost Planning'!$G$8:$AE$8,'Cost Planning'!$G$9:$AE$9)</f>
        <v>11850</v>
      </c>
      <c r="Z31" s="162">
        <f>Y31+LOOKUP(Z$5,'Cost Planning'!$G$8:$AE$8,'Cost Planning'!$G$9:$AE$9)</f>
        <v>11850</v>
      </c>
      <c r="AA31" s="162">
        <f>Z31+LOOKUP(AA$5,'Cost Planning'!$G$8:$AE$8,'Cost Planning'!$G$9:$AE$9)</f>
        <v>11850</v>
      </c>
      <c r="AB31" s="162">
        <f>AA31+LOOKUP(AB$5,'Cost Planning'!$G$8:$AE$8,'Cost Planning'!$G$9:$AE$9)</f>
        <v>11850</v>
      </c>
      <c r="AC31" s="162">
        <f>AB31+LOOKUP(AC$5,'Cost Planning'!$G$8:$AE$8,'Cost Planning'!$G$9:$AE$9)</f>
        <v>11850</v>
      </c>
      <c r="AE31" s="22"/>
      <c r="AF31" s="22"/>
      <c r="AG31" s="22"/>
      <c r="AH31" s="22"/>
      <c r="AI31" s="22"/>
      <c r="AJ31" s="22"/>
      <c r="AK31" s="22"/>
      <c r="AL31" s="22"/>
      <c r="AM31" s="22"/>
      <c r="AN31" s="22"/>
      <c r="AO31" s="22"/>
      <c r="AP31" s="22"/>
    </row>
    <row r="32" spans="2:42" s="68" customFormat="1" ht="25" hidden="1" customHeight="1" outlineLevel="1" x14ac:dyDescent="0.35">
      <c r="B32" s="339" t="s">
        <v>228</v>
      </c>
      <c r="C32" s="329"/>
      <c r="D32" s="162">
        <f>'Project Infor'!C47</f>
        <v>0</v>
      </c>
      <c r="E32" s="162">
        <f>D32+LOOKUP(E$5,'Cost Planning'!$G$8:$AE$8,'Cost Planning'!$G$40:$AE$40)+LOOKUP(E$5,'Cost Planning'!$G$8:$AE$8,'Cost Planning'!$G$41:$AE$41)</f>
        <v>17417.5</v>
      </c>
      <c r="F32" s="162">
        <f>E32+LOOKUP(F$5,'Cost Planning'!$G$8:$AE$8,'Cost Planning'!$G$40:$AE$40)+LOOKUP(F$5,'Cost Planning'!$G$8:$AE$8,'Cost Planning'!$G$41:$AE$41)</f>
        <v>34835</v>
      </c>
      <c r="G32" s="162">
        <f>F32+LOOKUP(G$5,'Cost Planning'!$G$8:$AE$8,'Cost Planning'!$G$40:$AE$40)+LOOKUP(G$5,'Cost Planning'!$G$8:$AE$8,'Cost Planning'!$G$41:$AE$41)</f>
        <v>62918.5</v>
      </c>
      <c r="H32" s="162">
        <f>G32+LOOKUP(H$5,'Cost Planning'!$G$8:$AE$8,'Cost Planning'!$G$40:$AE$40)+LOOKUP(H$5,'Cost Planning'!$G$8:$AE$8,'Cost Planning'!$G$41:$AE$41)</f>
        <v>91002</v>
      </c>
      <c r="I32" s="162">
        <f>H32+LOOKUP(I$5,'Cost Planning'!$G$8:$AE$8,'Cost Planning'!$G$40:$AE$40)+LOOKUP(I$5,'Cost Planning'!$G$8:$AE$8,'Cost Planning'!$G$41:$AE$41)</f>
        <v>119085.5</v>
      </c>
      <c r="J32" s="162">
        <f>I32+LOOKUP(J$5,'Cost Planning'!$G$8:$AE$8,'Cost Planning'!$G$40:$AE$40)+LOOKUP(J$5,'Cost Planning'!$G$8:$AE$8,'Cost Planning'!$G$41:$AE$41)</f>
        <v>147169</v>
      </c>
      <c r="K32" s="162">
        <f>J32+LOOKUP(K$5,'Cost Planning'!$G$8:$AE$8,'Cost Planning'!$G$40:$AE$40)+LOOKUP(K$5,'Cost Planning'!$G$8:$AE$8,'Cost Planning'!$G$41:$AE$41)</f>
        <v>175252.5</v>
      </c>
      <c r="L32" s="162">
        <f>K32+LOOKUP(L$5,'Cost Planning'!$G$8:$AE$8,'Cost Planning'!$G$40:$AE$40)+LOOKUP(L$5,'Cost Planning'!$G$8:$AE$8,'Cost Planning'!$G$41:$AE$41)</f>
        <v>203336</v>
      </c>
      <c r="M32" s="162">
        <f>L32+LOOKUP(M$5,'Cost Planning'!$G$8:$AE$8,'Cost Planning'!$G$40:$AE$40)+LOOKUP(M$5,'Cost Planning'!$G$8:$AE$8,'Cost Planning'!$G$41:$AE$41)</f>
        <v>231419.5</v>
      </c>
      <c r="N32" s="162">
        <f>M32+LOOKUP(N$5,'Cost Planning'!$G$8:$AE$8,'Cost Planning'!$G$40:$AE$40)+LOOKUP(N$5,'Cost Planning'!$G$8:$AE$8,'Cost Planning'!$G$41:$AE$41)</f>
        <v>259503</v>
      </c>
      <c r="O32" s="162">
        <f>N32+LOOKUP(O$5,'Cost Planning'!$G$8:$AE$8,'Cost Planning'!$G$40:$AE$40)+LOOKUP(O$5,'Cost Planning'!$G$8:$AE$8,'Cost Planning'!$G$41:$AE$41)</f>
        <v>287586.5</v>
      </c>
      <c r="P32" s="162">
        <f>O32+LOOKUP(P$5,'Cost Planning'!$G$8:$AE$8,'Cost Planning'!$G$40:$AE$40)+LOOKUP(P$5,'Cost Planning'!$G$8:$AE$8,'Cost Planning'!$G$41:$AE$41)</f>
        <v>315670</v>
      </c>
      <c r="Q32" s="162">
        <f>P32+LOOKUP(Q$5,'Cost Planning'!$G$8:$AE$8,'Cost Planning'!$G$40:$AE$40)+LOOKUP(Q$5,'Cost Planning'!$G$8:$AE$8,'Cost Planning'!$G$41:$AE$41)</f>
        <v>315670</v>
      </c>
      <c r="R32" s="162">
        <f>Q32+LOOKUP(R$5,'Cost Planning'!$G$8:$AE$8,'Cost Planning'!$G$40:$AE$40)+LOOKUP(R$5,'Cost Planning'!$G$8:$AE$8,'Cost Planning'!$G$41:$AE$41)</f>
        <v>315670</v>
      </c>
      <c r="S32" s="162">
        <f>R32+LOOKUP(S$5,'Cost Planning'!$G$8:$AE$8,'Cost Planning'!$G$40:$AE$40)+LOOKUP(S$5,'Cost Planning'!$G$8:$AE$8,'Cost Planning'!$G$41:$AE$41)</f>
        <v>315670</v>
      </c>
      <c r="T32" s="162">
        <f>S32+LOOKUP(T$5,'Cost Planning'!$G$8:$AE$8,'Cost Planning'!$G$40:$AE$40)+LOOKUP(T$5,'Cost Planning'!$G$8:$AE$8,'Cost Planning'!$G$41:$AE$41)</f>
        <v>315670</v>
      </c>
      <c r="U32" s="162">
        <f>T32+LOOKUP(U$5,'Cost Planning'!$G$8:$AE$8,'Cost Planning'!$G$40:$AE$40)+LOOKUP(U$5,'Cost Planning'!$G$8:$AE$8,'Cost Planning'!$G$41:$AE$41)</f>
        <v>315670</v>
      </c>
      <c r="V32" s="162">
        <f>U32+LOOKUP(V$5,'Cost Planning'!$G$8:$AE$8,'Cost Planning'!$G$40:$AE$40)+LOOKUP(V$5,'Cost Planning'!$G$8:$AE$8,'Cost Planning'!$G$41:$AE$41)</f>
        <v>315670</v>
      </c>
      <c r="W32" s="162">
        <f>V32+LOOKUP(W$5,'Cost Planning'!$G$8:$AE$8,'Cost Planning'!$G$40:$AE$40)+LOOKUP(W$5,'Cost Planning'!$G$8:$AE$8,'Cost Planning'!$G$41:$AE$41)</f>
        <v>315670</v>
      </c>
      <c r="X32" s="162">
        <f>W32+LOOKUP(X$5,'Cost Planning'!$G$8:$AE$8,'Cost Planning'!$G$40:$AE$40)+LOOKUP(X$5,'Cost Planning'!$G$8:$AE$8,'Cost Planning'!$G$41:$AE$41)</f>
        <v>315670</v>
      </c>
      <c r="Y32" s="162">
        <f>X32+LOOKUP(Y$5,'Cost Planning'!$G$8:$AE$8,'Cost Planning'!$G$40:$AE$40)+LOOKUP(Y$5,'Cost Planning'!$G$8:$AE$8,'Cost Planning'!$G$41:$AE$41)</f>
        <v>315670</v>
      </c>
      <c r="Z32" s="162">
        <f>Y32+LOOKUP(Z$5,'Cost Planning'!$G$8:$AE$8,'Cost Planning'!$G$40:$AE$40)+LOOKUP(Z$5,'Cost Planning'!$G$8:$AE$8,'Cost Planning'!$G$41:$AE$41)</f>
        <v>315670</v>
      </c>
      <c r="AA32" s="162">
        <f>Z32+LOOKUP(AA$5,'Cost Planning'!$G$8:$AE$8,'Cost Planning'!$G$40:$AE$40)+LOOKUP(AA$5,'Cost Planning'!$G$8:$AE$8,'Cost Planning'!$G$41:$AE$41)</f>
        <v>315670</v>
      </c>
      <c r="AB32" s="162">
        <f>AA32+LOOKUP(AB$5,'Cost Planning'!$G$8:$AE$8,'Cost Planning'!$G$40:$AE$40)+LOOKUP(AB$5,'Cost Planning'!$G$8:$AE$8,'Cost Planning'!$G$41:$AE$41)</f>
        <v>315670</v>
      </c>
      <c r="AC32" s="162">
        <f>AB32+LOOKUP(AC$5,'Cost Planning'!$G$8:$AE$8,'Cost Planning'!$G$40:$AE$40)+LOOKUP(AC$5,'Cost Planning'!$G$8:$AE$8,'Cost Planning'!$G$41:$AE$41)</f>
        <v>315670</v>
      </c>
      <c r="AE32" s="22"/>
      <c r="AF32" s="22"/>
      <c r="AG32" s="22"/>
      <c r="AH32" s="22"/>
      <c r="AI32" s="22"/>
      <c r="AJ32" s="22"/>
      <c r="AK32" s="22"/>
      <c r="AL32" s="22"/>
      <c r="AM32" s="22"/>
      <c r="AN32" s="22"/>
      <c r="AO32" s="22"/>
      <c r="AP32" s="22"/>
    </row>
    <row r="33" spans="2:42" s="68" customFormat="1" ht="25" hidden="1" customHeight="1" outlineLevel="1" x14ac:dyDescent="0.35">
      <c r="B33" s="339" t="s">
        <v>217</v>
      </c>
      <c r="C33" s="329"/>
      <c r="D33" s="162"/>
      <c r="E33" s="162">
        <f>D33+LOOKUP(E$5,'Cost Planning'!$G$8:$AE$8,'Cost Planning'!$G$47:$AE$47)</f>
        <v>0</v>
      </c>
      <c r="F33" s="162">
        <f>E33+LOOKUP(F$5,'Cost Planning'!$G$8:$AE$8,'Cost Planning'!$G$47:$AE$47)</f>
        <v>0</v>
      </c>
      <c r="G33" s="162">
        <f>F33+LOOKUP(G$5,'Cost Planning'!$G$8:$AE$8,'Cost Planning'!$G$47:$AE$47)</f>
        <v>0</v>
      </c>
      <c r="H33" s="162">
        <f>G33+LOOKUP(H$5,'Cost Planning'!$G$8:$AE$8,'Cost Planning'!$G$47:$AE$47)</f>
        <v>0</v>
      </c>
      <c r="I33" s="162">
        <f>H33+LOOKUP(I$5,'Cost Planning'!$G$8:$AE$8,'Cost Planning'!$G$47:$AE$47)</f>
        <v>0</v>
      </c>
      <c r="J33" s="162">
        <f>I33+LOOKUP(J$5,'Cost Planning'!$G$8:$AE$8,'Cost Planning'!$G$47:$AE$47)</f>
        <v>0</v>
      </c>
      <c r="K33" s="162">
        <f>J33+LOOKUP(K$5,'Cost Planning'!$G$8:$AE$8,'Cost Planning'!$G$47:$AE$47)</f>
        <v>0</v>
      </c>
      <c r="L33" s="162">
        <f>K33+LOOKUP(L$5,'Cost Planning'!$G$8:$AE$8,'Cost Planning'!$G$47:$AE$47)</f>
        <v>0</v>
      </c>
      <c r="M33" s="162">
        <f>L33+LOOKUP(M$5,'Cost Planning'!$G$8:$AE$8,'Cost Planning'!$G$47:$AE$47)</f>
        <v>0</v>
      </c>
      <c r="N33" s="162">
        <f>M33+LOOKUP(N$5,'Cost Planning'!$G$8:$AE$8,'Cost Planning'!$G$47:$AE$47)</f>
        <v>0</v>
      </c>
      <c r="O33" s="162">
        <f>N33+LOOKUP(O$5,'Cost Planning'!$G$8:$AE$8,'Cost Planning'!$G$47:$AE$47)</f>
        <v>0</v>
      </c>
      <c r="P33" s="162">
        <f>O33+LOOKUP(P$5,'Cost Planning'!$G$8:$AE$8,'Cost Planning'!$G$47:$AE$47)</f>
        <v>18375.757042000001</v>
      </c>
      <c r="Q33" s="162">
        <f>P33+LOOKUP(Q$5,'Cost Planning'!$G$8:$AE$8,'Cost Planning'!$G$47:$AE$47)</f>
        <v>18375.757042000001</v>
      </c>
      <c r="R33" s="162">
        <f>Q33+LOOKUP(R$5,'Cost Planning'!$G$8:$AE$8,'Cost Planning'!$G$47:$AE$47)</f>
        <v>18375.757042000001</v>
      </c>
      <c r="S33" s="162">
        <f>R33+LOOKUP(S$5,'Cost Planning'!$G$8:$AE$8,'Cost Planning'!$G$47:$AE$47)</f>
        <v>18375.757042000001</v>
      </c>
      <c r="T33" s="162">
        <f>S33+LOOKUP(T$5,'Cost Planning'!$G$8:$AE$8,'Cost Planning'!$G$47:$AE$47)</f>
        <v>18375.757042000001</v>
      </c>
      <c r="U33" s="162">
        <f>T33+LOOKUP(U$5,'Cost Planning'!$G$8:$AE$8,'Cost Planning'!$G$47:$AE$47)</f>
        <v>18375.757042000001</v>
      </c>
      <c r="V33" s="162">
        <f>U33+LOOKUP(V$5,'Cost Planning'!$G$8:$AE$8,'Cost Planning'!$G$47:$AE$47)</f>
        <v>18375.757042000001</v>
      </c>
      <c r="W33" s="162">
        <f>V33+LOOKUP(W$5,'Cost Planning'!$G$8:$AE$8,'Cost Planning'!$G$47:$AE$47)</f>
        <v>18375.757042000001</v>
      </c>
      <c r="X33" s="162">
        <f>W33+LOOKUP(X$5,'Cost Planning'!$G$8:$AE$8,'Cost Planning'!$G$47:$AE$47)</f>
        <v>18375.757042000001</v>
      </c>
      <c r="Y33" s="162">
        <f>X33+LOOKUP(Y$5,'Cost Planning'!$G$8:$AE$8,'Cost Planning'!$G$47:$AE$47)</f>
        <v>18375.757042000001</v>
      </c>
      <c r="Z33" s="162">
        <f>Y33+LOOKUP(Z$5,'Cost Planning'!$G$8:$AE$8,'Cost Planning'!$G$47:$AE$47)</f>
        <v>18375.757042000001</v>
      </c>
      <c r="AA33" s="162">
        <f>Z33+LOOKUP(AA$5,'Cost Planning'!$G$8:$AE$8,'Cost Planning'!$G$47:$AE$47)</f>
        <v>18375.757042000001</v>
      </c>
      <c r="AB33" s="162">
        <f>AA33+LOOKUP(AB$5,'Cost Planning'!$G$8:$AE$8,'Cost Planning'!$G$47:$AE$47)</f>
        <v>18375.757042000001</v>
      </c>
      <c r="AC33" s="162">
        <f>AB33+LOOKUP(AC$5,'Cost Planning'!$G$8:$AE$8,'Cost Planning'!$G$47:$AE$47)</f>
        <v>18375.757042000001</v>
      </c>
      <c r="AE33" s="22"/>
      <c r="AF33" s="22"/>
      <c r="AG33" s="22"/>
      <c r="AH33" s="22"/>
      <c r="AI33" s="22"/>
      <c r="AJ33" s="22"/>
      <c r="AK33" s="22"/>
      <c r="AL33" s="22"/>
      <c r="AM33" s="22"/>
      <c r="AN33" s="22"/>
      <c r="AO33" s="22"/>
      <c r="AP33" s="22"/>
    </row>
    <row r="34" spans="2:42" s="68" customFormat="1" ht="25" hidden="1" customHeight="1" outlineLevel="1" x14ac:dyDescent="0.35">
      <c r="B34" s="339" t="s">
        <v>218</v>
      </c>
      <c r="C34" s="329"/>
      <c r="D34" s="162"/>
      <c r="E34" s="162">
        <f>D34+LOOKUP(E$5,'Cost Planning'!$G$8:$AE$8,'Cost Planning'!$G$48:$AE$48)</f>
        <v>0</v>
      </c>
      <c r="F34" s="162">
        <f>E34+LOOKUP(F$5,'Cost Planning'!$G$8:$AE$8,'Cost Planning'!$G$48:$AE$48)</f>
        <v>0</v>
      </c>
      <c r="G34" s="162">
        <f>F34+LOOKUP(G$5,'Cost Planning'!$G$8:$AE$8,'Cost Planning'!$G$48:$AE$48)</f>
        <v>0</v>
      </c>
      <c r="H34" s="162">
        <f>G34+LOOKUP(H$5,'Cost Planning'!$G$8:$AE$8,'Cost Planning'!$G$48:$AE$48)</f>
        <v>0</v>
      </c>
      <c r="I34" s="162">
        <f>H34+LOOKUP(I$5,'Cost Planning'!$G$8:$AE$8,'Cost Planning'!$G$48:$AE$48)</f>
        <v>0</v>
      </c>
      <c r="J34" s="162">
        <f>I34+LOOKUP(J$5,'Cost Planning'!$G$8:$AE$8,'Cost Planning'!$G$48:$AE$48)</f>
        <v>0</v>
      </c>
      <c r="K34" s="162">
        <f>J34+LOOKUP(K$5,'Cost Planning'!$G$8:$AE$8,'Cost Planning'!$G$48:$AE$48)</f>
        <v>0</v>
      </c>
      <c r="L34" s="162">
        <f>K34+LOOKUP(L$5,'Cost Planning'!$G$8:$AE$8,'Cost Planning'!$G$48:$AE$48)</f>
        <v>0</v>
      </c>
      <c r="M34" s="162">
        <f>L34+LOOKUP(M$5,'Cost Planning'!$G$8:$AE$8,'Cost Planning'!$G$48:$AE$48)</f>
        <v>0</v>
      </c>
      <c r="N34" s="162">
        <f>M34+LOOKUP(N$5,'Cost Planning'!$G$8:$AE$8,'Cost Planning'!$G$48:$AE$48)</f>
        <v>0</v>
      </c>
      <c r="O34" s="162">
        <f>N34+LOOKUP(O$5,'Cost Planning'!$G$8:$AE$8,'Cost Planning'!$G$48:$AE$48)</f>
        <v>0</v>
      </c>
      <c r="P34" s="162">
        <f>O34+LOOKUP(P$5,'Cost Planning'!$G$8:$AE$8,'Cost Planning'!$G$48:$AE$48)</f>
        <v>0</v>
      </c>
      <c r="Q34" s="162">
        <f>P34+LOOKUP(Q$5,'Cost Planning'!$G$8:$AE$8,'Cost Planning'!$G$48:$AE$48)</f>
        <v>0</v>
      </c>
      <c r="R34" s="162">
        <f>Q34+LOOKUP(R$5,'Cost Planning'!$G$8:$AE$8,'Cost Planning'!$G$48:$AE$48)</f>
        <v>0</v>
      </c>
      <c r="S34" s="162">
        <f>R34+LOOKUP(S$5,'Cost Planning'!$G$8:$AE$8,'Cost Planning'!$G$48:$AE$48)</f>
        <v>0</v>
      </c>
      <c r="T34" s="162">
        <f>S34+LOOKUP(T$5,'Cost Planning'!$G$8:$AE$8,'Cost Planning'!$G$48:$AE$48)</f>
        <v>0</v>
      </c>
      <c r="U34" s="162">
        <f>T34+LOOKUP(U$5,'Cost Planning'!$G$8:$AE$8,'Cost Planning'!$G$48:$AE$48)</f>
        <v>0</v>
      </c>
      <c r="V34" s="162">
        <f>U34+LOOKUP(V$5,'Cost Planning'!$G$8:$AE$8,'Cost Planning'!$G$48:$AE$48)</f>
        <v>0</v>
      </c>
      <c r="W34" s="162">
        <f>V34+LOOKUP(W$5,'Cost Planning'!$G$8:$AE$8,'Cost Planning'!$G$48:$AE$48)</f>
        <v>0</v>
      </c>
      <c r="X34" s="162">
        <f>W34+LOOKUP(X$5,'Cost Planning'!$G$8:$AE$8,'Cost Planning'!$G$48:$AE$48)</f>
        <v>0</v>
      </c>
      <c r="Y34" s="162">
        <f>X34+LOOKUP(Y$5,'Cost Planning'!$G$8:$AE$8,'Cost Planning'!$G$48:$AE$48)</f>
        <v>0</v>
      </c>
      <c r="Z34" s="162">
        <f>Y34+LOOKUP(Z$5,'Cost Planning'!$G$8:$AE$8,'Cost Planning'!$G$48:$AE$48)</f>
        <v>0</v>
      </c>
      <c r="AA34" s="162">
        <f>Z34+LOOKUP(AA$5,'Cost Planning'!$G$8:$AE$8,'Cost Planning'!$G$48:$AE$48)</f>
        <v>0</v>
      </c>
      <c r="AB34" s="162">
        <f>AA34+LOOKUP(AB$5,'Cost Planning'!$G$8:$AE$8,'Cost Planning'!$G$48:$AE$48)</f>
        <v>0</v>
      </c>
      <c r="AC34" s="162">
        <f>AB34+LOOKUP(AC$5,'Cost Planning'!$G$8:$AE$8,'Cost Planning'!$G$48:$AE$48)</f>
        <v>0</v>
      </c>
      <c r="AE34" s="22"/>
      <c r="AF34" s="22"/>
      <c r="AG34" s="22"/>
      <c r="AH34" s="22"/>
      <c r="AI34" s="22"/>
      <c r="AJ34" s="22"/>
      <c r="AK34" s="22"/>
      <c r="AL34" s="22"/>
      <c r="AM34" s="22"/>
      <c r="AN34" s="22"/>
      <c r="AO34" s="22"/>
      <c r="AP34" s="22"/>
    </row>
    <row r="35" spans="2:42" s="68" customFormat="1" ht="25" hidden="1" customHeight="1" outlineLevel="1" x14ac:dyDescent="0.35">
      <c r="B35" s="339" t="s">
        <v>219</v>
      </c>
      <c r="C35" s="329"/>
      <c r="D35" s="162">
        <f>'Project Infor'!C48</f>
        <v>0</v>
      </c>
      <c r="E35" s="162">
        <f>D35+LOOKUP(E$5,'Cost Planning'!$G$8:$AE$8,'Cost Planning'!$G$59:$AE$59)</f>
        <v>0</v>
      </c>
      <c r="F35" s="162">
        <f>E35+LOOKUP(F$5,'Cost Planning'!$G$8:$AE$8,'Cost Planning'!$G$59:$AE$59)</f>
        <v>0</v>
      </c>
      <c r="G35" s="162">
        <f>F35+LOOKUP(G$5,'Cost Planning'!$G$8:$AE$8,'Cost Planning'!$G$59:$AE$59)</f>
        <v>740</v>
      </c>
      <c r="H35" s="162">
        <f>G35+LOOKUP(H$5,'Cost Planning'!$G$8:$AE$8,'Cost Planning'!$G$59:$AE$59)</f>
        <v>1480</v>
      </c>
      <c r="I35" s="162">
        <f>H35+LOOKUP(I$5,'Cost Planning'!$G$8:$AE$8,'Cost Planning'!$G$59:$AE$59)</f>
        <v>2220</v>
      </c>
      <c r="J35" s="162">
        <f>I35+LOOKUP(J$5,'Cost Planning'!$G$8:$AE$8,'Cost Planning'!$G$59:$AE$59)</f>
        <v>2960</v>
      </c>
      <c r="K35" s="162">
        <f>J35+LOOKUP(K$5,'Cost Planning'!$G$8:$AE$8,'Cost Planning'!$G$59:$AE$59)</f>
        <v>3700</v>
      </c>
      <c r="L35" s="162">
        <f>K35+LOOKUP(L$5,'Cost Planning'!$G$8:$AE$8,'Cost Planning'!$G$59:$AE$59)</f>
        <v>4440</v>
      </c>
      <c r="M35" s="162">
        <f>L35+LOOKUP(M$5,'Cost Planning'!$G$8:$AE$8,'Cost Planning'!$G$59:$AE$59)</f>
        <v>5180</v>
      </c>
      <c r="N35" s="162">
        <f>M35+LOOKUP(N$5,'Cost Planning'!$G$8:$AE$8,'Cost Planning'!$G$59:$AE$59)</f>
        <v>5920</v>
      </c>
      <c r="O35" s="162">
        <f>N35+LOOKUP(O$5,'Cost Planning'!$G$8:$AE$8,'Cost Planning'!$G$59:$AE$59)</f>
        <v>6660</v>
      </c>
      <c r="P35" s="162">
        <f>O35+LOOKUP(P$5,'Cost Planning'!$G$8:$AE$8,'Cost Planning'!$G$59:$AE$59)</f>
        <v>7400</v>
      </c>
      <c r="Q35" s="162">
        <f>P35+LOOKUP(Q$5,'Cost Planning'!$G$8:$AE$8,'Cost Planning'!$G$59:$AE$59)</f>
        <v>7400</v>
      </c>
      <c r="R35" s="162">
        <f>Q35+LOOKUP(R$5,'Cost Planning'!$G$8:$AE$8,'Cost Planning'!$G$59:$AE$59)</f>
        <v>7400</v>
      </c>
      <c r="S35" s="162">
        <f>R35+LOOKUP(S$5,'Cost Planning'!$G$8:$AE$8,'Cost Planning'!$G$59:$AE$59)</f>
        <v>7400</v>
      </c>
      <c r="T35" s="162">
        <f>S35+LOOKUP(T$5,'Cost Planning'!$G$8:$AE$8,'Cost Planning'!$G$59:$AE$59)</f>
        <v>7400</v>
      </c>
      <c r="U35" s="162">
        <f>T35+LOOKUP(U$5,'Cost Planning'!$G$8:$AE$8,'Cost Planning'!$G$59:$AE$59)</f>
        <v>7400</v>
      </c>
      <c r="V35" s="162">
        <f>U35+LOOKUP(V$5,'Cost Planning'!$G$8:$AE$8,'Cost Planning'!$G$59:$AE$59)</f>
        <v>7400</v>
      </c>
      <c r="W35" s="162">
        <f>V35+LOOKUP(W$5,'Cost Planning'!$G$8:$AE$8,'Cost Planning'!$G$59:$AE$59)</f>
        <v>7400</v>
      </c>
      <c r="X35" s="162">
        <f>W35+LOOKUP(X$5,'Cost Planning'!$G$8:$AE$8,'Cost Planning'!$G$59:$AE$59)</f>
        <v>7400</v>
      </c>
      <c r="Y35" s="162">
        <f>X35+LOOKUP(Y$5,'Cost Planning'!$G$8:$AE$8,'Cost Planning'!$G$59:$AE$59)</f>
        <v>7400</v>
      </c>
      <c r="Z35" s="162">
        <f>Y35+LOOKUP(Z$5,'Cost Planning'!$G$8:$AE$8,'Cost Planning'!$G$59:$AE$59)</f>
        <v>7400</v>
      </c>
      <c r="AA35" s="162">
        <f>Z35+LOOKUP(AA$5,'Cost Planning'!$G$8:$AE$8,'Cost Planning'!$G$59:$AE$59)</f>
        <v>7400</v>
      </c>
      <c r="AB35" s="162">
        <f>AA35+LOOKUP(AB$5,'Cost Planning'!$G$8:$AE$8,'Cost Planning'!$G$59:$AE$59)</f>
        <v>7400</v>
      </c>
      <c r="AC35" s="162">
        <f>AB35+LOOKUP(AC$5,'Cost Planning'!$G$8:$AE$8,'Cost Planning'!$G$59:$AE$59)</f>
        <v>7400</v>
      </c>
    </row>
    <row r="36" spans="2:42" s="68" customFormat="1" ht="25" hidden="1" customHeight="1" outlineLevel="1" x14ac:dyDescent="0.35">
      <c r="B36" s="339" t="s">
        <v>220</v>
      </c>
      <c r="C36" s="329"/>
      <c r="D36" s="162">
        <f>'Project Infor'!C49</f>
        <v>0</v>
      </c>
      <c r="E36" s="162">
        <f>D36+LOOKUP(E$5,'Cost Planning'!$G$8:$AE$8,'Cost Planning'!$G$74:$AE$74)</f>
        <v>20000</v>
      </c>
      <c r="F36" s="162">
        <f>E36+LOOKUP(F$5,'Cost Planning'!$G$8:$AE$8,'Cost Planning'!$G$74:$AE$74)</f>
        <v>40000</v>
      </c>
      <c r="G36" s="162">
        <f>F36+LOOKUP(G$5,'Cost Planning'!$G$8:$AE$8,'Cost Planning'!$G$74:$AE$74)</f>
        <v>40000</v>
      </c>
      <c r="H36" s="162">
        <f>G36+LOOKUP(H$5,'Cost Planning'!$G$8:$AE$8,'Cost Planning'!$G$74:$AE$74)</f>
        <v>40000</v>
      </c>
      <c r="I36" s="162">
        <f>H36+LOOKUP(I$5,'Cost Planning'!$G$8:$AE$8,'Cost Planning'!$G$74:$AE$74)</f>
        <v>40000</v>
      </c>
      <c r="J36" s="162">
        <f>I36+LOOKUP(J$5,'Cost Planning'!$G$8:$AE$8,'Cost Planning'!$G$74:$AE$74)</f>
        <v>40000</v>
      </c>
      <c r="K36" s="162">
        <f>J36+LOOKUP(K$5,'Cost Planning'!$G$8:$AE$8,'Cost Planning'!$G$74:$AE$74)</f>
        <v>40000</v>
      </c>
      <c r="L36" s="162">
        <f>K36+LOOKUP(L$5,'Cost Planning'!$G$8:$AE$8,'Cost Planning'!$G$74:$AE$74)</f>
        <v>40000</v>
      </c>
      <c r="M36" s="162">
        <f>L36+LOOKUP(M$5,'Cost Planning'!$G$8:$AE$8,'Cost Planning'!$G$74:$AE$74)</f>
        <v>40000</v>
      </c>
      <c r="N36" s="162">
        <f>M36+LOOKUP(N$5,'Cost Planning'!$G$8:$AE$8,'Cost Planning'!$G$74:$AE$74)</f>
        <v>40000</v>
      </c>
      <c r="O36" s="162">
        <f>N36+LOOKUP(O$5,'Cost Planning'!$G$8:$AE$8,'Cost Planning'!$G$74:$AE$74)</f>
        <v>40000</v>
      </c>
      <c r="P36" s="162">
        <f>O36+LOOKUP(P$5,'Cost Planning'!$G$8:$AE$8,'Cost Planning'!$G$74:$AE$74)</f>
        <v>40000</v>
      </c>
      <c r="Q36" s="162">
        <f>P36+LOOKUP(Q$5,'Cost Planning'!$G$8:$AE$8,'Cost Planning'!$G$74:$AE$74)</f>
        <v>40000</v>
      </c>
      <c r="R36" s="162">
        <f>Q36+LOOKUP(R$5,'Cost Planning'!$G$8:$AE$8,'Cost Planning'!$G$74:$AE$74)</f>
        <v>40000</v>
      </c>
      <c r="S36" s="162">
        <f>R36+LOOKUP(S$5,'Cost Planning'!$G$8:$AE$8,'Cost Planning'!$G$74:$AE$74)</f>
        <v>40000</v>
      </c>
      <c r="T36" s="162">
        <f>S36+LOOKUP(T$5,'Cost Planning'!$G$8:$AE$8,'Cost Planning'!$G$74:$AE$74)</f>
        <v>40000</v>
      </c>
      <c r="U36" s="162">
        <f>T36+LOOKUP(U$5,'Cost Planning'!$G$8:$AE$8,'Cost Planning'!$G$74:$AE$74)</f>
        <v>40000</v>
      </c>
      <c r="V36" s="162">
        <f>U36+LOOKUP(V$5,'Cost Planning'!$G$8:$AE$8,'Cost Planning'!$G$74:$AE$74)</f>
        <v>40000</v>
      </c>
      <c r="W36" s="162">
        <f>V36+LOOKUP(W$5,'Cost Planning'!$G$8:$AE$8,'Cost Planning'!$G$74:$AE$74)</f>
        <v>40000</v>
      </c>
      <c r="X36" s="162">
        <f>W36+LOOKUP(X$5,'Cost Planning'!$G$8:$AE$8,'Cost Planning'!$G$74:$AE$74)</f>
        <v>40000</v>
      </c>
      <c r="Y36" s="162">
        <f>X36+LOOKUP(Y$5,'Cost Planning'!$G$8:$AE$8,'Cost Planning'!$G$74:$AE$74)</f>
        <v>40000</v>
      </c>
      <c r="Z36" s="162">
        <f>Y36+LOOKUP(Z$5,'Cost Planning'!$G$8:$AE$8,'Cost Planning'!$G$74:$AE$74)</f>
        <v>40000</v>
      </c>
      <c r="AA36" s="162">
        <f>Z36+LOOKUP(AA$5,'Cost Planning'!$G$8:$AE$8,'Cost Planning'!$G$74:$AE$74)</f>
        <v>40000</v>
      </c>
      <c r="AB36" s="162">
        <f>AA36+LOOKUP(AB$5,'Cost Planning'!$G$8:$AE$8,'Cost Planning'!$G$74:$AE$74)</f>
        <v>40000</v>
      </c>
      <c r="AC36" s="162">
        <f>AB36+LOOKUP(AC$5,'Cost Planning'!$G$8:$AE$8,'Cost Planning'!$G$74:$AE$74)</f>
        <v>40000</v>
      </c>
    </row>
    <row r="37" spans="2:42" s="68" customFormat="1" ht="25" customHeight="1" collapsed="1" x14ac:dyDescent="0.35">
      <c r="B37" s="339" t="s">
        <v>8</v>
      </c>
      <c r="C37" s="329"/>
      <c r="D37" s="154">
        <f t="shared" ref="D37:AC37" si="17">SUM(D32:D36)</f>
        <v>0</v>
      </c>
      <c r="E37" s="154">
        <f t="shared" si="17"/>
        <v>37417.5</v>
      </c>
      <c r="F37" s="162">
        <f t="shared" si="17"/>
        <v>74835</v>
      </c>
      <c r="G37" s="162">
        <f t="shared" si="17"/>
        <v>103658.5</v>
      </c>
      <c r="H37" s="162">
        <f t="shared" si="17"/>
        <v>132482</v>
      </c>
      <c r="I37" s="162">
        <f t="shared" si="17"/>
        <v>161305.5</v>
      </c>
      <c r="J37" s="162">
        <f t="shared" si="17"/>
        <v>190129</v>
      </c>
      <c r="K37" s="162">
        <f t="shared" si="17"/>
        <v>218952.5</v>
      </c>
      <c r="L37" s="162">
        <f t="shared" si="17"/>
        <v>247776</v>
      </c>
      <c r="M37" s="162">
        <f t="shared" si="17"/>
        <v>276599.5</v>
      </c>
      <c r="N37" s="162">
        <f t="shared" si="17"/>
        <v>305423</v>
      </c>
      <c r="O37" s="162">
        <f t="shared" si="17"/>
        <v>334246.5</v>
      </c>
      <c r="P37" s="162">
        <f t="shared" si="17"/>
        <v>381445.75704200001</v>
      </c>
      <c r="Q37" s="162">
        <f t="shared" si="17"/>
        <v>381445.75704200001</v>
      </c>
      <c r="R37" s="162">
        <f t="shared" si="17"/>
        <v>381445.75704200001</v>
      </c>
      <c r="S37" s="162">
        <f t="shared" si="17"/>
        <v>381445.75704200001</v>
      </c>
      <c r="T37" s="162">
        <f t="shared" si="17"/>
        <v>381445.75704200001</v>
      </c>
      <c r="U37" s="162">
        <f t="shared" si="17"/>
        <v>381445.75704200001</v>
      </c>
      <c r="V37" s="162">
        <f t="shared" si="17"/>
        <v>381445.75704200001</v>
      </c>
      <c r="W37" s="162">
        <f t="shared" si="17"/>
        <v>381445.75704200001</v>
      </c>
      <c r="X37" s="162">
        <f t="shared" si="17"/>
        <v>381445.75704200001</v>
      </c>
      <c r="Y37" s="162">
        <f t="shared" si="17"/>
        <v>381445.75704200001</v>
      </c>
      <c r="Z37" s="162">
        <f t="shared" si="17"/>
        <v>381445.75704200001</v>
      </c>
      <c r="AA37" s="162">
        <f t="shared" si="17"/>
        <v>381445.75704200001</v>
      </c>
      <c r="AB37" s="162">
        <f t="shared" si="17"/>
        <v>381445.75704200001</v>
      </c>
      <c r="AC37" s="162">
        <f t="shared" si="17"/>
        <v>381445.75704200001</v>
      </c>
    </row>
    <row r="38" spans="2:42" s="68" customFormat="1" ht="25" customHeight="1" x14ac:dyDescent="0.35">
      <c r="B38" s="343" t="s">
        <v>229</v>
      </c>
      <c r="C38" s="329"/>
      <c r="D38" s="163">
        <f t="shared" ref="D38:AC38" si="18">D30-D32-D33-D34-D35-D36</f>
        <v>0</v>
      </c>
      <c r="E38" s="163">
        <f t="shared" ca="1" si="18"/>
        <v>13005.782063900973</v>
      </c>
      <c r="F38" s="163">
        <f t="shared" ca="1" si="18"/>
        <v>26011.564127801947</v>
      </c>
      <c r="G38" s="163">
        <f t="shared" ca="1" si="18"/>
        <v>36030.196033163083</v>
      </c>
      <c r="H38" s="163">
        <f t="shared" ca="1" si="18"/>
        <v>46048.827938524191</v>
      </c>
      <c r="I38" s="163">
        <f t="shared" ca="1" si="18"/>
        <v>56067.459843885328</v>
      </c>
      <c r="J38" s="163">
        <f t="shared" ca="1" si="18"/>
        <v>66086.091749246436</v>
      </c>
      <c r="K38" s="163">
        <f t="shared" ca="1" si="18"/>
        <v>76104.723654607544</v>
      </c>
      <c r="L38" s="163">
        <f t="shared" ca="1" si="18"/>
        <v>86123.355559968739</v>
      </c>
      <c r="M38" s="163">
        <f t="shared" ca="1" si="18"/>
        <v>96141.987465329817</v>
      </c>
      <c r="N38" s="163">
        <f t="shared" ca="1" si="18"/>
        <v>106160.61937069095</v>
      </c>
      <c r="O38" s="163">
        <f t="shared" ca="1" si="18"/>
        <v>116179.25127605203</v>
      </c>
      <c r="P38" s="163">
        <f t="shared" ca="1" si="18"/>
        <v>202450.79295800003</v>
      </c>
      <c r="Q38" s="163">
        <f t="shared" ca="1" si="18"/>
        <v>202450.79295800003</v>
      </c>
      <c r="R38" s="163">
        <f t="shared" ca="1" si="18"/>
        <v>202450.79295800003</v>
      </c>
      <c r="S38" s="163">
        <f t="shared" ca="1" si="18"/>
        <v>202450.79295800003</v>
      </c>
      <c r="T38" s="163">
        <f t="shared" ca="1" si="18"/>
        <v>202450.79295800003</v>
      </c>
      <c r="U38" s="163">
        <f t="shared" ca="1" si="18"/>
        <v>202450.79295800003</v>
      </c>
      <c r="V38" s="163">
        <f t="shared" ca="1" si="18"/>
        <v>202450.79295800003</v>
      </c>
      <c r="W38" s="163">
        <f t="shared" ca="1" si="18"/>
        <v>202450.79295800003</v>
      </c>
      <c r="X38" s="163">
        <f t="shared" ca="1" si="18"/>
        <v>202450.79295800003</v>
      </c>
      <c r="Y38" s="163">
        <f t="shared" ca="1" si="18"/>
        <v>202450.79295800003</v>
      </c>
      <c r="Z38" s="163">
        <f t="shared" ca="1" si="18"/>
        <v>202450.79295800003</v>
      </c>
      <c r="AA38" s="163">
        <f t="shared" ca="1" si="18"/>
        <v>202450.79295800003</v>
      </c>
      <c r="AB38" s="163">
        <f t="shared" ca="1" si="18"/>
        <v>202450.79295800003</v>
      </c>
      <c r="AC38" s="163">
        <f t="shared" ca="1" si="18"/>
        <v>132585.03067516466</v>
      </c>
    </row>
    <row r="39" spans="2:42" x14ac:dyDescent="0.3">
      <c r="E39" s="25"/>
      <c r="F39" s="25"/>
      <c r="G39" s="25"/>
      <c r="H39" s="25"/>
      <c r="I39" s="25"/>
      <c r="J39" s="25"/>
      <c r="K39" s="25"/>
      <c r="L39" s="25"/>
      <c r="M39" s="25"/>
      <c r="N39" s="25"/>
      <c r="O39" s="25"/>
      <c r="P39" s="25"/>
      <c r="Q39" s="25"/>
      <c r="R39" s="25"/>
      <c r="S39" s="25"/>
      <c r="T39" s="25"/>
      <c r="U39" s="25"/>
      <c r="V39" s="25"/>
      <c r="W39" s="25"/>
      <c r="X39" s="25"/>
      <c r="Y39" s="25"/>
      <c r="Z39" s="25"/>
      <c r="AA39" s="25"/>
      <c r="AB39" s="25"/>
      <c r="AC39" s="25"/>
    </row>
    <row r="40" spans="2:42" s="68" customFormat="1" ht="25" customHeight="1" x14ac:dyDescent="0.35">
      <c r="B40" s="342" t="s">
        <v>230</v>
      </c>
      <c r="C40" s="329"/>
      <c r="D40" s="165"/>
      <c r="E40" s="182" t="b">
        <f t="shared" ref="E40:AC40" ca="1" si="19">IF(OFFSET(E4,0,1)="Fin",E6)</f>
        <v>0</v>
      </c>
      <c r="F40" s="182" t="b">
        <f t="shared" ca="1" si="19"/>
        <v>0</v>
      </c>
      <c r="G40" s="182" t="b">
        <f t="shared" ca="1" si="19"/>
        <v>0</v>
      </c>
      <c r="H40" s="182" t="b">
        <f t="shared" ca="1" si="19"/>
        <v>0</v>
      </c>
      <c r="I40" s="182" t="b">
        <f t="shared" ca="1" si="19"/>
        <v>0</v>
      </c>
      <c r="J40" s="182" t="b">
        <f t="shared" ca="1" si="19"/>
        <v>0</v>
      </c>
      <c r="K40" s="182" t="b">
        <f t="shared" ca="1" si="19"/>
        <v>0</v>
      </c>
      <c r="L40" s="182" t="b">
        <f t="shared" ca="1" si="19"/>
        <v>0</v>
      </c>
      <c r="M40" s="182" t="b">
        <f t="shared" ca="1" si="19"/>
        <v>0</v>
      </c>
      <c r="N40" s="182" t="b">
        <f t="shared" ca="1" si="19"/>
        <v>0</v>
      </c>
      <c r="O40" s="182" t="b">
        <f t="shared" ca="1" si="19"/>
        <v>0</v>
      </c>
      <c r="P40" s="182">
        <f t="shared" ca="1" si="19"/>
        <v>583896.55000000005</v>
      </c>
      <c r="Q40" s="182">
        <f t="shared" ca="1" si="19"/>
        <v>583896.55000000005</v>
      </c>
      <c r="R40" s="182">
        <f t="shared" ca="1" si="19"/>
        <v>583896.55000000005</v>
      </c>
      <c r="S40" s="182">
        <f t="shared" ca="1" si="19"/>
        <v>583896.55000000005</v>
      </c>
      <c r="T40" s="182">
        <f t="shared" ca="1" si="19"/>
        <v>583896.55000000005</v>
      </c>
      <c r="U40" s="182">
        <f t="shared" ca="1" si="19"/>
        <v>583896.55000000005</v>
      </c>
      <c r="V40" s="182">
        <f t="shared" ca="1" si="19"/>
        <v>583896.55000000005</v>
      </c>
      <c r="W40" s="182">
        <f t="shared" ca="1" si="19"/>
        <v>583896.55000000005</v>
      </c>
      <c r="X40" s="182">
        <f t="shared" ca="1" si="19"/>
        <v>583896.55000000005</v>
      </c>
      <c r="Y40" s="182">
        <f t="shared" ca="1" si="19"/>
        <v>583896.55000000005</v>
      </c>
      <c r="Z40" s="182">
        <f t="shared" ca="1" si="19"/>
        <v>583896.55000000005</v>
      </c>
      <c r="AA40" s="182">
        <f t="shared" ca="1" si="19"/>
        <v>583896.55000000005</v>
      </c>
      <c r="AB40" s="182">
        <f t="shared" ca="1" si="19"/>
        <v>583896.55000000005</v>
      </c>
      <c r="AC40" s="182" t="b">
        <f t="shared" ca="1" si="19"/>
        <v>0</v>
      </c>
      <c r="AE40" s="22"/>
      <c r="AF40" s="22"/>
      <c r="AG40" s="22"/>
      <c r="AH40" s="22"/>
      <c r="AI40" s="22"/>
      <c r="AJ40" s="22"/>
      <c r="AK40" s="22"/>
      <c r="AL40" s="22"/>
      <c r="AM40" s="22"/>
      <c r="AN40" s="22"/>
      <c r="AO40" s="22"/>
      <c r="AP40" s="22"/>
    </row>
    <row r="41" spans="2:42" x14ac:dyDescent="0.3">
      <c r="B41" s="166"/>
      <c r="E41" s="25"/>
      <c r="F41" s="25"/>
      <c r="G41" s="25"/>
      <c r="H41" s="25"/>
      <c r="I41" s="25"/>
      <c r="J41" s="25"/>
      <c r="K41" s="25"/>
      <c r="L41" s="25"/>
      <c r="M41" s="25"/>
      <c r="N41" s="25"/>
      <c r="O41" s="25"/>
      <c r="P41" s="25"/>
      <c r="Q41" s="25"/>
      <c r="R41" s="25"/>
      <c r="S41" s="25"/>
      <c r="T41" s="25"/>
      <c r="U41" s="25"/>
      <c r="V41" s="25"/>
      <c r="W41" s="25"/>
      <c r="X41" s="25"/>
      <c r="Y41" s="25"/>
      <c r="Z41" s="25"/>
      <c r="AA41" s="25"/>
      <c r="AB41" s="25"/>
      <c r="AC41" s="25"/>
    </row>
    <row r="42" spans="2:42" s="68" customFormat="1" ht="25" customHeight="1" x14ac:dyDescent="0.35">
      <c r="B42" s="342" t="s">
        <v>231</v>
      </c>
      <c r="C42" s="329"/>
      <c r="D42" s="165">
        <f>'Project Infor'!C54</f>
        <v>0</v>
      </c>
      <c r="E42" s="2"/>
      <c r="F42" s="2"/>
      <c r="G42" s="2"/>
      <c r="H42" s="2"/>
      <c r="I42" s="2"/>
      <c r="J42" s="2"/>
      <c r="K42" s="2"/>
      <c r="L42" s="2"/>
      <c r="M42" s="2"/>
      <c r="N42" s="2"/>
      <c r="O42" s="2"/>
      <c r="P42" s="2"/>
      <c r="Q42" s="2"/>
      <c r="R42" s="2"/>
      <c r="S42" s="2"/>
      <c r="T42" s="2"/>
      <c r="U42" s="2"/>
      <c r="V42" s="2"/>
      <c r="W42" s="2"/>
      <c r="X42" s="2"/>
      <c r="Y42" s="2"/>
      <c r="Z42" s="2"/>
      <c r="AA42" s="2"/>
      <c r="AB42" s="2"/>
      <c r="AC42" s="2"/>
      <c r="AE42" s="22"/>
      <c r="AF42" s="22"/>
      <c r="AG42" s="22"/>
      <c r="AH42" s="22"/>
      <c r="AI42" s="22"/>
      <c r="AJ42" s="22"/>
      <c r="AK42" s="22"/>
      <c r="AL42" s="22"/>
      <c r="AM42" s="22"/>
      <c r="AN42" s="22"/>
      <c r="AO42" s="22"/>
      <c r="AP42" s="22"/>
    </row>
    <row r="43" spans="2:42" s="68" customFormat="1" ht="25" customHeight="1" x14ac:dyDescent="0.35">
      <c r="B43" s="340" t="s">
        <v>232</v>
      </c>
      <c r="C43" s="329"/>
      <c r="D43" s="156">
        <f>D42</f>
        <v>0</v>
      </c>
      <c r="E43" s="156">
        <f t="shared" ref="E43:AC43" si="20">E42+D43</f>
        <v>0</v>
      </c>
      <c r="F43" s="156">
        <f t="shared" si="20"/>
        <v>0</v>
      </c>
      <c r="G43" s="156">
        <f t="shared" si="20"/>
        <v>0</v>
      </c>
      <c r="H43" s="156">
        <f t="shared" si="20"/>
        <v>0</v>
      </c>
      <c r="I43" s="156">
        <f t="shared" si="20"/>
        <v>0</v>
      </c>
      <c r="J43" s="156">
        <f t="shared" si="20"/>
        <v>0</v>
      </c>
      <c r="K43" s="156">
        <f t="shared" si="20"/>
        <v>0</v>
      </c>
      <c r="L43" s="156">
        <f t="shared" si="20"/>
        <v>0</v>
      </c>
      <c r="M43" s="156">
        <f t="shared" si="20"/>
        <v>0</v>
      </c>
      <c r="N43" s="156">
        <f t="shared" si="20"/>
        <v>0</v>
      </c>
      <c r="O43" s="156">
        <f t="shared" si="20"/>
        <v>0</v>
      </c>
      <c r="P43" s="156">
        <f t="shared" si="20"/>
        <v>0</v>
      </c>
      <c r="Q43" s="156">
        <f t="shared" si="20"/>
        <v>0</v>
      </c>
      <c r="R43" s="156">
        <f t="shared" si="20"/>
        <v>0</v>
      </c>
      <c r="S43" s="156">
        <f t="shared" si="20"/>
        <v>0</v>
      </c>
      <c r="T43" s="156">
        <f t="shared" si="20"/>
        <v>0</v>
      </c>
      <c r="U43" s="156">
        <f t="shared" si="20"/>
        <v>0</v>
      </c>
      <c r="V43" s="156">
        <f t="shared" si="20"/>
        <v>0</v>
      </c>
      <c r="W43" s="156">
        <f t="shared" si="20"/>
        <v>0</v>
      </c>
      <c r="X43" s="156">
        <f t="shared" si="20"/>
        <v>0</v>
      </c>
      <c r="Y43" s="156">
        <f t="shared" si="20"/>
        <v>0</v>
      </c>
      <c r="Z43" s="156">
        <f t="shared" si="20"/>
        <v>0</v>
      </c>
      <c r="AA43" s="156">
        <f t="shared" si="20"/>
        <v>0</v>
      </c>
      <c r="AB43" s="156">
        <f t="shared" si="20"/>
        <v>0</v>
      </c>
      <c r="AC43" s="156">
        <f t="shared" si="20"/>
        <v>0</v>
      </c>
    </row>
    <row r="44" spans="2:42" s="68" customFormat="1" ht="25" customHeight="1" x14ac:dyDescent="0.35">
      <c r="B44" s="340" t="s">
        <v>233</v>
      </c>
      <c r="C44" s="329"/>
      <c r="D44" s="164"/>
      <c r="E44" s="164">
        <f t="shared" ref="E44:AC44" ca="1" si="21">E43-E30</f>
        <v>-50423.282063900973</v>
      </c>
      <c r="F44" s="164">
        <f t="shared" ca="1" si="21"/>
        <v>-100846.56412780195</v>
      </c>
      <c r="G44" s="164">
        <f t="shared" ca="1" si="21"/>
        <v>-139688.69603316308</v>
      </c>
      <c r="H44" s="164">
        <f t="shared" ca="1" si="21"/>
        <v>-178530.82793852419</v>
      </c>
      <c r="I44" s="164">
        <f t="shared" ca="1" si="21"/>
        <v>-217372.95984388533</v>
      </c>
      <c r="J44" s="164">
        <f t="shared" ca="1" si="21"/>
        <v>-256215.09174924644</v>
      </c>
      <c r="K44" s="164">
        <f t="shared" ca="1" si="21"/>
        <v>-295057.22365460754</v>
      </c>
      <c r="L44" s="164">
        <f t="shared" ca="1" si="21"/>
        <v>-333899.35555996874</v>
      </c>
      <c r="M44" s="164">
        <f t="shared" ca="1" si="21"/>
        <v>-372741.48746532982</v>
      </c>
      <c r="N44" s="164">
        <f t="shared" ca="1" si="21"/>
        <v>-411583.61937069095</v>
      </c>
      <c r="O44" s="164">
        <f t="shared" ca="1" si="21"/>
        <v>-450425.75127605203</v>
      </c>
      <c r="P44" s="164">
        <f t="shared" ca="1" si="21"/>
        <v>-583896.55000000005</v>
      </c>
      <c r="Q44" s="164">
        <f t="shared" ca="1" si="21"/>
        <v>-583896.55000000005</v>
      </c>
      <c r="R44" s="164">
        <f t="shared" ca="1" si="21"/>
        <v>-583896.55000000005</v>
      </c>
      <c r="S44" s="164">
        <f t="shared" ca="1" si="21"/>
        <v>-583896.55000000005</v>
      </c>
      <c r="T44" s="164">
        <f t="shared" ca="1" si="21"/>
        <v>-583896.55000000005</v>
      </c>
      <c r="U44" s="164">
        <f t="shared" ca="1" si="21"/>
        <v>-583896.55000000005</v>
      </c>
      <c r="V44" s="164">
        <f t="shared" ca="1" si="21"/>
        <v>-583896.55000000005</v>
      </c>
      <c r="W44" s="164">
        <f t="shared" ca="1" si="21"/>
        <v>-583896.55000000005</v>
      </c>
      <c r="X44" s="164">
        <f t="shared" ca="1" si="21"/>
        <v>-583896.55000000005</v>
      </c>
      <c r="Y44" s="164">
        <f t="shared" ca="1" si="21"/>
        <v>-583896.55000000005</v>
      </c>
      <c r="Z44" s="164">
        <f t="shared" ca="1" si="21"/>
        <v>-583896.55000000005</v>
      </c>
      <c r="AA44" s="164">
        <f t="shared" ca="1" si="21"/>
        <v>-583896.55000000005</v>
      </c>
      <c r="AB44" s="164">
        <f t="shared" ca="1" si="21"/>
        <v>-583896.55000000005</v>
      </c>
      <c r="AC44" s="164">
        <f t="shared" ca="1" si="21"/>
        <v>-514030.78771716467</v>
      </c>
      <c r="AE44" s="22"/>
      <c r="AF44" s="22"/>
      <c r="AG44" s="22"/>
      <c r="AH44" s="22"/>
      <c r="AI44" s="22"/>
      <c r="AJ44" s="22"/>
      <c r="AK44" s="22"/>
      <c r="AL44" s="22"/>
      <c r="AM44" s="22"/>
      <c r="AN44" s="22"/>
      <c r="AO44" s="22"/>
      <c r="AP44" s="22"/>
    </row>
    <row r="45" spans="2:42" x14ac:dyDescent="0.3">
      <c r="B45" s="166"/>
      <c r="E45" s="25"/>
      <c r="F45" s="25"/>
      <c r="G45" s="25"/>
      <c r="H45" s="25"/>
      <c r="I45" s="25"/>
      <c r="J45" s="25"/>
      <c r="K45" s="25"/>
      <c r="L45" s="25"/>
      <c r="M45" s="25"/>
      <c r="N45" s="25"/>
      <c r="O45" s="25"/>
      <c r="P45" s="25"/>
      <c r="Q45" s="25"/>
      <c r="R45" s="25"/>
      <c r="S45" s="25"/>
      <c r="T45" s="25"/>
      <c r="U45" s="25"/>
      <c r="V45" s="25"/>
      <c r="W45" s="25"/>
      <c r="X45" s="25"/>
      <c r="Y45" s="25"/>
      <c r="Z45" s="25"/>
      <c r="AA45" s="25"/>
      <c r="AB45" s="25"/>
      <c r="AC45" s="25"/>
    </row>
    <row r="46" spans="2:42" x14ac:dyDescent="0.3">
      <c r="E46" s="25"/>
      <c r="F46" s="25"/>
      <c r="G46" s="25"/>
      <c r="H46" s="25"/>
      <c r="I46" s="25"/>
      <c r="J46" s="25"/>
      <c r="K46" s="25"/>
      <c r="L46" s="25"/>
      <c r="M46" s="167"/>
      <c r="N46" s="25"/>
    </row>
  </sheetData>
  <sheetProtection algorithmName="SHA-512" hashValue="4WV53rAKX3my1eIG2tUUlgjDAXjP12YpRY+RvWEQ4AlTXCIgDdlcIEh2WEniFQrTMDGS9xwXfvgp68tWjoNjsw==" saltValue="QKjoZvezD60v8xrKptKfbQ==" spinCount="100000" sheet="1" objects="1" scenarios="1" pivotTables="0"/>
  <mergeCells count="36">
    <mergeCell ref="B5:C5"/>
    <mergeCell ref="B20:C20"/>
    <mergeCell ref="B36:C36"/>
    <mergeCell ref="B32:C32"/>
    <mergeCell ref="B26:C26"/>
    <mergeCell ref="B35:C35"/>
    <mergeCell ref="B6:C6"/>
    <mergeCell ref="B24:C24"/>
    <mergeCell ref="B30:C30"/>
    <mergeCell ref="B15:C15"/>
    <mergeCell ref="B33:C33"/>
    <mergeCell ref="B44:C44"/>
    <mergeCell ref="B38:C38"/>
    <mergeCell ref="B29:C29"/>
    <mergeCell ref="B19:C19"/>
    <mergeCell ref="B34:C34"/>
    <mergeCell ref="B37:C37"/>
    <mergeCell ref="B40:C40"/>
    <mergeCell ref="B43:C43"/>
    <mergeCell ref="B12:C12"/>
    <mergeCell ref="B21:C21"/>
    <mergeCell ref="B11:C11"/>
    <mergeCell ref="B42:C42"/>
    <mergeCell ref="B23:C23"/>
    <mergeCell ref="B14:C14"/>
    <mergeCell ref="B17:C17"/>
    <mergeCell ref="B13:C13"/>
    <mergeCell ref="B7:C7"/>
    <mergeCell ref="B25:C25"/>
    <mergeCell ref="B22:C22"/>
    <mergeCell ref="B31:C31"/>
    <mergeCell ref="B27:C27"/>
    <mergeCell ref="B18:C18"/>
    <mergeCell ref="B8:C8"/>
    <mergeCell ref="B10:C10"/>
    <mergeCell ref="B9:C9"/>
  </mergeCells>
  <conditionalFormatting sqref="E4">
    <cfRule type="expression" dxfId="284" priority="351">
      <formula>$E$4="Fin"</formula>
    </cfRule>
    <cfRule type="expression" dxfId="283" priority="352">
      <formula>$E$4="Prev"</formula>
    </cfRule>
    <cfRule type="expression" dxfId="282" priority="353">
      <formula>$E$4="Real"</formula>
    </cfRule>
  </conditionalFormatting>
  <conditionalFormatting sqref="E40">
    <cfRule type="expression" dxfId="281" priority="66">
      <formula>$E$40=FALSE</formula>
    </cfRule>
  </conditionalFormatting>
  <conditionalFormatting sqref="F4">
    <cfRule type="expression" dxfId="280" priority="356">
      <formula>$F$4="Real"</formula>
    </cfRule>
    <cfRule type="expression" dxfId="279" priority="354">
      <formula>$F$4="Fin"</formula>
    </cfRule>
    <cfRule type="expression" dxfId="278" priority="355">
      <formula>$F$4="Prev"</formula>
    </cfRule>
  </conditionalFormatting>
  <conditionalFormatting sqref="F6">
    <cfRule type="expression" dxfId="277" priority="78">
      <formula>$F$4="Fin"</formula>
    </cfRule>
  </conditionalFormatting>
  <conditionalFormatting sqref="F7:F13">
    <cfRule type="expression" dxfId="276" priority="77">
      <formula>$F$4="Fin"</formula>
    </cfRule>
  </conditionalFormatting>
  <conditionalFormatting sqref="F14:F15 F38 F43:F44">
    <cfRule type="expression" dxfId="275" priority="76">
      <formula>$F$4="Fin"</formula>
    </cfRule>
  </conditionalFormatting>
  <conditionalFormatting sqref="F18">
    <cfRule type="expression" dxfId="274" priority="75">
      <formula>$F$4="Fin"</formula>
    </cfRule>
  </conditionalFormatting>
  <conditionalFormatting sqref="F19:F25">
    <cfRule type="expression" dxfId="273" priority="74">
      <formula>$F$4="Fin"</formula>
    </cfRule>
  </conditionalFormatting>
  <conditionalFormatting sqref="F26:F27">
    <cfRule type="expression" dxfId="272" priority="73">
      <formula>$F$4="Fin"</formula>
    </cfRule>
  </conditionalFormatting>
  <conditionalFormatting sqref="F30">
    <cfRule type="expression" dxfId="271" priority="72">
      <formula>$F$4="Fin"</formula>
    </cfRule>
  </conditionalFormatting>
  <conditionalFormatting sqref="F31:F37">
    <cfRule type="expression" dxfId="270" priority="71">
      <formula>$F$4="Fin"</formula>
    </cfRule>
  </conditionalFormatting>
  <conditionalFormatting sqref="F40">
    <cfRule type="expression" dxfId="269" priority="69">
      <formula>$F$4="Fin"</formula>
    </cfRule>
    <cfRule type="expression" dxfId="268" priority="68">
      <formula>$F$40=FALSE</formula>
    </cfRule>
  </conditionalFormatting>
  <conditionalFormatting sqref="G4">
    <cfRule type="expression" dxfId="267" priority="357">
      <formula>$G$4="Fin"</formula>
    </cfRule>
    <cfRule type="expression" dxfId="266" priority="359">
      <formula>$G$4="Real"</formula>
    </cfRule>
    <cfRule type="expression" dxfId="265" priority="358">
      <formula>$G$4="Prev"</formula>
    </cfRule>
  </conditionalFormatting>
  <conditionalFormatting sqref="G6">
    <cfRule type="expression" dxfId="264" priority="89">
      <formula>$G$4="Fin"</formula>
    </cfRule>
  </conditionalFormatting>
  <conditionalFormatting sqref="G7:G13">
    <cfRule type="expression" dxfId="263" priority="88">
      <formula>$G$4="Fin"</formula>
    </cfRule>
  </conditionalFormatting>
  <conditionalFormatting sqref="G14:G15 G38 G43:G44">
    <cfRule type="expression" dxfId="262" priority="87">
      <formula>$G$4="Fin"</formula>
    </cfRule>
  </conditionalFormatting>
  <conditionalFormatting sqref="G18">
    <cfRule type="expression" dxfId="261" priority="86">
      <formula>$G$4="Fin"</formula>
    </cfRule>
  </conditionalFormatting>
  <conditionalFormatting sqref="G19:G25">
    <cfRule type="expression" dxfId="260" priority="85">
      <formula>$G$4="Fin"</formula>
    </cfRule>
  </conditionalFormatting>
  <conditionalFormatting sqref="G26:G27">
    <cfRule type="expression" dxfId="259" priority="84">
      <formula>$G$4="Fin"</formula>
    </cfRule>
  </conditionalFormatting>
  <conditionalFormatting sqref="G30">
    <cfRule type="expression" dxfId="258" priority="83">
      <formula>$G$4="Fin"</formula>
    </cfRule>
  </conditionalFormatting>
  <conditionalFormatting sqref="G31:G37">
    <cfRule type="expression" dxfId="257" priority="82">
      <formula>$G$4="Fin"</formula>
    </cfRule>
  </conditionalFormatting>
  <conditionalFormatting sqref="G40">
    <cfRule type="expression" dxfId="256" priority="79">
      <formula>$G$40=FALSE</formula>
    </cfRule>
    <cfRule type="expression" dxfId="255" priority="80">
      <formula>$G$4="Fin"</formula>
    </cfRule>
  </conditionalFormatting>
  <conditionalFormatting sqref="H4">
    <cfRule type="expression" dxfId="254" priority="361">
      <formula>$H$4="Prev"</formula>
    </cfRule>
    <cfRule type="expression" dxfId="253" priority="360">
      <formula>$H$4="Fin"</formula>
    </cfRule>
    <cfRule type="expression" dxfId="252" priority="362">
      <formula>$H$4="Real"</formula>
    </cfRule>
  </conditionalFormatting>
  <conditionalFormatting sqref="H6">
    <cfRule type="expression" dxfId="251" priority="100">
      <formula>$H$4="Fin"</formula>
    </cfRule>
  </conditionalFormatting>
  <conditionalFormatting sqref="H7:H13">
    <cfRule type="expression" dxfId="250" priority="99">
      <formula>$H$4="Fin"</formula>
    </cfRule>
  </conditionalFormatting>
  <conditionalFormatting sqref="H14:H15 H38 H43:H44">
    <cfRule type="expression" dxfId="249" priority="98">
      <formula>$H$4="Fin"</formula>
    </cfRule>
  </conditionalFormatting>
  <conditionalFormatting sqref="H18">
    <cfRule type="expression" dxfId="248" priority="97">
      <formula>$H$4="Fin"</formula>
    </cfRule>
  </conditionalFormatting>
  <conditionalFormatting sqref="H19:H25">
    <cfRule type="expression" dxfId="247" priority="96">
      <formula>$H$4="Fin"</formula>
    </cfRule>
  </conditionalFormatting>
  <conditionalFormatting sqref="H26:H27">
    <cfRule type="expression" dxfId="246" priority="95">
      <formula>$H$4="Fin"</formula>
    </cfRule>
  </conditionalFormatting>
  <conditionalFormatting sqref="H30">
    <cfRule type="expression" dxfId="245" priority="94">
      <formula>$H$4="Fin"</formula>
    </cfRule>
  </conditionalFormatting>
  <conditionalFormatting sqref="H31:H37">
    <cfRule type="expression" dxfId="244" priority="93">
      <formula>$H$4="Fin"</formula>
    </cfRule>
  </conditionalFormatting>
  <conditionalFormatting sqref="H40">
    <cfRule type="expression" dxfId="243" priority="91">
      <formula>$H$4="Fin"</formula>
    </cfRule>
    <cfRule type="expression" dxfId="242" priority="90">
      <formula>$H$40=FALSE</formula>
    </cfRule>
  </conditionalFormatting>
  <conditionalFormatting sqref="I4">
    <cfRule type="expression" dxfId="241" priority="363">
      <formula>$I$4="Fin"</formula>
    </cfRule>
    <cfRule type="expression" dxfId="240" priority="364">
      <formula>$I$4="Prev"</formula>
    </cfRule>
    <cfRule type="expression" dxfId="239" priority="365">
      <formula>$I$4="Real"</formula>
    </cfRule>
  </conditionalFormatting>
  <conditionalFormatting sqref="I6">
    <cfRule type="expression" dxfId="238" priority="111">
      <formula>$I$4="Fin"</formula>
    </cfRule>
  </conditionalFormatting>
  <conditionalFormatting sqref="I7:I13">
    <cfRule type="expression" dxfId="237" priority="110">
      <formula>$I$4="Fin"</formula>
    </cfRule>
  </conditionalFormatting>
  <conditionalFormatting sqref="I14:I15 I38 I43:I44">
    <cfRule type="expression" dxfId="236" priority="109">
      <formula>$I$4="Fin"</formula>
    </cfRule>
  </conditionalFormatting>
  <conditionalFormatting sqref="I18">
    <cfRule type="expression" dxfId="235" priority="108">
      <formula>$I$4="Fin"</formula>
    </cfRule>
  </conditionalFormatting>
  <conditionalFormatting sqref="I19:I25">
    <cfRule type="expression" dxfId="234" priority="107">
      <formula>$I$4="Fin"</formula>
    </cfRule>
  </conditionalFormatting>
  <conditionalFormatting sqref="I26:I27">
    <cfRule type="expression" dxfId="233" priority="106">
      <formula>$I$4="Fin"</formula>
    </cfRule>
  </conditionalFormatting>
  <conditionalFormatting sqref="I30">
    <cfRule type="expression" dxfId="232" priority="105">
      <formula>$I$4="Fin"</formula>
    </cfRule>
  </conditionalFormatting>
  <conditionalFormatting sqref="I31:I37">
    <cfRule type="expression" dxfId="231" priority="104">
      <formula>$I$4="Fin"</formula>
    </cfRule>
  </conditionalFormatting>
  <conditionalFormatting sqref="I40">
    <cfRule type="expression" dxfId="230" priority="101">
      <formula>$I$40=FALSE</formula>
    </cfRule>
    <cfRule type="expression" dxfId="229" priority="102">
      <formula>$I$4="Fin"</formula>
    </cfRule>
  </conditionalFormatting>
  <conditionalFormatting sqref="J4">
    <cfRule type="expression" dxfId="228" priority="350">
      <formula>$J$4="Real"</formula>
    </cfRule>
    <cfRule type="expression" dxfId="227" priority="349">
      <formula>$J$4="Prev"</formula>
    </cfRule>
    <cfRule type="expression" dxfId="226" priority="348">
      <formula>$J$4="Fin"</formula>
    </cfRule>
  </conditionalFormatting>
  <conditionalFormatting sqref="J6">
    <cfRule type="expression" dxfId="225" priority="122">
      <formula>$J$4="Fin"</formula>
    </cfRule>
  </conditionalFormatting>
  <conditionalFormatting sqref="J7:J13">
    <cfRule type="expression" dxfId="224" priority="121">
      <formula>$J$4="Fin"</formula>
    </cfRule>
  </conditionalFormatting>
  <conditionalFormatting sqref="J14:J15 J38 J43:J44">
    <cfRule type="expression" dxfId="223" priority="120">
      <formula>$J$4="Fin"</formula>
    </cfRule>
  </conditionalFormatting>
  <conditionalFormatting sqref="J18">
    <cfRule type="expression" dxfId="222" priority="119">
      <formula>$J$4="Fin"</formula>
    </cfRule>
  </conditionalFormatting>
  <conditionalFormatting sqref="J19:J25">
    <cfRule type="expression" dxfId="221" priority="118">
      <formula>$J$4="Fin"</formula>
    </cfRule>
  </conditionalFormatting>
  <conditionalFormatting sqref="J26:J27">
    <cfRule type="expression" dxfId="220" priority="117">
      <formula>$J$4="Fin"</formula>
    </cfRule>
  </conditionalFormatting>
  <conditionalFormatting sqref="J30">
    <cfRule type="expression" dxfId="219" priority="116">
      <formula>$J$4="Fin"</formula>
    </cfRule>
  </conditionalFormatting>
  <conditionalFormatting sqref="J31:J37">
    <cfRule type="expression" dxfId="218" priority="115">
      <formula>$J$4="Fin"</formula>
    </cfRule>
  </conditionalFormatting>
  <conditionalFormatting sqref="J40">
    <cfRule type="expression" dxfId="217" priority="112">
      <formula>$J$40=FALSE</formula>
    </cfRule>
    <cfRule type="expression" dxfId="216" priority="113">
      <formula>$J$4="Fin"</formula>
    </cfRule>
  </conditionalFormatting>
  <conditionalFormatting sqref="K4">
    <cfRule type="expression" dxfId="215" priority="345">
      <formula>$K$4="Fin"</formula>
    </cfRule>
    <cfRule type="expression" dxfId="214" priority="347">
      <formula>$K$4="Real"</formula>
    </cfRule>
    <cfRule type="expression" dxfId="213" priority="346">
      <formula>$K$4="Prev"</formula>
    </cfRule>
  </conditionalFormatting>
  <conditionalFormatting sqref="K6">
    <cfRule type="expression" dxfId="212" priority="133">
      <formula>$K$4="Fin"</formula>
    </cfRule>
  </conditionalFormatting>
  <conditionalFormatting sqref="K7:K13">
    <cfRule type="expression" dxfId="211" priority="132">
      <formula>$K$4="Fin"</formula>
    </cfRule>
  </conditionalFormatting>
  <conditionalFormatting sqref="K14:K15 K38 K43:K44">
    <cfRule type="expression" dxfId="210" priority="131">
      <formula>$K$4="Fin"</formula>
    </cfRule>
  </conditionalFormatting>
  <conditionalFormatting sqref="K18">
    <cfRule type="expression" dxfId="209" priority="130">
      <formula>$K$4="Fin"</formula>
    </cfRule>
  </conditionalFormatting>
  <conditionalFormatting sqref="K19:K25">
    <cfRule type="expression" dxfId="208" priority="129">
      <formula>$K$4="Fin"</formula>
    </cfRule>
  </conditionalFormatting>
  <conditionalFormatting sqref="K26:K27">
    <cfRule type="expression" dxfId="207" priority="128">
      <formula>$K$4="Fin"</formula>
    </cfRule>
  </conditionalFormatting>
  <conditionalFormatting sqref="K30">
    <cfRule type="expression" dxfId="206" priority="127">
      <formula>$K$4="Fin"</formula>
    </cfRule>
  </conditionalFormatting>
  <conditionalFormatting sqref="K31:K37">
    <cfRule type="expression" dxfId="205" priority="126">
      <formula>$K$4="Fin"</formula>
    </cfRule>
  </conditionalFormatting>
  <conditionalFormatting sqref="K40">
    <cfRule type="expression" dxfId="204" priority="124">
      <formula>$K$4="Fin"</formula>
    </cfRule>
    <cfRule type="expression" dxfId="203" priority="123">
      <formula>$K$40=FALSE</formula>
    </cfRule>
  </conditionalFormatting>
  <conditionalFormatting sqref="L4">
    <cfRule type="expression" dxfId="202" priority="342">
      <formula>$L$4="Fin"</formula>
    </cfRule>
    <cfRule type="expression" dxfId="201" priority="343">
      <formula>$L$4="Prev"</formula>
    </cfRule>
    <cfRule type="expression" dxfId="200" priority="344">
      <formula>$L$4="Real"</formula>
    </cfRule>
  </conditionalFormatting>
  <conditionalFormatting sqref="L6">
    <cfRule type="expression" dxfId="199" priority="144">
      <formula>$L$4="Fin"</formula>
    </cfRule>
  </conditionalFormatting>
  <conditionalFormatting sqref="L7:L13">
    <cfRule type="expression" dxfId="198" priority="143">
      <formula>$L$4="Fin"</formula>
    </cfRule>
  </conditionalFormatting>
  <conditionalFormatting sqref="L14:L15 L38 L43:L44">
    <cfRule type="expression" dxfId="197" priority="142">
      <formula>$L$4="Fin"</formula>
    </cfRule>
  </conditionalFormatting>
  <conditionalFormatting sqref="L18">
    <cfRule type="expression" dxfId="196" priority="141">
      <formula>$L$4="Fin"</formula>
    </cfRule>
  </conditionalFormatting>
  <conditionalFormatting sqref="L19:L25">
    <cfRule type="expression" dxfId="195" priority="140">
      <formula>$L$4="Fin"</formula>
    </cfRule>
  </conditionalFormatting>
  <conditionalFormatting sqref="L26:L27">
    <cfRule type="expression" dxfId="194" priority="139">
      <formula>$L$4="Fin"</formula>
    </cfRule>
  </conditionalFormatting>
  <conditionalFormatting sqref="L30">
    <cfRule type="expression" dxfId="193" priority="138">
      <formula>$L$4="Fin"</formula>
    </cfRule>
  </conditionalFormatting>
  <conditionalFormatting sqref="L31:L37">
    <cfRule type="expression" dxfId="192" priority="137">
      <formula>$L$4="Fin"</formula>
    </cfRule>
  </conditionalFormatting>
  <conditionalFormatting sqref="L40">
    <cfRule type="expression" dxfId="191" priority="135">
      <formula>$L$4="Fin"</formula>
    </cfRule>
    <cfRule type="expression" dxfId="190" priority="134">
      <formula>$L$40=FALSE</formula>
    </cfRule>
  </conditionalFormatting>
  <conditionalFormatting sqref="M4">
    <cfRule type="expression" dxfId="189" priority="340">
      <formula>$M$4="Prev"</formula>
    </cfRule>
    <cfRule type="expression" dxfId="188" priority="341">
      <formula>$M$4="Real"</formula>
    </cfRule>
    <cfRule type="expression" dxfId="187" priority="339">
      <formula>$M$4="Fin"</formula>
    </cfRule>
  </conditionalFormatting>
  <conditionalFormatting sqref="M6">
    <cfRule type="expression" dxfId="186" priority="155">
      <formula>$M$4="Fin"</formula>
    </cfRule>
  </conditionalFormatting>
  <conditionalFormatting sqref="M7:M13">
    <cfRule type="expression" dxfId="185" priority="154">
      <formula>$M$4="Fin"</formula>
    </cfRule>
  </conditionalFormatting>
  <conditionalFormatting sqref="M14:M15 M38 M43:M44">
    <cfRule type="expression" dxfId="184" priority="153">
      <formula>$M$4="Fin"</formula>
    </cfRule>
  </conditionalFormatting>
  <conditionalFormatting sqref="M18">
    <cfRule type="expression" dxfId="183" priority="152">
      <formula>$M$4="Fin"</formula>
    </cfRule>
  </conditionalFormatting>
  <conditionalFormatting sqref="M19:M25">
    <cfRule type="expression" dxfId="182" priority="151">
      <formula>$M$4="Fin"</formula>
    </cfRule>
  </conditionalFormatting>
  <conditionalFormatting sqref="M26:M27">
    <cfRule type="expression" dxfId="181" priority="150">
      <formula>$M$4="Fin"</formula>
    </cfRule>
  </conditionalFormatting>
  <conditionalFormatting sqref="M30">
    <cfRule type="expression" dxfId="180" priority="149">
      <formula>$M$4="Fin"</formula>
    </cfRule>
  </conditionalFormatting>
  <conditionalFormatting sqref="M31:M37">
    <cfRule type="expression" dxfId="179" priority="148">
      <formula>$M$4="Fin"</formula>
    </cfRule>
  </conditionalFormatting>
  <conditionalFormatting sqref="M40">
    <cfRule type="expression" dxfId="178" priority="145">
      <formula>$M$40=FALSE</formula>
    </cfRule>
    <cfRule type="expression" dxfId="177" priority="146">
      <formula>$M$4="Fin"</formula>
    </cfRule>
  </conditionalFormatting>
  <conditionalFormatting sqref="N4">
    <cfRule type="expression" dxfId="176" priority="338">
      <formula>$N$4="Real"</formula>
    </cfRule>
    <cfRule type="expression" dxfId="175" priority="336">
      <formula>$N$4="Fin"</formula>
    </cfRule>
    <cfRule type="expression" dxfId="174" priority="337">
      <formula>$N$4="Prev"</formula>
    </cfRule>
  </conditionalFormatting>
  <conditionalFormatting sqref="N6">
    <cfRule type="expression" dxfId="173" priority="166">
      <formula>$N$4="Fin"</formula>
    </cfRule>
  </conditionalFormatting>
  <conditionalFormatting sqref="N7:N13">
    <cfRule type="expression" dxfId="172" priority="165">
      <formula>$N$4="Fin"</formula>
    </cfRule>
  </conditionalFormatting>
  <conditionalFormatting sqref="N14:N15 N38 N43:N44">
    <cfRule type="expression" dxfId="171" priority="164">
      <formula>$N$4="Fin"</formula>
    </cfRule>
  </conditionalFormatting>
  <conditionalFormatting sqref="N18">
    <cfRule type="expression" dxfId="170" priority="163">
      <formula>$N$4="Fin"</formula>
    </cfRule>
  </conditionalFormatting>
  <conditionalFormatting sqref="N19:N25">
    <cfRule type="expression" dxfId="169" priority="162">
      <formula>$N$4="Fin"</formula>
    </cfRule>
  </conditionalFormatting>
  <conditionalFormatting sqref="N26:N27">
    <cfRule type="expression" dxfId="168" priority="161">
      <formula>$N$4="Fin"</formula>
    </cfRule>
  </conditionalFormatting>
  <conditionalFormatting sqref="N30">
    <cfRule type="expression" dxfId="167" priority="160">
      <formula>$N$4="Fin"</formula>
    </cfRule>
  </conditionalFormatting>
  <conditionalFormatting sqref="N31:N37">
    <cfRule type="expression" dxfId="166" priority="159">
      <formula>$N$4="Fin"</formula>
    </cfRule>
  </conditionalFormatting>
  <conditionalFormatting sqref="N40">
    <cfRule type="expression" dxfId="165" priority="157">
      <formula>$N$4="Fin"</formula>
    </cfRule>
    <cfRule type="expression" dxfId="164" priority="156">
      <formula>$N$40=FALSE</formula>
    </cfRule>
  </conditionalFormatting>
  <conditionalFormatting sqref="O4">
    <cfRule type="expression" dxfId="163" priority="333">
      <formula>$O$4="Fin"</formula>
    </cfRule>
    <cfRule type="expression" dxfId="162" priority="334">
      <formula>$O$4="Prev"</formula>
    </cfRule>
    <cfRule type="expression" dxfId="161" priority="335">
      <formula>$O$4="Real"</formula>
    </cfRule>
  </conditionalFormatting>
  <conditionalFormatting sqref="O6">
    <cfRule type="expression" dxfId="160" priority="177">
      <formula>$O$4="Fin"</formula>
    </cfRule>
  </conditionalFormatting>
  <conditionalFormatting sqref="O7:O13">
    <cfRule type="expression" dxfId="159" priority="176">
      <formula>$O$4="Fin"</formula>
    </cfRule>
  </conditionalFormatting>
  <conditionalFormatting sqref="O14:O15 O38 O43:O44">
    <cfRule type="expression" dxfId="158" priority="175">
      <formula>$O$4="Fin"</formula>
    </cfRule>
  </conditionalFormatting>
  <conditionalFormatting sqref="O18">
    <cfRule type="expression" dxfId="157" priority="174">
      <formula>$O$4="Fin"</formula>
    </cfRule>
  </conditionalFormatting>
  <conditionalFormatting sqref="O19:O25">
    <cfRule type="expression" dxfId="156" priority="173">
      <formula>$O$4="Fin"</formula>
    </cfRule>
  </conditionalFormatting>
  <conditionalFormatting sqref="O26:O27">
    <cfRule type="expression" dxfId="155" priority="172">
      <formula>$O$4="Fin"</formula>
    </cfRule>
  </conditionalFormatting>
  <conditionalFormatting sqref="O30">
    <cfRule type="expression" dxfId="154" priority="171">
      <formula>$O$4="Fin"</formula>
    </cfRule>
  </conditionalFormatting>
  <conditionalFormatting sqref="O31:O37">
    <cfRule type="expression" dxfId="153" priority="170">
      <formula>$O$4="Fin"</formula>
    </cfRule>
  </conditionalFormatting>
  <conditionalFormatting sqref="O40">
    <cfRule type="expression" dxfId="152" priority="168">
      <formula>$O$4="Fin"</formula>
    </cfRule>
    <cfRule type="expression" dxfId="151" priority="167">
      <formula>$O$40=FALSE</formula>
    </cfRule>
  </conditionalFormatting>
  <conditionalFormatting sqref="P4">
    <cfRule type="expression" dxfId="150" priority="330">
      <formula>$P$4="Fin"</formula>
    </cfRule>
    <cfRule type="expression" dxfId="149" priority="331">
      <formula>$P$4="Prev"</formula>
    </cfRule>
    <cfRule type="expression" dxfId="148" priority="332">
      <formula>$P$4="Real"</formula>
    </cfRule>
  </conditionalFormatting>
  <conditionalFormatting sqref="P6">
    <cfRule type="expression" dxfId="147" priority="188">
      <formula>$P$4="Fin"</formula>
    </cfRule>
  </conditionalFormatting>
  <conditionalFormatting sqref="P7:P13">
    <cfRule type="expression" dxfId="146" priority="187">
      <formula>$P$4="Fin"</formula>
    </cfRule>
  </conditionalFormatting>
  <conditionalFormatting sqref="P14:P15 P38 P43:P44">
    <cfRule type="expression" dxfId="145" priority="186">
      <formula>$P$4="Fin"</formula>
    </cfRule>
  </conditionalFormatting>
  <conditionalFormatting sqref="P18">
    <cfRule type="expression" dxfId="144" priority="185">
      <formula>$P$4="Fin"</formula>
    </cfRule>
  </conditionalFormatting>
  <conditionalFormatting sqref="P19:P25 Q24">
    <cfRule type="expression" dxfId="143" priority="184">
      <formula>$P$4="Fin"</formula>
    </cfRule>
  </conditionalFormatting>
  <conditionalFormatting sqref="P26:P27">
    <cfRule type="expression" dxfId="142" priority="183">
      <formula>$P$4="Fin"</formula>
    </cfRule>
  </conditionalFormatting>
  <conditionalFormatting sqref="P30">
    <cfRule type="expression" dxfId="141" priority="182">
      <formula>$P$4="Fin"</formula>
    </cfRule>
  </conditionalFormatting>
  <conditionalFormatting sqref="P31:P37">
    <cfRule type="expression" dxfId="140" priority="181">
      <formula>$P$4="Fin"</formula>
    </cfRule>
  </conditionalFormatting>
  <conditionalFormatting sqref="P40">
    <cfRule type="expression" dxfId="139" priority="178">
      <formula>$P$40=FALSE</formula>
    </cfRule>
    <cfRule type="expression" dxfId="138" priority="179">
      <formula>$P$4="Fin"</formula>
    </cfRule>
  </conditionalFormatting>
  <conditionalFormatting sqref="Q4">
    <cfRule type="expression" dxfId="137" priority="329">
      <formula>$Q$4="Real"</formula>
    </cfRule>
    <cfRule type="expression" dxfId="136" priority="328">
      <formula>$Q$4="Prev"</formula>
    </cfRule>
    <cfRule type="expression" dxfId="135" priority="327">
      <formula>$Q$4="Fin"</formula>
    </cfRule>
  </conditionalFormatting>
  <conditionalFormatting sqref="Q6">
    <cfRule type="expression" dxfId="134" priority="199">
      <formula>$Q$4="Fin"</formula>
    </cfRule>
  </conditionalFormatting>
  <conditionalFormatting sqref="Q7:Q13">
    <cfRule type="expression" dxfId="133" priority="198">
      <formula>$Q$4="Fin"</formula>
    </cfRule>
  </conditionalFormatting>
  <conditionalFormatting sqref="Q14:Q15 Q38 Q43:Q44">
    <cfRule type="expression" dxfId="132" priority="197">
      <formula>$Q$4="Fin"</formula>
    </cfRule>
  </conditionalFormatting>
  <conditionalFormatting sqref="Q18">
    <cfRule type="expression" dxfId="131" priority="196">
      <formula>$Q$4="Fin"</formula>
    </cfRule>
  </conditionalFormatting>
  <conditionalFormatting sqref="Q19:Q23 Q25">
    <cfRule type="expression" dxfId="130" priority="195">
      <formula>$Q$4="Fin"</formula>
    </cfRule>
  </conditionalFormatting>
  <conditionalFormatting sqref="Q26:Q27">
    <cfRule type="expression" dxfId="129" priority="194">
      <formula>$Q$4="Fin"</formula>
    </cfRule>
  </conditionalFormatting>
  <conditionalFormatting sqref="Q30">
    <cfRule type="expression" dxfId="128" priority="193">
      <formula>$Q$4="Fin"</formula>
    </cfRule>
  </conditionalFormatting>
  <conditionalFormatting sqref="Q31:Q37">
    <cfRule type="expression" dxfId="127" priority="192">
      <formula>$Q$4="Fin"</formula>
    </cfRule>
  </conditionalFormatting>
  <conditionalFormatting sqref="Q40">
    <cfRule type="expression" dxfId="126" priority="190">
      <formula>$Q$4="Fin"</formula>
    </cfRule>
    <cfRule type="expression" dxfId="125" priority="189">
      <formula>$Q$40=FALSE</formula>
    </cfRule>
  </conditionalFormatting>
  <conditionalFormatting sqref="R4">
    <cfRule type="expression" dxfId="124" priority="326">
      <formula>$R$4="Real"</formula>
    </cfRule>
    <cfRule type="expression" dxfId="123" priority="324">
      <formula>$R$4="Fin"</formula>
    </cfRule>
    <cfRule type="expression" dxfId="122" priority="325">
      <formula>$R$4="Prev"</formula>
    </cfRule>
  </conditionalFormatting>
  <conditionalFormatting sqref="R6">
    <cfRule type="expression" dxfId="121" priority="220">
      <formula>$R$4="Fin"</formula>
    </cfRule>
  </conditionalFormatting>
  <conditionalFormatting sqref="R7:R13">
    <cfRule type="expression" dxfId="120" priority="219">
      <formula>$R$4="Fin"</formula>
    </cfRule>
  </conditionalFormatting>
  <conditionalFormatting sqref="R14:R15 R38 R43:R44">
    <cfRule type="expression" dxfId="119" priority="218">
      <formula>$R$4="Fin"</formula>
    </cfRule>
  </conditionalFormatting>
  <conditionalFormatting sqref="R18">
    <cfRule type="expression" dxfId="118" priority="217">
      <formula>$R$4="Fin"</formula>
    </cfRule>
  </conditionalFormatting>
  <conditionalFormatting sqref="R19:R25">
    <cfRule type="expression" dxfId="117" priority="216">
      <formula>$R$4="Fin"</formula>
    </cfRule>
  </conditionalFormatting>
  <conditionalFormatting sqref="R26:R27">
    <cfRule type="expression" dxfId="116" priority="215">
      <formula>$R$4="Fin"</formula>
    </cfRule>
  </conditionalFormatting>
  <conditionalFormatting sqref="R30">
    <cfRule type="expression" dxfId="115" priority="214">
      <formula>$R$4="Fin"</formula>
    </cfRule>
  </conditionalFormatting>
  <conditionalFormatting sqref="R31:R37">
    <cfRule type="expression" dxfId="114" priority="213">
      <formula>$R$4="Fin"</formula>
    </cfRule>
  </conditionalFormatting>
  <conditionalFormatting sqref="R40">
    <cfRule type="expression" dxfId="113" priority="211">
      <formula>$R$4="Fin"</formula>
    </cfRule>
    <cfRule type="expression" dxfId="112" priority="200">
      <formula>$R$40=FALSE</formula>
    </cfRule>
  </conditionalFormatting>
  <conditionalFormatting sqref="S4">
    <cfRule type="expression" dxfId="111" priority="323">
      <formula>$S$4="Real"</formula>
    </cfRule>
    <cfRule type="expression" dxfId="110" priority="321">
      <formula>$S$4="Fin"</formula>
    </cfRule>
    <cfRule type="expression" dxfId="109" priority="322">
      <formula>$S$4="Prev"</formula>
    </cfRule>
  </conditionalFormatting>
  <conditionalFormatting sqref="S6">
    <cfRule type="expression" dxfId="108" priority="230">
      <formula>$S$4="Fin"</formula>
    </cfRule>
  </conditionalFormatting>
  <conditionalFormatting sqref="S7:S13">
    <cfRule type="expression" dxfId="107" priority="229">
      <formula>$S$4="Fin"</formula>
    </cfRule>
  </conditionalFormatting>
  <conditionalFormatting sqref="S14:S15 S38 S43:S44">
    <cfRule type="expression" dxfId="106" priority="228">
      <formula>$S$4="Fin"</formula>
    </cfRule>
  </conditionalFormatting>
  <conditionalFormatting sqref="S18">
    <cfRule type="expression" dxfId="105" priority="227">
      <formula>$S$4="Fin"</formula>
    </cfRule>
  </conditionalFormatting>
  <conditionalFormatting sqref="S19:S25">
    <cfRule type="expression" dxfId="104" priority="226">
      <formula>$S$4="Fin"</formula>
    </cfRule>
  </conditionalFormatting>
  <conditionalFormatting sqref="S26:S27">
    <cfRule type="expression" dxfId="103" priority="225">
      <formula>$S$4="Fin"</formula>
    </cfRule>
  </conditionalFormatting>
  <conditionalFormatting sqref="S30">
    <cfRule type="expression" dxfId="102" priority="224">
      <formula>$S$4="Fin"</formula>
    </cfRule>
  </conditionalFormatting>
  <conditionalFormatting sqref="S31:S37">
    <cfRule type="expression" dxfId="101" priority="223">
      <formula>$S$4="Fin"</formula>
    </cfRule>
  </conditionalFormatting>
  <conditionalFormatting sqref="S40">
    <cfRule type="expression" dxfId="100" priority="221">
      <formula>$S$4="Fin"</formula>
    </cfRule>
    <cfRule type="expression" dxfId="99" priority="201">
      <formula>$S$40=FALSE</formula>
    </cfRule>
  </conditionalFormatting>
  <conditionalFormatting sqref="T4">
    <cfRule type="expression" dxfId="98" priority="320">
      <formula>$T$4="Real"</formula>
    </cfRule>
    <cfRule type="expression" dxfId="97" priority="319">
      <formula>$T$4="Prev"</formula>
    </cfRule>
    <cfRule type="expression" dxfId="96" priority="318">
      <formula>$T$4="Fin"</formula>
    </cfRule>
  </conditionalFormatting>
  <conditionalFormatting sqref="T6">
    <cfRule type="expression" dxfId="95" priority="240">
      <formula>$T$4="Fin"</formula>
    </cfRule>
  </conditionalFormatting>
  <conditionalFormatting sqref="T7:T13">
    <cfRule type="expression" dxfId="94" priority="239">
      <formula>$T$4="Fin"</formula>
    </cfRule>
  </conditionalFormatting>
  <conditionalFormatting sqref="T14:T15 T38 T43:T44">
    <cfRule type="expression" dxfId="93" priority="238">
      <formula>$T$4="Fin"</formula>
    </cfRule>
  </conditionalFormatting>
  <conditionalFormatting sqref="T18">
    <cfRule type="expression" dxfId="92" priority="237">
      <formula>$T$4="Fin"</formula>
    </cfRule>
  </conditionalFormatting>
  <conditionalFormatting sqref="T19:T25">
    <cfRule type="expression" dxfId="91" priority="236">
      <formula>$T$4="Fin"</formula>
    </cfRule>
  </conditionalFormatting>
  <conditionalFormatting sqref="T26:T27">
    <cfRule type="expression" dxfId="90" priority="235">
      <formula>$T$4="Fin"</formula>
    </cfRule>
  </conditionalFormatting>
  <conditionalFormatting sqref="T30">
    <cfRule type="expression" dxfId="89" priority="234">
      <formula>$T$4="Fin"</formula>
    </cfRule>
  </conditionalFormatting>
  <conditionalFormatting sqref="T31:T37">
    <cfRule type="expression" dxfId="88" priority="233">
      <formula>$T$4="Fin"</formula>
    </cfRule>
  </conditionalFormatting>
  <conditionalFormatting sqref="T40">
    <cfRule type="expression" dxfId="87" priority="202">
      <formula>$T$40=FALSE</formula>
    </cfRule>
    <cfRule type="expression" dxfId="86" priority="231">
      <formula>$T$4="Fin"</formula>
    </cfRule>
  </conditionalFormatting>
  <conditionalFormatting sqref="U4">
    <cfRule type="expression" dxfId="85" priority="317">
      <formula>$U$4="Real"</formula>
    </cfRule>
    <cfRule type="expression" dxfId="84" priority="316">
      <formula>$U$4="Prev"</formula>
    </cfRule>
    <cfRule type="expression" dxfId="83" priority="315">
      <formula>$U$4="Fin"</formula>
    </cfRule>
  </conditionalFormatting>
  <conditionalFormatting sqref="U6">
    <cfRule type="expression" dxfId="82" priority="250">
      <formula>$U$4="Fin"</formula>
    </cfRule>
  </conditionalFormatting>
  <conditionalFormatting sqref="U7:U13">
    <cfRule type="expression" dxfId="81" priority="249">
      <formula>$U$4="Fin"</formula>
    </cfRule>
  </conditionalFormatting>
  <conditionalFormatting sqref="U14:U15 U38 U43:U44">
    <cfRule type="expression" dxfId="80" priority="248">
      <formula>$U$4="Fin"</formula>
    </cfRule>
  </conditionalFormatting>
  <conditionalFormatting sqref="U18">
    <cfRule type="expression" dxfId="79" priority="247">
      <formula>$U$4="Fin"</formula>
    </cfRule>
  </conditionalFormatting>
  <conditionalFormatting sqref="U19:U25">
    <cfRule type="expression" dxfId="78" priority="246">
      <formula>$U$4="Fin"</formula>
    </cfRule>
  </conditionalFormatting>
  <conditionalFormatting sqref="U26:U27">
    <cfRule type="expression" dxfId="77" priority="245">
      <formula>$U$4="Fin"</formula>
    </cfRule>
  </conditionalFormatting>
  <conditionalFormatting sqref="U30">
    <cfRule type="expression" dxfId="76" priority="244">
      <formula>$U$4="Fin"</formula>
    </cfRule>
  </conditionalFormatting>
  <conditionalFormatting sqref="U31:U37">
    <cfRule type="expression" dxfId="75" priority="243">
      <formula>$U$4="Fin"</formula>
    </cfRule>
  </conditionalFormatting>
  <conditionalFormatting sqref="U40">
    <cfRule type="expression" dxfId="74" priority="241">
      <formula>$U$4="Fin"</formula>
    </cfRule>
    <cfRule type="expression" dxfId="73" priority="203">
      <formula>$U$40=FALSE</formula>
    </cfRule>
  </conditionalFormatting>
  <conditionalFormatting sqref="V4">
    <cfRule type="expression" dxfId="72" priority="312">
      <formula>$V$4="Fin"</formula>
    </cfRule>
    <cfRule type="expression" dxfId="71" priority="313">
      <formula>$V$4="Prev"</formula>
    </cfRule>
    <cfRule type="expression" dxfId="70" priority="314">
      <formula>$V$4="Real"</formula>
    </cfRule>
  </conditionalFormatting>
  <conditionalFormatting sqref="V6">
    <cfRule type="expression" dxfId="69" priority="260">
      <formula>$V$4="Fin"</formula>
    </cfRule>
  </conditionalFormatting>
  <conditionalFormatting sqref="V7:V13">
    <cfRule type="expression" dxfId="68" priority="259">
      <formula>$V$4="Fin"</formula>
    </cfRule>
  </conditionalFormatting>
  <conditionalFormatting sqref="V14:V15 V38 V43:V44">
    <cfRule type="expression" dxfId="67" priority="258">
      <formula>$V$4="Fin"</formula>
    </cfRule>
  </conditionalFormatting>
  <conditionalFormatting sqref="V18">
    <cfRule type="expression" dxfId="66" priority="257">
      <formula>$V$4="Fin"</formula>
    </cfRule>
  </conditionalFormatting>
  <conditionalFormatting sqref="V19:V25">
    <cfRule type="expression" dxfId="65" priority="256">
      <formula>$V$4="Fin"</formula>
    </cfRule>
  </conditionalFormatting>
  <conditionalFormatting sqref="V26:V27">
    <cfRule type="expression" dxfId="64" priority="255">
      <formula>$V$4="Fin"</formula>
    </cfRule>
  </conditionalFormatting>
  <conditionalFormatting sqref="V30">
    <cfRule type="expression" dxfId="63" priority="254">
      <formula>$V$4="Fin"</formula>
    </cfRule>
  </conditionalFormatting>
  <conditionalFormatting sqref="V31:V37">
    <cfRule type="expression" dxfId="62" priority="253">
      <formula>$V$4="Fin"</formula>
    </cfRule>
  </conditionalFormatting>
  <conditionalFormatting sqref="V40">
    <cfRule type="expression" dxfId="61" priority="204">
      <formula>$V$40=FALSE</formula>
    </cfRule>
    <cfRule type="expression" dxfId="60" priority="251">
      <formula>$V$4="Fin"</formula>
    </cfRule>
  </conditionalFormatting>
  <conditionalFormatting sqref="W4">
    <cfRule type="expression" dxfId="59" priority="311">
      <formula>$W$4="Real"</formula>
    </cfRule>
    <cfRule type="expression" dxfId="58" priority="309">
      <formula>$W$4="Fin"</formula>
    </cfRule>
    <cfRule type="expression" dxfId="57" priority="310">
      <formula>$W$4="Prev"</formula>
    </cfRule>
  </conditionalFormatting>
  <conditionalFormatting sqref="W6 W18 W30">
    <cfRule type="expression" dxfId="56" priority="269">
      <formula>$W$4="Fin"</formula>
    </cfRule>
  </conditionalFormatting>
  <conditionalFormatting sqref="W7:W13 W19:W25 W31:W37">
    <cfRule type="expression" dxfId="55" priority="266">
      <formula>$W$4="Fin"</formula>
    </cfRule>
  </conditionalFormatting>
  <conditionalFormatting sqref="W14:W15 W26:W27 W38 W43:W44">
    <cfRule type="expression" dxfId="54" priority="267">
      <formula>$W$4="Fin"</formula>
    </cfRule>
  </conditionalFormatting>
  <conditionalFormatting sqref="W40">
    <cfRule type="expression" dxfId="53" priority="265">
      <formula>$W$4="Fin"</formula>
    </cfRule>
    <cfRule type="expression" dxfId="52" priority="205">
      <formula>$W$40=FALSE</formula>
    </cfRule>
  </conditionalFormatting>
  <conditionalFormatting sqref="X4">
    <cfRule type="expression" dxfId="51" priority="306">
      <formula>$X$4="Fin"</formula>
    </cfRule>
    <cfRule type="expression" dxfId="50" priority="307">
      <formula>$X$4="Prev"</formula>
    </cfRule>
    <cfRule type="expression" dxfId="49" priority="308">
      <formula>$X$4="Real"</formula>
    </cfRule>
  </conditionalFormatting>
  <conditionalFormatting sqref="X6 X18 X30">
    <cfRule type="expression" dxfId="48" priority="272">
      <formula>$X$4="Fin"</formula>
    </cfRule>
  </conditionalFormatting>
  <conditionalFormatting sqref="X7:X13 X19:X25 X31:X37">
    <cfRule type="expression" dxfId="47" priority="271">
      <formula>$X$4="Fin"</formula>
    </cfRule>
  </conditionalFormatting>
  <conditionalFormatting sqref="X14:X15 X26:X27 X38 X43:X44">
    <cfRule type="expression" dxfId="46" priority="270">
      <formula>$X$4="Fin"</formula>
    </cfRule>
  </conditionalFormatting>
  <conditionalFormatting sqref="X40">
    <cfRule type="expression" dxfId="45" priority="263">
      <formula>$X$4="Fin"</formula>
    </cfRule>
    <cfRule type="expression" dxfId="44" priority="206">
      <formula>$X$40=FALSE</formula>
    </cfRule>
  </conditionalFormatting>
  <conditionalFormatting sqref="Y4">
    <cfRule type="expression" dxfId="43" priority="303">
      <formula>$Y$4="Fin"</formula>
    </cfRule>
    <cfRule type="expression" dxfId="42" priority="304">
      <formula>$Y$4="Prev"</formula>
    </cfRule>
    <cfRule type="expression" dxfId="41" priority="305">
      <formula>$Y$4="Real"</formula>
    </cfRule>
  </conditionalFormatting>
  <conditionalFormatting sqref="Y6 Y18 Y30">
    <cfRule type="expression" dxfId="40" priority="279">
      <formula>$Y$4="Fin"</formula>
    </cfRule>
  </conditionalFormatting>
  <conditionalFormatting sqref="Y7:Y13 Y19:Y25 Y31:Y37">
    <cfRule type="expression" dxfId="39" priority="274">
      <formula>$Y$4="Fin"</formula>
    </cfRule>
  </conditionalFormatting>
  <conditionalFormatting sqref="Y14:Y15 Y26:Y27 Y38 Y43:Y44">
    <cfRule type="expression" dxfId="38" priority="276">
      <formula>$Y$4="Fin"</formula>
    </cfRule>
  </conditionalFormatting>
  <conditionalFormatting sqref="Y40">
    <cfRule type="expression" dxfId="37" priority="273">
      <formula>$Y$4="Fin"</formula>
    </cfRule>
    <cfRule type="expression" dxfId="36" priority="207">
      <formula>$Y$40=FALSE</formula>
    </cfRule>
  </conditionalFormatting>
  <conditionalFormatting sqref="Z4">
    <cfRule type="expression" dxfId="35" priority="300">
      <formula>$Z$4="Fin"</formula>
    </cfRule>
    <cfRule type="expression" dxfId="34" priority="301">
      <formula>$Z$4="Prev"</formula>
    </cfRule>
    <cfRule type="expression" dxfId="33" priority="302">
      <formula>$Z$4="Real"</formula>
    </cfRule>
  </conditionalFormatting>
  <conditionalFormatting sqref="Z6 Z18 Z30">
    <cfRule type="expression" dxfId="32" priority="286">
      <formula>$Z$4="Fin"</formula>
    </cfRule>
  </conditionalFormatting>
  <conditionalFormatting sqref="Z7:Z13 Z19:Z25 Z31:Z37">
    <cfRule type="expression" dxfId="31" priority="285">
      <formula>$Z$4="Fin"</formula>
    </cfRule>
  </conditionalFormatting>
  <conditionalFormatting sqref="Z14:Z15 Z26:Z27 Z38 Z43:Z44">
    <cfRule type="expression" dxfId="30" priority="283">
      <formula>$Z$4="Fin"</formula>
    </cfRule>
  </conditionalFormatting>
  <conditionalFormatting sqref="Z40">
    <cfRule type="expression" dxfId="29" priority="280">
      <formula>$Z$4="Fin"</formula>
    </cfRule>
    <cfRule type="expression" dxfId="28" priority="208">
      <formula>$Z$40=FALSE</formula>
    </cfRule>
  </conditionalFormatting>
  <conditionalFormatting sqref="AA4">
    <cfRule type="expression" dxfId="27" priority="297">
      <formula>$AA$4="Fin"</formula>
    </cfRule>
    <cfRule type="expression" dxfId="26" priority="298">
      <formula>$AA$4="Prev"</formula>
    </cfRule>
    <cfRule type="expression" dxfId="25" priority="299">
      <formula>$AA$4="Real"</formula>
    </cfRule>
  </conditionalFormatting>
  <conditionalFormatting sqref="AA6 AA18 AA30">
    <cfRule type="expression" dxfId="24" priority="3">
      <formula>$AA$4="Fin"</formula>
    </cfRule>
  </conditionalFormatting>
  <conditionalFormatting sqref="AA7:AA13 AA19:AA25 AA31:AA37">
    <cfRule type="expression" dxfId="23" priority="288">
      <formula>$AA$4="Fin"</formula>
    </cfRule>
  </conditionalFormatting>
  <conditionalFormatting sqref="AA14:AA15 AA26:AA27 AA38 AA43:AA44">
    <cfRule type="expression" dxfId="22" priority="287">
      <formula>$AA$4="Fin"</formula>
    </cfRule>
  </conditionalFormatting>
  <conditionalFormatting sqref="AA40">
    <cfRule type="expression" dxfId="21" priority="14">
      <formula>$AA$40=FALSE</formula>
    </cfRule>
    <cfRule type="expression" dxfId="20" priority="15">
      <formula>$AA$4="Fin"</formula>
    </cfRule>
  </conditionalFormatting>
  <conditionalFormatting sqref="AB4">
    <cfRule type="expression" dxfId="19" priority="11">
      <formula>$AB$4="Fin"</formula>
    </cfRule>
    <cfRule type="expression" dxfId="18" priority="10">
      <formula>$AB$4="Prev"</formula>
    </cfRule>
    <cfRule type="expression" dxfId="17" priority="9">
      <formula>$AB$4="Real"</formula>
    </cfRule>
  </conditionalFormatting>
  <conditionalFormatting sqref="AB6 AB18 AB30">
    <cfRule type="expression" dxfId="16" priority="290">
      <formula>$AB$4="Fin"</formula>
    </cfRule>
  </conditionalFormatting>
  <conditionalFormatting sqref="AB7:AB13 AB19:AB25 AB31:AB37">
    <cfRule type="expression" dxfId="15" priority="12">
      <formula>$AB$4="Fin"</formula>
    </cfRule>
  </conditionalFormatting>
  <conditionalFormatting sqref="AB14:AB15 AB26:AB27 AB38 AB43:AB44">
    <cfRule type="expression" dxfId="14" priority="2">
      <formula>$AB$4="Fin"</formula>
    </cfRule>
  </conditionalFormatting>
  <conditionalFormatting sqref="AB40">
    <cfRule type="expression" dxfId="13" priority="5">
      <formula>$AB$4="Fin"</formula>
    </cfRule>
    <cfRule type="expression" dxfId="12" priority="4">
      <formula>$AB$40=FALSE</formula>
    </cfRule>
  </conditionalFormatting>
  <conditionalFormatting sqref="AC4">
    <cfRule type="expression" dxfId="11" priority="7">
      <formula>$AC$4="Prev"</formula>
    </cfRule>
    <cfRule type="expression" dxfId="10" priority="6">
      <formula>$AC$4="Fin"</formula>
    </cfRule>
    <cfRule type="expression" dxfId="9" priority="8">
      <formula>$AC$4="Real"</formula>
    </cfRule>
  </conditionalFormatting>
  <conditionalFormatting sqref="AC6 AC18 AC30">
    <cfRule type="expression" dxfId="8" priority="293">
      <formula>$AC$4="Fin"</formula>
    </cfRule>
  </conditionalFormatting>
  <conditionalFormatting sqref="AC7:AC13 AC19:AC25 AC31:AC37">
    <cfRule type="expression" dxfId="7" priority="292">
      <formula>$AC$4="Fin"</formula>
    </cfRule>
  </conditionalFormatting>
  <conditionalFormatting sqref="AC14:AC15 AC26:AC27 AC38 AC43:AC44">
    <cfRule type="expression" dxfId="6" priority="1">
      <formula>$AC$4="Fin"</formula>
    </cfRule>
  </conditionalFormatting>
  <conditionalFormatting sqref="AC40">
    <cfRule type="expression" dxfId="5" priority="282">
      <formula>$AC$4="Fin"</formula>
    </cfRule>
    <cfRule type="expression" dxfId="4" priority="210">
      <formula>$AC$40=FALSE</formula>
    </cfRule>
  </conditionalFormatting>
  <pageMargins left="0.70866141732283472" right="0.70866141732283472" top="0.74803149606299213" bottom="0.74803149606299213" header="0.31496062992125978" footer="0.31496062992125978"/>
  <pageSetup paperSize="9" scale="18"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P18"/>
  <sheetViews>
    <sheetView showGridLines="0" tabSelected="1" zoomScale="70" zoomScaleNormal="70" workbookViewId="0">
      <selection activeCell="O6" sqref="O6"/>
    </sheetView>
  </sheetViews>
  <sheetFormatPr baseColWidth="10" defaultColWidth="9.1796875" defaultRowHeight="13.5" x14ac:dyDescent="0.3"/>
  <cols>
    <col min="1" max="1" width="2.1796875" style="22" customWidth="1"/>
    <col min="2" max="2" width="25" style="22" customWidth="1"/>
    <col min="3" max="3" width="42.81640625" style="22" customWidth="1"/>
    <col min="4" max="4" width="20.7265625" style="22" customWidth="1"/>
    <col min="5" max="7" width="25.7265625" style="22" customWidth="1"/>
    <col min="8" max="8" width="20.7265625" style="22" customWidth="1"/>
    <col min="9" max="12" width="25.7265625" style="22" customWidth="1"/>
    <col min="13" max="13" width="19.26953125" style="22" bestFit="1" customWidth="1"/>
    <col min="14" max="14" width="12.26953125" style="22" bestFit="1" customWidth="1"/>
    <col min="15" max="15" width="26.81640625" style="22" customWidth="1"/>
    <col min="16" max="16" width="9.1796875" style="22" customWidth="1"/>
    <col min="17" max="16384" width="9.1796875" style="22"/>
  </cols>
  <sheetData>
    <row r="2" spans="2:16" ht="21" customHeight="1" x14ac:dyDescent="0.3">
      <c r="B2" s="219" t="s">
        <v>0</v>
      </c>
      <c r="C2" s="220" t="str">
        <f>'Project Infor'!C10</f>
        <v>var2_SAP_PEP_WBS</v>
      </c>
      <c r="D2" s="219" t="str">
        <f>'Project Infor'!C11</f>
        <v>Smart Airport en la nueva terminal de Puerto Vallarta</v>
      </c>
      <c r="E2" s="221"/>
      <c r="F2" s="221"/>
      <c r="G2" s="219"/>
      <c r="H2" s="219"/>
      <c r="I2" s="219"/>
      <c r="J2" s="219"/>
    </row>
    <row r="3" spans="2:16" ht="9" customHeight="1" x14ac:dyDescent="0.3">
      <c r="C3" s="23"/>
      <c r="D3" s="23"/>
    </row>
    <row r="4" spans="2:16" ht="15" customHeight="1" x14ac:dyDescent="0.3">
      <c r="C4" s="24"/>
      <c r="D4" s="25"/>
      <c r="E4" s="25"/>
      <c r="F4" s="25"/>
      <c r="G4" s="25"/>
      <c r="H4" s="25"/>
      <c r="I4" s="25"/>
      <c r="J4" s="25"/>
      <c r="K4" s="25"/>
      <c r="L4" s="25"/>
      <c r="M4" s="25"/>
      <c r="N4" s="25"/>
      <c r="O4" s="25"/>
      <c r="P4" s="25"/>
    </row>
    <row r="5" spans="2:16" s="87" customFormat="1" ht="37" customHeight="1" x14ac:dyDescent="0.3">
      <c r="B5" s="168"/>
      <c r="C5" s="207"/>
      <c r="D5" s="208" t="s">
        <v>1</v>
      </c>
      <c r="E5" s="209" t="s">
        <v>2</v>
      </c>
      <c r="F5" s="210" t="s">
        <v>3</v>
      </c>
      <c r="G5" s="209" t="s">
        <v>4</v>
      </c>
      <c r="H5" s="209" t="s">
        <v>5</v>
      </c>
      <c r="I5" s="209" t="s">
        <v>6</v>
      </c>
      <c r="J5" s="209" t="s">
        <v>7</v>
      </c>
      <c r="K5" s="209" t="s">
        <v>8</v>
      </c>
      <c r="L5" s="208" t="s">
        <v>9</v>
      </c>
      <c r="M5" s="211" t="s">
        <v>10</v>
      </c>
      <c r="N5" s="211" t="s">
        <v>11</v>
      </c>
      <c r="O5" s="89"/>
      <c r="P5" s="89"/>
    </row>
    <row r="6" spans="2:16" s="90" customFormat="1" ht="36.75" customHeight="1" x14ac:dyDescent="0.35">
      <c r="B6" s="301" t="s">
        <v>12</v>
      </c>
      <c r="C6" s="302"/>
      <c r="D6" s="205">
        <f>'Cost Overview'!F12</f>
        <v>583896.55000000005</v>
      </c>
      <c r="E6" s="205">
        <f>'Cost Overview'!G12</f>
        <v>367515.14084000001</v>
      </c>
      <c r="F6" s="205">
        <f>'Cost Overview'!H12</f>
        <v>13570</v>
      </c>
      <c r="G6" s="205">
        <f>'Cost Overview'!I12</f>
        <v>18375.757042000001</v>
      </c>
      <c r="H6" s="205">
        <f>'Cost Overview'!J12</f>
        <v>0</v>
      </c>
      <c r="I6" s="205">
        <f>'Cost Overview'!K12</f>
        <v>7400</v>
      </c>
      <c r="J6" s="205">
        <f>'Cost Overview'!L12</f>
        <v>40000</v>
      </c>
      <c r="K6" s="205">
        <f>SUM(E6,G6,H6,I6,J6)</f>
        <v>433290.89788200002</v>
      </c>
      <c r="L6" s="205">
        <f>D6-K6</f>
        <v>150605.65211800003</v>
      </c>
      <c r="M6" s="206">
        <f>IF(D6=0,0,(D6-E6-H6-I6-G6-J6)/D6)</f>
        <v>0.2579320808078075</v>
      </c>
      <c r="N6" s="206">
        <f>IF(D6=0,0,(D6-E6/UTILIZACION-G6/UTILIZACION-H6/UTILIZACION-I6-J6)/D6)</f>
        <v>0.20818773576332344</v>
      </c>
      <c r="O6" s="25"/>
      <c r="P6" s="23"/>
    </row>
    <row r="7" spans="2:16" s="90" customFormat="1" ht="36.75" customHeight="1" x14ac:dyDescent="0.35">
      <c r="B7" s="303" t="s">
        <v>13</v>
      </c>
      <c r="C7" s="304"/>
      <c r="D7" s="212">
        <f>'Cost Overview'!F8</f>
        <v>583896.55000000005</v>
      </c>
      <c r="E7" s="212">
        <f>'Cost Overview'!G8</f>
        <v>367515.14084000001</v>
      </c>
      <c r="F7" s="212">
        <f>'Cost Overview'!H8</f>
        <v>13570</v>
      </c>
      <c r="G7" s="212">
        <f>'Cost Overview'!I8</f>
        <v>18375.757042000001</v>
      </c>
      <c r="H7" s="212">
        <f>'Cost Overview'!J8</f>
        <v>0</v>
      </c>
      <c r="I7" s="212">
        <f>'Cost Overview'!K8</f>
        <v>7400</v>
      </c>
      <c r="J7" s="212">
        <f>'Cost Overview'!L8</f>
        <v>40000</v>
      </c>
      <c r="K7" s="212">
        <f>SUM(E7,G7,H7,I7,J7)</f>
        <v>433290.89788200002</v>
      </c>
      <c r="L7" s="212">
        <f>D7-K7</f>
        <v>150605.65211800003</v>
      </c>
      <c r="M7" s="213">
        <f>IF(D7=0,0,(D7-E7-H7-I7-G7-J7)/D7)</f>
        <v>0.2579320808078075</v>
      </c>
      <c r="N7" s="213">
        <f>IF(D7=0,0,(D7-E7/UTILIZACION-G7/UTILIZACION-H7/UTILIZACION-I7-J7)/D7)</f>
        <v>0.20818773576332344</v>
      </c>
      <c r="O7" s="25"/>
      <c r="P7" s="23"/>
    </row>
    <row r="8" spans="2:16" s="90" customFormat="1" ht="36.75" customHeight="1" x14ac:dyDescent="0.35">
      <c r="B8" s="303" t="s">
        <v>14</v>
      </c>
      <c r="C8" s="304"/>
      <c r="D8" s="212">
        <f>D7</f>
        <v>583896.55000000005</v>
      </c>
      <c r="E8" s="212">
        <f>SUM('Cost Planning'!F40:AE41)</f>
        <v>315670</v>
      </c>
      <c r="F8" s="212">
        <f>SUM('Cost Planning'!F9:AE9)</f>
        <v>11850</v>
      </c>
      <c r="G8" s="212">
        <f>SUM('Cost Planning'!G47:AE47)</f>
        <v>18375.757042000001</v>
      </c>
      <c r="H8" s="212">
        <f>SUM('Cost Planning'!G48:AE48)</f>
        <v>0</v>
      </c>
      <c r="I8" s="212">
        <f>SUM('Cost Planning'!F59:AE59)</f>
        <v>7400</v>
      </c>
      <c r="J8" s="212">
        <f>SUM('Cost Planning'!F74:AE74)</f>
        <v>40000</v>
      </c>
      <c r="K8" s="212">
        <f>SUM(E8,G8,H8,I8,J8)</f>
        <v>381445.75704200001</v>
      </c>
      <c r="L8" s="212">
        <f>D8-K8</f>
        <v>202450.79295800003</v>
      </c>
      <c r="M8" s="213">
        <f>IF(D8=0,0,(D8-E8-H8-I8-G8-J8)/D8)</f>
        <v>0.34672373549389873</v>
      </c>
      <c r="N8" s="213">
        <f>IF(D8=0,0,(D8-E8/UTILIZACION-G8/UTILIZACION-H8/UTILIZACION-I8-J8)/D8)</f>
        <v>0.3036626332752495</v>
      </c>
      <c r="O8" s="25"/>
      <c r="P8" s="23"/>
    </row>
    <row r="9" spans="2:16" ht="20.149999999999999" customHeight="1" x14ac:dyDescent="0.35">
      <c r="B9" s="310" t="s">
        <v>15</v>
      </c>
      <c r="C9" s="311"/>
      <c r="D9" s="214">
        <f t="shared" ref="D9:L9" si="0">IF(D8=0,1,(D8-D7)/D8)</f>
        <v>0</v>
      </c>
      <c r="E9" s="214">
        <f t="shared" si="0"/>
        <v>-0.1642384161941268</v>
      </c>
      <c r="F9" s="214">
        <f t="shared" si="0"/>
        <v>-0.1451476793248945</v>
      </c>
      <c r="G9" s="214">
        <f t="shared" si="0"/>
        <v>0</v>
      </c>
      <c r="H9" s="214">
        <f t="shared" si="0"/>
        <v>1</v>
      </c>
      <c r="I9" s="214">
        <f t="shared" si="0"/>
        <v>0</v>
      </c>
      <c r="J9" s="214">
        <f t="shared" si="0"/>
        <v>0</v>
      </c>
      <c r="K9" s="214">
        <f t="shared" si="0"/>
        <v>-0.13591746633137008</v>
      </c>
      <c r="L9" s="214">
        <f t="shared" si="0"/>
        <v>0.25608761557558174</v>
      </c>
      <c r="M9" s="215">
        <f>M8-M7</f>
        <v>8.8791654686091237E-2</v>
      </c>
      <c r="N9" s="236"/>
      <c r="O9" s="25"/>
      <c r="P9" s="25"/>
    </row>
    <row r="10" spans="2:16" ht="18" customHeight="1" x14ac:dyDescent="0.3">
      <c r="B10" s="216"/>
      <c r="C10" s="216"/>
      <c r="D10" s="217"/>
      <c r="E10" s="217"/>
      <c r="F10" s="217"/>
      <c r="G10" s="217"/>
      <c r="H10" s="217"/>
      <c r="I10" s="217"/>
      <c r="J10" s="217"/>
      <c r="K10" s="217"/>
      <c r="L10" s="217"/>
      <c r="M10" s="218"/>
      <c r="N10" s="216"/>
      <c r="O10" s="25"/>
      <c r="P10" s="25"/>
    </row>
    <row r="11" spans="2:16" s="90" customFormat="1" ht="36.75" customHeight="1" x14ac:dyDescent="0.35">
      <c r="B11" s="305" t="s">
        <v>16</v>
      </c>
      <c r="C11" s="306"/>
      <c r="D11" s="205">
        <f ca="1">SUMIF('Monthly View'!$E$4:$AC$4,"Real",'Monthly View'!$E$18:$AC$18)+'Project Infor'!C45</f>
        <v>256215.09174924644</v>
      </c>
      <c r="E11" s="205">
        <f>SUMIF('Monthly View'!$E$4:$AC$4,"Real",'Monthly View'!$E$20:$AC$20)+'Project Infor'!C47</f>
        <v>147169</v>
      </c>
      <c r="F11" s="205">
        <f>SUMIF('Monthly View'!$E$4:$AC$4,"Real",'Monthly View'!$E$19:$AC$19)+'Project Infor'!C46</f>
        <v>5472</v>
      </c>
      <c r="G11" s="205">
        <f>SUMIF('Monthly View'!$E$4:$AC$4,"Real",'Monthly View'!$E$21:$AC$21)</f>
        <v>0</v>
      </c>
      <c r="H11" s="205">
        <f>SUMIF('Monthly View'!$E$4:$AC$4,"Real",'Monthly View'!$E$22:$AC$22)</f>
        <v>0</v>
      </c>
      <c r="I11" s="205">
        <f>SUMIF('Monthly View'!$E$4:$AC$4,"Real",'Monthly View'!$E$23:$AC$23)+'Project Infor'!C48</f>
        <v>2960</v>
      </c>
      <c r="J11" s="205">
        <f>SUMIF('Monthly View'!$E$4:$AC$4,"Real",'Monthly View'!$E$24:$AC$24)+'Project Infor'!C49</f>
        <v>40000</v>
      </c>
      <c r="K11" s="205">
        <f>SUM(E11,G11,H11,I11,J11)</f>
        <v>190129</v>
      </c>
      <c r="L11" s="205">
        <f ca="1">D11-K11</f>
        <v>66086.091749246436</v>
      </c>
      <c r="M11" s="206">
        <f ca="1">IF(D11=0,0,(D11-E11-H11-I11-G11-J11)/D11)</f>
        <v>0.25793208080780744</v>
      </c>
      <c r="N11" s="204">
        <f ca="1">IF(D11=0,0,(D11-E11/UTILIZACION-G11/UTILIZACION-H11/UTILIZACION-I11-J11)/D11)</f>
        <v>0.21469795090736865</v>
      </c>
      <c r="O11" s="25"/>
      <c r="P11" s="23"/>
    </row>
    <row r="12" spans="2:16" ht="20.149999999999999" customHeight="1" x14ac:dyDescent="0.3">
      <c r="B12" s="312" t="s">
        <v>17</v>
      </c>
      <c r="C12" s="313"/>
      <c r="D12" s="169">
        <f ca="1">IF(D11=0,1,(D11/D8))</f>
        <v>0.43880220177571938</v>
      </c>
      <c r="E12" s="169">
        <f>IF(E11=0,1,(E11/E8))</f>
        <v>0.46621155003643044</v>
      </c>
      <c r="F12" s="169">
        <f>IF(F11=0,1,(F11/F8))</f>
        <v>0.46177215189873416</v>
      </c>
      <c r="G12" s="169"/>
      <c r="H12" s="169"/>
      <c r="I12" s="169"/>
      <c r="J12" s="169"/>
      <c r="K12" s="169"/>
      <c r="L12" s="169"/>
      <c r="M12" s="170"/>
      <c r="N12" s="171"/>
      <c r="O12" s="25"/>
      <c r="P12" s="25"/>
    </row>
    <row r="17" spans="2:16" ht="20.149999999999999" customHeight="1" x14ac:dyDescent="0.3">
      <c r="B17" s="66" t="s">
        <v>18</v>
      </c>
      <c r="C17" s="66"/>
      <c r="D17" s="66"/>
      <c r="E17" s="25"/>
      <c r="F17" s="25"/>
      <c r="G17" s="25"/>
      <c r="H17" s="25"/>
      <c r="I17" s="25"/>
      <c r="J17" s="25"/>
      <c r="K17" s="25"/>
      <c r="L17" s="25"/>
      <c r="M17" s="25"/>
      <c r="N17" s="25"/>
      <c r="O17" s="25"/>
      <c r="P17" s="25"/>
    </row>
    <row r="18" spans="2:16" ht="285.75" customHeight="1" x14ac:dyDescent="0.35">
      <c r="B18" s="307"/>
      <c r="C18" s="308"/>
      <c r="D18" s="308"/>
      <c r="E18" s="308"/>
      <c r="F18" s="308"/>
      <c r="G18" s="308"/>
      <c r="H18" s="308"/>
      <c r="I18" s="308"/>
      <c r="J18" s="309"/>
      <c r="K18" s="25"/>
      <c r="L18" s="25"/>
      <c r="M18" s="25"/>
      <c r="N18" s="25"/>
      <c r="O18" s="25"/>
      <c r="P18" s="25"/>
    </row>
  </sheetData>
  <sheetProtection algorithmName="SHA-512" hashValue="1oLSmJg3A03Y3PCu+IFl1f+ZfqiBTlTxohiX1RXQaREUsS74DI8GwjDeH9Fochikpssbh2MeLVrZ72+a5M1Tow==" saltValue="8O5XEi7hVPCq79htmca1NQ==" spinCount="100000" sheet="1" objects="1" scenarios="1"/>
  <mergeCells count="7">
    <mergeCell ref="B6:C6"/>
    <mergeCell ref="B7:C7"/>
    <mergeCell ref="B11:C11"/>
    <mergeCell ref="B18:J18"/>
    <mergeCell ref="B9:C9"/>
    <mergeCell ref="B8:C8"/>
    <mergeCell ref="B12:C12"/>
  </mergeCells>
  <pageMargins left="0.70866141732283472" right="0.70866141732283472" top="0.74803149606299213" bottom="0.74803149606299213" header="0.31496062992125978" footer="0.31496062992125978"/>
  <pageSetup paperSize="9" scale="27"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D25"/>
  <sheetViews>
    <sheetView showGridLines="0" topLeftCell="A17" zoomScale="85" zoomScaleNormal="85" workbookViewId="0">
      <selection activeCell="B18" sqref="B18"/>
    </sheetView>
  </sheetViews>
  <sheetFormatPr baseColWidth="10" defaultColWidth="11.453125" defaultRowHeight="13.5" x14ac:dyDescent="0.25"/>
  <cols>
    <col min="1" max="1" width="3.26953125" style="94" customWidth="1"/>
    <col min="2" max="2" width="195.7265625" style="94" customWidth="1"/>
    <col min="3" max="3" width="11.453125" style="94" customWidth="1"/>
    <col min="4" max="16384" width="11.453125" style="94"/>
  </cols>
  <sheetData>
    <row r="1" spans="2:4" ht="19.5" customHeight="1" x14ac:dyDescent="0.25"/>
    <row r="2" spans="2:4" ht="27.75" customHeight="1" x14ac:dyDescent="0.25">
      <c r="B2" s="344" t="s">
        <v>234</v>
      </c>
      <c r="C2" s="331"/>
      <c r="D2" s="331"/>
    </row>
    <row r="3" spans="2:4" ht="19.5" customHeight="1" x14ac:dyDescent="0.25"/>
    <row r="4" spans="2:4" ht="24" customHeight="1" x14ac:dyDescent="0.25">
      <c r="B4" s="178" t="s">
        <v>235</v>
      </c>
    </row>
    <row r="5" spans="2:4" ht="24" customHeight="1" x14ac:dyDescent="0.25">
      <c r="B5" s="179" t="s">
        <v>236</v>
      </c>
    </row>
    <row r="6" spans="2:4" ht="24" customHeight="1" x14ac:dyDescent="0.25">
      <c r="B6" s="179" t="s">
        <v>237</v>
      </c>
    </row>
    <row r="7" spans="2:4" ht="45" customHeight="1" x14ac:dyDescent="0.25">
      <c r="B7" s="179" t="s">
        <v>238</v>
      </c>
    </row>
    <row r="8" spans="2:4" ht="30" customHeight="1" x14ac:dyDescent="0.25">
      <c r="B8" s="179" t="s">
        <v>239</v>
      </c>
    </row>
    <row r="9" spans="2:4" ht="25" customHeight="1" x14ac:dyDescent="0.25">
      <c r="B9" s="179" t="s">
        <v>240</v>
      </c>
    </row>
    <row r="10" spans="2:4" ht="24" customHeight="1" x14ac:dyDescent="0.25">
      <c r="B10" s="180"/>
    </row>
    <row r="11" spans="2:4" ht="24" customHeight="1" x14ac:dyDescent="0.25">
      <c r="B11" s="178" t="s">
        <v>241</v>
      </c>
    </row>
    <row r="12" spans="2:4" ht="24" customHeight="1" x14ac:dyDescent="0.25">
      <c r="B12" s="179" t="s">
        <v>242</v>
      </c>
    </row>
    <row r="13" spans="2:4" ht="24" customHeight="1" x14ac:dyDescent="0.25">
      <c r="B13" s="179" t="s">
        <v>243</v>
      </c>
    </row>
    <row r="14" spans="2:4" ht="54" customHeight="1" x14ac:dyDescent="0.25">
      <c r="B14" s="179" t="s">
        <v>244</v>
      </c>
    </row>
    <row r="15" spans="2:4" ht="54" customHeight="1" x14ac:dyDescent="0.25">
      <c r="B15" s="179" t="s">
        <v>245</v>
      </c>
    </row>
    <row r="16" spans="2:4" ht="34.5" customHeight="1" x14ac:dyDescent="0.25">
      <c r="B16" s="179" t="s">
        <v>246</v>
      </c>
    </row>
    <row r="17" spans="2:2" ht="54.75" customHeight="1" x14ac:dyDescent="0.25">
      <c r="B17" s="179" t="s">
        <v>247</v>
      </c>
    </row>
    <row r="18" spans="2:2" ht="51.75" customHeight="1" x14ac:dyDescent="0.25">
      <c r="B18" s="179" t="s">
        <v>248</v>
      </c>
    </row>
    <row r="19" spans="2:2" ht="24" customHeight="1" x14ac:dyDescent="0.25"/>
    <row r="20" spans="2:2" ht="24" customHeight="1" x14ac:dyDescent="0.25">
      <c r="B20" s="178" t="s">
        <v>249</v>
      </c>
    </row>
    <row r="21" spans="2:2" ht="24" customHeight="1" x14ac:dyDescent="0.25">
      <c r="B21" s="179" t="s">
        <v>250</v>
      </c>
    </row>
    <row r="22" spans="2:2" ht="24" customHeight="1" x14ac:dyDescent="0.25">
      <c r="B22" s="179" t="s">
        <v>251</v>
      </c>
    </row>
    <row r="23" spans="2:2" ht="36" customHeight="1" x14ac:dyDescent="0.25">
      <c r="B23" s="179" t="s">
        <v>252</v>
      </c>
    </row>
    <row r="24" spans="2:2" ht="125.25" customHeight="1" x14ac:dyDescent="0.25">
      <c r="B24" s="179" t="s">
        <v>253</v>
      </c>
    </row>
    <row r="25" spans="2:2" ht="42.75" customHeight="1" x14ac:dyDescent="0.25">
      <c r="B25" s="179" t="s">
        <v>254</v>
      </c>
    </row>
  </sheetData>
  <sheetProtection algorithmName="SHA-512" hashValue="lJaMjGqGs444Uh10iuPAbjRSOdGmgxXL1PJcQbHJLaoMuvEbGSMxh/TNgbJIXt0CcdYBssJpN8agUj5/76D+tw==" saltValue="kCst0S3fIIW01tOP/5BJvw==" spinCount="100000" sheet="1" objects="1" scenarios="1"/>
  <mergeCells count="1">
    <mergeCell ref="B2:D2"/>
  </mergeCells>
  <pageMargins left="0.70866141732283472" right="0.70866141732283472" top="0.74803149606299213" bottom="0.74803149606299213" header="0.31496062992125978" footer="0.31496062992125978"/>
  <pageSetup paperSize="9" scale="3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X51"/>
  <sheetViews>
    <sheetView showGridLines="0" zoomScale="55" zoomScaleNormal="55" workbookViewId="0">
      <selection activeCell="B8" sqref="B8:I22"/>
    </sheetView>
  </sheetViews>
  <sheetFormatPr baseColWidth="10" defaultColWidth="9.1796875" defaultRowHeight="13.5" x14ac:dyDescent="0.3"/>
  <cols>
    <col min="1" max="1" width="2.1796875" style="251" customWidth="1"/>
    <col min="2" max="2" width="20.453125" style="251" customWidth="1"/>
    <col min="3" max="3" width="25.26953125" style="251" customWidth="1"/>
    <col min="4" max="4" width="23.7265625" style="251" customWidth="1"/>
    <col min="5" max="5" width="71.453125" style="251" customWidth="1"/>
    <col min="6" max="6" width="20.7265625" style="251" customWidth="1"/>
    <col min="7" max="7" width="10.7265625" style="251" customWidth="1"/>
    <col min="8" max="8" width="20.81640625" style="251" customWidth="1"/>
    <col min="9" max="9" width="24.1796875" style="251" customWidth="1"/>
    <col min="10" max="11" width="28.453125" style="251" customWidth="1"/>
    <col min="12" max="12" width="28" style="251" customWidth="1"/>
    <col min="13" max="13" width="16.7265625" style="251" customWidth="1"/>
    <col min="14" max="14" width="33.81640625" style="251" customWidth="1"/>
    <col min="15" max="15" width="28.81640625" style="251" bestFit="1" customWidth="1"/>
    <col min="16" max="16" width="11.7265625" style="251" customWidth="1"/>
    <col min="17" max="17" width="3.453125" style="251" customWidth="1"/>
    <col min="18" max="18" width="9.1796875" style="251" customWidth="1"/>
    <col min="19" max="19" width="14.26953125" style="251" customWidth="1"/>
    <col min="20" max="20" width="11.81640625" style="251" customWidth="1"/>
    <col min="21" max="24" width="9.1796875" style="251" customWidth="1"/>
    <col min="25" max="16384" width="9.1796875" style="251"/>
  </cols>
  <sheetData>
    <row r="2" spans="2:24" ht="21" customHeight="1" x14ac:dyDescent="0.3">
      <c r="B2" s="252" t="s">
        <v>0</v>
      </c>
      <c r="C2" s="253" t="str">
        <f>'Project Infor'!C10</f>
        <v>var2_SAP_PEP_WBS</v>
      </c>
      <c r="D2" s="252" t="str">
        <f>'Project Infor'!C11</f>
        <v>Smart Airport en la nueva terminal de Puerto Vallarta</v>
      </c>
      <c r="E2" s="254"/>
      <c r="F2" s="254"/>
      <c r="G2" s="254"/>
      <c r="H2" s="254"/>
    </row>
    <row r="3" spans="2:24" ht="9" customHeight="1" x14ac:dyDescent="0.3">
      <c r="D3" s="255"/>
      <c r="E3" s="255"/>
      <c r="F3" s="255"/>
      <c r="G3" s="255"/>
    </row>
    <row r="4" spans="2:24" ht="15" customHeight="1" thickBot="1" x14ac:dyDescent="0.35">
      <c r="D4" s="256"/>
      <c r="E4" s="257"/>
      <c r="F4" s="258"/>
      <c r="G4" s="258"/>
      <c r="H4" s="258"/>
      <c r="I4" s="258"/>
      <c r="J4" s="258"/>
      <c r="K4" s="258"/>
      <c r="N4" s="258"/>
      <c r="O4" s="258"/>
      <c r="P4" s="258"/>
      <c r="Q4" s="258"/>
    </row>
    <row r="5" spans="2:24" ht="37" customHeight="1" thickBot="1" x14ac:dyDescent="0.4">
      <c r="B5" s="259" t="s">
        <v>255</v>
      </c>
      <c r="C5" s="259"/>
      <c r="D5" s="259"/>
      <c r="E5" s="260">
        <f>'Cost Overview'!F8</f>
        <v>583896.55000000005</v>
      </c>
      <c r="F5" s="345" t="s">
        <v>256</v>
      </c>
      <c r="G5" s="346"/>
      <c r="H5" s="346"/>
      <c r="I5" s="346"/>
      <c r="J5" s="261">
        <f>E5-F41</f>
        <v>583896.55000000005</v>
      </c>
      <c r="K5" s="261"/>
      <c r="N5" s="262"/>
      <c r="O5" s="262"/>
      <c r="P5" s="262"/>
      <c r="Q5" s="258"/>
    </row>
    <row r="6" spans="2:24" ht="20.149999999999999" customHeight="1" x14ac:dyDescent="0.3">
      <c r="D6" s="256"/>
      <c r="E6" s="258"/>
      <c r="F6" s="258"/>
      <c r="G6" s="258"/>
      <c r="H6" s="258"/>
      <c r="I6" s="258"/>
      <c r="J6" s="258"/>
      <c r="K6" s="258"/>
      <c r="L6" s="256"/>
      <c r="M6" s="258"/>
      <c r="N6" s="258"/>
      <c r="O6" s="258"/>
      <c r="P6" s="258"/>
      <c r="Q6" s="258"/>
    </row>
    <row r="7" spans="2:24" s="263" customFormat="1" ht="31.5" customHeight="1" x14ac:dyDescent="0.3">
      <c r="B7" s="247" t="s">
        <v>257</v>
      </c>
      <c r="C7" s="247" t="s">
        <v>258</v>
      </c>
      <c r="D7" s="247" t="s">
        <v>259</v>
      </c>
      <c r="E7" s="247" t="s">
        <v>260</v>
      </c>
      <c r="F7" s="248" t="s">
        <v>261</v>
      </c>
      <c r="G7" s="248" t="s">
        <v>262</v>
      </c>
      <c r="H7" s="247" t="s">
        <v>263</v>
      </c>
      <c r="I7" s="247" t="s">
        <v>264</v>
      </c>
      <c r="J7" s="247" t="s">
        <v>265</v>
      </c>
      <c r="K7" s="247" t="s">
        <v>266</v>
      </c>
      <c r="L7" s="247" t="s">
        <v>267</v>
      </c>
      <c r="M7" s="248" t="s">
        <v>268</v>
      </c>
      <c r="N7" s="248" t="s">
        <v>269</v>
      </c>
      <c r="O7" s="248" t="s">
        <v>270</v>
      </c>
      <c r="P7" s="248" t="s">
        <v>271</v>
      </c>
      <c r="Q7" s="258"/>
      <c r="R7" s="251"/>
      <c r="S7" s="251"/>
      <c r="T7" s="251"/>
      <c r="U7" s="251"/>
      <c r="V7" s="251"/>
      <c r="W7" s="251"/>
      <c r="X7" s="251"/>
    </row>
    <row r="8" spans="2:24" s="264" customFormat="1" ht="20.149999999999999" customHeight="1" x14ac:dyDescent="0.3">
      <c r="B8" s="202"/>
      <c r="C8" s="229"/>
      <c r="D8" s="4" t="str">
        <f t="shared" ref="D8:D40" si="0">IF(C8=0," ","Z2")</f>
        <v xml:space="preserve"> </v>
      </c>
      <c r="E8" s="4"/>
      <c r="F8" s="6"/>
      <c r="G8" s="6"/>
      <c r="H8" s="9"/>
      <c r="I8" s="6" t="str">
        <f t="shared" ref="I8:I40" si="1">IF(F8=0," ",F8+F8*H8)</f>
        <v xml:space="preserve"> </v>
      </c>
      <c r="J8" s="10"/>
      <c r="K8" s="10"/>
      <c r="L8" s="6"/>
      <c r="M8" s="56"/>
      <c r="N8" s="6"/>
      <c r="O8" s="6"/>
      <c r="P8" s="6"/>
      <c r="Q8" s="258"/>
      <c r="R8" s="251"/>
      <c r="S8" s="251"/>
      <c r="T8" s="251"/>
      <c r="U8" s="251"/>
      <c r="V8" s="251"/>
      <c r="W8" s="251"/>
      <c r="X8" s="251"/>
    </row>
    <row r="9" spans="2:24" s="264" customFormat="1" ht="20.149999999999999" customHeight="1" x14ac:dyDescent="0.3">
      <c r="B9" s="202"/>
      <c r="C9" s="56"/>
      <c r="D9" s="4" t="str">
        <f t="shared" si="0"/>
        <v xml:space="preserve"> </v>
      </c>
      <c r="E9" s="4"/>
      <c r="F9" s="6"/>
      <c r="G9" s="6"/>
      <c r="H9" s="9"/>
      <c r="I9" s="6" t="str">
        <f t="shared" si="1"/>
        <v xml:space="preserve"> </v>
      </c>
      <c r="J9" s="10"/>
      <c r="K9" s="10"/>
      <c r="L9" s="6"/>
      <c r="M9" s="56"/>
      <c r="N9" s="6"/>
      <c r="O9" s="6"/>
      <c r="P9" s="6"/>
      <c r="Q9" s="258"/>
      <c r="R9" s="251"/>
      <c r="S9" s="251"/>
      <c r="T9" s="251"/>
      <c r="U9" s="251"/>
      <c r="V9" s="251"/>
      <c r="W9" s="251"/>
      <c r="X9" s="251"/>
    </row>
    <row r="10" spans="2:24" s="264" customFormat="1" ht="20.149999999999999" customHeight="1" x14ac:dyDescent="0.3">
      <c r="B10" s="202"/>
      <c r="C10" s="56"/>
      <c r="D10" s="4" t="str">
        <f t="shared" si="0"/>
        <v xml:space="preserve"> </v>
      </c>
      <c r="E10" s="4"/>
      <c r="F10" s="6"/>
      <c r="G10" s="6"/>
      <c r="H10" s="9"/>
      <c r="I10" s="6" t="str">
        <f t="shared" si="1"/>
        <v xml:space="preserve"> </v>
      </c>
      <c r="J10" s="10"/>
      <c r="K10" s="10"/>
      <c r="L10" s="6"/>
      <c r="M10" s="56"/>
      <c r="N10" s="6"/>
      <c r="O10" s="6"/>
      <c r="P10" s="6"/>
      <c r="Q10" s="258"/>
      <c r="R10" s="251"/>
      <c r="S10" s="251"/>
      <c r="T10" s="251"/>
      <c r="U10" s="251"/>
      <c r="V10" s="251"/>
      <c r="W10" s="251"/>
      <c r="X10" s="251"/>
    </row>
    <row r="11" spans="2:24" s="264" customFormat="1" ht="20.149999999999999" customHeight="1" x14ac:dyDescent="0.3">
      <c r="B11" s="202"/>
      <c r="C11" s="56"/>
      <c r="D11" s="4" t="str">
        <f t="shared" si="0"/>
        <v xml:space="preserve"> </v>
      </c>
      <c r="E11" s="4"/>
      <c r="F11" s="6"/>
      <c r="G11" s="6"/>
      <c r="H11" s="9"/>
      <c r="I11" s="6" t="str">
        <f t="shared" si="1"/>
        <v xml:space="preserve"> </v>
      </c>
      <c r="J11" s="10"/>
      <c r="K11" s="10"/>
      <c r="L11" s="6"/>
      <c r="M11" s="56"/>
      <c r="N11" s="6"/>
      <c r="O11" s="6"/>
      <c r="P11" s="6"/>
      <c r="Q11" s="258"/>
      <c r="R11" s="251"/>
      <c r="S11" s="251"/>
      <c r="T11" s="251"/>
      <c r="U11" s="251"/>
      <c r="V11" s="251"/>
      <c r="W11" s="251"/>
      <c r="X11" s="251"/>
    </row>
    <row r="12" spans="2:24" s="264" customFormat="1" ht="20.149999999999999" customHeight="1" x14ac:dyDescent="0.3">
      <c r="B12" s="202"/>
      <c r="C12" s="56"/>
      <c r="D12" s="4" t="str">
        <f t="shared" si="0"/>
        <v xml:space="preserve"> </v>
      </c>
      <c r="E12" s="4"/>
      <c r="F12" s="6"/>
      <c r="G12" s="6"/>
      <c r="H12" s="9"/>
      <c r="I12" s="6" t="str">
        <f t="shared" si="1"/>
        <v xml:space="preserve"> </v>
      </c>
      <c r="J12" s="10"/>
      <c r="K12" s="10"/>
      <c r="L12" s="6"/>
      <c r="M12" s="56"/>
      <c r="N12" s="6"/>
      <c r="O12" s="6"/>
      <c r="P12" s="6"/>
      <c r="Q12" s="258"/>
      <c r="R12" s="251"/>
      <c r="S12" s="251"/>
      <c r="T12" s="251"/>
      <c r="U12" s="251"/>
      <c r="V12" s="251"/>
      <c r="W12" s="251"/>
      <c r="X12" s="251"/>
    </row>
    <row r="13" spans="2:24" s="264" customFormat="1" ht="20.149999999999999" customHeight="1" x14ac:dyDescent="0.3">
      <c r="B13" s="202"/>
      <c r="C13" s="56"/>
      <c r="D13" s="4" t="str">
        <f t="shared" si="0"/>
        <v xml:space="preserve"> </v>
      </c>
      <c r="E13" s="4"/>
      <c r="F13" s="6"/>
      <c r="G13" s="6"/>
      <c r="H13" s="9"/>
      <c r="I13" s="6" t="str">
        <f t="shared" si="1"/>
        <v xml:space="preserve"> </v>
      </c>
      <c r="J13" s="10"/>
      <c r="K13" s="10"/>
      <c r="L13" s="6"/>
      <c r="M13" s="56"/>
      <c r="N13" s="6"/>
      <c r="O13" s="6"/>
      <c r="P13" s="6"/>
      <c r="Q13" s="258"/>
      <c r="R13" s="251"/>
      <c r="S13" s="251"/>
      <c r="T13" s="251"/>
      <c r="U13" s="251"/>
      <c r="V13" s="251"/>
      <c r="W13" s="251"/>
      <c r="X13" s="251"/>
    </row>
    <row r="14" spans="2:24" s="264" customFormat="1" ht="20.149999999999999" customHeight="1" x14ac:dyDescent="0.3">
      <c r="B14" s="202"/>
      <c r="C14" s="56"/>
      <c r="D14" s="4" t="str">
        <f t="shared" si="0"/>
        <v xml:space="preserve"> </v>
      </c>
      <c r="E14" s="4"/>
      <c r="F14" s="6"/>
      <c r="G14" s="6"/>
      <c r="H14" s="9"/>
      <c r="I14" s="6" t="str">
        <f t="shared" si="1"/>
        <v xml:space="preserve"> </v>
      </c>
      <c r="J14" s="10"/>
      <c r="K14" s="10"/>
      <c r="L14" s="6"/>
      <c r="M14" s="56"/>
      <c r="N14" s="6"/>
      <c r="O14" s="6"/>
      <c r="P14" s="6"/>
      <c r="Q14" s="258"/>
      <c r="R14" s="251"/>
      <c r="S14" s="251"/>
      <c r="T14" s="251"/>
      <c r="U14" s="251"/>
      <c r="V14" s="251"/>
      <c r="W14" s="251"/>
      <c r="X14" s="251"/>
    </row>
    <row r="15" spans="2:24" s="264" customFormat="1" ht="20.149999999999999" customHeight="1" x14ac:dyDescent="0.3">
      <c r="B15" s="202"/>
      <c r="C15" s="56"/>
      <c r="D15" s="4" t="str">
        <f t="shared" si="0"/>
        <v xml:space="preserve"> </v>
      </c>
      <c r="E15" s="4"/>
      <c r="F15" s="6"/>
      <c r="G15" s="6"/>
      <c r="H15" s="9"/>
      <c r="I15" s="6" t="str">
        <f t="shared" si="1"/>
        <v xml:space="preserve"> </v>
      </c>
      <c r="J15" s="10"/>
      <c r="K15" s="10"/>
      <c r="L15" s="6"/>
      <c r="M15" s="56"/>
      <c r="N15" s="6"/>
      <c r="O15" s="6"/>
      <c r="P15" s="6"/>
      <c r="Q15" s="258"/>
      <c r="R15" s="251"/>
      <c r="S15" s="251"/>
      <c r="T15" s="251"/>
      <c r="U15" s="251"/>
      <c r="V15" s="251"/>
      <c r="W15" s="251"/>
      <c r="X15" s="251"/>
    </row>
    <row r="16" spans="2:24" s="264" customFormat="1" ht="20.149999999999999" customHeight="1" x14ac:dyDescent="0.3">
      <c r="B16" s="202"/>
      <c r="C16" s="56"/>
      <c r="D16" s="4" t="str">
        <f t="shared" si="0"/>
        <v xml:space="preserve"> </v>
      </c>
      <c r="E16" s="4"/>
      <c r="F16" s="6"/>
      <c r="G16" s="6"/>
      <c r="H16" s="9"/>
      <c r="I16" s="6" t="str">
        <f t="shared" si="1"/>
        <v xml:space="preserve"> </v>
      </c>
      <c r="J16" s="10"/>
      <c r="K16" s="10"/>
      <c r="L16" s="6"/>
      <c r="M16" s="56"/>
      <c r="N16" s="6"/>
      <c r="O16" s="6"/>
      <c r="P16" s="6"/>
      <c r="Q16" s="258"/>
      <c r="R16" s="251"/>
      <c r="S16" s="251"/>
      <c r="T16" s="251"/>
      <c r="U16" s="251"/>
      <c r="V16" s="251"/>
      <c r="W16" s="251"/>
      <c r="X16" s="251"/>
    </row>
    <row r="17" spans="2:24" s="264" customFormat="1" ht="20.149999999999999" customHeight="1" x14ac:dyDescent="0.3">
      <c r="B17" s="202"/>
      <c r="C17" s="56"/>
      <c r="D17" s="4" t="str">
        <f t="shared" si="0"/>
        <v xml:space="preserve"> </v>
      </c>
      <c r="E17" s="4"/>
      <c r="F17" s="6"/>
      <c r="G17" s="6"/>
      <c r="H17" s="9"/>
      <c r="I17" s="6" t="str">
        <f t="shared" si="1"/>
        <v xml:space="preserve"> </v>
      </c>
      <c r="J17" s="10"/>
      <c r="K17" s="10"/>
      <c r="L17" s="6"/>
      <c r="M17" s="56"/>
      <c r="N17" s="6"/>
      <c r="O17" s="6"/>
      <c r="P17" s="6"/>
      <c r="Q17" s="258"/>
      <c r="R17" s="251"/>
      <c r="S17" s="251"/>
      <c r="T17" s="251"/>
      <c r="U17" s="251"/>
      <c r="V17" s="251"/>
      <c r="W17" s="251"/>
      <c r="X17" s="251"/>
    </row>
    <row r="18" spans="2:24" s="264" customFormat="1" ht="20.149999999999999" customHeight="1" x14ac:dyDescent="0.3">
      <c r="B18" s="202"/>
      <c r="C18" s="56"/>
      <c r="D18" s="4" t="str">
        <f t="shared" si="0"/>
        <v xml:space="preserve"> </v>
      </c>
      <c r="E18" s="4"/>
      <c r="F18" s="6"/>
      <c r="G18" s="6"/>
      <c r="H18" s="9"/>
      <c r="I18" s="6" t="str">
        <f t="shared" si="1"/>
        <v xml:space="preserve"> </v>
      </c>
      <c r="J18" s="10"/>
      <c r="K18" s="10"/>
      <c r="L18" s="6"/>
      <c r="M18" s="56"/>
      <c r="N18" s="6"/>
      <c r="O18" s="6"/>
      <c r="P18" s="6"/>
      <c r="Q18" s="258"/>
      <c r="R18" s="251"/>
      <c r="S18" s="251"/>
      <c r="T18" s="251"/>
      <c r="U18" s="251"/>
      <c r="V18" s="251"/>
      <c r="W18" s="251"/>
      <c r="X18" s="251"/>
    </row>
    <row r="19" spans="2:24" s="264" customFormat="1" ht="20.149999999999999" customHeight="1" x14ac:dyDescent="0.3">
      <c r="B19" s="202"/>
      <c r="C19" s="56"/>
      <c r="D19" s="4" t="str">
        <f t="shared" si="0"/>
        <v xml:space="preserve"> </v>
      </c>
      <c r="E19" s="4"/>
      <c r="F19" s="6"/>
      <c r="G19" s="6"/>
      <c r="H19" s="9"/>
      <c r="I19" s="6" t="str">
        <f t="shared" si="1"/>
        <v xml:space="preserve"> </v>
      </c>
      <c r="J19" s="10"/>
      <c r="K19" s="10"/>
      <c r="L19" s="6"/>
      <c r="M19" s="56"/>
      <c r="N19" s="6"/>
      <c r="O19" s="6"/>
      <c r="P19" s="6"/>
      <c r="Q19" s="258"/>
      <c r="R19" s="251"/>
      <c r="S19" s="251"/>
      <c r="T19" s="251"/>
      <c r="U19" s="251"/>
      <c r="V19" s="251"/>
      <c r="W19" s="251"/>
      <c r="X19" s="251"/>
    </row>
    <row r="20" spans="2:24" s="264" customFormat="1" ht="20.149999999999999" customHeight="1" x14ac:dyDescent="0.3">
      <c r="B20" s="202"/>
      <c r="C20" s="56"/>
      <c r="D20" s="4" t="str">
        <f t="shared" si="0"/>
        <v xml:space="preserve"> </v>
      </c>
      <c r="E20" s="4"/>
      <c r="F20" s="6"/>
      <c r="G20" s="6"/>
      <c r="H20" s="9"/>
      <c r="I20" s="6" t="str">
        <f t="shared" si="1"/>
        <v xml:space="preserve"> </v>
      </c>
      <c r="J20" s="10"/>
      <c r="K20" s="10"/>
      <c r="L20" s="6"/>
      <c r="M20" s="56"/>
      <c r="N20" s="6"/>
      <c r="O20" s="6"/>
      <c r="P20" s="6"/>
      <c r="Q20" s="258"/>
      <c r="R20" s="251"/>
      <c r="S20" s="251"/>
      <c r="T20" s="251"/>
      <c r="U20" s="251"/>
      <c r="V20" s="251"/>
      <c r="W20" s="251"/>
      <c r="X20" s="251"/>
    </row>
    <row r="21" spans="2:24" s="264" customFormat="1" ht="20.149999999999999" customHeight="1" x14ac:dyDescent="0.3">
      <c r="B21" s="203"/>
      <c r="C21" s="197"/>
      <c r="D21" s="198" t="str">
        <f t="shared" si="0"/>
        <v xml:space="preserve"> </v>
      </c>
      <c r="E21" s="198"/>
      <c r="F21" s="199"/>
      <c r="G21" s="199"/>
      <c r="H21" s="200"/>
      <c r="I21" s="199" t="str">
        <f t="shared" si="1"/>
        <v xml:space="preserve"> </v>
      </c>
      <c r="J21" s="201"/>
      <c r="K21" s="201"/>
      <c r="L21" s="199"/>
      <c r="M21" s="197"/>
      <c r="N21" s="199"/>
      <c r="O21" s="199"/>
      <c r="P21" s="199"/>
      <c r="Q21" s="258"/>
      <c r="R21" s="251"/>
      <c r="S21" s="251"/>
      <c r="T21" s="251"/>
      <c r="U21" s="251"/>
      <c r="V21" s="251"/>
      <c r="W21" s="251"/>
      <c r="X21" s="251"/>
    </row>
    <row r="22" spans="2:24" s="264" customFormat="1" ht="20.149999999999999" customHeight="1" x14ac:dyDescent="0.3">
      <c r="B22" s="202"/>
      <c r="C22" s="56"/>
      <c r="D22" s="4" t="str">
        <f t="shared" si="0"/>
        <v xml:space="preserve"> </v>
      </c>
      <c r="E22" s="4"/>
      <c r="F22" s="6"/>
      <c r="G22" s="6"/>
      <c r="H22" s="9"/>
      <c r="I22" s="6" t="str">
        <f t="shared" si="1"/>
        <v xml:space="preserve"> </v>
      </c>
      <c r="J22" s="10"/>
      <c r="K22" s="10"/>
      <c r="L22" s="6"/>
      <c r="M22" s="56"/>
      <c r="N22" s="6"/>
      <c r="O22" s="6"/>
      <c r="P22" s="6"/>
      <c r="Q22" s="258"/>
      <c r="R22" s="251"/>
      <c r="S22" s="251"/>
      <c r="T22" s="251"/>
      <c r="U22" s="251"/>
      <c r="V22" s="251"/>
      <c r="W22" s="251"/>
      <c r="X22" s="251"/>
    </row>
    <row r="23" spans="2:24" s="264" customFormat="1" ht="20.149999999999999" customHeight="1" x14ac:dyDescent="0.3">
      <c r="B23" s="202"/>
      <c r="C23" s="56"/>
      <c r="D23" s="4" t="str">
        <f t="shared" si="0"/>
        <v xml:space="preserve"> </v>
      </c>
      <c r="E23" s="4"/>
      <c r="F23" s="6"/>
      <c r="G23" s="6"/>
      <c r="H23" s="9"/>
      <c r="I23" s="6" t="str">
        <f t="shared" si="1"/>
        <v xml:space="preserve"> </v>
      </c>
      <c r="J23" s="10"/>
      <c r="K23" s="10"/>
      <c r="L23" s="6"/>
      <c r="M23" s="56"/>
      <c r="N23" s="6"/>
      <c r="O23" s="6"/>
      <c r="P23" s="6"/>
      <c r="Q23" s="258"/>
      <c r="R23" s="251"/>
      <c r="S23" s="251"/>
      <c r="T23" s="251"/>
      <c r="U23" s="251"/>
      <c r="V23" s="251"/>
      <c r="W23" s="251"/>
      <c r="X23" s="251"/>
    </row>
    <row r="24" spans="2:24" s="264" customFormat="1" ht="20.149999999999999" customHeight="1" x14ac:dyDescent="0.3">
      <c r="B24" s="202"/>
      <c r="C24" s="56"/>
      <c r="D24" s="4" t="str">
        <f t="shared" si="0"/>
        <v xml:space="preserve"> </v>
      </c>
      <c r="E24" s="4"/>
      <c r="F24" s="6"/>
      <c r="G24" s="6"/>
      <c r="H24" s="9"/>
      <c r="I24" s="6" t="str">
        <f t="shared" si="1"/>
        <v xml:space="preserve"> </v>
      </c>
      <c r="J24" s="10"/>
      <c r="K24" s="10"/>
      <c r="L24" s="6"/>
      <c r="M24" s="56"/>
      <c r="N24" s="6"/>
      <c r="O24" s="6"/>
      <c r="P24" s="6"/>
      <c r="Q24" s="258"/>
      <c r="R24" s="251"/>
      <c r="S24" s="251"/>
      <c r="T24" s="251"/>
      <c r="U24" s="251"/>
      <c r="V24" s="251"/>
      <c r="W24" s="251"/>
      <c r="X24" s="251"/>
    </row>
    <row r="25" spans="2:24" s="264" customFormat="1" ht="20.149999999999999" customHeight="1" x14ac:dyDescent="0.3">
      <c r="B25" s="202"/>
      <c r="C25" s="56"/>
      <c r="D25" s="4" t="str">
        <f t="shared" si="0"/>
        <v xml:space="preserve"> </v>
      </c>
      <c r="E25" s="4"/>
      <c r="F25" s="6"/>
      <c r="G25" s="6"/>
      <c r="H25" s="9"/>
      <c r="I25" s="6" t="str">
        <f t="shared" si="1"/>
        <v xml:space="preserve"> </v>
      </c>
      <c r="J25" s="10"/>
      <c r="K25" s="10"/>
      <c r="L25" s="6"/>
      <c r="M25" s="56"/>
      <c r="N25" s="6"/>
      <c r="O25" s="6"/>
      <c r="P25" s="6"/>
      <c r="Q25" s="258"/>
      <c r="R25" s="251"/>
      <c r="S25" s="251"/>
      <c r="T25" s="251"/>
      <c r="U25" s="251"/>
      <c r="V25" s="251"/>
      <c r="W25" s="251"/>
      <c r="X25" s="251"/>
    </row>
    <row r="26" spans="2:24" s="264" customFormat="1" ht="20.149999999999999" customHeight="1" x14ac:dyDescent="0.3">
      <c r="B26" s="202"/>
      <c r="C26" s="56"/>
      <c r="D26" s="4" t="str">
        <f t="shared" si="0"/>
        <v xml:space="preserve"> </v>
      </c>
      <c r="E26" s="4"/>
      <c r="F26" s="6"/>
      <c r="G26" s="6"/>
      <c r="H26" s="9"/>
      <c r="I26" s="6" t="str">
        <f t="shared" si="1"/>
        <v xml:space="preserve"> </v>
      </c>
      <c r="J26" s="10"/>
      <c r="K26" s="10"/>
      <c r="L26" s="6"/>
      <c r="M26" s="56"/>
      <c r="N26" s="6"/>
      <c r="O26" s="6"/>
      <c r="P26" s="6"/>
      <c r="Q26" s="258"/>
      <c r="R26" s="251"/>
      <c r="S26" s="251"/>
      <c r="T26" s="251"/>
      <c r="U26" s="251"/>
      <c r="V26" s="251"/>
      <c r="W26" s="251"/>
      <c r="X26" s="251"/>
    </row>
    <row r="27" spans="2:24" s="264" customFormat="1" ht="20.149999999999999" customHeight="1" x14ac:dyDescent="0.3">
      <c r="B27" s="202"/>
      <c r="C27" s="56"/>
      <c r="D27" s="4" t="str">
        <f t="shared" si="0"/>
        <v xml:space="preserve"> </v>
      </c>
      <c r="E27" s="4"/>
      <c r="F27" s="6"/>
      <c r="G27" s="6"/>
      <c r="H27" s="9"/>
      <c r="I27" s="6" t="str">
        <f t="shared" si="1"/>
        <v xml:space="preserve"> </v>
      </c>
      <c r="J27" s="10"/>
      <c r="K27" s="10"/>
      <c r="L27" s="6"/>
      <c r="M27" s="56"/>
      <c r="N27" s="6"/>
      <c r="O27" s="6"/>
      <c r="P27" s="6"/>
      <c r="Q27" s="258"/>
      <c r="R27" s="251"/>
      <c r="S27" s="251"/>
      <c r="T27" s="251"/>
      <c r="U27" s="251"/>
      <c r="V27" s="251"/>
      <c r="W27" s="251"/>
      <c r="X27" s="251"/>
    </row>
    <row r="28" spans="2:24" s="264" customFormat="1" ht="20.149999999999999" customHeight="1" x14ac:dyDescent="0.3">
      <c r="B28" s="202"/>
      <c r="C28" s="56"/>
      <c r="D28" s="4" t="str">
        <f t="shared" si="0"/>
        <v xml:space="preserve"> </v>
      </c>
      <c r="E28" s="4"/>
      <c r="F28" s="6"/>
      <c r="G28" s="6"/>
      <c r="H28" s="9"/>
      <c r="I28" s="6" t="str">
        <f t="shared" si="1"/>
        <v xml:space="preserve"> </v>
      </c>
      <c r="J28" s="10"/>
      <c r="K28" s="10"/>
      <c r="L28" s="6"/>
      <c r="M28" s="56"/>
      <c r="N28" s="6"/>
      <c r="O28" s="6"/>
      <c r="P28" s="6"/>
      <c r="Q28" s="258"/>
      <c r="R28" s="251"/>
      <c r="S28" s="251"/>
      <c r="T28" s="251"/>
      <c r="U28" s="251"/>
      <c r="V28" s="251"/>
      <c r="W28" s="251"/>
      <c r="X28" s="251"/>
    </row>
    <row r="29" spans="2:24" s="264" customFormat="1" ht="20.149999999999999" customHeight="1" x14ac:dyDescent="0.3">
      <c r="B29" s="202"/>
      <c r="C29" s="56"/>
      <c r="D29" s="4" t="str">
        <f t="shared" si="0"/>
        <v xml:space="preserve"> </v>
      </c>
      <c r="E29" s="4"/>
      <c r="F29" s="6"/>
      <c r="G29" s="6"/>
      <c r="H29" s="9"/>
      <c r="I29" s="6" t="str">
        <f t="shared" si="1"/>
        <v xml:space="preserve"> </v>
      </c>
      <c r="J29" s="10"/>
      <c r="K29" s="10"/>
      <c r="L29" s="6"/>
      <c r="M29" s="56"/>
      <c r="N29" s="6"/>
      <c r="O29" s="6"/>
      <c r="P29" s="6"/>
      <c r="Q29" s="258"/>
      <c r="R29" s="251"/>
      <c r="S29" s="251"/>
      <c r="T29" s="251"/>
      <c r="U29" s="251"/>
      <c r="V29" s="251"/>
      <c r="W29" s="251"/>
      <c r="X29" s="251"/>
    </row>
    <row r="30" spans="2:24" s="264" customFormat="1" ht="20.149999999999999" customHeight="1" x14ac:dyDescent="0.3">
      <c r="B30" s="202"/>
      <c r="C30" s="56"/>
      <c r="D30" s="4" t="str">
        <f t="shared" si="0"/>
        <v xml:space="preserve"> </v>
      </c>
      <c r="E30" s="4"/>
      <c r="F30" s="6"/>
      <c r="G30" s="6"/>
      <c r="H30" s="9"/>
      <c r="I30" s="6" t="str">
        <f t="shared" si="1"/>
        <v xml:space="preserve"> </v>
      </c>
      <c r="J30" s="10"/>
      <c r="K30" s="10"/>
      <c r="L30" s="6"/>
      <c r="M30" s="56"/>
      <c r="N30" s="6"/>
      <c r="O30" s="6"/>
      <c r="P30" s="6"/>
      <c r="Q30" s="258"/>
      <c r="R30" s="251"/>
      <c r="S30" s="251"/>
      <c r="T30" s="251"/>
      <c r="U30" s="251"/>
      <c r="V30" s="251"/>
      <c r="W30" s="251"/>
      <c r="X30" s="251"/>
    </row>
    <row r="31" spans="2:24" s="264" customFormat="1" ht="20.149999999999999" customHeight="1" x14ac:dyDescent="0.3">
      <c r="B31" s="202"/>
      <c r="C31" s="56"/>
      <c r="D31" s="4" t="str">
        <f t="shared" si="0"/>
        <v xml:space="preserve"> </v>
      </c>
      <c r="E31" s="4"/>
      <c r="F31" s="6"/>
      <c r="G31" s="6"/>
      <c r="H31" s="9"/>
      <c r="I31" s="6" t="str">
        <f t="shared" si="1"/>
        <v xml:space="preserve"> </v>
      </c>
      <c r="J31" s="10"/>
      <c r="K31" s="10"/>
      <c r="L31" s="6"/>
      <c r="M31" s="56"/>
      <c r="N31" s="6"/>
      <c r="O31" s="6"/>
      <c r="P31" s="6"/>
      <c r="Q31" s="258"/>
      <c r="R31" s="251"/>
      <c r="S31" s="251"/>
      <c r="T31" s="251"/>
      <c r="U31" s="251"/>
      <c r="V31" s="251"/>
      <c r="W31" s="251"/>
      <c r="X31" s="251"/>
    </row>
    <row r="32" spans="2:24" s="264" customFormat="1" ht="20.149999999999999" customHeight="1" x14ac:dyDescent="0.3">
      <c r="B32" s="202"/>
      <c r="C32" s="56"/>
      <c r="D32" s="4" t="str">
        <f t="shared" si="0"/>
        <v xml:space="preserve"> </v>
      </c>
      <c r="E32" s="4"/>
      <c r="F32" s="6"/>
      <c r="G32" s="6"/>
      <c r="H32" s="9"/>
      <c r="I32" s="6" t="str">
        <f t="shared" si="1"/>
        <v xml:space="preserve"> </v>
      </c>
      <c r="J32" s="10"/>
      <c r="K32" s="10"/>
      <c r="L32" s="6"/>
      <c r="M32" s="56"/>
      <c r="N32" s="6"/>
      <c r="O32" s="6"/>
      <c r="P32" s="6"/>
      <c r="Q32" s="258"/>
      <c r="R32" s="251"/>
      <c r="S32" s="251"/>
      <c r="T32" s="251"/>
      <c r="U32" s="251"/>
      <c r="V32" s="251"/>
      <c r="W32" s="251"/>
      <c r="X32" s="251"/>
    </row>
    <row r="33" spans="2:24" s="264" customFormat="1" ht="20.149999999999999" customHeight="1" x14ac:dyDescent="0.3">
      <c r="B33" s="202"/>
      <c r="C33" s="56"/>
      <c r="D33" s="4" t="str">
        <f t="shared" si="0"/>
        <v xml:space="preserve"> </v>
      </c>
      <c r="E33" s="4"/>
      <c r="F33" s="6"/>
      <c r="G33" s="6"/>
      <c r="H33" s="9"/>
      <c r="I33" s="6" t="str">
        <f t="shared" si="1"/>
        <v xml:space="preserve"> </v>
      </c>
      <c r="J33" s="10"/>
      <c r="K33" s="10"/>
      <c r="L33" s="6"/>
      <c r="M33" s="56"/>
      <c r="N33" s="6"/>
      <c r="O33" s="6"/>
      <c r="P33" s="6"/>
      <c r="Q33" s="258"/>
      <c r="R33" s="251"/>
      <c r="S33" s="251"/>
      <c r="T33" s="251"/>
      <c r="U33" s="251"/>
      <c r="V33" s="251"/>
      <c r="W33" s="251"/>
      <c r="X33" s="251"/>
    </row>
    <row r="34" spans="2:24" s="264" customFormat="1" ht="20.149999999999999" customHeight="1" x14ac:dyDescent="0.3">
      <c r="B34" s="202"/>
      <c r="C34" s="56"/>
      <c r="D34" s="4" t="str">
        <f t="shared" si="0"/>
        <v xml:space="preserve"> </v>
      </c>
      <c r="E34" s="4"/>
      <c r="F34" s="6"/>
      <c r="G34" s="6"/>
      <c r="H34" s="9"/>
      <c r="I34" s="6" t="str">
        <f t="shared" si="1"/>
        <v xml:space="preserve"> </v>
      </c>
      <c r="J34" s="10"/>
      <c r="K34" s="10"/>
      <c r="L34" s="6"/>
      <c r="M34" s="56"/>
      <c r="N34" s="6"/>
      <c r="O34" s="6"/>
      <c r="P34" s="6"/>
      <c r="Q34" s="258"/>
      <c r="R34" s="251"/>
      <c r="S34" s="251"/>
      <c r="T34" s="251"/>
      <c r="U34" s="251"/>
      <c r="V34" s="251"/>
      <c r="W34" s="251"/>
      <c r="X34" s="251"/>
    </row>
    <row r="35" spans="2:24" s="264" customFormat="1" ht="20.149999999999999" customHeight="1" x14ac:dyDescent="0.3">
      <c r="B35" s="202"/>
      <c r="C35" s="56"/>
      <c r="D35" s="4" t="str">
        <f t="shared" si="0"/>
        <v xml:space="preserve"> </v>
      </c>
      <c r="E35" s="4"/>
      <c r="F35" s="6"/>
      <c r="G35" s="6"/>
      <c r="H35" s="9"/>
      <c r="I35" s="6" t="str">
        <f t="shared" si="1"/>
        <v xml:space="preserve"> </v>
      </c>
      <c r="J35" s="10"/>
      <c r="K35" s="10"/>
      <c r="L35" s="6"/>
      <c r="M35" s="56"/>
      <c r="N35" s="6"/>
      <c r="O35" s="6"/>
      <c r="P35" s="6"/>
      <c r="Q35" s="258"/>
      <c r="R35" s="251"/>
      <c r="S35" s="251"/>
      <c r="T35" s="251"/>
      <c r="U35" s="251"/>
      <c r="V35" s="251"/>
      <c r="W35" s="251"/>
      <c r="X35" s="251"/>
    </row>
    <row r="36" spans="2:24" s="264" customFormat="1" ht="20.149999999999999" customHeight="1" x14ac:dyDescent="0.3">
      <c r="B36" s="202"/>
      <c r="C36" s="56"/>
      <c r="D36" s="4" t="str">
        <f t="shared" si="0"/>
        <v xml:space="preserve"> </v>
      </c>
      <c r="E36" s="4"/>
      <c r="F36" s="6"/>
      <c r="G36" s="6"/>
      <c r="H36" s="9"/>
      <c r="I36" s="6" t="str">
        <f t="shared" si="1"/>
        <v xml:space="preserve"> </v>
      </c>
      <c r="J36" s="10"/>
      <c r="K36" s="10"/>
      <c r="L36" s="6"/>
      <c r="M36" s="56"/>
      <c r="N36" s="6"/>
      <c r="O36" s="6"/>
      <c r="P36" s="6"/>
      <c r="Q36" s="258"/>
      <c r="R36" s="251"/>
      <c r="S36" s="251"/>
      <c r="T36" s="251"/>
      <c r="U36" s="251"/>
      <c r="V36" s="251"/>
      <c r="W36" s="251"/>
      <c r="X36" s="251"/>
    </row>
    <row r="37" spans="2:24" s="264" customFormat="1" ht="20.149999999999999" customHeight="1" x14ac:dyDescent="0.3">
      <c r="B37" s="202"/>
      <c r="C37" s="56"/>
      <c r="D37" s="4" t="str">
        <f t="shared" si="0"/>
        <v xml:space="preserve"> </v>
      </c>
      <c r="E37" s="4"/>
      <c r="F37" s="6"/>
      <c r="G37" s="6"/>
      <c r="H37" s="9"/>
      <c r="I37" s="6" t="str">
        <f t="shared" si="1"/>
        <v xml:space="preserve"> </v>
      </c>
      <c r="J37" s="10"/>
      <c r="K37" s="10"/>
      <c r="L37" s="6"/>
      <c r="M37" s="56"/>
      <c r="N37" s="6"/>
      <c r="O37" s="6"/>
      <c r="P37" s="6"/>
      <c r="Q37" s="258"/>
      <c r="R37" s="251"/>
      <c r="S37" s="251"/>
      <c r="T37" s="251"/>
      <c r="U37" s="251"/>
      <c r="V37" s="251"/>
      <c r="W37" s="251"/>
      <c r="X37" s="251"/>
    </row>
    <row r="38" spans="2:24" s="264" customFormat="1" ht="20.149999999999999" customHeight="1" x14ac:dyDescent="0.3">
      <c r="B38" s="203"/>
      <c r="C38" s="197"/>
      <c r="D38" s="198" t="str">
        <f t="shared" si="0"/>
        <v xml:space="preserve"> </v>
      </c>
      <c r="E38" s="198"/>
      <c r="F38" s="199"/>
      <c r="G38" s="199"/>
      <c r="H38" s="200"/>
      <c r="I38" s="199" t="str">
        <f t="shared" si="1"/>
        <v xml:space="preserve"> </v>
      </c>
      <c r="J38" s="201"/>
      <c r="K38" s="201"/>
      <c r="L38" s="199"/>
      <c r="M38" s="197"/>
      <c r="N38" s="199"/>
      <c r="O38" s="199"/>
      <c r="P38" s="199"/>
      <c r="Q38" s="258"/>
      <c r="R38" s="251"/>
      <c r="S38" s="251"/>
      <c r="T38" s="251"/>
      <c r="U38" s="251"/>
      <c r="V38" s="251"/>
      <c r="W38" s="251"/>
      <c r="X38" s="251"/>
    </row>
    <row r="39" spans="2:24" s="264" customFormat="1" ht="20.149999999999999" customHeight="1" x14ac:dyDescent="0.3">
      <c r="B39" s="202"/>
      <c r="C39" s="56"/>
      <c r="D39" s="4" t="str">
        <f t="shared" si="0"/>
        <v xml:space="preserve"> </v>
      </c>
      <c r="E39" s="4"/>
      <c r="F39" s="6"/>
      <c r="G39" s="6"/>
      <c r="H39" s="9"/>
      <c r="I39" s="6" t="str">
        <f t="shared" si="1"/>
        <v xml:space="preserve"> </v>
      </c>
      <c r="J39" s="10"/>
      <c r="K39" s="10"/>
      <c r="L39" s="6"/>
      <c r="M39" s="56"/>
      <c r="N39" s="6"/>
      <c r="O39" s="6"/>
      <c r="P39" s="6"/>
      <c r="Q39" s="258"/>
      <c r="R39" s="251"/>
      <c r="S39" s="251"/>
      <c r="T39" s="251"/>
      <c r="U39" s="251"/>
      <c r="V39" s="251"/>
      <c r="W39" s="251"/>
      <c r="X39" s="251"/>
    </row>
    <row r="40" spans="2:24" s="264" customFormat="1" ht="20.149999999999999" customHeight="1" x14ac:dyDescent="0.3">
      <c r="B40" s="196"/>
      <c r="C40" s="224"/>
      <c r="D40" s="225" t="str">
        <f t="shared" si="0"/>
        <v xml:space="preserve"> </v>
      </c>
      <c r="E40" s="225"/>
      <c r="F40" s="226"/>
      <c r="G40" s="226"/>
      <c r="H40" s="227"/>
      <c r="I40" s="226" t="str">
        <f t="shared" si="1"/>
        <v xml:space="preserve"> </v>
      </c>
      <c r="J40" s="228"/>
      <c r="K40" s="228"/>
      <c r="L40" s="226"/>
      <c r="M40" s="224"/>
      <c r="N40" s="226"/>
      <c r="O40" s="226"/>
      <c r="P40" s="226"/>
      <c r="Q40" s="258"/>
      <c r="R40" s="251"/>
      <c r="S40" s="251"/>
      <c r="T40" s="251"/>
      <c r="U40" s="251"/>
      <c r="V40" s="251"/>
      <c r="W40" s="251"/>
      <c r="X40" s="251"/>
    </row>
    <row r="41" spans="2:24" s="265" customFormat="1" ht="20.149999999999999" customHeight="1" x14ac:dyDescent="0.35">
      <c r="B41" s="347" t="s">
        <v>272</v>
      </c>
      <c r="C41" s="321"/>
      <c r="D41" s="321"/>
      <c r="E41" s="321"/>
      <c r="F41" s="266">
        <f>SUM(F8:F40)</f>
        <v>0</v>
      </c>
      <c r="G41" s="266"/>
      <c r="H41" s="266"/>
      <c r="I41" s="266">
        <f>SUM(I8:I40)</f>
        <v>0</v>
      </c>
      <c r="J41" s="267"/>
      <c r="K41" s="267"/>
      <c r="L41" s="267"/>
      <c r="M41" s="267"/>
      <c r="N41" s="266"/>
      <c r="O41" s="266"/>
      <c r="P41" s="266"/>
      <c r="Q41" s="255"/>
      <c r="R41" s="251"/>
      <c r="S41" s="251"/>
      <c r="T41" s="251"/>
      <c r="U41" s="251"/>
      <c r="V41" s="251"/>
      <c r="W41" s="251"/>
      <c r="X41" s="251"/>
    </row>
    <row r="42" spans="2:24" ht="20.149999999999999" customHeight="1" x14ac:dyDescent="0.3">
      <c r="D42" s="256"/>
      <c r="E42" s="258"/>
      <c r="F42" s="258"/>
      <c r="G42" s="258"/>
      <c r="H42" s="258"/>
      <c r="I42" s="258"/>
      <c r="J42" s="258"/>
      <c r="K42" s="258"/>
      <c r="L42" s="256"/>
      <c r="M42" s="258"/>
      <c r="N42" s="258"/>
      <c r="O42" s="258"/>
      <c r="P42" s="258"/>
      <c r="Q42" s="258"/>
    </row>
    <row r="43" spans="2:24" s="268" customFormat="1" ht="20.149999999999999" customHeight="1" x14ac:dyDescent="0.35">
      <c r="D43" s="269"/>
      <c r="E43" s="269"/>
      <c r="F43" s="269"/>
      <c r="G43" s="269"/>
      <c r="H43" s="269"/>
      <c r="I43" s="269"/>
      <c r="J43" s="269"/>
      <c r="K43" s="269"/>
      <c r="L43" s="269"/>
      <c r="M43" s="269"/>
      <c r="N43" s="269"/>
      <c r="O43" s="269"/>
      <c r="P43" s="269"/>
      <c r="Q43" s="269"/>
      <c r="R43" s="251"/>
      <c r="S43" s="251"/>
      <c r="T43" s="251"/>
      <c r="U43" s="251"/>
      <c r="V43" s="251"/>
      <c r="W43" s="251"/>
      <c r="X43" s="251"/>
    </row>
    <row r="44" spans="2:24" s="268" customFormat="1" ht="20.149999999999999" customHeight="1" x14ac:dyDescent="0.35">
      <c r="D44" s="269"/>
      <c r="E44" s="269"/>
      <c r="F44" s="269"/>
      <c r="G44" s="269"/>
      <c r="H44" s="269"/>
      <c r="I44" s="269"/>
      <c r="J44" s="269"/>
      <c r="K44" s="269"/>
      <c r="L44" s="269"/>
      <c r="M44" s="269"/>
      <c r="N44" s="269"/>
      <c r="O44" s="269"/>
      <c r="P44" s="269"/>
      <c r="Q44" s="269"/>
      <c r="R44" s="251"/>
      <c r="S44" s="251"/>
      <c r="T44" s="251"/>
      <c r="U44" s="251"/>
      <c r="V44" s="251"/>
      <c r="W44" s="251"/>
    </row>
    <row r="45" spans="2:24" s="268" customFormat="1" ht="20.149999999999999" customHeight="1" x14ac:dyDescent="0.35">
      <c r="D45" s="269"/>
      <c r="E45" s="269"/>
      <c r="F45" s="269"/>
      <c r="G45" s="269"/>
      <c r="H45" s="269"/>
      <c r="I45" s="269"/>
      <c r="J45" s="269"/>
      <c r="K45" s="269"/>
      <c r="L45" s="269"/>
      <c r="M45" s="269"/>
      <c r="N45" s="269"/>
      <c r="O45" s="269"/>
      <c r="P45" s="269"/>
      <c r="Q45" s="269"/>
      <c r="R45" s="251"/>
      <c r="S45" s="251"/>
      <c r="T45" s="251"/>
      <c r="U45" s="251"/>
      <c r="V45" s="251"/>
      <c r="W45" s="251"/>
    </row>
    <row r="46" spans="2:24" s="268" customFormat="1" ht="20.149999999999999" customHeight="1" x14ac:dyDescent="0.35">
      <c r="D46" s="269"/>
      <c r="E46" s="269"/>
      <c r="F46" s="269"/>
      <c r="G46" s="269"/>
      <c r="H46" s="269"/>
      <c r="I46" s="269"/>
      <c r="J46" s="269"/>
      <c r="K46" s="269"/>
      <c r="L46" s="269"/>
      <c r="M46" s="269"/>
      <c r="N46" s="269"/>
      <c r="O46" s="269"/>
      <c r="P46" s="269"/>
      <c r="Q46" s="269"/>
      <c r="R46" s="251"/>
      <c r="S46" s="251"/>
      <c r="T46" s="251"/>
      <c r="U46" s="251"/>
      <c r="V46" s="251"/>
      <c r="W46" s="251"/>
    </row>
    <row r="47" spans="2:24" ht="20.149999999999999" customHeight="1" x14ac:dyDescent="0.3">
      <c r="D47" s="258"/>
      <c r="E47" s="258"/>
      <c r="F47" s="258"/>
      <c r="G47" s="258"/>
      <c r="H47" s="258"/>
      <c r="I47" s="258"/>
      <c r="J47" s="258"/>
      <c r="K47" s="258"/>
      <c r="L47" s="258"/>
      <c r="M47" s="258"/>
      <c r="N47" s="258"/>
      <c r="O47" s="258"/>
      <c r="P47" s="258"/>
      <c r="Q47" s="258"/>
    </row>
    <row r="48" spans="2:24" ht="20.149999999999999" customHeight="1" x14ac:dyDescent="0.3"/>
    <row r="50" spans="2:19" ht="20.149999999999999" customHeight="1" x14ac:dyDescent="0.3">
      <c r="B50" s="13" t="s">
        <v>273</v>
      </c>
      <c r="C50" s="13"/>
      <c r="D50" s="13"/>
      <c r="E50" s="258"/>
      <c r="F50" s="258"/>
      <c r="G50" s="258"/>
      <c r="H50" s="258"/>
      <c r="I50" s="258"/>
      <c r="J50" s="258"/>
      <c r="K50" s="258"/>
      <c r="L50" s="13"/>
      <c r="M50" s="258"/>
      <c r="N50" s="258"/>
      <c r="O50" s="258"/>
      <c r="P50" s="258"/>
      <c r="Q50" s="258"/>
      <c r="R50" s="258"/>
      <c r="S50" s="258"/>
    </row>
    <row r="51" spans="2:19" ht="285.75" customHeight="1" x14ac:dyDescent="0.35">
      <c r="B51" s="307" t="s">
        <v>274</v>
      </c>
      <c r="C51" s="308"/>
      <c r="D51" s="308"/>
      <c r="E51" s="308"/>
      <c r="F51" s="308"/>
      <c r="G51" s="308"/>
      <c r="H51" s="308"/>
      <c r="I51" s="308"/>
      <c r="J51" s="309"/>
      <c r="K51" s="270"/>
      <c r="L51" s="270"/>
      <c r="M51" s="270"/>
      <c r="N51" s="258"/>
      <c r="O51" s="258"/>
      <c r="P51" s="258"/>
      <c r="Q51" s="258"/>
      <c r="R51" s="258"/>
      <c r="S51" s="258"/>
    </row>
  </sheetData>
  <autoFilter ref="B7:E7" xr:uid="{00000000-0009-0000-0000-000007000000}"/>
  <mergeCells count="3">
    <mergeCell ref="F5:I5"/>
    <mergeCell ref="B41:E41"/>
    <mergeCell ref="B51:J51"/>
  </mergeCells>
  <conditionalFormatting sqref="F5:G5 J5:K5">
    <cfRule type="expression" dxfId="3" priority="1">
      <formula>$E$5=$F$41</formula>
    </cfRule>
  </conditionalFormatting>
  <dataValidations count="2">
    <dataValidation type="list" allowBlank="1" showInputMessage="1" showErrorMessage="1" sqref="B8:B40" xr:uid="{00000000-0002-0000-0700-000000000000}">
      <formula1>"FACTURA,ABONO,"</formula1>
    </dataValidation>
    <dataValidation type="list" allowBlank="1" showInputMessage="1" showErrorMessage="1" sqref="P8:P40" xr:uid="{00000000-0002-0000-0700-000001000000}">
      <formula1>"SI,NO,"</formula1>
    </dataValidation>
  </dataValidations>
  <pageMargins left="0.70866141732283472" right="0.70866141732283472" top="0.74803149606299213" bottom="0.74803149606299213" header="0.31496062992125978" footer="0.31496062992125978"/>
  <pageSetup paperSize="9" scale="20"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AN20"/>
  <sheetViews>
    <sheetView showGridLines="0" zoomScale="55" zoomScaleNormal="55" workbookViewId="0">
      <selection activeCell="O5" sqref="O5:U13"/>
    </sheetView>
  </sheetViews>
  <sheetFormatPr baseColWidth="10" defaultColWidth="9.1796875" defaultRowHeight="13.5" x14ac:dyDescent="0.3"/>
  <cols>
    <col min="1" max="1" width="2.1796875" style="22" customWidth="1"/>
    <col min="2" max="2" width="20.453125" style="22" customWidth="1"/>
    <col min="3" max="3" width="23.453125" style="22" bestFit="1" customWidth="1"/>
    <col min="4" max="28" width="17.7265625" style="22" customWidth="1"/>
    <col min="29" max="29" width="9.1796875" style="22" customWidth="1"/>
    <col min="30" max="16384" width="9.1796875" style="22"/>
  </cols>
  <sheetData>
    <row r="2" spans="2:40" ht="21" customHeight="1" x14ac:dyDescent="0.3">
      <c r="B2" s="219" t="s">
        <v>0</v>
      </c>
      <c r="C2" s="220" t="str">
        <f>'Project Infor'!C10</f>
        <v>var2_SAP_PEP_WBS</v>
      </c>
      <c r="D2" s="219" t="str">
        <f>'Project Infor'!C11</f>
        <v>Smart Airport en la nueva terminal de Puerto Vallarta</v>
      </c>
      <c r="E2" s="221"/>
      <c r="F2" s="221"/>
      <c r="G2" s="221"/>
      <c r="H2" s="221"/>
      <c r="I2" s="221"/>
      <c r="J2" s="221"/>
    </row>
    <row r="3" spans="2:40" ht="21" customHeight="1" x14ac:dyDescent="0.3"/>
    <row r="4" spans="2:40" s="87" customFormat="1" ht="25" customHeight="1" x14ac:dyDescent="0.3">
      <c r="B4" s="148" t="s">
        <v>275</v>
      </c>
      <c r="C4" s="149">
        <v>44197</v>
      </c>
      <c r="D4" s="149">
        <f t="shared" ref="D4:Z4" si="0">EOMONTH(C4,1)</f>
        <v>44255</v>
      </c>
      <c r="E4" s="149">
        <f t="shared" si="0"/>
        <v>44286</v>
      </c>
      <c r="F4" s="149">
        <f t="shared" si="0"/>
        <v>44316</v>
      </c>
      <c r="G4" s="149">
        <f t="shared" si="0"/>
        <v>44347</v>
      </c>
      <c r="H4" s="149">
        <f t="shared" si="0"/>
        <v>44377</v>
      </c>
      <c r="I4" s="149">
        <f t="shared" si="0"/>
        <v>44408</v>
      </c>
      <c r="J4" s="149">
        <f t="shared" si="0"/>
        <v>44439</v>
      </c>
      <c r="K4" s="149">
        <f t="shared" si="0"/>
        <v>44469</v>
      </c>
      <c r="L4" s="149">
        <f t="shared" si="0"/>
        <v>44500</v>
      </c>
      <c r="M4" s="149">
        <f t="shared" si="0"/>
        <v>44530</v>
      </c>
      <c r="N4" s="149">
        <f t="shared" si="0"/>
        <v>44561</v>
      </c>
      <c r="O4" s="149">
        <f t="shared" si="0"/>
        <v>44592</v>
      </c>
      <c r="P4" s="149">
        <f t="shared" si="0"/>
        <v>44620</v>
      </c>
      <c r="Q4" s="149">
        <f t="shared" si="0"/>
        <v>44651</v>
      </c>
      <c r="R4" s="149">
        <f t="shared" si="0"/>
        <v>44681</v>
      </c>
      <c r="S4" s="149">
        <f t="shared" si="0"/>
        <v>44712</v>
      </c>
      <c r="T4" s="149">
        <f t="shared" si="0"/>
        <v>44742</v>
      </c>
      <c r="U4" s="149">
        <f t="shared" si="0"/>
        <v>44773</v>
      </c>
      <c r="V4" s="149">
        <f t="shared" si="0"/>
        <v>44804</v>
      </c>
      <c r="W4" s="149">
        <f t="shared" si="0"/>
        <v>44834</v>
      </c>
      <c r="X4" s="149">
        <f t="shared" si="0"/>
        <v>44865</v>
      </c>
      <c r="Y4" s="149">
        <f t="shared" si="0"/>
        <v>44895</v>
      </c>
      <c r="Z4" s="149">
        <f t="shared" si="0"/>
        <v>44926</v>
      </c>
      <c r="AC4" s="22"/>
      <c r="AD4" s="22"/>
      <c r="AE4" s="22"/>
      <c r="AF4" s="22"/>
      <c r="AG4" s="22"/>
      <c r="AH4" s="22"/>
      <c r="AI4" s="22"/>
      <c r="AJ4" s="22"/>
      <c r="AK4" s="22"/>
      <c r="AL4" s="22"/>
      <c r="AM4" s="22"/>
      <c r="AN4" s="22"/>
    </row>
    <row r="5" spans="2:40" s="68" customFormat="1" ht="25" customHeight="1" x14ac:dyDescent="0.3">
      <c r="B5" s="194">
        <v>44197</v>
      </c>
      <c r="C5" s="195"/>
      <c r="D5" s="195"/>
      <c r="E5" s="195"/>
      <c r="F5" s="195"/>
      <c r="G5" s="195"/>
      <c r="H5" s="195"/>
      <c r="I5" s="195"/>
      <c r="J5" s="195"/>
      <c r="K5" s="195"/>
      <c r="L5" s="195"/>
      <c r="M5" s="195"/>
      <c r="N5" s="195"/>
      <c r="O5" s="195"/>
      <c r="P5" s="195"/>
      <c r="Q5" s="195"/>
      <c r="R5" s="195"/>
      <c r="S5" s="195"/>
      <c r="T5" s="195"/>
      <c r="U5" s="195"/>
      <c r="V5" s="195"/>
      <c r="W5" s="195"/>
      <c r="X5" s="195"/>
      <c r="Y5" s="195"/>
      <c r="Z5" s="195"/>
      <c r="AC5" s="22"/>
      <c r="AD5" s="22"/>
      <c r="AE5" s="22"/>
      <c r="AF5" s="22"/>
      <c r="AG5" s="22"/>
      <c r="AH5" s="22"/>
      <c r="AI5" s="22"/>
      <c r="AJ5" s="22"/>
      <c r="AK5" s="22"/>
      <c r="AL5" s="22"/>
      <c r="AM5" s="22"/>
      <c r="AN5" s="22"/>
    </row>
    <row r="6" spans="2:40" s="68" customFormat="1" ht="25" customHeight="1" x14ac:dyDescent="0.3">
      <c r="B6" s="194">
        <f t="shared" ref="B6:B16" si="1">EOMONTH(B5,1)</f>
        <v>44255</v>
      </c>
      <c r="C6" s="195"/>
      <c r="D6" s="195"/>
      <c r="E6" s="195"/>
      <c r="F6" s="195"/>
      <c r="G6" s="195"/>
      <c r="H6" s="195"/>
      <c r="I6" s="195"/>
      <c r="J6" s="195"/>
      <c r="K6" s="195"/>
      <c r="L6" s="195"/>
      <c r="M6" s="195"/>
      <c r="N6" s="195"/>
      <c r="O6" s="195"/>
      <c r="P6" s="195"/>
      <c r="Q6" s="195"/>
      <c r="R6" s="195"/>
      <c r="S6" s="195"/>
      <c r="T6" s="195"/>
      <c r="U6" s="195"/>
      <c r="V6" s="195"/>
      <c r="W6" s="195"/>
      <c r="X6" s="195"/>
      <c r="Y6" s="195"/>
      <c r="Z6" s="195"/>
      <c r="AC6" s="22"/>
      <c r="AD6" s="22"/>
      <c r="AE6" s="22"/>
      <c r="AF6" s="22"/>
      <c r="AG6" s="22"/>
      <c r="AH6" s="22"/>
      <c r="AI6" s="22"/>
      <c r="AJ6" s="22"/>
      <c r="AK6" s="22"/>
      <c r="AL6" s="22"/>
      <c r="AM6" s="22"/>
      <c r="AN6" s="22"/>
    </row>
    <row r="7" spans="2:40" s="68" customFormat="1" ht="25" customHeight="1" x14ac:dyDescent="0.3">
      <c r="B7" s="194">
        <f t="shared" si="1"/>
        <v>44286</v>
      </c>
      <c r="C7" s="195"/>
      <c r="D7" s="195"/>
      <c r="E7" s="195"/>
      <c r="F7" s="195"/>
      <c r="G7" s="195"/>
      <c r="H7" s="195"/>
      <c r="I7" s="195"/>
      <c r="J7" s="195"/>
      <c r="K7" s="195"/>
      <c r="L7" s="195"/>
      <c r="M7" s="195"/>
      <c r="N7" s="195"/>
      <c r="O7" s="195"/>
      <c r="P7" s="195"/>
      <c r="Q7" s="195"/>
      <c r="R7" s="195"/>
      <c r="S7" s="195"/>
      <c r="T7" s="195"/>
      <c r="U7" s="195"/>
      <c r="V7" s="195"/>
      <c r="W7" s="195"/>
      <c r="X7" s="195"/>
      <c r="Y7" s="195"/>
      <c r="Z7" s="195"/>
      <c r="AC7" s="22"/>
      <c r="AD7" s="22"/>
      <c r="AE7" s="22"/>
      <c r="AF7" s="22"/>
      <c r="AG7" s="22"/>
      <c r="AH7" s="22"/>
      <c r="AI7" s="22"/>
      <c r="AJ7" s="22"/>
      <c r="AK7" s="22"/>
      <c r="AL7" s="22"/>
      <c r="AM7" s="22"/>
      <c r="AN7" s="22"/>
    </row>
    <row r="8" spans="2:40" s="68" customFormat="1" ht="25" customHeight="1" x14ac:dyDescent="0.3">
      <c r="B8" s="194">
        <f t="shared" si="1"/>
        <v>44316</v>
      </c>
      <c r="C8" s="195"/>
      <c r="D8" s="195"/>
      <c r="E8" s="195"/>
      <c r="F8" s="195"/>
      <c r="G8" s="195"/>
      <c r="H8" s="195"/>
      <c r="I8" s="195"/>
      <c r="J8" s="195"/>
      <c r="K8" s="195"/>
      <c r="L8" s="195"/>
      <c r="M8" s="195"/>
      <c r="N8" s="195"/>
      <c r="O8" s="195"/>
      <c r="P8" s="195"/>
      <c r="Q8" s="195"/>
      <c r="R8" s="195"/>
      <c r="S8" s="195"/>
      <c r="T8" s="195"/>
      <c r="U8" s="195"/>
      <c r="V8" s="195"/>
      <c r="W8" s="195"/>
      <c r="X8" s="195"/>
      <c r="Y8" s="195"/>
      <c r="Z8" s="195"/>
      <c r="AC8" s="22"/>
      <c r="AD8" s="22"/>
      <c r="AE8" s="22"/>
      <c r="AF8" s="22"/>
      <c r="AG8" s="22"/>
      <c r="AH8" s="22"/>
      <c r="AI8" s="22"/>
      <c r="AJ8" s="22"/>
      <c r="AK8" s="22"/>
      <c r="AL8" s="22"/>
      <c r="AM8" s="22"/>
      <c r="AN8" s="22"/>
    </row>
    <row r="9" spans="2:40" ht="25" customHeight="1" x14ac:dyDescent="0.3">
      <c r="B9" s="194">
        <f t="shared" si="1"/>
        <v>44347</v>
      </c>
      <c r="C9" s="195"/>
      <c r="D9" s="195"/>
      <c r="E9" s="195"/>
      <c r="F9" s="195"/>
      <c r="G9" s="195"/>
      <c r="H9" s="195"/>
      <c r="I9" s="195"/>
      <c r="J9" s="195"/>
      <c r="K9" s="195"/>
      <c r="L9" s="195"/>
      <c r="M9" s="195"/>
      <c r="N9" s="195"/>
      <c r="O9" s="195"/>
      <c r="P9" s="195"/>
      <c r="Q9" s="195"/>
      <c r="R9" s="195"/>
      <c r="S9" s="195"/>
      <c r="T9" s="195"/>
      <c r="U9" s="195"/>
      <c r="V9" s="195"/>
      <c r="W9" s="195"/>
      <c r="X9" s="195"/>
      <c r="Y9" s="195"/>
      <c r="Z9" s="195"/>
    </row>
    <row r="10" spans="2:40" ht="25" customHeight="1" x14ac:dyDescent="0.3">
      <c r="B10" s="194">
        <f t="shared" si="1"/>
        <v>44377</v>
      </c>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5"/>
    </row>
    <row r="11" spans="2:40" ht="25" customHeight="1" x14ac:dyDescent="0.3">
      <c r="B11" s="194">
        <f t="shared" si="1"/>
        <v>44408</v>
      </c>
      <c r="C11" s="195"/>
      <c r="D11" s="195"/>
      <c r="E11" s="195"/>
      <c r="F11" s="195"/>
      <c r="G11" s="195"/>
      <c r="H11" s="195"/>
      <c r="I11" s="195"/>
      <c r="J11" s="195"/>
      <c r="K11" s="195"/>
      <c r="L11" s="195"/>
      <c r="M11" s="195"/>
      <c r="N11" s="195"/>
      <c r="O11" s="195"/>
      <c r="P11" s="195"/>
      <c r="Q11" s="195"/>
      <c r="R11" s="195"/>
      <c r="S11" s="195"/>
      <c r="T11" s="195"/>
      <c r="U11" s="195"/>
      <c r="V11" s="195"/>
      <c r="W11" s="195"/>
      <c r="X11" s="195"/>
      <c r="Y11" s="195"/>
      <c r="Z11" s="195"/>
    </row>
    <row r="12" spans="2:40" ht="25" customHeight="1" x14ac:dyDescent="0.3">
      <c r="B12" s="194">
        <f t="shared" si="1"/>
        <v>44439</v>
      </c>
      <c r="C12" s="195"/>
      <c r="D12" s="195"/>
      <c r="E12" s="195"/>
      <c r="F12" s="195"/>
      <c r="G12" s="195"/>
      <c r="H12" s="195"/>
      <c r="I12" s="195"/>
      <c r="J12" s="195"/>
      <c r="K12" s="195"/>
      <c r="L12" s="195"/>
      <c r="M12" s="195"/>
      <c r="N12" s="195"/>
      <c r="O12" s="195"/>
      <c r="P12" s="195"/>
      <c r="Q12" s="195"/>
      <c r="R12" s="195"/>
      <c r="S12" s="195"/>
      <c r="T12" s="195"/>
      <c r="U12" s="195"/>
      <c r="V12" s="195"/>
      <c r="W12" s="195"/>
      <c r="X12" s="195"/>
      <c r="Y12" s="195"/>
      <c r="Z12" s="195"/>
    </row>
    <row r="13" spans="2:40" s="68" customFormat="1" ht="25" customHeight="1" x14ac:dyDescent="0.3">
      <c r="B13" s="194">
        <f t="shared" si="1"/>
        <v>44469</v>
      </c>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C13" s="22"/>
      <c r="AD13" s="22"/>
      <c r="AE13" s="22"/>
      <c r="AF13" s="22"/>
      <c r="AG13" s="22"/>
      <c r="AH13" s="22"/>
      <c r="AI13" s="22"/>
      <c r="AJ13" s="22"/>
      <c r="AK13" s="22"/>
      <c r="AL13" s="22"/>
      <c r="AM13" s="22"/>
      <c r="AN13" s="22"/>
    </row>
    <row r="14" spans="2:40" s="68" customFormat="1" ht="25" customHeight="1" x14ac:dyDescent="0.3">
      <c r="B14" s="194">
        <f t="shared" si="1"/>
        <v>44500</v>
      </c>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c r="AC14" s="22"/>
      <c r="AD14" s="22"/>
      <c r="AE14" s="22"/>
      <c r="AF14" s="22"/>
      <c r="AG14" s="22"/>
      <c r="AH14" s="22"/>
      <c r="AI14" s="22"/>
      <c r="AJ14" s="22"/>
      <c r="AK14" s="22"/>
      <c r="AL14" s="22"/>
      <c r="AM14" s="22"/>
      <c r="AN14" s="22"/>
    </row>
    <row r="15" spans="2:40" s="68" customFormat="1" ht="25" customHeight="1" x14ac:dyDescent="0.3">
      <c r="B15" s="194">
        <f t="shared" si="1"/>
        <v>44530</v>
      </c>
      <c r="C15" s="195"/>
      <c r="D15" s="195"/>
      <c r="E15" s="195"/>
      <c r="F15" s="195"/>
      <c r="G15" s="195"/>
      <c r="H15" s="195"/>
      <c r="I15" s="195"/>
      <c r="J15" s="195"/>
      <c r="K15" s="195"/>
      <c r="L15" s="195"/>
      <c r="M15" s="195"/>
      <c r="N15" s="195"/>
      <c r="O15" s="195"/>
      <c r="P15" s="195"/>
      <c r="Q15" s="195"/>
      <c r="R15" s="195"/>
      <c r="S15" s="195"/>
      <c r="T15" s="195"/>
      <c r="U15" s="195"/>
      <c r="V15" s="195"/>
      <c r="W15" s="195"/>
      <c r="X15" s="195"/>
      <c r="Y15" s="195"/>
      <c r="Z15" s="195"/>
      <c r="AC15" s="22"/>
      <c r="AD15" s="22"/>
      <c r="AE15" s="22"/>
      <c r="AF15" s="22"/>
      <c r="AG15" s="22"/>
      <c r="AH15" s="22"/>
      <c r="AI15" s="22"/>
      <c r="AJ15" s="22"/>
      <c r="AK15" s="22"/>
      <c r="AL15" s="22"/>
      <c r="AM15" s="22"/>
      <c r="AN15" s="22"/>
    </row>
    <row r="16" spans="2:40" s="68" customFormat="1" ht="25" customHeight="1" x14ac:dyDescent="0.3">
      <c r="B16" s="194">
        <f t="shared" si="1"/>
        <v>44561</v>
      </c>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c r="AC16" s="22"/>
      <c r="AD16" s="22"/>
      <c r="AE16" s="22"/>
      <c r="AF16" s="22"/>
      <c r="AG16" s="22"/>
      <c r="AH16" s="22"/>
      <c r="AI16" s="22"/>
      <c r="AJ16" s="22"/>
      <c r="AK16" s="22"/>
      <c r="AL16" s="22"/>
      <c r="AM16" s="22"/>
      <c r="AN16" s="22"/>
    </row>
    <row r="17" spans="2:28" ht="25" customHeight="1" x14ac:dyDescent="0.3"/>
    <row r="18" spans="2:28" ht="25" customHeight="1" x14ac:dyDescent="0.3"/>
    <row r="19" spans="2:28" ht="20.149999999999999" customHeight="1" x14ac:dyDescent="0.3">
      <c r="B19" s="66" t="s">
        <v>276</v>
      </c>
      <c r="C19" s="66"/>
      <c r="D19" s="66"/>
      <c r="E19" s="25"/>
      <c r="F19" s="25"/>
      <c r="G19" s="25"/>
      <c r="H19" s="25"/>
      <c r="I19" s="25"/>
      <c r="J19" s="25"/>
      <c r="K19" s="66"/>
      <c r="L19" s="25"/>
      <c r="M19" s="25"/>
      <c r="N19" s="25"/>
      <c r="O19" s="25"/>
      <c r="P19" s="25"/>
      <c r="Q19" s="25"/>
      <c r="R19" s="25"/>
      <c r="S19" s="25"/>
      <c r="T19" s="25"/>
      <c r="U19" s="25"/>
      <c r="V19" s="25"/>
      <c r="W19" s="66"/>
      <c r="X19" s="25"/>
      <c r="Y19" s="25"/>
      <c r="Z19" s="25"/>
      <c r="AA19" s="25"/>
      <c r="AB19" s="25"/>
    </row>
    <row r="20" spans="2:28" ht="285.75" customHeight="1" x14ac:dyDescent="0.35">
      <c r="B20" s="307" t="s">
        <v>274</v>
      </c>
      <c r="C20" s="308"/>
      <c r="D20" s="308"/>
      <c r="E20" s="308"/>
      <c r="F20" s="308"/>
      <c r="G20" s="308"/>
      <c r="H20" s="308"/>
      <c r="I20" s="308"/>
      <c r="J20" s="309"/>
      <c r="K20" s="177"/>
      <c r="L20" s="177"/>
      <c r="M20" s="25"/>
      <c r="N20" s="25"/>
      <c r="O20" s="25"/>
      <c r="P20" s="25"/>
      <c r="Q20" s="25"/>
      <c r="R20" s="25"/>
      <c r="S20" s="25"/>
      <c r="T20" s="25"/>
      <c r="U20" s="25"/>
      <c r="V20" s="25"/>
      <c r="W20" s="177"/>
      <c r="X20" s="177"/>
      <c r="Y20" s="25"/>
      <c r="Z20" s="25"/>
      <c r="AA20" s="25"/>
      <c r="AB20" s="25"/>
    </row>
  </sheetData>
  <mergeCells count="1">
    <mergeCell ref="B20:J20"/>
  </mergeCells>
  <conditionalFormatting sqref="C5:Z16">
    <cfRule type="expression" dxfId="2" priority="46">
      <formula>$D$4="Fin"</formula>
    </cfRule>
  </conditionalFormatting>
  <pageMargins left="0.70866141732283472" right="0.70866141732283472" top="0.74803149606299213" bottom="0.74803149606299213" header="0.31496062992125978" footer="0.31496062992125978"/>
  <pageSetup paperSize="9" scale="19"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2:W56"/>
  <sheetViews>
    <sheetView showGridLines="0" zoomScale="55" zoomScaleNormal="55" workbookViewId="0">
      <selection activeCell="K12" sqref="K12"/>
    </sheetView>
  </sheetViews>
  <sheetFormatPr baseColWidth="10" defaultColWidth="9.1796875" defaultRowHeight="13.5" x14ac:dyDescent="0.3"/>
  <cols>
    <col min="1" max="1" width="2.1796875" style="22" customWidth="1"/>
    <col min="2" max="2" width="39.81640625" style="22" bestFit="1" customWidth="1"/>
    <col min="3" max="3" width="25.26953125" style="22" customWidth="1"/>
    <col min="4" max="4" width="27.54296875" style="22" customWidth="1"/>
    <col min="5" max="5" width="71.453125" style="22" customWidth="1"/>
    <col min="6" max="6" width="20.7265625" style="22" customWidth="1"/>
    <col min="7" max="7" width="10.7265625" style="22" customWidth="1"/>
    <col min="8" max="8" width="20.81640625" style="22" customWidth="1"/>
    <col min="9" max="9" width="24.1796875" style="22" customWidth="1"/>
    <col min="10" max="10" width="38.26953125" style="22" customWidth="1"/>
    <col min="11" max="11" width="28" style="22" customWidth="1"/>
    <col min="12" max="12" width="16.7265625" style="22" customWidth="1"/>
    <col min="13" max="13" width="33.81640625" style="22" customWidth="1"/>
    <col min="14" max="14" width="28.81640625" style="22" bestFit="1" customWidth="1"/>
    <col min="15" max="15" width="11.7265625" style="22" customWidth="1"/>
    <col min="16" max="16" width="3.453125" style="22" customWidth="1"/>
    <col min="17" max="17" width="9.1796875" style="22" customWidth="1"/>
    <col min="18" max="18" width="14.26953125" style="22" customWidth="1"/>
    <col min="19" max="19" width="11.81640625" style="22" customWidth="1"/>
    <col min="20" max="23" width="9.1796875" style="22" customWidth="1"/>
    <col min="24" max="16384" width="9.1796875" style="22"/>
  </cols>
  <sheetData>
    <row r="2" spans="2:23" ht="21" customHeight="1" x14ac:dyDescent="0.3">
      <c r="B2" s="96" t="s">
        <v>0</v>
      </c>
      <c r="C2" s="112" t="str">
        <f>'Project Infor'!C10</f>
        <v>var2_SAP_PEP_WBS</v>
      </c>
      <c r="D2" s="219" t="str">
        <f>'Project Infor'!C11</f>
        <v>Smart Airport en la nueva terminal de Puerto Vallarta</v>
      </c>
      <c r="E2" s="221"/>
      <c r="F2" s="221"/>
      <c r="G2" s="221"/>
      <c r="H2" s="221"/>
    </row>
    <row r="3" spans="2:23" ht="9" customHeight="1" x14ac:dyDescent="0.3">
      <c r="D3" s="23"/>
      <c r="E3" s="23"/>
      <c r="F3" s="23"/>
      <c r="G3" s="23"/>
    </row>
    <row r="4" spans="2:23" ht="30.75" customHeight="1" x14ac:dyDescent="0.35">
      <c r="B4" s="78" t="s">
        <v>266</v>
      </c>
      <c r="C4" s="314" t="s">
        <v>277</v>
      </c>
      <c r="D4" s="315"/>
      <c r="E4" s="23"/>
      <c r="F4" s="348" t="s">
        <v>278</v>
      </c>
      <c r="G4" s="335"/>
      <c r="H4" s="239" t="s">
        <v>279</v>
      </c>
      <c r="I4" s="239" t="s">
        <v>280</v>
      </c>
      <c r="J4" s="239" t="s">
        <v>281</v>
      </c>
      <c r="K4" s="348" t="s">
        <v>282</v>
      </c>
      <c r="L4" s="335"/>
      <c r="M4" s="335"/>
      <c r="N4" s="335"/>
    </row>
    <row r="5" spans="2:23" ht="18" customHeight="1" x14ac:dyDescent="0.35">
      <c r="B5" s="78" t="s">
        <v>283</v>
      </c>
      <c r="C5" s="349" t="s">
        <v>284</v>
      </c>
      <c r="D5" s="318"/>
      <c r="E5" s="23"/>
      <c r="F5" s="349" t="s">
        <v>285</v>
      </c>
      <c r="G5" s="318"/>
      <c r="H5" s="241">
        <v>0.5</v>
      </c>
      <c r="I5" s="242">
        <v>5000</v>
      </c>
      <c r="J5" s="231" t="s">
        <v>284</v>
      </c>
      <c r="K5" s="349"/>
      <c r="L5" s="318"/>
      <c r="M5" s="318"/>
      <c r="N5" s="318"/>
    </row>
    <row r="6" spans="2:23" ht="18" customHeight="1" x14ac:dyDescent="0.35">
      <c r="B6" s="78" t="s">
        <v>286</v>
      </c>
      <c r="C6" s="349" t="s">
        <v>287</v>
      </c>
      <c r="D6" s="318"/>
      <c r="E6" s="23"/>
      <c r="F6" s="349" t="s">
        <v>288</v>
      </c>
      <c r="G6" s="318"/>
      <c r="H6" s="241">
        <v>0.1</v>
      </c>
      <c r="I6" s="242">
        <v>1000</v>
      </c>
      <c r="J6" s="231"/>
      <c r="K6" s="349"/>
      <c r="L6" s="318"/>
      <c r="M6" s="318"/>
      <c r="N6" s="318"/>
    </row>
    <row r="7" spans="2:23" ht="18" customHeight="1" x14ac:dyDescent="0.35">
      <c r="B7" s="78" t="s">
        <v>289</v>
      </c>
      <c r="C7" s="354">
        <v>10000</v>
      </c>
      <c r="D7" s="318"/>
      <c r="E7" s="240" t="s">
        <v>290</v>
      </c>
      <c r="F7" s="349" t="s">
        <v>291</v>
      </c>
      <c r="G7" s="318"/>
      <c r="H7" s="241">
        <v>0.2</v>
      </c>
      <c r="I7" s="242">
        <v>2000</v>
      </c>
      <c r="J7" s="231"/>
      <c r="K7" s="349"/>
      <c r="L7" s="318"/>
      <c r="M7" s="318"/>
      <c r="N7" s="318"/>
    </row>
    <row r="8" spans="2:23" ht="18" customHeight="1" x14ac:dyDescent="0.35">
      <c r="D8" s="23"/>
      <c r="E8" s="23"/>
      <c r="F8" s="349" t="s">
        <v>292</v>
      </c>
      <c r="G8" s="318"/>
      <c r="H8" s="241">
        <v>0.1</v>
      </c>
      <c r="I8" s="242">
        <v>1000</v>
      </c>
      <c r="J8" s="231"/>
      <c r="K8" s="349"/>
      <c r="L8" s="318"/>
      <c r="M8" s="318"/>
      <c r="N8" s="318"/>
    </row>
    <row r="9" spans="2:23" ht="18" customHeight="1" x14ac:dyDescent="0.35">
      <c r="D9" s="23"/>
      <c r="E9" s="57"/>
      <c r="F9" s="349" t="s">
        <v>293</v>
      </c>
      <c r="G9" s="318"/>
      <c r="H9" s="241">
        <v>0.1</v>
      </c>
      <c r="I9" s="242">
        <v>1000</v>
      </c>
      <c r="J9" s="231"/>
      <c r="K9" s="349"/>
      <c r="L9" s="318"/>
      <c r="M9" s="318"/>
      <c r="N9" s="318"/>
      <c r="O9" s="25"/>
      <c r="P9" s="25"/>
    </row>
    <row r="10" spans="2:23" ht="23.25" customHeight="1" x14ac:dyDescent="0.3">
      <c r="C10" s="330" t="s">
        <v>256</v>
      </c>
      <c r="D10" s="313"/>
      <c r="M10" s="25"/>
      <c r="N10" s="25"/>
      <c r="O10" s="25"/>
      <c r="P10" s="25"/>
    </row>
    <row r="11" spans="2:23" ht="20.149999999999999" customHeight="1" x14ac:dyDescent="0.3">
      <c r="D11" s="24"/>
      <c r="F11" s="25"/>
      <c r="G11" s="25"/>
      <c r="H11" s="25"/>
      <c r="I11" s="25"/>
      <c r="J11" s="25"/>
      <c r="K11" s="24"/>
      <c r="L11" s="25"/>
      <c r="M11" s="25"/>
      <c r="N11" s="25"/>
      <c r="O11" s="25"/>
      <c r="P11" s="25"/>
    </row>
    <row r="12" spans="2:23" s="87" customFormat="1" ht="31.5" customHeight="1" x14ac:dyDescent="0.3">
      <c r="B12" s="43" t="s">
        <v>257</v>
      </c>
      <c r="C12" s="43" t="s">
        <v>258</v>
      </c>
      <c r="D12" s="43" t="s">
        <v>294</v>
      </c>
      <c r="E12" s="43" t="s">
        <v>260</v>
      </c>
      <c r="F12" s="44" t="s">
        <v>261</v>
      </c>
      <c r="G12" s="44" t="s">
        <v>262</v>
      </c>
      <c r="H12" s="43" t="s">
        <v>263</v>
      </c>
      <c r="I12" s="43" t="s">
        <v>264</v>
      </c>
      <c r="J12" s="43" t="s">
        <v>266</v>
      </c>
      <c r="K12" s="43" t="s">
        <v>295</v>
      </c>
      <c r="L12" s="44" t="s">
        <v>268</v>
      </c>
      <c r="M12" s="44" t="s">
        <v>269</v>
      </c>
      <c r="N12" s="44" t="s">
        <v>270</v>
      </c>
      <c r="O12" s="44" t="s">
        <v>271</v>
      </c>
      <c r="P12" s="25"/>
      <c r="Q12" s="22"/>
      <c r="R12" s="22"/>
      <c r="S12" s="22"/>
      <c r="T12" s="22"/>
      <c r="U12" s="22"/>
      <c r="V12" s="22"/>
      <c r="W12" s="22"/>
    </row>
    <row r="13" spans="2:23" s="68" customFormat="1" ht="20.149999999999999" customHeight="1" x14ac:dyDescent="0.3">
      <c r="B13" s="202" t="s">
        <v>296</v>
      </c>
      <c r="C13" s="229">
        <v>44286</v>
      </c>
      <c r="D13" s="4" t="s">
        <v>285</v>
      </c>
      <c r="E13" s="4" t="s">
        <v>297</v>
      </c>
      <c r="F13" s="6">
        <v>3000</v>
      </c>
      <c r="G13" s="6" t="s">
        <v>298</v>
      </c>
      <c r="H13" s="9">
        <v>0.21</v>
      </c>
      <c r="I13" s="6">
        <f t="shared" ref="I13:I45" si="0">IF(F13=0," ",F13+F13*H13)</f>
        <v>3630</v>
      </c>
      <c r="J13" s="10" t="s">
        <v>299</v>
      </c>
      <c r="K13" s="6"/>
      <c r="L13" s="56"/>
      <c r="M13" s="6" t="s">
        <v>300</v>
      </c>
      <c r="N13" s="6"/>
      <c r="O13" s="6"/>
      <c r="P13" s="25"/>
      <c r="Q13" s="22"/>
      <c r="R13" s="22"/>
      <c r="S13" s="22"/>
      <c r="T13" s="22"/>
      <c r="U13" s="22"/>
      <c r="V13" s="22"/>
      <c r="W13" s="22"/>
    </row>
    <row r="14" spans="2:23" s="68" customFormat="1" ht="20.149999999999999" customHeight="1" x14ac:dyDescent="0.3">
      <c r="B14" s="202"/>
      <c r="C14" s="56"/>
      <c r="D14" s="4" t="str">
        <f t="shared" ref="D14:D45" si="1">IF(C14=0," ","Z2")</f>
        <v xml:space="preserve"> </v>
      </c>
      <c r="E14" s="4"/>
      <c r="F14" s="6"/>
      <c r="G14" s="6"/>
      <c r="H14" s="9"/>
      <c r="I14" s="6" t="str">
        <f t="shared" si="0"/>
        <v xml:space="preserve"> </v>
      </c>
      <c r="J14" s="10"/>
      <c r="K14" s="6"/>
      <c r="L14" s="56"/>
      <c r="M14" s="6"/>
      <c r="N14" s="6"/>
      <c r="O14" s="6"/>
      <c r="P14" s="25"/>
      <c r="Q14" s="22"/>
      <c r="R14" s="22"/>
      <c r="S14" s="22"/>
      <c r="T14" s="22"/>
      <c r="U14" s="22"/>
      <c r="V14" s="22"/>
      <c r="W14" s="22"/>
    </row>
    <row r="15" spans="2:23" s="68" customFormat="1" ht="20.149999999999999" customHeight="1" x14ac:dyDescent="0.3">
      <c r="B15" s="202"/>
      <c r="C15" s="56"/>
      <c r="D15" s="4" t="str">
        <f t="shared" si="1"/>
        <v xml:space="preserve"> </v>
      </c>
      <c r="E15" s="4"/>
      <c r="F15" s="6"/>
      <c r="G15" s="6"/>
      <c r="H15" s="9"/>
      <c r="I15" s="6" t="str">
        <f t="shared" si="0"/>
        <v xml:space="preserve"> </v>
      </c>
      <c r="J15" s="10"/>
      <c r="K15" s="6"/>
      <c r="L15" s="56"/>
      <c r="M15" s="6"/>
      <c r="N15" s="6"/>
      <c r="O15" s="6"/>
      <c r="P15" s="25"/>
      <c r="Q15" s="22"/>
      <c r="R15" s="22"/>
      <c r="S15" s="22"/>
      <c r="T15" s="22"/>
      <c r="U15" s="22"/>
      <c r="V15" s="22"/>
      <c r="W15" s="22"/>
    </row>
    <row r="16" spans="2:23" s="68" customFormat="1" ht="20.149999999999999" customHeight="1" x14ac:dyDescent="0.3">
      <c r="B16" s="202"/>
      <c r="C16" s="56"/>
      <c r="D16" s="4" t="str">
        <f t="shared" si="1"/>
        <v xml:space="preserve"> </v>
      </c>
      <c r="E16" s="4"/>
      <c r="F16" s="6"/>
      <c r="G16" s="6"/>
      <c r="H16" s="9"/>
      <c r="I16" s="6" t="str">
        <f t="shared" si="0"/>
        <v xml:space="preserve"> </v>
      </c>
      <c r="J16" s="10"/>
      <c r="K16" s="6"/>
      <c r="L16" s="56"/>
      <c r="M16" s="6"/>
      <c r="N16" s="6"/>
      <c r="O16" s="6"/>
      <c r="P16" s="25"/>
      <c r="Q16" s="22"/>
      <c r="R16" s="22"/>
      <c r="S16" s="22"/>
      <c r="T16" s="22"/>
      <c r="U16" s="22"/>
      <c r="V16" s="22"/>
      <c r="W16" s="22"/>
    </row>
    <row r="17" spans="2:23" s="68" customFormat="1" ht="20.149999999999999" customHeight="1" x14ac:dyDescent="0.3">
      <c r="B17" s="202"/>
      <c r="C17" s="56"/>
      <c r="D17" s="4" t="str">
        <f t="shared" si="1"/>
        <v xml:space="preserve"> </v>
      </c>
      <c r="E17" s="4"/>
      <c r="F17" s="6"/>
      <c r="G17" s="6"/>
      <c r="H17" s="9"/>
      <c r="I17" s="6" t="str">
        <f t="shared" si="0"/>
        <v xml:space="preserve"> </v>
      </c>
      <c r="J17" s="10"/>
      <c r="K17" s="6"/>
      <c r="L17" s="56"/>
      <c r="M17" s="6"/>
      <c r="N17" s="6"/>
      <c r="O17" s="6"/>
      <c r="P17" s="25"/>
      <c r="Q17" s="22"/>
      <c r="R17" s="22"/>
      <c r="S17" s="22"/>
      <c r="T17" s="22"/>
      <c r="U17" s="22"/>
      <c r="V17" s="22"/>
      <c r="W17" s="22"/>
    </row>
    <row r="18" spans="2:23" s="68" customFormat="1" ht="20.149999999999999" customHeight="1" x14ac:dyDescent="0.3">
      <c r="B18" s="202"/>
      <c r="C18" s="56"/>
      <c r="D18" s="4" t="str">
        <f t="shared" si="1"/>
        <v xml:space="preserve"> </v>
      </c>
      <c r="E18" s="4"/>
      <c r="F18" s="6"/>
      <c r="G18" s="6"/>
      <c r="H18" s="9"/>
      <c r="I18" s="6" t="str">
        <f t="shared" si="0"/>
        <v xml:space="preserve"> </v>
      </c>
      <c r="J18" s="10"/>
      <c r="K18" s="6"/>
      <c r="L18" s="56"/>
      <c r="M18" s="6"/>
      <c r="N18" s="6"/>
      <c r="O18" s="6"/>
      <c r="P18" s="25"/>
      <c r="Q18" s="22"/>
      <c r="R18" s="22"/>
      <c r="S18" s="22"/>
      <c r="T18" s="22"/>
      <c r="U18" s="22"/>
      <c r="V18" s="22"/>
      <c r="W18" s="22"/>
    </row>
    <row r="19" spans="2:23" s="68" customFormat="1" ht="20.149999999999999" customHeight="1" x14ac:dyDescent="0.3">
      <c r="B19" s="202"/>
      <c r="C19" s="56"/>
      <c r="D19" s="4" t="str">
        <f t="shared" si="1"/>
        <v xml:space="preserve"> </v>
      </c>
      <c r="E19" s="4"/>
      <c r="F19" s="6"/>
      <c r="G19" s="6"/>
      <c r="H19" s="9"/>
      <c r="I19" s="6" t="str">
        <f t="shared" si="0"/>
        <v xml:space="preserve"> </v>
      </c>
      <c r="J19" s="10"/>
      <c r="K19" s="6"/>
      <c r="L19" s="56"/>
      <c r="M19" s="6"/>
      <c r="N19" s="6"/>
      <c r="O19" s="6"/>
      <c r="P19" s="25"/>
      <c r="Q19" s="22"/>
      <c r="R19" s="22"/>
      <c r="S19" s="22"/>
      <c r="T19" s="22"/>
      <c r="U19" s="22"/>
      <c r="V19" s="22"/>
      <c r="W19" s="22"/>
    </row>
    <row r="20" spans="2:23" s="68" customFormat="1" ht="20.149999999999999" customHeight="1" x14ac:dyDescent="0.3">
      <c r="B20" s="202"/>
      <c r="C20" s="56"/>
      <c r="D20" s="4" t="str">
        <f t="shared" si="1"/>
        <v xml:space="preserve"> </v>
      </c>
      <c r="E20" s="4"/>
      <c r="F20" s="6"/>
      <c r="G20" s="6"/>
      <c r="H20" s="9"/>
      <c r="I20" s="6" t="str">
        <f t="shared" si="0"/>
        <v xml:space="preserve"> </v>
      </c>
      <c r="J20" s="10"/>
      <c r="K20" s="6"/>
      <c r="L20" s="56"/>
      <c r="M20" s="6"/>
      <c r="N20" s="6"/>
      <c r="O20" s="6"/>
      <c r="P20" s="25"/>
      <c r="Q20" s="22"/>
      <c r="R20" s="22"/>
      <c r="S20" s="22"/>
      <c r="T20" s="22"/>
      <c r="U20" s="22"/>
      <c r="V20" s="22"/>
      <c r="W20" s="22"/>
    </row>
    <row r="21" spans="2:23" s="68" customFormat="1" ht="20.149999999999999" customHeight="1" x14ac:dyDescent="0.3">
      <c r="B21" s="202"/>
      <c r="C21" s="56"/>
      <c r="D21" s="4" t="str">
        <f t="shared" si="1"/>
        <v xml:space="preserve"> </v>
      </c>
      <c r="E21" s="4"/>
      <c r="F21" s="6"/>
      <c r="G21" s="6"/>
      <c r="H21" s="9"/>
      <c r="I21" s="6" t="str">
        <f t="shared" si="0"/>
        <v xml:space="preserve"> </v>
      </c>
      <c r="J21" s="10"/>
      <c r="K21" s="6"/>
      <c r="L21" s="56"/>
      <c r="M21" s="6"/>
      <c r="N21" s="6"/>
      <c r="O21" s="6"/>
      <c r="P21" s="25"/>
      <c r="Q21" s="22"/>
      <c r="R21" s="22"/>
      <c r="S21" s="22"/>
      <c r="T21" s="22"/>
      <c r="U21" s="22"/>
      <c r="V21" s="22"/>
      <c r="W21" s="22"/>
    </row>
    <row r="22" spans="2:23" s="68" customFormat="1" ht="20.149999999999999" customHeight="1" x14ac:dyDescent="0.3">
      <c r="B22" s="202"/>
      <c r="C22" s="56"/>
      <c r="D22" s="4" t="str">
        <f t="shared" si="1"/>
        <v xml:space="preserve"> </v>
      </c>
      <c r="E22" s="4"/>
      <c r="F22" s="6"/>
      <c r="G22" s="6"/>
      <c r="H22" s="9"/>
      <c r="I22" s="6" t="str">
        <f t="shared" si="0"/>
        <v xml:space="preserve"> </v>
      </c>
      <c r="J22" s="10"/>
      <c r="K22" s="6"/>
      <c r="L22" s="56"/>
      <c r="M22" s="6"/>
      <c r="N22" s="6"/>
      <c r="O22" s="6"/>
      <c r="P22" s="25"/>
      <c r="Q22" s="22"/>
      <c r="R22" s="22"/>
      <c r="S22" s="22"/>
      <c r="T22" s="22"/>
      <c r="U22" s="22"/>
      <c r="V22" s="22"/>
      <c r="W22" s="22"/>
    </row>
    <row r="23" spans="2:23" s="68" customFormat="1" ht="20.149999999999999" customHeight="1" x14ac:dyDescent="0.3">
      <c r="B23" s="202"/>
      <c r="C23" s="56"/>
      <c r="D23" s="4" t="str">
        <f t="shared" si="1"/>
        <v xml:space="preserve"> </v>
      </c>
      <c r="E23" s="4"/>
      <c r="F23" s="6"/>
      <c r="G23" s="6"/>
      <c r="H23" s="9"/>
      <c r="I23" s="6" t="str">
        <f t="shared" si="0"/>
        <v xml:space="preserve"> </v>
      </c>
      <c r="J23" s="10"/>
      <c r="K23" s="6"/>
      <c r="L23" s="56"/>
      <c r="M23" s="6"/>
      <c r="N23" s="6"/>
      <c r="O23" s="6"/>
      <c r="P23" s="25"/>
      <c r="Q23" s="22"/>
      <c r="R23" s="22"/>
      <c r="S23" s="22"/>
      <c r="T23" s="22"/>
      <c r="U23" s="22"/>
      <c r="V23" s="22"/>
      <c r="W23" s="22"/>
    </row>
    <row r="24" spans="2:23" s="68" customFormat="1" ht="20.149999999999999" customHeight="1" x14ac:dyDescent="0.3">
      <c r="B24" s="202"/>
      <c r="C24" s="56"/>
      <c r="D24" s="4" t="str">
        <f t="shared" si="1"/>
        <v xml:space="preserve"> </v>
      </c>
      <c r="E24" s="4"/>
      <c r="F24" s="6"/>
      <c r="G24" s="6"/>
      <c r="H24" s="9"/>
      <c r="I24" s="6" t="str">
        <f t="shared" si="0"/>
        <v xml:space="preserve"> </v>
      </c>
      <c r="J24" s="10"/>
      <c r="K24" s="6"/>
      <c r="L24" s="56"/>
      <c r="M24" s="6"/>
      <c r="N24" s="6"/>
      <c r="O24" s="6"/>
      <c r="P24" s="25"/>
      <c r="Q24" s="22"/>
      <c r="R24" s="22"/>
      <c r="S24" s="22"/>
      <c r="T24" s="22"/>
      <c r="U24" s="22"/>
      <c r="V24" s="22"/>
      <c r="W24" s="22"/>
    </row>
    <row r="25" spans="2:23" s="68" customFormat="1" ht="20.149999999999999" customHeight="1" x14ac:dyDescent="0.3">
      <c r="B25" s="202"/>
      <c r="C25" s="56"/>
      <c r="D25" s="4" t="str">
        <f t="shared" si="1"/>
        <v xml:space="preserve"> </v>
      </c>
      <c r="E25" s="4"/>
      <c r="F25" s="6"/>
      <c r="G25" s="6"/>
      <c r="H25" s="9"/>
      <c r="I25" s="6" t="str">
        <f t="shared" si="0"/>
        <v xml:space="preserve"> </v>
      </c>
      <c r="J25" s="10"/>
      <c r="K25" s="6"/>
      <c r="L25" s="56"/>
      <c r="M25" s="6"/>
      <c r="N25" s="6"/>
      <c r="O25" s="6"/>
      <c r="P25" s="25"/>
      <c r="Q25" s="22"/>
      <c r="R25" s="22"/>
      <c r="S25" s="22"/>
      <c r="T25" s="22"/>
      <c r="U25" s="22"/>
      <c r="V25" s="22"/>
      <c r="W25" s="22"/>
    </row>
    <row r="26" spans="2:23" s="68" customFormat="1" ht="20.149999999999999" customHeight="1" x14ac:dyDescent="0.3">
      <c r="B26" s="203"/>
      <c r="C26" s="197"/>
      <c r="D26" s="198" t="str">
        <f t="shared" si="1"/>
        <v xml:space="preserve"> </v>
      </c>
      <c r="E26" s="198"/>
      <c r="F26" s="199"/>
      <c r="G26" s="199"/>
      <c r="H26" s="200"/>
      <c r="I26" s="199" t="str">
        <f t="shared" si="0"/>
        <v xml:space="preserve"> </v>
      </c>
      <c r="J26" s="201"/>
      <c r="K26" s="199"/>
      <c r="L26" s="197"/>
      <c r="M26" s="199"/>
      <c r="N26" s="199"/>
      <c r="O26" s="199"/>
      <c r="P26" s="25"/>
      <c r="Q26" s="22"/>
      <c r="R26" s="22"/>
      <c r="S26" s="22"/>
      <c r="T26" s="22"/>
      <c r="U26" s="22"/>
      <c r="V26" s="22"/>
      <c r="W26" s="22"/>
    </row>
    <row r="27" spans="2:23" s="68" customFormat="1" ht="20.149999999999999" customHeight="1" x14ac:dyDescent="0.3">
      <c r="B27" s="202"/>
      <c r="C27" s="56"/>
      <c r="D27" s="4" t="str">
        <f t="shared" si="1"/>
        <v xml:space="preserve"> </v>
      </c>
      <c r="E27" s="4"/>
      <c r="F27" s="6"/>
      <c r="G27" s="6"/>
      <c r="H27" s="9"/>
      <c r="I27" s="6" t="str">
        <f t="shared" si="0"/>
        <v xml:space="preserve"> </v>
      </c>
      <c r="J27" s="10"/>
      <c r="K27" s="6"/>
      <c r="L27" s="56"/>
      <c r="M27" s="6"/>
      <c r="N27" s="6"/>
      <c r="O27" s="6"/>
      <c r="P27" s="25"/>
      <c r="Q27" s="22"/>
      <c r="R27" s="22"/>
      <c r="S27" s="22"/>
      <c r="T27" s="22"/>
      <c r="U27" s="22"/>
      <c r="V27" s="22"/>
      <c r="W27" s="22"/>
    </row>
    <row r="28" spans="2:23" s="68" customFormat="1" ht="20.149999999999999" customHeight="1" x14ac:dyDescent="0.3">
      <c r="B28" s="202"/>
      <c r="C28" s="56"/>
      <c r="D28" s="4" t="str">
        <f t="shared" si="1"/>
        <v xml:space="preserve"> </v>
      </c>
      <c r="E28" s="4"/>
      <c r="F28" s="6"/>
      <c r="G28" s="6"/>
      <c r="H28" s="9"/>
      <c r="I28" s="6" t="str">
        <f t="shared" si="0"/>
        <v xml:space="preserve"> </v>
      </c>
      <c r="J28" s="10"/>
      <c r="K28" s="6"/>
      <c r="L28" s="56"/>
      <c r="M28" s="6"/>
      <c r="N28" s="6"/>
      <c r="O28" s="6"/>
      <c r="P28" s="25"/>
      <c r="Q28" s="22"/>
      <c r="R28" s="22"/>
      <c r="S28" s="22"/>
      <c r="T28" s="22"/>
      <c r="U28" s="22"/>
      <c r="V28" s="22"/>
      <c r="W28" s="22"/>
    </row>
    <row r="29" spans="2:23" s="68" customFormat="1" ht="20.149999999999999" customHeight="1" x14ac:dyDescent="0.3">
      <c r="B29" s="202"/>
      <c r="C29" s="56"/>
      <c r="D29" s="4" t="str">
        <f t="shared" si="1"/>
        <v xml:space="preserve"> </v>
      </c>
      <c r="E29" s="4"/>
      <c r="F29" s="6"/>
      <c r="G29" s="6"/>
      <c r="H29" s="9"/>
      <c r="I29" s="6" t="str">
        <f t="shared" si="0"/>
        <v xml:space="preserve"> </v>
      </c>
      <c r="J29" s="10"/>
      <c r="K29" s="6"/>
      <c r="L29" s="56"/>
      <c r="M29" s="6"/>
      <c r="N29" s="6"/>
      <c r="O29" s="6"/>
      <c r="P29" s="25"/>
      <c r="Q29" s="22"/>
      <c r="R29" s="22"/>
      <c r="S29" s="22"/>
      <c r="T29" s="22"/>
      <c r="U29" s="22"/>
      <c r="V29" s="22"/>
      <c r="W29" s="22"/>
    </row>
    <row r="30" spans="2:23" s="68" customFormat="1" ht="20.149999999999999" customHeight="1" x14ac:dyDescent="0.3">
      <c r="B30" s="202"/>
      <c r="C30" s="56"/>
      <c r="D30" s="4" t="str">
        <f t="shared" si="1"/>
        <v xml:space="preserve"> </v>
      </c>
      <c r="E30" s="4"/>
      <c r="F30" s="6"/>
      <c r="G30" s="6"/>
      <c r="H30" s="9"/>
      <c r="I30" s="6" t="str">
        <f t="shared" si="0"/>
        <v xml:space="preserve"> </v>
      </c>
      <c r="J30" s="10"/>
      <c r="K30" s="6"/>
      <c r="L30" s="56"/>
      <c r="M30" s="6"/>
      <c r="N30" s="6"/>
      <c r="O30" s="6"/>
      <c r="P30" s="25"/>
      <c r="Q30" s="22"/>
      <c r="R30" s="22"/>
      <c r="S30" s="22"/>
      <c r="T30" s="22"/>
      <c r="U30" s="22"/>
      <c r="V30" s="22"/>
      <c r="W30" s="22"/>
    </row>
    <row r="31" spans="2:23" s="68" customFormat="1" ht="20.149999999999999" customHeight="1" x14ac:dyDescent="0.3">
      <c r="B31" s="202"/>
      <c r="C31" s="56"/>
      <c r="D31" s="4" t="str">
        <f t="shared" si="1"/>
        <v xml:space="preserve"> </v>
      </c>
      <c r="E31" s="4"/>
      <c r="F31" s="6"/>
      <c r="G31" s="6"/>
      <c r="H31" s="9"/>
      <c r="I31" s="6" t="str">
        <f t="shared" si="0"/>
        <v xml:space="preserve"> </v>
      </c>
      <c r="J31" s="10"/>
      <c r="K31" s="6"/>
      <c r="L31" s="56"/>
      <c r="M31" s="6"/>
      <c r="N31" s="6"/>
      <c r="O31" s="6"/>
      <c r="P31" s="25"/>
      <c r="Q31" s="22"/>
      <c r="R31" s="22"/>
      <c r="S31" s="22"/>
      <c r="T31" s="22"/>
      <c r="U31" s="22"/>
      <c r="V31" s="22"/>
      <c r="W31" s="22"/>
    </row>
    <row r="32" spans="2:23" s="68" customFormat="1" ht="20.149999999999999" customHeight="1" x14ac:dyDescent="0.3">
      <c r="B32" s="202"/>
      <c r="C32" s="56"/>
      <c r="D32" s="4" t="str">
        <f t="shared" si="1"/>
        <v xml:space="preserve"> </v>
      </c>
      <c r="E32" s="4"/>
      <c r="F32" s="6"/>
      <c r="G32" s="6"/>
      <c r="H32" s="9"/>
      <c r="I32" s="6" t="str">
        <f t="shared" si="0"/>
        <v xml:space="preserve"> </v>
      </c>
      <c r="J32" s="10"/>
      <c r="K32" s="6"/>
      <c r="L32" s="56"/>
      <c r="M32" s="6"/>
      <c r="N32" s="6"/>
      <c r="O32" s="6"/>
      <c r="P32" s="25"/>
      <c r="Q32" s="22"/>
      <c r="R32" s="22"/>
      <c r="S32" s="22"/>
      <c r="T32" s="22"/>
      <c r="U32" s="22"/>
      <c r="V32" s="22"/>
      <c r="W32" s="22"/>
    </row>
    <row r="33" spans="2:23" s="68" customFormat="1" ht="20.149999999999999" customHeight="1" x14ac:dyDescent="0.3">
      <c r="B33" s="202"/>
      <c r="C33" s="56"/>
      <c r="D33" s="4" t="str">
        <f t="shared" si="1"/>
        <v xml:space="preserve"> </v>
      </c>
      <c r="E33" s="4"/>
      <c r="F33" s="6"/>
      <c r="G33" s="6"/>
      <c r="H33" s="9"/>
      <c r="I33" s="6" t="str">
        <f t="shared" si="0"/>
        <v xml:space="preserve"> </v>
      </c>
      <c r="J33" s="10"/>
      <c r="K33" s="6"/>
      <c r="L33" s="56"/>
      <c r="M33" s="6"/>
      <c r="N33" s="6"/>
      <c r="O33" s="6"/>
      <c r="P33" s="25"/>
      <c r="Q33" s="22"/>
      <c r="R33" s="22"/>
      <c r="S33" s="22"/>
      <c r="T33" s="22"/>
      <c r="U33" s="22"/>
      <c r="V33" s="22"/>
      <c r="W33" s="22"/>
    </row>
    <row r="34" spans="2:23" s="68" customFormat="1" ht="20.149999999999999" customHeight="1" x14ac:dyDescent="0.3">
      <c r="B34" s="202"/>
      <c r="C34" s="56"/>
      <c r="D34" s="4" t="str">
        <f t="shared" si="1"/>
        <v xml:space="preserve"> </v>
      </c>
      <c r="E34" s="4"/>
      <c r="F34" s="6"/>
      <c r="G34" s="6"/>
      <c r="H34" s="9"/>
      <c r="I34" s="6" t="str">
        <f t="shared" si="0"/>
        <v xml:space="preserve"> </v>
      </c>
      <c r="J34" s="10"/>
      <c r="K34" s="6"/>
      <c r="L34" s="56"/>
      <c r="M34" s="6"/>
      <c r="N34" s="6"/>
      <c r="O34" s="6"/>
      <c r="P34" s="25"/>
      <c r="Q34" s="22"/>
      <c r="R34" s="22"/>
      <c r="S34" s="22"/>
      <c r="T34" s="22"/>
      <c r="U34" s="22"/>
      <c r="V34" s="22"/>
      <c r="W34" s="22"/>
    </row>
    <row r="35" spans="2:23" s="68" customFormat="1" ht="20.149999999999999" customHeight="1" x14ac:dyDescent="0.3">
      <c r="B35" s="202"/>
      <c r="C35" s="56"/>
      <c r="D35" s="4" t="str">
        <f t="shared" si="1"/>
        <v xml:space="preserve"> </v>
      </c>
      <c r="E35" s="4"/>
      <c r="F35" s="6"/>
      <c r="G35" s="6"/>
      <c r="H35" s="9"/>
      <c r="I35" s="6" t="str">
        <f t="shared" si="0"/>
        <v xml:space="preserve"> </v>
      </c>
      <c r="J35" s="10"/>
      <c r="K35" s="6"/>
      <c r="L35" s="56"/>
      <c r="M35" s="6"/>
      <c r="N35" s="6"/>
      <c r="O35" s="6"/>
      <c r="P35" s="25"/>
      <c r="Q35" s="22"/>
      <c r="R35" s="22"/>
      <c r="S35" s="22"/>
      <c r="T35" s="22"/>
      <c r="U35" s="22"/>
      <c r="V35" s="22"/>
      <c r="W35" s="22"/>
    </row>
    <row r="36" spans="2:23" s="68" customFormat="1" ht="20.149999999999999" customHeight="1" x14ac:dyDescent="0.3">
      <c r="B36" s="202"/>
      <c r="C36" s="56"/>
      <c r="D36" s="4" t="str">
        <f t="shared" si="1"/>
        <v xml:space="preserve"> </v>
      </c>
      <c r="E36" s="4"/>
      <c r="F36" s="6"/>
      <c r="G36" s="6"/>
      <c r="H36" s="9"/>
      <c r="I36" s="6" t="str">
        <f t="shared" si="0"/>
        <v xml:space="preserve"> </v>
      </c>
      <c r="J36" s="10"/>
      <c r="K36" s="6"/>
      <c r="L36" s="56"/>
      <c r="M36" s="6"/>
      <c r="N36" s="6"/>
      <c r="O36" s="6"/>
      <c r="P36" s="25"/>
      <c r="Q36" s="22"/>
      <c r="R36" s="22"/>
      <c r="S36" s="22"/>
      <c r="T36" s="22"/>
      <c r="U36" s="22"/>
      <c r="V36" s="22"/>
      <c r="W36" s="22"/>
    </row>
    <row r="37" spans="2:23" s="68" customFormat="1" ht="20.149999999999999" customHeight="1" x14ac:dyDescent="0.3">
      <c r="B37" s="202"/>
      <c r="C37" s="56"/>
      <c r="D37" s="4" t="str">
        <f t="shared" si="1"/>
        <v xml:space="preserve"> </v>
      </c>
      <c r="E37" s="4"/>
      <c r="F37" s="6"/>
      <c r="G37" s="6"/>
      <c r="H37" s="9"/>
      <c r="I37" s="6" t="str">
        <f t="shared" si="0"/>
        <v xml:space="preserve"> </v>
      </c>
      <c r="J37" s="10"/>
      <c r="K37" s="6"/>
      <c r="L37" s="56"/>
      <c r="M37" s="6"/>
      <c r="N37" s="6"/>
      <c r="O37" s="6"/>
      <c r="P37" s="25"/>
      <c r="Q37" s="22"/>
      <c r="R37" s="22"/>
      <c r="S37" s="22"/>
      <c r="T37" s="22"/>
      <c r="U37" s="22"/>
      <c r="V37" s="22"/>
      <c r="W37" s="22"/>
    </row>
    <row r="38" spans="2:23" s="68" customFormat="1" ht="20.149999999999999" customHeight="1" x14ac:dyDescent="0.3">
      <c r="B38" s="202"/>
      <c r="C38" s="56"/>
      <c r="D38" s="4" t="str">
        <f t="shared" si="1"/>
        <v xml:space="preserve"> </v>
      </c>
      <c r="E38" s="4"/>
      <c r="F38" s="6"/>
      <c r="G38" s="6"/>
      <c r="H38" s="9"/>
      <c r="I38" s="6" t="str">
        <f t="shared" si="0"/>
        <v xml:space="preserve"> </v>
      </c>
      <c r="J38" s="10"/>
      <c r="K38" s="6"/>
      <c r="L38" s="56"/>
      <c r="M38" s="6"/>
      <c r="N38" s="6"/>
      <c r="O38" s="6"/>
      <c r="P38" s="25"/>
      <c r="Q38" s="22"/>
      <c r="R38" s="22"/>
      <c r="S38" s="22"/>
      <c r="T38" s="22"/>
      <c r="U38" s="22"/>
      <c r="V38" s="22"/>
      <c r="W38" s="22"/>
    </row>
    <row r="39" spans="2:23" s="68" customFormat="1" ht="20.149999999999999" customHeight="1" x14ac:dyDescent="0.3">
      <c r="B39" s="202"/>
      <c r="C39" s="56"/>
      <c r="D39" s="4" t="str">
        <f t="shared" si="1"/>
        <v xml:space="preserve"> </v>
      </c>
      <c r="E39" s="4"/>
      <c r="F39" s="6"/>
      <c r="G39" s="6"/>
      <c r="H39" s="9"/>
      <c r="I39" s="6" t="str">
        <f t="shared" si="0"/>
        <v xml:space="preserve"> </v>
      </c>
      <c r="J39" s="10"/>
      <c r="K39" s="6"/>
      <c r="L39" s="56"/>
      <c r="M39" s="6"/>
      <c r="N39" s="6"/>
      <c r="O39" s="6"/>
      <c r="P39" s="25"/>
      <c r="Q39" s="22"/>
      <c r="R39" s="22"/>
      <c r="S39" s="22"/>
      <c r="T39" s="22"/>
      <c r="U39" s="22"/>
      <c r="V39" s="22"/>
      <c r="W39" s="22"/>
    </row>
    <row r="40" spans="2:23" s="68" customFormat="1" ht="20.149999999999999" customHeight="1" x14ac:dyDescent="0.3">
      <c r="B40" s="202"/>
      <c r="C40" s="56"/>
      <c r="D40" s="4" t="str">
        <f t="shared" si="1"/>
        <v xml:space="preserve"> </v>
      </c>
      <c r="E40" s="4"/>
      <c r="F40" s="6"/>
      <c r="G40" s="6"/>
      <c r="H40" s="9"/>
      <c r="I40" s="6" t="str">
        <f t="shared" si="0"/>
        <v xml:space="preserve"> </v>
      </c>
      <c r="J40" s="10"/>
      <c r="K40" s="6"/>
      <c r="L40" s="56"/>
      <c r="M40" s="6"/>
      <c r="N40" s="6"/>
      <c r="O40" s="6"/>
      <c r="P40" s="25"/>
      <c r="Q40" s="22"/>
      <c r="R40" s="22"/>
      <c r="S40" s="22"/>
      <c r="T40" s="22"/>
      <c r="U40" s="22"/>
      <c r="V40" s="22"/>
      <c r="W40" s="22"/>
    </row>
    <row r="41" spans="2:23" s="68" customFormat="1" ht="20.149999999999999" customHeight="1" x14ac:dyDescent="0.3">
      <c r="B41" s="202"/>
      <c r="C41" s="56"/>
      <c r="D41" s="4" t="str">
        <f t="shared" si="1"/>
        <v xml:space="preserve"> </v>
      </c>
      <c r="E41" s="4"/>
      <c r="F41" s="6"/>
      <c r="G41" s="6"/>
      <c r="H41" s="9"/>
      <c r="I41" s="6" t="str">
        <f t="shared" si="0"/>
        <v xml:space="preserve"> </v>
      </c>
      <c r="J41" s="10"/>
      <c r="K41" s="6"/>
      <c r="L41" s="56"/>
      <c r="M41" s="6"/>
      <c r="N41" s="6"/>
      <c r="O41" s="6"/>
      <c r="P41" s="25"/>
      <c r="Q41" s="22"/>
      <c r="R41" s="22"/>
      <c r="S41" s="22"/>
      <c r="T41" s="22"/>
      <c r="U41" s="22"/>
      <c r="V41" s="22"/>
      <c r="W41" s="22"/>
    </row>
    <row r="42" spans="2:23" s="68" customFormat="1" ht="20.149999999999999" customHeight="1" x14ac:dyDescent="0.3">
      <c r="B42" s="202"/>
      <c r="C42" s="56"/>
      <c r="D42" s="4" t="str">
        <f t="shared" si="1"/>
        <v xml:space="preserve"> </v>
      </c>
      <c r="E42" s="4"/>
      <c r="F42" s="6"/>
      <c r="G42" s="6"/>
      <c r="H42" s="9"/>
      <c r="I42" s="6" t="str">
        <f t="shared" si="0"/>
        <v xml:space="preserve"> </v>
      </c>
      <c r="J42" s="10"/>
      <c r="K42" s="6"/>
      <c r="L42" s="56"/>
      <c r="M42" s="6"/>
      <c r="N42" s="6"/>
      <c r="O42" s="6"/>
      <c r="P42" s="25"/>
      <c r="Q42" s="22"/>
      <c r="R42" s="22"/>
      <c r="S42" s="22"/>
      <c r="T42" s="22"/>
      <c r="U42" s="22"/>
      <c r="V42" s="22"/>
      <c r="W42" s="22"/>
    </row>
    <row r="43" spans="2:23" s="68" customFormat="1" ht="20.149999999999999" customHeight="1" x14ac:dyDescent="0.3">
      <c r="B43" s="203"/>
      <c r="C43" s="197"/>
      <c r="D43" s="198" t="str">
        <f t="shared" si="1"/>
        <v xml:space="preserve"> </v>
      </c>
      <c r="E43" s="198"/>
      <c r="F43" s="199"/>
      <c r="G43" s="199"/>
      <c r="H43" s="200"/>
      <c r="I43" s="199" t="str">
        <f t="shared" si="0"/>
        <v xml:space="preserve"> </v>
      </c>
      <c r="J43" s="201"/>
      <c r="K43" s="199"/>
      <c r="L43" s="197"/>
      <c r="M43" s="199"/>
      <c r="N43" s="199"/>
      <c r="O43" s="199"/>
      <c r="P43" s="25"/>
      <c r="Q43" s="22"/>
      <c r="R43" s="22"/>
      <c r="S43" s="22"/>
      <c r="T43" s="22"/>
      <c r="U43" s="22"/>
      <c r="V43" s="22"/>
      <c r="W43" s="22"/>
    </row>
    <row r="44" spans="2:23" s="68" customFormat="1" ht="20.149999999999999" customHeight="1" x14ac:dyDescent="0.3">
      <c r="B44" s="202"/>
      <c r="C44" s="56"/>
      <c r="D44" s="4" t="str">
        <f t="shared" si="1"/>
        <v xml:space="preserve"> </v>
      </c>
      <c r="E44" s="4"/>
      <c r="F44" s="6"/>
      <c r="G44" s="6"/>
      <c r="H44" s="9"/>
      <c r="I44" s="6" t="str">
        <f t="shared" si="0"/>
        <v xml:space="preserve"> </v>
      </c>
      <c r="J44" s="10"/>
      <c r="K44" s="6"/>
      <c r="L44" s="56"/>
      <c r="M44" s="6"/>
      <c r="N44" s="6"/>
      <c r="O44" s="6"/>
      <c r="P44" s="25"/>
      <c r="Q44" s="22"/>
      <c r="R44" s="22"/>
      <c r="S44" s="22"/>
      <c r="T44" s="22"/>
      <c r="U44" s="22"/>
      <c r="V44" s="22"/>
      <c r="W44" s="22"/>
    </row>
    <row r="45" spans="2:23" s="68" customFormat="1" ht="20.149999999999999" customHeight="1" x14ac:dyDescent="0.3">
      <c r="B45" s="196"/>
      <c r="C45" s="224"/>
      <c r="D45" s="225" t="str">
        <f t="shared" si="1"/>
        <v xml:space="preserve"> </v>
      </c>
      <c r="E45" s="225"/>
      <c r="F45" s="226"/>
      <c r="G45" s="226"/>
      <c r="H45" s="227"/>
      <c r="I45" s="226" t="str">
        <f t="shared" si="0"/>
        <v xml:space="preserve"> </v>
      </c>
      <c r="J45" s="228"/>
      <c r="K45" s="226"/>
      <c r="L45" s="224"/>
      <c r="M45" s="226"/>
      <c r="N45" s="226"/>
      <c r="O45" s="226"/>
      <c r="P45" s="25"/>
      <c r="Q45" s="22"/>
      <c r="R45" s="22"/>
      <c r="S45" s="22"/>
      <c r="T45" s="22"/>
      <c r="U45" s="22"/>
      <c r="V45" s="22"/>
      <c r="W45" s="22"/>
    </row>
    <row r="46" spans="2:23" s="90" customFormat="1" ht="20.149999999999999" customHeight="1" x14ac:dyDescent="0.35">
      <c r="B46" s="352" t="s">
        <v>272</v>
      </c>
      <c r="C46" s="353"/>
      <c r="D46" s="353"/>
      <c r="E46" s="353"/>
      <c r="F46" s="222">
        <f>SUM(F13:F45)</f>
        <v>3000</v>
      </c>
      <c r="G46" s="222"/>
      <c r="H46" s="222"/>
      <c r="I46" s="222">
        <f>SUM(I13:I45)</f>
        <v>3630</v>
      </c>
      <c r="J46" s="223"/>
      <c r="K46" s="223"/>
      <c r="L46" s="223"/>
      <c r="M46" s="222"/>
      <c r="N46" s="222"/>
      <c r="O46" s="222"/>
      <c r="P46" s="23"/>
      <c r="Q46" s="22"/>
      <c r="R46" s="22"/>
      <c r="S46" s="22"/>
      <c r="T46" s="22"/>
      <c r="U46" s="22"/>
      <c r="V46" s="22"/>
      <c r="W46" s="22"/>
    </row>
    <row r="47" spans="2:23" ht="20.149999999999999" customHeight="1" x14ac:dyDescent="0.3">
      <c r="D47" s="24"/>
      <c r="E47" s="25"/>
      <c r="F47" s="25"/>
      <c r="G47" s="25"/>
      <c r="H47" s="25"/>
      <c r="I47" s="25"/>
      <c r="J47" s="25"/>
      <c r="K47" s="24"/>
      <c r="L47" s="25"/>
      <c r="M47" s="25"/>
      <c r="N47" s="25"/>
      <c r="O47" s="25"/>
      <c r="P47" s="25"/>
    </row>
    <row r="48" spans="2:23" s="53" customFormat="1" ht="20.149999999999999" customHeight="1" x14ac:dyDescent="0.35">
      <c r="D48" s="54"/>
      <c r="E48" s="54"/>
      <c r="F48" s="54"/>
      <c r="G48" s="54"/>
      <c r="H48" s="54"/>
      <c r="I48" s="54"/>
      <c r="J48" s="54"/>
      <c r="K48" s="54"/>
      <c r="L48" s="54"/>
      <c r="M48" s="54"/>
      <c r="N48" s="54"/>
      <c r="O48" s="54"/>
      <c r="P48" s="54"/>
      <c r="Q48" s="22"/>
      <c r="R48" s="22"/>
      <c r="S48" s="22"/>
      <c r="T48" s="22"/>
      <c r="U48" s="22"/>
      <c r="V48" s="22"/>
      <c r="W48" s="22"/>
    </row>
    <row r="49" spans="2:22" s="53" customFormat="1" ht="20.149999999999999" customHeight="1" x14ac:dyDescent="0.35">
      <c r="D49" s="54"/>
      <c r="E49" s="54"/>
      <c r="F49" s="54"/>
      <c r="G49" s="54"/>
      <c r="H49" s="54"/>
      <c r="I49" s="54"/>
      <c r="J49" s="54"/>
      <c r="K49" s="54"/>
      <c r="L49" s="54"/>
      <c r="M49" s="54"/>
      <c r="N49" s="54"/>
      <c r="O49" s="54"/>
      <c r="P49" s="54"/>
      <c r="Q49" s="22"/>
      <c r="R49" s="22"/>
      <c r="S49" s="22"/>
      <c r="T49" s="22"/>
      <c r="U49" s="22"/>
      <c r="V49" s="22"/>
    </row>
    <row r="50" spans="2:22" s="53" customFormat="1" ht="20.149999999999999" customHeight="1" x14ac:dyDescent="0.35">
      <c r="D50" s="54"/>
      <c r="E50" s="54"/>
      <c r="F50" s="54"/>
      <c r="G50" s="54"/>
      <c r="H50" s="54"/>
      <c r="I50" s="54"/>
      <c r="J50" s="54"/>
      <c r="K50" s="54"/>
      <c r="L50" s="54"/>
      <c r="M50" s="54"/>
      <c r="N50" s="54"/>
      <c r="O50" s="54"/>
      <c r="P50" s="54"/>
      <c r="Q50" s="22"/>
      <c r="R50" s="22"/>
      <c r="S50" s="22"/>
      <c r="T50" s="22"/>
      <c r="U50" s="22"/>
      <c r="V50" s="22"/>
    </row>
    <row r="51" spans="2:22" s="53" customFormat="1" ht="20.149999999999999" customHeight="1" x14ac:dyDescent="0.35">
      <c r="D51" s="54"/>
      <c r="E51" s="54"/>
      <c r="F51" s="54"/>
      <c r="G51" s="54"/>
      <c r="H51" s="54"/>
      <c r="I51" s="54"/>
      <c r="J51" s="54"/>
      <c r="K51" s="54"/>
      <c r="L51" s="54"/>
      <c r="M51" s="54"/>
      <c r="N51" s="54"/>
      <c r="O51" s="54"/>
      <c r="P51" s="54"/>
      <c r="Q51" s="22"/>
      <c r="R51" s="22"/>
      <c r="S51" s="22"/>
      <c r="T51" s="22"/>
      <c r="U51" s="22"/>
      <c r="V51" s="22"/>
    </row>
    <row r="52" spans="2:22" ht="20.149999999999999" customHeight="1" x14ac:dyDescent="0.3">
      <c r="D52" s="25"/>
      <c r="E52" s="25"/>
      <c r="F52" s="25"/>
      <c r="G52" s="25"/>
      <c r="H52" s="25"/>
      <c r="I52" s="25"/>
      <c r="J52" s="25"/>
      <c r="K52" s="25"/>
      <c r="L52" s="25"/>
      <c r="M52" s="25"/>
      <c r="N52" s="25"/>
      <c r="O52" s="25"/>
      <c r="P52" s="25"/>
    </row>
    <row r="53" spans="2:22" ht="20.149999999999999" customHeight="1" x14ac:dyDescent="0.3"/>
    <row r="55" spans="2:22" ht="20.149999999999999" customHeight="1" x14ac:dyDescent="0.3">
      <c r="B55" s="66" t="s">
        <v>301</v>
      </c>
      <c r="C55" s="66"/>
      <c r="D55" s="66"/>
      <c r="E55" s="25"/>
      <c r="F55" s="25"/>
      <c r="G55" s="25"/>
      <c r="H55" s="25"/>
      <c r="I55" s="25"/>
      <c r="J55" s="25"/>
      <c r="K55" s="66"/>
      <c r="L55" s="25"/>
      <c r="M55" s="25"/>
      <c r="N55" s="25"/>
      <c r="O55" s="25"/>
      <c r="P55" s="25"/>
      <c r="Q55" s="25"/>
      <c r="R55" s="25"/>
    </row>
    <row r="56" spans="2:22" ht="285.75" customHeight="1" x14ac:dyDescent="0.35">
      <c r="B56" s="350" t="s">
        <v>274</v>
      </c>
      <c r="C56" s="351"/>
      <c r="D56" s="351"/>
      <c r="E56" s="351"/>
      <c r="F56" s="351"/>
      <c r="G56" s="351"/>
      <c r="H56" s="351"/>
      <c r="I56" s="351"/>
      <c r="J56" s="177"/>
      <c r="K56" s="177"/>
      <c r="L56" s="177"/>
      <c r="M56" s="25"/>
      <c r="N56" s="25"/>
      <c r="O56" s="25"/>
      <c r="P56" s="25"/>
      <c r="Q56" s="25"/>
      <c r="R56" s="25"/>
    </row>
  </sheetData>
  <autoFilter ref="B12:E12" xr:uid="{00000000-0009-0000-0000-000009000000}"/>
  <mergeCells count="19">
    <mergeCell ref="B56:I56"/>
    <mergeCell ref="K4:N4"/>
    <mergeCell ref="K6:N6"/>
    <mergeCell ref="C10:D10"/>
    <mergeCell ref="F5:G5"/>
    <mergeCell ref="B46:E46"/>
    <mergeCell ref="K9:N9"/>
    <mergeCell ref="K5:N5"/>
    <mergeCell ref="F8:G8"/>
    <mergeCell ref="F9:G9"/>
    <mergeCell ref="C7:D7"/>
    <mergeCell ref="K8:N8"/>
    <mergeCell ref="F4:G4"/>
    <mergeCell ref="C6:D6"/>
    <mergeCell ref="C5:D5"/>
    <mergeCell ref="F6:G6"/>
    <mergeCell ref="K7:N7"/>
    <mergeCell ref="F7:G7"/>
    <mergeCell ref="C4:D4"/>
  </mergeCells>
  <conditionalFormatting sqref="C10">
    <cfRule type="expression" dxfId="1" priority="2">
      <formula>$C$7=$F$46</formula>
    </cfRule>
  </conditionalFormatting>
  <conditionalFormatting sqref="E7">
    <cfRule type="expression" dxfId="0" priority="1">
      <formula>$C$7=SUM($I$5:$I$9)</formula>
    </cfRule>
  </conditionalFormatting>
  <dataValidations count="2">
    <dataValidation type="list" allowBlank="1" showInputMessage="1" showErrorMessage="1" sqref="O13:O45" xr:uid="{00000000-0002-0000-0900-000000000000}">
      <formula1>"SI,NO,"</formula1>
    </dataValidation>
    <dataValidation type="list" allowBlank="1" showInputMessage="1" showErrorMessage="1" sqref="B13:B45" xr:uid="{00000000-0002-0000-0900-000001000000}">
      <formula1>"FACTURA,ABONO,"</formula1>
    </dataValidation>
  </dataValidations>
  <pageMargins left="0.70866141732283472" right="0.70866141732283472" top="0.74803149606299213" bottom="0.74803149606299213" header="0.31496062992125978" footer="0.31496062992125978"/>
  <pageSetup paperSize="9" scale="20"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AO67"/>
  <sheetViews>
    <sheetView showGridLines="0" topLeftCell="B1" zoomScale="70" zoomScaleNormal="70" workbookViewId="0">
      <selection activeCell="L9" sqref="L9"/>
    </sheetView>
  </sheetViews>
  <sheetFormatPr baseColWidth="10" defaultColWidth="9.1796875" defaultRowHeight="13.5" x14ac:dyDescent="0.25"/>
  <cols>
    <col min="1" max="1" width="2.1796875" style="94" customWidth="1"/>
    <col min="2" max="2" width="25.7265625" style="94" customWidth="1"/>
    <col min="3" max="3" width="28.453125" style="94" customWidth="1"/>
    <col min="4" max="28" width="14.7265625" style="94" customWidth="1"/>
    <col min="29" max="29" width="11.26953125" style="94" customWidth="1"/>
    <col min="30" max="30" width="9.1796875" style="94" customWidth="1"/>
    <col min="31" max="16384" width="9.1796875" style="94"/>
  </cols>
  <sheetData>
    <row r="2" spans="1:41" ht="21" customHeight="1" x14ac:dyDescent="0.25">
      <c r="B2" s="20" t="s">
        <v>0</v>
      </c>
      <c r="C2" s="112" t="str">
        <f>'Project Infor'!C10</f>
        <v>var2_SAP_PEP_WBS</v>
      </c>
      <c r="D2" s="219" t="str">
        <f>'Project Infor'!C11</f>
        <v>Smart Airport en la nueva terminal de Puerto Vallarta</v>
      </c>
      <c r="E2" s="97"/>
      <c r="F2" s="97"/>
      <c r="G2" s="97"/>
      <c r="H2" s="97"/>
      <c r="I2" s="97"/>
      <c r="J2" s="97"/>
      <c r="K2" s="97"/>
    </row>
    <row r="3" spans="1:41" ht="9" customHeight="1" x14ac:dyDescent="0.25">
      <c r="B3" s="65"/>
      <c r="C3" s="65"/>
      <c r="D3" s="65"/>
      <c r="E3" s="65"/>
    </row>
    <row r="4" spans="1:41" ht="15" customHeight="1" x14ac:dyDescent="0.25">
      <c r="B4" s="99"/>
      <c r="C4" s="99"/>
      <c r="D4" s="100"/>
      <c r="E4" s="100"/>
      <c r="F4" s="100"/>
      <c r="G4" s="100"/>
      <c r="H4" s="100"/>
      <c r="I4" s="100"/>
      <c r="J4" s="100"/>
      <c r="K4" s="100"/>
      <c r="L4" s="100"/>
      <c r="M4" s="100"/>
    </row>
    <row r="5" spans="1:41" ht="20.149999999999999" customHeight="1" x14ac:dyDescent="0.35">
      <c r="B5" s="355" t="s">
        <v>302</v>
      </c>
      <c r="C5" s="331"/>
      <c r="D5" s="356" t="s">
        <v>303</v>
      </c>
      <c r="E5" s="321"/>
      <c r="F5" s="321"/>
      <c r="G5" s="321"/>
      <c r="H5" s="100"/>
      <c r="I5" s="100"/>
      <c r="J5" s="100"/>
      <c r="K5" s="100"/>
      <c r="L5" s="100"/>
      <c r="M5" s="100"/>
      <c r="N5" s="100"/>
      <c r="O5" s="100"/>
      <c r="P5" s="100"/>
      <c r="Q5" s="100"/>
      <c r="R5" s="100"/>
    </row>
    <row r="6" spans="1:41" s="104" customFormat="1" ht="35.15" customHeight="1" x14ac:dyDescent="0.25">
      <c r="B6" s="234" t="s">
        <v>304</v>
      </c>
      <c r="C6" s="234" t="s">
        <v>305</v>
      </c>
      <c r="D6" s="245">
        <f>'Project Infor'!$C$8</f>
        <v>45962</v>
      </c>
      <c r="E6" s="245">
        <f t="shared" ref="E6:AB6" si="0">EOMONTH(D6,1)</f>
        <v>46022</v>
      </c>
      <c r="F6" s="245">
        <f t="shared" si="0"/>
        <v>46053</v>
      </c>
      <c r="G6" s="245">
        <f t="shared" si="0"/>
        <v>46081</v>
      </c>
      <c r="H6" s="245">
        <f t="shared" si="0"/>
        <v>46112</v>
      </c>
      <c r="I6" s="245">
        <f t="shared" si="0"/>
        <v>46142</v>
      </c>
      <c r="J6" s="245">
        <f t="shared" si="0"/>
        <v>46173</v>
      </c>
      <c r="K6" s="245">
        <f t="shared" si="0"/>
        <v>46203</v>
      </c>
      <c r="L6" s="245">
        <f t="shared" si="0"/>
        <v>46234</v>
      </c>
      <c r="M6" s="245">
        <f t="shared" si="0"/>
        <v>46265</v>
      </c>
      <c r="N6" s="245">
        <f t="shared" si="0"/>
        <v>46295</v>
      </c>
      <c r="O6" s="245">
        <f t="shared" si="0"/>
        <v>46326</v>
      </c>
      <c r="P6" s="245">
        <f t="shared" si="0"/>
        <v>46356</v>
      </c>
      <c r="Q6" s="245">
        <f t="shared" si="0"/>
        <v>46387</v>
      </c>
      <c r="R6" s="245">
        <f t="shared" si="0"/>
        <v>46418</v>
      </c>
      <c r="S6" s="245">
        <f t="shared" si="0"/>
        <v>46446</v>
      </c>
      <c r="T6" s="245">
        <f t="shared" si="0"/>
        <v>46477</v>
      </c>
      <c r="U6" s="245">
        <f t="shared" si="0"/>
        <v>46507</v>
      </c>
      <c r="V6" s="245">
        <f t="shared" si="0"/>
        <v>46538</v>
      </c>
      <c r="W6" s="245">
        <f t="shared" si="0"/>
        <v>46568</v>
      </c>
      <c r="X6" s="245">
        <f t="shared" si="0"/>
        <v>46599</v>
      </c>
      <c r="Y6" s="245">
        <f t="shared" si="0"/>
        <v>46630</v>
      </c>
      <c r="Z6" s="245">
        <f t="shared" si="0"/>
        <v>46660</v>
      </c>
      <c r="AA6" s="245">
        <f t="shared" si="0"/>
        <v>46691</v>
      </c>
      <c r="AB6" s="245">
        <f t="shared" si="0"/>
        <v>46721</v>
      </c>
      <c r="AD6" s="94"/>
      <c r="AE6" s="94"/>
      <c r="AF6" s="94"/>
      <c r="AG6" s="94"/>
      <c r="AH6" s="94"/>
      <c r="AI6" s="94"/>
      <c r="AJ6" s="94"/>
      <c r="AK6" s="94"/>
      <c r="AL6" s="94"/>
      <c r="AM6" s="94"/>
      <c r="AN6" s="94"/>
      <c r="AO6" s="94"/>
    </row>
    <row r="7" spans="1:41" s="105" customFormat="1" ht="20.149999999999999" customHeight="1" x14ac:dyDescent="0.25">
      <c r="B7" s="244">
        <v>8.5</v>
      </c>
      <c r="C7" s="272" t="str">
        <f>IF(B7=0,"",CONCATENATE("Jornadas de ",B7," horas: "))</f>
        <v xml:space="preserve">Jornadas de 8,5 horas: </v>
      </c>
      <c r="D7" s="246">
        <v>16</v>
      </c>
      <c r="E7" s="246">
        <v>16</v>
      </c>
      <c r="F7" s="246">
        <v>16</v>
      </c>
      <c r="G7" s="246">
        <v>16</v>
      </c>
      <c r="H7" s="246"/>
      <c r="I7" s="246"/>
      <c r="J7" s="246">
        <v>16</v>
      </c>
      <c r="K7" s="246"/>
      <c r="L7" s="246"/>
      <c r="M7" s="246"/>
      <c r="N7" s="246"/>
      <c r="O7" s="246"/>
      <c r="P7" s="246"/>
      <c r="Q7" s="246"/>
      <c r="R7" s="246"/>
      <c r="S7" s="246"/>
      <c r="T7" s="246"/>
      <c r="U7" s="246"/>
      <c r="V7" s="246"/>
      <c r="W7" s="246"/>
      <c r="X7" s="246"/>
      <c r="Y7" s="246"/>
      <c r="Z7" s="246"/>
      <c r="AA7" s="246"/>
      <c r="AB7" s="246"/>
      <c r="AD7" s="94"/>
      <c r="AE7" s="94"/>
      <c r="AF7" s="94"/>
      <c r="AG7" s="94"/>
      <c r="AH7" s="94"/>
      <c r="AI7" s="94"/>
      <c r="AJ7" s="94"/>
      <c r="AK7" s="94"/>
      <c r="AL7" s="94"/>
      <c r="AM7" s="94"/>
      <c r="AN7" s="94"/>
      <c r="AO7" s="94"/>
    </row>
    <row r="8" spans="1:41" s="105" customFormat="1" ht="20.149999999999999" customHeight="1" x14ac:dyDescent="0.25">
      <c r="B8" s="244">
        <v>7</v>
      </c>
      <c r="C8" s="272" t="str">
        <f>IF(B8=0,"",CONCATENATE("Jornadas de ",B8," horas: "))</f>
        <v xml:space="preserve">Jornadas de 7 horas: </v>
      </c>
      <c r="D8" s="246">
        <v>3</v>
      </c>
      <c r="E8" s="246">
        <v>2</v>
      </c>
      <c r="F8" s="246">
        <v>1</v>
      </c>
      <c r="G8" s="246">
        <v>4</v>
      </c>
      <c r="H8" s="246">
        <v>22</v>
      </c>
      <c r="I8" s="246">
        <v>22</v>
      </c>
      <c r="J8" s="246">
        <v>5</v>
      </c>
      <c r="K8" s="246"/>
      <c r="L8" s="246"/>
      <c r="M8" s="246"/>
      <c r="N8" s="246"/>
      <c r="O8" s="246"/>
      <c r="P8" s="246"/>
      <c r="Q8" s="246"/>
      <c r="R8" s="246"/>
      <c r="S8" s="246"/>
      <c r="T8" s="246"/>
      <c r="U8" s="246"/>
      <c r="V8" s="246"/>
      <c r="W8" s="246"/>
      <c r="X8" s="246"/>
      <c r="Y8" s="246"/>
      <c r="Z8" s="246"/>
      <c r="AA8" s="246"/>
      <c r="AB8" s="246"/>
      <c r="AD8" s="94"/>
      <c r="AE8" s="94"/>
      <c r="AF8" s="94"/>
      <c r="AG8" s="94"/>
      <c r="AH8" s="94"/>
      <c r="AI8" s="94"/>
      <c r="AJ8" s="94"/>
      <c r="AK8" s="94"/>
      <c r="AL8" s="94"/>
      <c r="AM8" s="94"/>
      <c r="AN8" s="94"/>
      <c r="AO8" s="94"/>
    </row>
    <row r="9" spans="1:41" s="105" customFormat="1" ht="20.149999999999999" customHeight="1" x14ac:dyDescent="0.25">
      <c r="B9" s="244">
        <v>6</v>
      </c>
      <c r="C9" s="272" t="str">
        <f>IF(B9=0,"",CONCATENATE("Jornadas de ",B9," horas: "))</f>
        <v xml:space="preserve">Jornadas de 6 horas: </v>
      </c>
      <c r="D9" s="246">
        <v>1</v>
      </c>
      <c r="E9" s="246">
        <v>3</v>
      </c>
      <c r="F9" s="246">
        <v>1</v>
      </c>
      <c r="G9" s="246">
        <v>2</v>
      </c>
      <c r="H9" s="246"/>
      <c r="I9" s="246"/>
      <c r="J9" s="246">
        <v>9</v>
      </c>
      <c r="K9" s="246"/>
      <c r="L9" s="246"/>
      <c r="M9" s="246"/>
      <c r="N9" s="246"/>
      <c r="O9" s="246"/>
      <c r="P9" s="246"/>
      <c r="Q9" s="246"/>
      <c r="R9" s="246"/>
      <c r="S9" s="246"/>
      <c r="T9" s="246"/>
      <c r="U9" s="246"/>
      <c r="V9" s="246"/>
      <c r="W9" s="246"/>
      <c r="X9" s="246"/>
      <c r="Y9" s="246"/>
      <c r="Z9" s="246"/>
      <c r="AA9" s="246"/>
      <c r="AB9" s="246"/>
      <c r="AD9" s="94"/>
      <c r="AE9" s="94"/>
      <c r="AF9" s="94"/>
      <c r="AG9" s="94"/>
      <c r="AH9" s="94"/>
      <c r="AI9" s="94"/>
      <c r="AJ9" s="94"/>
      <c r="AK9" s="94"/>
      <c r="AL9" s="94"/>
      <c r="AM9" s="94"/>
      <c r="AN9" s="94"/>
      <c r="AO9" s="94"/>
    </row>
    <row r="10" spans="1:41" s="105" customFormat="1" ht="20.149999999999999" customHeight="1" x14ac:dyDescent="0.25">
      <c r="B10" s="244">
        <v>7.25</v>
      </c>
      <c r="C10" s="272" t="str">
        <f>IF(B10=0,"",CONCATENATE("Jornadas de ",B10," horas: "))</f>
        <v xml:space="preserve">Jornadas de 7,25 horas: </v>
      </c>
      <c r="D10" s="246"/>
      <c r="E10" s="246"/>
      <c r="F10" s="246"/>
      <c r="G10" s="246"/>
      <c r="H10" s="246"/>
      <c r="I10" s="246"/>
      <c r="J10" s="246"/>
      <c r="K10" s="246"/>
      <c r="L10" s="246"/>
      <c r="M10" s="246"/>
      <c r="N10" s="246"/>
      <c r="O10" s="246"/>
      <c r="P10" s="246"/>
      <c r="Q10" s="246"/>
      <c r="R10" s="246"/>
      <c r="S10" s="246"/>
      <c r="T10" s="246"/>
      <c r="U10" s="246"/>
      <c r="V10" s="246"/>
      <c r="W10" s="246"/>
      <c r="X10" s="246"/>
      <c r="Y10" s="246"/>
      <c r="Z10" s="246"/>
      <c r="AA10" s="246"/>
      <c r="AB10" s="246"/>
      <c r="AD10" s="94"/>
      <c r="AE10" s="94"/>
      <c r="AF10" s="94"/>
      <c r="AG10" s="94"/>
      <c r="AH10" s="94"/>
      <c r="AI10" s="94"/>
      <c r="AJ10" s="94"/>
      <c r="AK10" s="94"/>
      <c r="AL10" s="94"/>
      <c r="AM10" s="94"/>
      <c r="AN10" s="94"/>
      <c r="AO10" s="94"/>
    </row>
    <row r="11" spans="1:41" s="105" customFormat="1" ht="20.149999999999999" customHeight="1" x14ac:dyDescent="0.25">
      <c r="B11" s="244">
        <v>5.25</v>
      </c>
      <c r="C11" s="272" t="str">
        <f>IF(B11=0,"",CONCATENATE("Jornadas de ",B11," horas: "))</f>
        <v xml:space="preserve">Jornadas de 5,25 horas: </v>
      </c>
      <c r="D11" s="246">
        <v>2</v>
      </c>
      <c r="E11" s="246"/>
      <c r="F11" s="246">
        <v>2</v>
      </c>
      <c r="G11" s="246"/>
      <c r="H11" s="246"/>
      <c r="I11" s="246"/>
      <c r="J11" s="246"/>
      <c r="K11" s="246"/>
      <c r="L11" s="246"/>
      <c r="M11" s="246"/>
      <c r="N11" s="246"/>
      <c r="O11" s="246"/>
      <c r="P11" s="246"/>
      <c r="Q11" s="246"/>
      <c r="R11" s="246"/>
      <c r="S11" s="246"/>
      <c r="T11" s="246"/>
      <c r="U11" s="246"/>
      <c r="V11" s="246"/>
      <c r="W11" s="246"/>
      <c r="X11" s="246"/>
      <c r="Y11" s="246"/>
      <c r="Z11" s="246"/>
      <c r="AA11" s="246"/>
      <c r="AB11" s="246"/>
      <c r="AD11" s="94"/>
      <c r="AE11" s="94"/>
      <c r="AF11" s="94"/>
      <c r="AG11" s="94"/>
      <c r="AH11" s="94"/>
      <c r="AI11" s="94"/>
      <c r="AJ11" s="94"/>
      <c r="AK11" s="94"/>
      <c r="AL11" s="94"/>
      <c r="AM11" s="94"/>
      <c r="AN11" s="94"/>
      <c r="AO11" s="94"/>
    </row>
    <row r="12" spans="1:41" s="105" customFormat="1" ht="20.149999999999999" customHeight="1" x14ac:dyDescent="0.25">
      <c r="B12" s="273"/>
      <c r="C12" s="273" t="s">
        <v>306</v>
      </c>
      <c r="D12" s="274">
        <f t="shared" ref="D12:AB12" si="1">SUMPRODUCT(D7:D11,$B$7:$B$11)</f>
        <v>173.5</v>
      </c>
      <c r="E12" s="274">
        <f t="shared" si="1"/>
        <v>168</v>
      </c>
      <c r="F12" s="274">
        <f t="shared" si="1"/>
        <v>159.5</v>
      </c>
      <c r="G12" s="274">
        <f t="shared" si="1"/>
        <v>176</v>
      </c>
      <c r="H12" s="274">
        <f t="shared" si="1"/>
        <v>154</v>
      </c>
      <c r="I12" s="274">
        <f t="shared" si="1"/>
        <v>154</v>
      </c>
      <c r="J12" s="274">
        <f t="shared" si="1"/>
        <v>225</v>
      </c>
      <c r="K12" s="274">
        <f t="shared" si="1"/>
        <v>0</v>
      </c>
      <c r="L12" s="274">
        <f t="shared" si="1"/>
        <v>0</v>
      </c>
      <c r="M12" s="274">
        <f t="shared" si="1"/>
        <v>0</v>
      </c>
      <c r="N12" s="274">
        <f t="shared" si="1"/>
        <v>0</v>
      </c>
      <c r="O12" s="274">
        <f t="shared" si="1"/>
        <v>0</v>
      </c>
      <c r="P12" s="274">
        <f t="shared" si="1"/>
        <v>0</v>
      </c>
      <c r="Q12" s="274">
        <f t="shared" si="1"/>
        <v>0</v>
      </c>
      <c r="R12" s="274">
        <f t="shared" si="1"/>
        <v>0</v>
      </c>
      <c r="S12" s="274">
        <f t="shared" si="1"/>
        <v>0</v>
      </c>
      <c r="T12" s="274">
        <f t="shared" si="1"/>
        <v>0</v>
      </c>
      <c r="U12" s="274">
        <f t="shared" si="1"/>
        <v>0</v>
      </c>
      <c r="V12" s="274">
        <f t="shared" si="1"/>
        <v>0</v>
      </c>
      <c r="W12" s="274">
        <f t="shared" si="1"/>
        <v>0</v>
      </c>
      <c r="X12" s="274">
        <f t="shared" si="1"/>
        <v>0</v>
      </c>
      <c r="Y12" s="274">
        <f t="shared" si="1"/>
        <v>0</v>
      </c>
      <c r="Z12" s="274">
        <f t="shared" si="1"/>
        <v>0</v>
      </c>
      <c r="AA12" s="274">
        <f t="shared" si="1"/>
        <v>0</v>
      </c>
      <c r="AB12" s="274">
        <f t="shared" si="1"/>
        <v>0</v>
      </c>
    </row>
    <row r="13" spans="1:41" s="105" customFormat="1" ht="20.149999999999999" customHeight="1" x14ac:dyDescent="0.25">
      <c r="B13" s="185"/>
      <c r="C13" s="185"/>
      <c r="D13" s="185"/>
      <c r="E13" s="185"/>
      <c r="F13" s="185"/>
      <c r="G13" s="185"/>
      <c r="H13" s="185"/>
      <c r="I13" s="185"/>
      <c r="J13" s="185"/>
      <c r="K13" s="185"/>
      <c r="L13" s="185"/>
      <c r="M13" s="185"/>
      <c r="N13" s="185"/>
      <c r="O13" s="185"/>
      <c r="P13" s="185"/>
      <c r="Q13" s="185"/>
      <c r="R13" s="185"/>
      <c r="S13" s="185"/>
      <c r="T13" s="185"/>
      <c r="U13" s="185"/>
      <c r="V13" s="185"/>
      <c r="W13" s="185"/>
      <c r="X13" s="185"/>
      <c r="Y13" s="185"/>
      <c r="Z13" s="185"/>
      <c r="AA13" s="185"/>
      <c r="AB13" s="185"/>
    </row>
    <row r="14" spans="1:41" x14ac:dyDescent="0.25">
      <c r="A14" s="105"/>
      <c r="D14" s="100"/>
      <c r="E14" s="100"/>
      <c r="F14" s="100"/>
      <c r="G14" s="100"/>
      <c r="H14" s="100"/>
      <c r="I14" s="100"/>
      <c r="J14" s="100"/>
      <c r="K14" s="100"/>
      <c r="L14" s="100"/>
      <c r="M14" s="100"/>
    </row>
    <row r="15" spans="1:41" ht="20.149999999999999" customHeight="1" x14ac:dyDescent="0.35">
      <c r="B15" s="355" t="s">
        <v>307</v>
      </c>
      <c r="C15" s="331"/>
      <c r="D15" s="356" t="s">
        <v>308</v>
      </c>
      <c r="E15" s="321"/>
      <c r="F15" s="321"/>
      <c r="G15" s="321"/>
      <c r="H15" s="100"/>
      <c r="I15" s="100"/>
      <c r="J15" s="100"/>
      <c r="K15" s="100"/>
      <c r="L15" s="100"/>
      <c r="M15" s="100"/>
      <c r="N15" s="100"/>
      <c r="O15" s="100"/>
      <c r="P15" s="100"/>
      <c r="Q15" s="100"/>
      <c r="R15" s="100"/>
    </row>
    <row r="16" spans="1:41" s="104" customFormat="1" ht="35.15" customHeight="1" x14ac:dyDescent="0.25">
      <c r="B16" s="234" t="s">
        <v>304</v>
      </c>
      <c r="C16" s="234" t="s">
        <v>305</v>
      </c>
      <c r="D16" s="245">
        <f>'Project Infor'!$C$8</f>
        <v>45962</v>
      </c>
      <c r="E16" s="245">
        <f t="shared" ref="E16:AB16" si="2">EOMONTH(D16,1)</f>
        <v>46022</v>
      </c>
      <c r="F16" s="245">
        <f t="shared" si="2"/>
        <v>46053</v>
      </c>
      <c r="G16" s="245">
        <f t="shared" si="2"/>
        <v>46081</v>
      </c>
      <c r="H16" s="245">
        <f t="shared" si="2"/>
        <v>46112</v>
      </c>
      <c r="I16" s="245">
        <f t="shared" si="2"/>
        <v>46142</v>
      </c>
      <c r="J16" s="245">
        <f t="shared" si="2"/>
        <v>46173</v>
      </c>
      <c r="K16" s="245">
        <f t="shared" si="2"/>
        <v>46203</v>
      </c>
      <c r="L16" s="245">
        <f t="shared" si="2"/>
        <v>46234</v>
      </c>
      <c r="M16" s="245">
        <f t="shared" si="2"/>
        <v>46265</v>
      </c>
      <c r="N16" s="245">
        <f t="shared" si="2"/>
        <v>46295</v>
      </c>
      <c r="O16" s="245">
        <f t="shared" si="2"/>
        <v>46326</v>
      </c>
      <c r="P16" s="245">
        <f t="shared" si="2"/>
        <v>46356</v>
      </c>
      <c r="Q16" s="245">
        <f t="shared" si="2"/>
        <v>46387</v>
      </c>
      <c r="R16" s="245">
        <f t="shared" si="2"/>
        <v>46418</v>
      </c>
      <c r="S16" s="245">
        <f t="shared" si="2"/>
        <v>46446</v>
      </c>
      <c r="T16" s="245">
        <f t="shared" si="2"/>
        <v>46477</v>
      </c>
      <c r="U16" s="245">
        <f t="shared" si="2"/>
        <v>46507</v>
      </c>
      <c r="V16" s="245">
        <f t="shared" si="2"/>
        <v>46538</v>
      </c>
      <c r="W16" s="245">
        <f t="shared" si="2"/>
        <v>46568</v>
      </c>
      <c r="X16" s="245">
        <f t="shared" si="2"/>
        <v>46599</v>
      </c>
      <c r="Y16" s="245">
        <f t="shared" si="2"/>
        <v>46630</v>
      </c>
      <c r="Z16" s="245">
        <f t="shared" si="2"/>
        <v>46660</v>
      </c>
      <c r="AA16" s="245">
        <f t="shared" si="2"/>
        <v>46691</v>
      </c>
      <c r="AB16" s="245">
        <f t="shared" si="2"/>
        <v>46721</v>
      </c>
      <c r="AD16" s="94"/>
      <c r="AE16" s="94"/>
      <c r="AF16" s="94"/>
      <c r="AG16" s="94"/>
      <c r="AH16" s="94"/>
      <c r="AI16" s="94"/>
      <c r="AJ16" s="94"/>
      <c r="AK16" s="94"/>
      <c r="AL16" s="94"/>
      <c r="AM16" s="94"/>
      <c r="AN16" s="94"/>
      <c r="AO16" s="94"/>
    </row>
    <row r="17" spans="1:41" s="105" customFormat="1" ht="20.149999999999999" customHeight="1" x14ac:dyDescent="0.25">
      <c r="B17" s="244">
        <v>8</v>
      </c>
      <c r="C17" s="272" t="str">
        <f>IF(B17=0,"",CONCATENATE("Jornadas de ",B17," horas: "))</f>
        <v xml:space="preserve">Jornadas de 8 horas: </v>
      </c>
      <c r="D17" s="246">
        <v>16</v>
      </c>
      <c r="E17" s="246"/>
      <c r="F17" s="246"/>
      <c r="G17" s="246"/>
      <c r="H17" s="246"/>
      <c r="I17" s="246"/>
      <c r="J17" s="246"/>
      <c r="K17" s="246"/>
      <c r="L17" s="246"/>
      <c r="M17" s="246"/>
      <c r="N17" s="246"/>
      <c r="O17" s="246"/>
      <c r="P17" s="246"/>
      <c r="Q17" s="246"/>
      <c r="R17" s="246"/>
      <c r="S17" s="246"/>
      <c r="T17" s="246"/>
      <c r="U17" s="246"/>
      <c r="V17" s="246"/>
      <c r="W17" s="246"/>
      <c r="X17" s="246"/>
      <c r="Y17" s="246"/>
      <c r="Z17" s="246"/>
      <c r="AA17" s="246"/>
      <c r="AB17" s="246"/>
      <c r="AD17" s="94"/>
      <c r="AE17" s="94"/>
      <c r="AF17" s="94"/>
      <c r="AG17" s="94"/>
      <c r="AH17" s="94"/>
      <c r="AI17" s="94"/>
      <c r="AJ17" s="94"/>
      <c r="AK17" s="94"/>
      <c r="AL17" s="94"/>
      <c r="AM17" s="94"/>
      <c r="AN17" s="94"/>
      <c r="AO17" s="94"/>
    </row>
    <row r="18" spans="1:41" s="105" customFormat="1" ht="20.149999999999999" customHeight="1" x14ac:dyDescent="0.25">
      <c r="B18" s="244">
        <v>6</v>
      </c>
      <c r="C18" s="272" t="str">
        <f>IF(B18=0,"",CONCATENATE("Jornadas de ",B18," horas: "))</f>
        <v xml:space="preserve">Jornadas de 6 horas: </v>
      </c>
      <c r="D18" s="246">
        <v>3</v>
      </c>
      <c r="E18" s="246"/>
      <c r="F18" s="246"/>
      <c r="G18" s="246"/>
      <c r="H18" s="246"/>
      <c r="I18" s="246"/>
      <c r="J18" s="246"/>
      <c r="K18" s="246"/>
      <c r="L18" s="246"/>
      <c r="M18" s="246"/>
      <c r="N18" s="246"/>
      <c r="O18" s="246"/>
      <c r="P18" s="246"/>
      <c r="Q18" s="246"/>
      <c r="R18" s="246"/>
      <c r="S18" s="246"/>
      <c r="T18" s="246"/>
      <c r="U18" s="246"/>
      <c r="V18" s="246"/>
      <c r="W18" s="246"/>
      <c r="X18" s="246"/>
      <c r="Y18" s="246"/>
      <c r="Z18" s="246"/>
      <c r="AA18" s="246"/>
      <c r="AB18" s="246"/>
      <c r="AD18" s="94"/>
      <c r="AE18" s="94"/>
      <c r="AF18" s="94"/>
      <c r="AG18" s="94"/>
      <c r="AH18" s="94"/>
      <c r="AI18" s="94"/>
      <c r="AJ18" s="94"/>
      <c r="AK18" s="94"/>
      <c r="AL18" s="94"/>
      <c r="AM18" s="94"/>
      <c r="AN18" s="94"/>
      <c r="AO18" s="94"/>
    </row>
    <row r="19" spans="1:41" s="105" customFormat="1" ht="20.149999999999999" customHeight="1" x14ac:dyDescent="0.25">
      <c r="B19" s="244"/>
      <c r="C19" s="272" t="str">
        <f>IF(B19=0,"",CONCATENATE("Jornadas de ",B19," horas: "))</f>
        <v/>
      </c>
      <c r="D19" s="246"/>
      <c r="E19" s="246"/>
      <c r="F19" s="246"/>
      <c r="G19" s="246"/>
      <c r="H19" s="246"/>
      <c r="I19" s="246"/>
      <c r="J19" s="246"/>
      <c r="K19" s="246"/>
      <c r="L19" s="246"/>
      <c r="M19" s="246"/>
      <c r="N19" s="246"/>
      <c r="O19" s="246"/>
      <c r="P19" s="246"/>
      <c r="Q19" s="246"/>
      <c r="R19" s="246"/>
      <c r="S19" s="246"/>
      <c r="T19" s="246"/>
      <c r="U19" s="246"/>
      <c r="V19" s="246"/>
      <c r="W19" s="246"/>
      <c r="X19" s="246"/>
      <c r="Y19" s="246"/>
      <c r="Z19" s="246"/>
      <c r="AA19" s="246"/>
      <c r="AB19" s="246"/>
      <c r="AD19" s="94"/>
      <c r="AE19" s="94"/>
      <c r="AF19" s="94"/>
      <c r="AG19" s="94"/>
      <c r="AH19" s="94"/>
      <c r="AI19" s="94"/>
      <c r="AJ19" s="94"/>
      <c r="AK19" s="94"/>
      <c r="AL19" s="94"/>
      <c r="AM19" s="94"/>
      <c r="AN19" s="94"/>
      <c r="AO19" s="94"/>
    </row>
    <row r="20" spans="1:41" s="105" customFormat="1" ht="20.149999999999999" customHeight="1" x14ac:dyDescent="0.25">
      <c r="B20" s="244"/>
      <c r="C20" s="272"/>
      <c r="D20" s="246"/>
      <c r="E20" s="246"/>
      <c r="F20" s="246"/>
      <c r="G20" s="246"/>
      <c r="H20" s="246"/>
      <c r="I20" s="246"/>
      <c r="J20" s="246"/>
      <c r="K20" s="246"/>
      <c r="L20" s="246"/>
      <c r="M20" s="246"/>
      <c r="N20" s="246"/>
      <c r="O20" s="246"/>
      <c r="P20" s="246"/>
      <c r="Q20" s="246"/>
      <c r="R20" s="246"/>
      <c r="S20" s="246"/>
      <c r="T20" s="246"/>
      <c r="U20" s="246"/>
      <c r="V20" s="246"/>
      <c r="W20" s="246"/>
      <c r="X20" s="246"/>
      <c r="Y20" s="246"/>
      <c r="Z20" s="246"/>
      <c r="AA20" s="246"/>
      <c r="AB20" s="246"/>
      <c r="AD20" s="94"/>
      <c r="AE20" s="94"/>
      <c r="AF20" s="94"/>
      <c r="AG20" s="94"/>
      <c r="AH20" s="94"/>
      <c r="AI20" s="94"/>
      <c r="AJ20" s="94"/>
      <c r="AK20" s="94"/>
      <c r="AL20" s="94"/>
      <c r="AM20" s="94"/>
      <c r="AN20" s="94"/>
      <c r="AO20" s="94"/>
    </row>
    <row r="21" spans="1:41" s="105" customFormat="1" ht="20.149999999999999" customHeight="1" x14ac:dyDescent="0.25">
      <c r="B21" s="244"/>
      <c r="C21" s="272" t="str">
        <f>IF(B21=0,"",CONCATENATE("Jornadas de ",B21," horas: "))</f>
        <v/>
      </c>
      <c r="D21" s="246"/>
      <c r="E21" s="246"/>
      <c r="F21" s="246"/>
      <c r="G21" s="246"/>
      <c r="H21" s="246"/>
      <c r="I21" s="246"/>
      <c r="J21" s="246"/>
      <c r="K21" s="246"/>
      <c r="L21" s="246"/>
      <c r="M21" s="246"/>
      <c r="N21" s="246"/>
      <c r="O21" s="246"/>
      <c r="P21" s="246"/>
      <c r="Q21" s="246"/>
      <c r="R21" s="246"/>
      <c r="S21" s="246"/>
      <c r="T21" s="246"/>
      <c r="U21" s="246"/>
      <c r="V21" s="246"/>
      <c r="W21" s="246"/>
      <c r="X21" s="246"/>
      <c r="Y21" s="246"/>
      <c r="Z21" s="246"/>
      <c r="AA21" s="246"/>
      <c r="AB21" s="246"/>
      <c r="AD21" s="94"/>
      <c r="AE21" s="94"/>
      <c r="AF21" s="94"/>
      <c r="AG21" s="94"/>
      <c r="AH21" s="94"/>
      <c r="AI21" s="94"/>
      <c r="AJ21" s="94"/>
      <c r="AK21" s="94"/>
      <c r="AL21" s="94"/>
      <c r="AM21" s="94"/>
      <c r="AN21" s="94"/>
      <c r="AO21" s="94"/>
    </row>
    <row r="22" spans="1:41" s="105" customFormat="1" ht="20.149999999999999" customHeight="1" x14ac:dyDescent="0.25">
      <c r="B22" s="273"/>
      <c r="C22" s="273" t="s">
        <v>306</v>
      </c>
      <c r="D22" s="274">
        <f t="shared" ref="D22:AB22" si="3">SUMPRODUCT(D17:D21,$B$17:$B$21)</f>
        <v>146</v>
      </c>
      <c r="E22" s="274">
        <f t="shared" si="3"/>
        <v>0</v>
      </c>
      <c r="F22" s="274">
        <f t="shared" si="3"/>
        <v>0</v>
      </c>
      <c r="G22" s="274">
        <f t="shared" si="3"/>
        <v>0</v>
      </c>
      <c r="H22" s="274">
        <f t="shared" si="3"/>
        <v>0</v>
      </c>
      <c r="I22" s="274">
        <f t="shared" si="3"/>
        <v>0</v>
      </c>
      <c r="J22" s="274">
        <f t="shared" si="3"/>
        <v>0</v>
      </c>
      <c r="K22" s="274">
        <f t="shared" si="3"/>
        <v>0</v>
      </c>
      <c r="L22" s="274">
        <f t="shared" si="3"/>
        <v>0</v>
      </c>
      <c r="M22" s="274">
        <f t="shared" si="3"/>
        <v>0</v>
      </c>
      <c r="N22" s="274">
        <f t="shared" si="3"/>
        <v>0</v>
      </c>
      <c r="O22" s="274">
        <f t="shared" si="3"/>
        <v>0</v>
      </c>
      <c r="P22" s="274">
        <f t="shared" si="3"/>
        <v>0</v>
      </c>
      <c r="Q22" s="274">
        <f t="shared" si="3"/>
        <v>0</v>
      </c>
      <c r="R22" s="274">
        <f t="shared" si="3"/>
        <v>0</v>
      </c>
      <c r="S22" s="274">
        <f t="shared" si="3"/>
        <v>0</v>
      </c>
      <c r="T22" s="274">
        <f t="shared" si="3"/>
        <v>0</v>
      </c>
      <c r="U22" s="274">
        <f t="shared" si="3"/>
        <v>0</v>
      </c>
      <c r="V22" s="274">
        <f t="shared" si="3"/>
        <v>0</v>
      </c>
      <c r="W22" s="274">
        <f t="shared" si="3"/>
        <v>0</v>
      </c>
      <c r="X22" s="274">
        <f t="shared" si="3"/>
        <v>0</v>
      </c>
      <c r="Y22" s="274">
        <f t="shared" si="3"/>
        <v>0</v>
      </c>
      <c r="Z22" s="274">
        <f t="shared" si="3"/>
        <v>0</v>
      </c>
      <c r="AA22" s="274">
        <f t="shared" si="3"/>
        <v>0</v>
      </c>
      <c r="AB22" s="274">
        <f t="shared" si="3"/>
        <v>0</v>
      </c>
    </row>
    <row r="23" spans="1:41" s="105" customFormat="1" ht="20.149999999999999" customHeight="1" x14ac:dyDescent="0.25">
      <c r="B23" s="185"/>
      <c r="C23" s="185"/>
      <c r="D23" s="185"/>
      <c r="E23" s="185"/>
      <c r="F23" s="185"/>
      <c r="G23" s="185"/>
      <c r="H23" s="185"/>
      <c r="I23" s="185"/>
      <c r="J23" s="185"/>
      <c r="K23" s="185"/>
      <c r="L23" s="185"/>
      <c r="M23" s="185"/>
      <c r="N23" s="185"/>
      <c r="O23" s="185"/>
      <c r="P23" s="185"/>
      <c r="Q23" s="185"/>
      <c r="R23" s="185"/>
      <c r="S23" s="185"/>
      <c r="T23" s="185"/>
      <c r="U23" s="185"/>
      <c r="V23" s="185"/>
      <c r="W23" s="185"/>
      <c r="X23" s="185"/>
      <c r="Y23" s="185"/>
      <c r="Z23" s="185"/>
      <c r="AA23" s="185"/>
      <c r="AB23" s="185"/>
    </row>
    <row r="24" spans="1:41" x14ac:dyDescent="0.25">
      <c r="A24" s="105"/>
      <c r="D24" s="100"/>
      <c r="E24" s="100"/>
      <c r="F24" s="100"/>
      <c r="G24" s="100"/>
      <c r="H24" s="100"/>
      <c r="I24" s="100"/>
      <c r="J24" s="100"/>
      <c r="K24" s="100"/>
      <c r="L24" s="100"/>
      <c r="M24" s="100"/>
    </row>
    <row r="25" spans="1:41" ht="20.149999999999999" customHeight="1" x14ac:dyDescent="0.35">
      <c r="B25" s="355" t="s">
        <v>309</v>
      </c>
      <c r="C25" s="331"/>
      <c r="D25" s="356" t="s">
        <v>308</v>
      </c>
      <c r="E25" s="321"/>
      <c r="F25" s="321"/>
      <c r="G25" s="321"/>
      <c r="H25" s="100"/>
      <c r="I25" s="100"/>
      <c r="J25" s="100"/>
      <c r="K25" s="100"/>
      <c r="L25" s="100"/>
      <c r="M25" s="100"/>
      <c r="N25" s="100"/>
      <c r="O25" s="100"/>
      <c r="P25" s="100"/>
      <c r="Q25" s="100"/>
      <c r="R25" s="100"/>
    </row>
    <row r="26" spans="1:41" s="104" customFormat="1" ht="35.15" customHeight="1" x14ac:dyDescent="0.25">
      <c r="B26" s="234" t="s">
        <v>304</v>
      </c>
      <c r="C26" s="234" t="s">
        <v>305</v>
      </c>
      <c r="D26" s="245">
        <f>'Project Infor'!$C$8</f>
        <v>45962</v>
      </c>
      <c r="E26" s="245">
        <f t="shared" ref="E26:AB26" si="4">EOMONTH(D26,1)</f>
        <v>46022</v>
      </c>
      <c r="F26" s="245">
        <f t="shared" si="4"/>
        <v>46053</v>
      </c>
      <c r="G26" s="245">
        <f t="shared" si="4"/>
        <v>46081</v>
      </c>
      <c r="H26" s="245">
        <f t="shared" si="4"/>
        <v>46112</v>
      </c>
      <c r="I26" s="245">
        <f t="shared" si="4"/>
        <v>46142</v>
      </c>
      <c r="J26" s="245">
        <f t="shared" si="4"/>
        <v>46173</v>
      </c>
      <c r="K26" s="245">
        <f t="shared" si="4"/>
        <v>46203</v>
      </c>
      <c r="L26" s="245">
        <f t="shared" si="4"/>
        <v>46234</v>
      </c>
      <c r="M26" s="245">
        <f t="shared" si="4"/>
        <v>46265</v>
      </c>
      <c r="N26" s="245">
        <f t="shared" si="4"/>
        <v>46295</v>
      </c>
      <c r="O26" s="245">
        <f t="shared" si="4"/>
        <v>46326</v>
      </c>
      <c r="P26" s="245">
        <f t="shared" si="4"/>
        <v>46356</v>
      </c>
      <c r="Q26" s="245">
        <f t="shared" si="4"/>
        <v>46387</v>
      </c>
      <c r="R26" s="245">
        <f t="shared" si="4"/>
        <v>46418</v>
      </c>
      <c r="S26" s="245">
        <f t="shared" si="4"/>
        <v>46446</v>
      </c>
      <c r="T26" s="245">
        <f t="shared" si="4"/>
        <v>46477</v>
      </c>
      <c r="U26" s="245">
        <f t="shared" si="4"/>
        <v>46507</v>
      </c>
      <c r="V26" s="245">
        <f t="shared" si="4"/>
        <v>46538</v>
      </c>
      <c r="W26" s="245">
        <f t="shared" si="4"/>
        <v>46568</v>
      </c>
      <c r="X26" s="245">
        <f t="shared" si="4"/>
        <v>46599</v>
      </c>
      <c r="Y26" s="245">
        <f t="shared" si="4"/>
        <v>46630</v>
      </c>
      <c r="Z26" s="245">
        <f t="shared" si="4"/>
        <v>46660</v>
      </c>
      <c r="AA26" s="245">
        <f t="shared" si="4"/>
        <v>46691</v>
      </c>
      <c r="AB26" s="245">
        <f t="shared" si="4"/>
        <v>46721</v>
      </c>
      <c r="AD26" s="94"/>
      <c r="AE26" s="94"/>
      <c r="AF26" s="94"/>
      <c r="AG26" s="94"/>
      <c r="AH26" s="94"/>
      <c r="AI26" s="94"/>
      <c r="AJ26" s="94"/>
      <c r="AK26" s="94"/>
      <c r="AL26" s="94"/>
      <c r="AM26" s="94"/>
      <c r="AN26" s="94"/>
      <c r="AO26" s="94"/>
    </row>
    <row r="27" spans="1:41" s="105" customFormat="1" ht="20.149999999999999" customHeight="1" x14ac:dyDescent="0.25">
      <c r="B27" s="244">
        <v>7</v>
      </c>
      <c r="C27" s="272" t="str">
        <f>IF(B27=0,"",CONCATENATE("Jornadas de ",B27," horas: "))</f>
        <v xml:space="preserve">Jornadas de 7 horas: </v>
      </c>
      <c r="D27" s="246">
        <v>22</v>
      </c>
      <c r="E27" s="246">
        <v>20</v>
      </c>
      <c r="F27" s="246">
        <v>21</v>
      </c>
      <c r="G27" s="246">
        <v>21</v>
      </c>
      <c r="H27" s="246">
        <v>22</v>
      </c>
      <c r="I27" s="246">
        <v>22</v>
      </c>
      <c r="J27" s="246">
        <v>22</v>
      </c>
      <c r="K27" s="246">
        <v>21</v>
      </c>
      <c r="L27" s="246">
        <v>22</v>
      </c>
      <c r="M27" s="246">
        <v>16</v>
      </c>
      <c r="N27" s="246"/>
      <c r="O27" s="246"/>
      <c r="P27" s="246"/>
      <c r="Q27" s="246"/>
      <c r="R27" s="246"/>
      <c r="S27" s="246"/>
      <c r="T27" s="246"/>
      <c r="U27" s="246"/>
      <c r="V27" s="246"/>
      <c r="W27" s="246"/>
      <c r="X27" s="246"/>
      <c r="Y27" s="246"/>
      <c r="Z27" s="246"/>
      <c r="AA27" s="246"/>
      <c r="AB27" s="246"/>
      <c r="AD27" s="94"/>
      <c r="AE27" s="94"/>
      <c r="AF27" s="94"/>
      <c r="AG27" s="94"/>
      <c r="AH27" s="94"/>
      <c r="AI27" s="94"/>
      <c r="AJ27" s="94"/>
      <c r="AK27" s="94"/>
      <c r="AL27" s="94"/>
      <c r="AM27" s="94"/>
      <c r="AN27" s="94"/>
      <c r="AO27" s="94"/>
    </row>
    <row r="28" spans="1:41" s="105" customFormat="1" ht="20.149999999999999" customHeight="1" x14ac:dyDescent="0.25">
      <c r="B28" s="244"/>
      <c r="C28" s="272" t="str">
        <f>IF(B28=0,"",CONCATENATE("Jornadas de ",B28," horas: "))</f>
        <v/>
      </c>
      <c r="D28" s="246"/>
      <c r="E28" s="246"/>
      <c r="F28" s="246"/>
      <c r="G28" s="246"/>
      <c r="H28" s="246"/>
      <c r="I28" s="246"/>
      <c r="J28" s="246"/>
      <c r="K28" s="246"/>
      <c r="L28" s="246"/>
      <c r="M28" s="246"/>
      <c r="N28" s="246"/>
      <c r="O28" s="246"/>
      <c r="P28" s="246"/>
      <c r="Q28" s="246"/>
      <c r="R28" s="246"/>
      <c r="S28" s="246"/>
      <c r="T28" s="246"/>
      <c r="U28" s="246"/>
      <c r="V28" s="246"/>
      <c r="W28" s="246"/>
      <c r="X28" s="246"/>
      <c r="Y28" s="246"/>
      <c r="Z28" s="246"/>
      <c r="AA28" s="246"/>
      <c r="AB28" s="246"/>
      <c r="AD28" s="94"/>
      <c r="AE28" s="94"/>
      <c r="AF28" s="94"/>
      <c r="AG28" s="94"/>
      <c r="AH28" s="94"/>
      <c r="AI28" s="94"/>
      <c r="AJ28" s="94"/>
      <c r="AK28" s="94"/>
      <c r="AL28" s="94"/>
      <c r="AM28" s="94"/>
      <c r="AN28" s="94"/>
      <c r="AO28" s="94"/>
    </row>
    <row r="29" spans="1:41" s="105" customFormat="1" ht="20.149999999999999" customHeight="1" x14ac:dyDescent="0.25">
      <c r="B29" s="244"/>
      <c r="C29" s="272" t="str">
        <f>IF(B29=0,"",CONCATENATE("Jornadas de ",B29," horas: "))</f>
        <v/>
      </c>
      <c r="D29" s="246"/>
      <c r="E29" s="246"/>
      <c r="F29" s="246"/>
      <c r="G29" s="246"/>
      <c r="H29" s="246"/>
      <c r="I29" s="246"/>
      <c r="J29" s="246"/>
      <c r="K29" s="246"/>
      <c r="L29" s="246"/>
      <c r="M29" s="246"/>
      <c r="N29" s="246"/>
      <c r="O29" s="246"/>
      <c r="P29" s="246"/>
      <c r="Q29" s="246"/>
      <c r="R29" s="246"/>
      <c r="S29" s="246"/>
      <c r="T29" s="246"/>
      <c r="U29" s="246"/>
      <c r="V29" s="246"/>
      <c r="W29" s="246"/>
      <c r="X29" s="246"/>
      <c r="Y29" s="246"/>
      <c r="Z29" s="246"/>
      <c r="AA29" s="246"/>
      <c r="AB29" s="246"/>
      <c r="AD29" s="94"/>
      <c r="AE29" s="94"/>
      <c r="AF29" s="94"/>
      <c r="AG29" s="94"/>
      <c r="AH29" s="94"/>
      <c r="AI29" s="94"/>
      <c r="AJ29" s="94"/>
      <c r="AK29" s="94"/>
      <c r="AL29" s="94"/>
      <c r="AM29" s="94"/>
      <c r="AN29" s="94"/>
      <c r="AO29" s="94"/>
    </row>
    <row r="30" spans="1:41" s="105" customFormat="1" ht="20.149999999999999" customHeight="1" x14ac:dyDescent="0.25">
      <c r="B30" s="244"/>
      <c r="C30" s="272"/>
      <c r="D30" s="246"/>
      <c r="E30" s="246"/>
      <c r="F30" s="246"/>
      <c r="G30" s="246"/>
      <c r="H30" s="246"/>
      <c r="I30" s="246"/>
      <c r="J30" s="246"/>
      <c r="K30" s="246"/>
      <c r="L30" s="246"/>
      <c r="M30" s="246"/>
      <c r="N30" s="246"/>
      <c r="O30" s="246"/>
      <c r="P30" s="246"/>
      <c r="Q30" s="246"/>
      <c r="R30" s="246"/>
      <c r="S30" s="246"/>
      <c r="T30" s="246"/>
      <c r="U30" s="246"/>
      <c r="V30" s="246"/>
      <c r="W30" s="246"/>
      <c r="X30" s="246"/>
      <c r="Y30" s="246"/>
      <c r="Z30" s="246"/>
      <c r="AA30" s="246"/>
      <c r="AB30" s="246"/>
      <c r="AD30" s="94"/>
      <c r="AE30" s="94"/>
      <c r="AF30" s="94"/>
      <c r="AG30" s="94"/>
      <c r="AH30" s="94"/>
      <c r="AI30" s="94"/>
      <c r="AJ30" s="94"/>
      <c r="AK30" s="94"/>
      <c r="AL30" s="94"/>
      <c r="AM30" s="94"/>
      <c r="AN30" s="94"/>
      <c r="AO30" s="94"/>
    </row>
    <row r="31" spans="1:41" s="105" customFormat="1" ht="20.149999999999999" customHeight="1" x14ac:dyDescent="0.25">
      <c r="B31" s="244"/>
      <c r="C31" s="272" t="str">
        <f>IF(B31=0,"",CONCATENATE("Jornadas de ",B31," horas: "))</f>
        <v/>
      </c>
      <c r="D31" s="246"/>
      <c r="E31" s="246"/>
      <c r="F31" s="246"/>
      <c r="G31" s="246"/>
      <c r="H31" s="246"/>
      <c r="I31" s="246"/>
      <c r="J31" s="246"/>
      <c r="K31" s="246"/>
      <c r="L31" s="246"/>
      <c r="M31" s="246"/>
      <c r="N31" s="246"/>
      <c r="O31" s="246"/>
      <c r="P31" s="246"/>
      <c r="Q31" s="246"/>
      <c r="R31" s="246"/>
      <c r="S31" s="246"/>
      <c r="T31" s="246"/>
      <c r="U31" s="246"/>
      <c r="V31" s="246"/>
      <c r="W31" s="246"/>
      <c r="X31" s="246"/>
      <c r="Y31" s="246"/>
      <c r="Z31" s="246"/>
      <c r="AA31" s="246"/>
      <c r="AB31" s="246"/>
      <c r="AD31" s="94"/>
      <c r="AE31" s="94"/>
      <c r="AF31" s="94"/>
      <c r="AG31" s="94"/>
      <c r="AH31" s="94"/>
      <c r="AI31" s="94"/>
      <c r="AJ31" s="94"/>
      <c r="AK31" s="94"/>
      <c r="AL31" s="94"/>
      <c r="AM31" s="94"/>
      <c r="AN31" s="94"/>
      <c r="AO31" s="94"/>
    </row>
    <row r="32" spans="1:41" s="105" customFormat="1" ht="20.149999999999999" customHeight="1" x14ac:dyDescent="0.25">
      <c r="B32" s="273"/>
      <c r="C32" s="273" t="s">
        <v>306</v>
      </c>
      <c r="D32" s="274">
        <f t="shared" ref="D32:AB32" si="5">SUMPRODUCT(D27:D31,$B$27:$B$31)</f>
        <v>154</v>
      </c>
      <c r="E32" s="274">
        <f t="shared" si="5"/>
        <v>140</v>
      </c>
      <c r="F32" s="274">
        <f t="shared" si="5"/>
        <v>147</v>
      </c>
      <c r="G32" s="274">
        <f t="shared" si="5"/>
        <v>147</v>
      </c>
      <c r="H32" s="274">
        <f t="shared" si="5"/>
        <v>154</v>
      </c>
      <c r="I32" s="274">
        <f t="shared" si="5"/>
        <v>154</v>
      </c>
      <c r="J32" s="274">
        <f t="shared" si="5"/>
        <v>154</v>
      </c>
      <c r="K32" s="274">
        <f t="shared" si="5"/>
        <v>147</v>
      </c>
      <c r="L32" s="274">
        <f t="shared" si="5"/>
        <v>154</v>
      </c>
      <c r="M32" s="274">
        <f t="shared" si="5"/>
        <v>112</v>
      </c>
      <c r="N32" s="274">
        <f t="shared" si="5"/>
        <v>0</v>
      </c>
      <c r="O32" s="274">
        <f t="shared" si="5"/>
        <v>0</v>
      </c>
      <c r="P32" s="274">
        <f t="shared" si="5"/>
        <v>0</v>
      </c>
      <c r="Q32" s="274">
        <f t="shared" si="5"/>
        <v>0</v>
      </c>
      <c r="R32" s="274">
        <f t="shared" si="5"/>
        <v>0</v>
      </c>
      <c r="S32" s="274">
        <f t="shared" si="5"/>
        <v>0</v>
      </c>
      <c r="T32" s="274">
        <f t="shared" si="5"/>
        <v>0</v>
      </c>
      <c r="U32" s="274">
        <f t="shared" si="5"/>
        <v>0</v>
      </c>
      <c r="V32" s="274">
        <f t="shared" si="5"/>
        <v>0</v>
      </c>
      <c r="W32" s="274">
        <f t="shared" si="5"/>
        <v>0</v>
      </c>
      <c r="X32" s="274">
        <f t="shared" si="5"/>
        <v>0</v>
      </c>
      <c r="Y32" s="274">
        <f t="shared" si="5"/>
        <v>0</v>
      </c>
      <c r="Z32" s="274">
        <f t="shared" si="5"/>
        <v>0</v>
      </c>
      <c r="AA32" s="274">
        <f t="shared" si="5"/>
        <v>0</v>
      </c>
      <c r="AB32" s="274">
        <f t="shared" si="5"/>
        <v>0</v>
      </c>
    </row>
    <row r="33" spans="1:41" s="105" customFormat="1" ht="20.149999999999999" customHeight="1" x14ac:dyDescent="0.25">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c r="AA33" s="185"/>
      <c r="AB33" s="185"/>
    </row>
    <row r="34" spans="1:41" x14ac:dyDescent="0.25">
      <c r="A34" s="105"/>
      <c r="D34" s="100"/>
      <c r="E34" s="100"/>
      <c r="F34" s="100"/>
      <c r="G34" s="100"/>
      <c r="H34" s="100"/>
      <c r="I34" s="100"/>
      <c r="J34" s="100"/>
      <c r="K34" s="100"/>
      <c r="L34" s="100"/>
      <c r="M34" s="100"/>
    </row>
    <row r="35" spans="1:41" ht="20.149999999999999" customHeight="1" x14ac:dyDescent="0.35">
      <c r="B35" s="355" t="s">
        <v>310</v>
      </c>
      <c r="C35" s="331"/>
      <c r="D35" s="356" t="s">
        <v>308</v>
      </c>
      <c r="E35" s="321"/>
      <c r="F35" s="321"/>
      <c r="G35" s="321"/>
      <c r="H35" s="100"/>
      <c r="I35" s="100"/>
      <c r="J35" s="100"/>
      <c r="K35" s="100"/>
      <c r="L35" s="100"/>
      <c r="M35" s="100"/>
      <c r="N35" s="100"/>
      <c r="O35" s="100"/>
      <c r="P35" s="100"/>
      <c r="Q35" s="100"/>
      <c r="R35" s="100"/>
    </row>
    <row r="36" spans="1:41" s="104" customFormat="1" ht="35.15" customHeight="1" x14ac:dyDescent="0.25">
      <c r="B36" s="234" t="s">
        <v>304</v>
      </c>
      <c r="C36" s="234" t="s">
        <v>305</v>
      </c>
      <c r="D36" s="245">
        <f>'Project Infor'!$C$8</f>
        <v>45962</v>
      </c>
      <c r="E36" s="245">
        <f t="shared" ref="E36:AB36" si="6">EOMONTH(D36,1)</f>
        <v>46022</v>
      </c>
      <c r="F36" s="245">
        <f t="shared" si="6"/>
        <v>46053</v>
      </c>
      <c r="G36" s="245">
        <f t="shared" si="6"/>
        <v>46081</v>
      </c>
      <c r="H36" s="245">
        <f t="shared" si="6"/>
        <v>46112</v>
      </c>
      <c r="I36" s="245">
        <f t="shared" si="6"/>
        <v>46142</v>
      </c>
      <c r="J36" s="245">
        <f t="shared" si="6"/>
        <v>46173</v>
      </c>
      <c r="K36" s="245">
        <f t="shared" si="6"/>
        <v>46203</v>
      </c>
      <c r="L36" s="245">
        <f t="shared" si="6"/>
        <v>46234</v>
      </c>
      <c r="M36" s="245">
        <f t="shared" si="6"/>
        <v>46265</v>
      </c>
      <c r="N36" s="245">
        <f t="shared" si="6"/>
        <v>46295</v>
      </c>
      <c r="O36" s="245">
        <f t="shared" si="6"/>
        <v>46326</v>
      </c>
      <c r="P36" s="245">
        <f t="shared" si="6"/>
        <v>46356</v>
      </c>
      <c r="Q36" s="245">
        <f t="shared" si="6"/>
        <v>46387</v>
      </c>
      <c r="R36" s="245">
        <f t="shared" si="6"/>
        <v>46418</v>
      </c>
      <c r="S36" s="245">
        <f t="shared" si="6"/>
        <v>46446</v>
      </c>
      <c r="T36" s="245">
        <f t="shared" si="6"/>
        <v>46477</v>
      </c>
      <c r="U36" s="245">
        <f t="shared" si="6"/>
        <v>46507</v>
      </c>
      <c r="V36" s="245">
        <f t="shared" si="6"/>
        <v>46538</v>
      </c>
      <c r="W36" s="245">
        <f t="shared" si="6"/>
        <v>46568</v>
      </c>
      <c r="X36" s="245">
        <f t="shared" si="6"/>
        <v>46599</v>
      </c>
      <c r="Y36" s="245">
        <f t="shared" si="6"/>
        <v>46630</v>
      </c>
      <c r="Z36" s="245">
        <f t="shared" si="6"/>
        <v>46660</v>
      </c>
      <c r="AA36" s="245">
        <f t="shared" si="6"/>
        <v>46691</v>
      </c>
      <c r="AB36" s="245">
        <f t="shared" si="6"/>
        <v>46721</v>
      </c>
      <c r="AD36" s="94"/>
      <c r="AE36" s="94"/>
      <c r="AF36" s="94"/>
      <c r="AG36" s="94"/>
      <c r="AH36" s="94"/>
      <c r="AI36" s="94"/>
      <c r="AJ36" s="94"/>
      <c r="AK36" s="94"/>
      <c r="AL36" s="94"/>
      <c r="AM36" s="94"/>
      <c r="AN36" s="94"/>
      <c r="AO36" s="94"/>
    </row>
    <row r="37" spans="1:41" s="105" customFormat="1" ht="20.149999999999999" customHeight="1" x14ac:dyDescent="0.25">
      <c r="B37" s="244">
        <v>7</v>
      </c>
      <c r="C37" s="272" t="str">
        <f>IF(B37=0,"",CONCATENATE("Jornadas de ",B37," horas: "))</f>
        <v xml:space="preserve">Jornadas de 7 horas: </v>
      </c>
      <c r="D37" s="246">
        <v>22</v>
      </c>
      <c r="E37" s="246">
        <v>20</v>
      </c>
      <c r="F37" s="246"/>
      <c r="G37" s="246"/>
      <c r="H37" s="246"/>
      <c r="I37" s="246"/>
      <c r="J37" s="246"/>
      <c r="K37" s="246"/>
      <c r="L37" s="246"/>
      <c r="M37" s="246"/>
      <c r="N37" s="246"/>
      <c r="O37" s="246"/>
      <c r="P37" s="246"/>
      <c r="Q37" s="246"/>
      <c r="R37" s="246"/>
      <c r="S37" s="246"/>
      <c r="T37" s="246"/>
      <c r="U37" s="246"/>
      <c r="V37" s="246"/>
      <c r="W37" s="246"/>
      <c r="X37" s="246"/>
      <c r="Y37" s="246"/>
      <c r="Z37" s="246"/>
      <c r="AA37" s="246"/>
      <c r="AB37" s="246"/>
      <c r="AD37" s="94"/>
      <c r="AE37" s="94"/>
      <c r="AF37" s="94"/>
      <c r="AG37" s="94"/>
      <c r="AH37" s="94"/>
      <c r="AI37" s="94"/>
      <c r="AJ37" s="94"/>
      <c r="AK37" s="94"/>
      <c r="AL37" s="94"/>
      <c r="AM37" s="94"/>
      <c r="AN37" s="94"/>
      <c r="AO37" s="94"/>
    </row>
    <row r="38" spans="1:41" s="105" customFormat="1" ht="20.149999999999999" customHeight="1" x14ac:dyDescent="0.25">
      <c r="B38" s="244"/>
      <c r="C38" s="272" t="str">
        <f>IF(B38=0,"",CONCATENATE("Jornadas de ",B38," horas: "))</f>
        <v/>
      </c>
      <c r="D38" s="246"/>
      <c r="E38" s="246"/>
      <c r="F38" s="246"/>
      <c r="G38" s="246"/>
      <c r="H38" s="246"/>
      <c r="I38" s="246"/>
      <c r="J38" s="246"/>
      <c r="K38" s="246"/>
      <c r="L38" s="246"/>
      <c r="M38" s="246"/>
      <c r="N38" s="246"/>
      <c r="O38" s="246"/>
      <c r="P38" s="246"/>
      <c r="Q38" s="246"/>
      <c r="R38" s="246"/>
      <c r="S38" s="246"/>
      <c r="T38" s="246"/>
      <c r="U38" s="246"/>
      <c r="V38" s="246"/>
      <c r="W38" s="246"/>
      <c r="X38" s="246"/>
      <c r="Y38" s="246"/>
      <c r="Z38" s="246"/>
      <c r="AA38" s="246"/>
      <c r="AB38" s="246"/>
      <c r="AD38" s="94"/>
      <c r="AE38" s="94"/>
      <c r="AF38" s="94"/>
      <c r="AG38" s="94"/>
      <c r="AH38" s="94"/>
      <c r="AI38" s="94"/>
      <c r="AJ38" s="94"/>
      <c r="AK38" s="94"/>
      <c r="AL38" s="94"/>
      <c r="AM38" s="94"/>
      <c r="AN38" s="94"/>
      <c r="AO38" s="94"/>
    </row>
    <row r="39" spans="1:41" s="105" customFormat="1" ht="20.149999999999999" customHeight="1" x14ac:dyDescent="0.25">
      <c r="B39" s="244"/>
      <c r="C39" s="272" t="str">
        <f>IF(B39=0,"",CONCATENATE("Jornadas de ",B39," horas: "))</f>
        <v/>
      </c>
      <c r="D39" s="246"/>
      <c r="E39" s="246"/>
      <c r="F39" s="246"/>
      <c r="G39" s="246"/>
      <c r="H39" s="246"/>
      <c r="I39" s="246"/>
      <c r="J39" s="246"/>
      <c r="K39" s="246"/>
      <c r="L39" s="246"/>
      <c r="M39" s="246"/>
      <c r="N39" s="246"/>
      <c r="O39" s="246"/>
      <c r="P39" s="246"/>
      <c r="Q39" s="246"/>
      <c r="R39" s="246"/>
      <c r="S39" s="246"/>
      <c r="T39" s="246"/>
      <c r="U39" s="246"/>
      <c r="V39" s="246"/>
      <c r="W39" s="246"/>
      <c r="X39" s="246"/>
      <c r="Y39" s="246"/>
      <c r="Z39" s="246"/>
      <c r="AA39" s="246"/>
      <c r="AB39" s="246"/>
      <c r="AD39" s="94"/>
      <c r="AE39" s="94"/>
      <c r="AF39" s="94"/>
      <c r="AG39" s="94"/>
      <c r="AH39" s="94"/>
      <c r="AI39" s="94"/>
      <c r="AJ39" s="94"/>
      <c r="AK39" s="94"/>
      <c r="AL39" s="94"/>
      <c r="AM39" s="94"/>
      <c r="AN39" s="94"/>
      <c r="AO39" s="94"/>
    </row>
    <row r="40" spans="1:41" s="105" customFormat="1" ht="20.149999999999999" customHeight="1" x14ac:dyDescent="0.25">
      <c r="B40" s="244"/>
      <c r="C40" s="272"/>
      <c r="D40" s="246"/>
      <c r="E40" s="246"/>
      <c r="F40" s="246"/>
      <c r="G40" s="246"/>
      <c r="H40" s="246"/>
      <c r="I40" s="246"/>
      <c r="J40" s="246"/>
      <c r="K40" s="246"/>
      <c r="L40" s="246"/>
      <c r="M40" s="246"/>
      <c r="N40" s="246"/>
      <c r="O40" s="246"/>
      <c r="P40" s="246"/>
      <c r="Q40" s="246"/>
      <c r="R40" s="246"/>
      <c r="S40" s="246"/>
      <c r="T40" s="246"/>
      <c r="U40" s="246"/>
      <c r="V40" s="246"/>
      <c r="W40" s="246"/>
      <c r="X40" s="246"/>
      <c r="Y40" s="246"/>
      <c r="Z40" s="246"/>
      <c r="AA40" s="246"/>
      <c r="AB40" s="246"/>
      <c r="AD40" s="94"/>
      <c r="AE40" s="94"/>
      <c r="AF40" s="94"/>
      <c r="AG40" s="94"/>
      <c r="AH40" s="94"/>
      <c r="AI40" s="94"/>
      <c r="AJ40" s="94"/>
      <c r="AK40" s="94"/>
      <c r="AL40" s="94"/>
      <c r="AM40" s="94"/>
      <c r="AN40" s="94"/>
      <c r="AO40" s="94"/>
    </row>
    <row r="41" spans="1:41" s="105" customFormat="1" ht="20.149999999999999" customHeight="1" x14ac:dyDescent="0.25">
      <c r="B41" s="243"/>
      <c r="C41" s="275" t="str">
        <f>IF(B41=0,"",CONCATENATE("Jornadas de ",B41," horas: "))</f>
        <v/>
      </c>
      <c r="D41" s="271"/>
      <c r="E41" s="271"/>
      <c r="F41" s="271"/>
      <c r="G41" s="271"/>
      <c r="H41" s="271"/>
      <c r="I41" s="271"/>
      <c r="J41" s="271"/>
      <c r="K41" s="271"/>
      <c r="L41" s="271"/>
      <c r="M41" s="271"/>
      <c r="N41" s="271"/>
      <c r="O41" s="271"/>
      <c r="P41" s="271"/>
      <c r="Q41" s="271"/>
      <c r="R41" s="271"/>
      <c r="S41" s="271"/>
      <c r="T41" s="271"/>
      <c r="U41" s="271"/>
      <c r="V41" s="271"/>
      <c r="W41" s="271"/>
      <c r="X41" s="271"/>
      <c r="Y41" s="271"/>
      <c r="Z41" s="271"/>
      <c r="AA41" s="271"/>
      <c r="AB41" s="271"/>
      <c r="AD41" s="94"/>
      <c r="AE41" s="94"/>
      <c r="AF41" s="94"/>
      <c r="AG41" s="94"/>
      <c r="AH41" s="94"/>
      <c r="AI41" s="94"/>
      <c r="AJ41" s="94"/>
      <c r="AK41" s="94"/>
      <c r="AL41" s="94"/>
      <c r="AM41" s="94"/>
      <c r="AN41" s="94"/>
      <c r="AO41" s="94"/>
    </row>
    <row r="42" spans="1:41" s="105" customFormat="1" ht="20.149999999999999" customHeight="1" x14ac:dyDescent="0.25">
      <c r="B42" s="273"/>
      <c r="C42" s="273" t="s">
        <v>306</v>
      </c>
      <c r="D42" s="274">
        <f t="shared" ref="D42:AB42" si="7">SUMPRODUCT(D37:D41,$B$37:$B$41)</f>
        <v>154</v>
      </c>
      <c r="E42" s="274">
        <f t="shared" si="7"/>
        <v>140</v>
      </c>
      <c r="F42" s="274">
        <f t="shared" si="7"/>
        <v>0</v>
      </c>
      <c r="G42" s="274">
        <f t="shared" si="7"/>
        <v>0</v>
      </c>
      <c r="H42" s="274">
        <f t="shared" si="7"/>
        <v>0</v>
      </c>
      <c r="I42" s="274">
        <f t="shared" si="7"/>
        <v>0</v>
      </c>
      <c r="J42" s="274">
        <f t="shared" si="7"/>
        <v>0</v>
      </c>
      <c r="K42" s="274">
        <f t="shared" si="7"/>
        <v>0</v>
      </c>
      <c r="L42" s="274">
        <f t="shared" si="7"/>
        <v>0</v>
      </c>
      <c r="M42" s="274">
        <f t="shared" si="7"/>
        <v>0</v>
      </c>
      <c r="N42" s="274">
        <f t="shared" si="7"/>
        <v>0</v>
      </c>
      <c r="O42" s="274">
        <f t="shared" si="7"/>
        <v>0</v>
      </c>
      <c r="P42" s="274">
        <f t="shared" si="7"/>
        <v>0</v>
      </c>
      <c r="Q42" s="274">
        <f t="shared" si="7"/>
        <v>0</v>
      </c>
      <c r="R42" s="274">
        <f t="shared" si="7"/>
        <v>0</v>
      </c>
      <c r="S42" s="274">
        <f t="shared" si="7"/>
        <v>0</v>
      </c>
      <c r="T42" s="274">
        <f t="shared" si="7"/>
        <v>0</v>
      </c>
      <c r="U42" s="274">
        <f t="shared" si="7"/>
        <v>0</v>
      </c>
      <c r="V42" s="274">
        <f t="shared" si="7"/>
        <v>0</v>
      </c>
      <c r="W42" s="274">
        <f t="shared" si="7"/>
        <v>0</v>
      </c>
      <c r="X42" s="274">
        <f t="shared" si="7"/>
        <v>0</v>
      </c>
      <c r="Y42" s="274">
        <f t="shared" si="7"/>
        <v>0</v>
      </c>
      <c r="Z42" s="274">
        <f t="shared" si="7"/>
        <v>0</v>
      </c>
      <c r="AA42" s="274">
        <f t="shared" si="7"/>
        <v>0</v>
      </c>
      <c r="AB42" s="274">
        <f t="shared" si="7"/>
        <v>0</v>
      </c>
    </row>
    <row r="43" spans="1:41" s="105" customFormat="1" ht="20.149999999999999" customHeight="1" x14ac:dyDescent="0.25">
      <c r="B43" s="185"/>
      <c r="C43" s="185"/>
      <c r="D43" s="185"/>
      <c r="E43" s="185"/>
      <c r="F43" s="185"/>
      <c r="G43" s="185"/>
      <c r="H43" s="185"/>
      <c r="I43" s="185"/>
      <c r="J43" s="185"/>
      <c r="K43" s="185"/>
      <c r="L43" s="185"/>
      <c r="M43" s="185"/>
      <c r="N43" s="185"/>
      <c r="O43" s="185"/>
      <c r="P43" s="185"/>
      <c r="Q43" s="185"/>
      <c r="R43" s="185"/>
      <c r="S43" s="185"/>
      <c r="T43" s="185"/>
      <c r="U43" s="185"/>
      <c r="V43" s="185"/>
      <c r="W43" s="185"/>
      <c r="X43" s="185"/>
      <c r="Y43" s="185"/>
      <c r="Z43" s="185"/>
      <c r="AA43" s="185"/>
      <c r="AB43" s="185"/>
    </row>
    <row r="44" spans="1:41" x14ac:dyDescent="0.25">
      <c r="A44" s="105"/>
      <c r="D44" s="100"/>
      <c r="E44" s="100"/>
      <c r="F44" s="100"/>
      <c r="G44" s="100"/>
      <c r="H44" s="100"/>
      <c r="I44" s="100"/>
      <c r="J44" s="100"/>
      <c r="K44" s="100"/>
      <c r="L44" s="100"/>
      <c r="M44" s="100"/>
    </row>
    <row r="45" spans="1:41" ht="20.149999999999999" customHeight="1" x14ac:dyDescent="0.35">
      <c r="B45" s="355" t="s">
        <v>311</v>
      </c>
      <c r="C45" s="331"/>
      <c r="D45" s="356" t="s">
        <v>308</v>
      </c>
      <c r="E45" s="321"/>
      <c r="F45" s="321"/>
      <c r="G45" s="321"/>
      <c r="H45" s="100"/>
      <c r="I45" s="100"/>
      <c r="J45" s="100"/>
      <c r="K45" s="100"/>
      <c r="L45" s="100"/>
      <c r="M45" s="100"/>
      <c r="N45" s="100"/>
      <c r="O45" s="100"/>
      <c r="P45" s="100"/>
      <c r="Q45" s="100"/>
      <c r="R45" s="100"/>
    </row>
    <row r="46" spans="1:41" s="104" customFormat="1" ht="35.15" customHeight="1" x14ac:dyDescent="0.25">
      <c r="B46" s="234" t="s">
        <v>304</v>
      </c>
      <c r="C46" s="234" t="s">
        <v>305</v>
      </c>
      <c r="D46" s="245">
        <f>'Project Infor'!$C$8</f>
        <v>45962</v>
      </c>
      <c r="E46" s="245">
        <f t="shared" ref="E46:AB46" si="8">EOMONTH(D46,1)</f>
        <v>46022</v>
      </c>
      <c r="F46" s="245">
        <f t="shared" si="8"/>
        <v>46053</v>
      </c>
      <c r="G46" s="245">
        <f t="shared" si="8"/>
        <v>46081</v>
      </c>
      <c r="H46" s="245">
        <f t="shared" si="8"/>
        <v>46112</v>
      </c>
      <c r="I46" s="245">
        <f t="shared" si="8"/>
        <v>46142</v>
      </c>
      <c r="J46" s="245">
        <f t="shared" si="8"/>
        <v>46173</v>
      </c>
      <c r="K46" s="245">
        <f t="shared" si="8"/>
        <v>46203</v>
      </c>
      <c r="L46" s="245">
        <f t="shared" si="8"/>
        <v>46234</v>
      </c>
      <c r="M46" s="245">
        <f t="shared" si="8"/>
        <v>46265</v>
      </c>
      <c r="N46" s="245">
        <f t="shared" si="8"/>
        <v>46295</v>
      </c>
      <c r="O46" s="245">
        <f t="shared" si="8"/>
        <v>46326</v>
      </c>
      <c r="P46" s="245">
        <f t="shared" si="8"/>
        <v>46356</v>
      </c>
      <c r="Q46" s="245">
        <f t="shared" si="8"/>
        <v>46387</v>
      </c>
      <c r="R46" s="245">
        <f t="shared" si="8"/>
        <v>46418</v>
      </c>
      <c r="S46" s="245">
        <f t="shared" si="8"/>
        <v>46446</v>
      </c>
      <c r="T46" s="245">
        <f t="shared" si="8"/>
        <v>46477</v>
      </c>
      <c r="U46" s="245">
        <f t="shared" si="8"/>
        <v>46507</v>
      </c>
      <c r="V46" s="245">
        <f t="shared" si="8"/>
        <v>46538</v>
      </c>
      <c r="W46" s="245">
        <f t="shared" si="8"/>
        <v>46568</v>
      </c>
      <c r="X46" s="245">
        <f t="shared" si="8"/>
        <v>46599</v>
      </c>
      <c r="Y46" s="245">
        <f t="shared" si="8"/>
        <v>46630</v>
      </c>
      <c r="Z46" s="245">
        <f t="shared" si="8"/>
        <v>46660</v>
      </c>
      <c r="AA46" s="245">
        <f t="shared" si="8"/>
        <v>46691</v>
      </c>
      <c r="AB46" s="245">
        <f t="shared" si="8"/>
        <v>46721</v>
      </c>
      <c r="AD46" s="94"/>
      <c r="AE46" s="94"/>
      <c r="AF46" s="94"/>
      <c r="AG46" s="94"/>
      <c r="AH46" s="94"/>
      <c r="AI46" s="94"/>
      <c r="AJ46" s="94"/>
      <c r="AK46" s="94"/>
      <c r="AL46" s="94"/>
      <c r="AM46" s="94"/>
      <c r="AN46" s="94"/>
      <c r="AO46" s="94"/>
    </row>
    <row r="47" spans="1:41" s="105" customFormat="1" ht="20.149999999999999" customHeight="1" x14ac:dyDescent="0.25">
      <c r="B47" s="244">
        <v>7</v>
      </c>
      <c r="C47" s="272" t="str">
        <f>IF(B47=0,"",CONCATENATE("Jornadas de ",B47," horas: "))</f>
        <v xml:space="preserve">Jornadas de 7 horas: </v>
      </c>
      <c r="D47" s="246">
        <v>22</v>
      </c>
      <c r="E47" s="246">
        <v>20</v>
      </c>
      <c r="F47" s="246"/>
      <c r="G47" s="246"/>
      <c r="H47" s="246"/>
      <c r="I47" s="246"/>
      <c r="J47" s="246"/>
      <c r="K47" s="246"/>
      <c r="L47" s="246"/>
      <c r="M47" s="246"/>
      <c r="N47" s="246"/>
      <c r="O47" s="246"/>
      <c r="P47" s="246"/>
      <c r="Q47" s="246"/>
      <c r="R47" s="246"/>
      <c r="S47" s="246"/>
      <c r="T47" s="246"/>
      <c r="U47" s="246"/>
      <c r="V47" s="246"/>
      <c r="W47" s="246"/>
      <c r="X47" s="246"/>
      <c r="Y47" s="246"/>
      <c r="Z47" s="246"/>
      <c r="AA47" s="246"/>
      <c r="AB47" s="246"/>
      <c r="AD47" s="94"/>
      <c r="AE47" s="94"/>
      <c r="AF47" s="94"/>
      <c r="AG47" s="94"/>
      <c r="AH47" s="94"/>
      <c r="AI47" s="94"/>
      <c r="AJ47" s="94"/>
      <c r="AK47" s="94"/>
      <c r="AL47" s="94"/>
      <c r="AM47" s="94"/>
      <c r="AN47" s="94"/>
      <c r="AO47" s="94"/>
    </row>
    <row r="48" spans="1:41" s="105" customFormat="1" ht="20.149999999999999" customHeight="1" x14ac:dyDescent="0.25">
      <c r="B48" s="244"/>
      <c r="C48" s="272" t="str">
        <f>IF(B48=0,"",CONCATENATE("Jornadas de ",B48," horas: "))</f>
        <v/>
      </c>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c r="AD48" s="94"/>
      <c r="AE48" s="94"/>
      <c r="AF48" s="94"/>
      <c r="AG48" s="94"/>
      <c r="AH48" s="94"/>
      <c r="AI48" s="94"/>
      <c r="AJ48" s="94"/>
      <c r="AK48" s="94"/>
      <c r="AL48" s="94"/>
      <c r="AM48" s="94"/>
      <c r="AN48" s="94"/>
      <c r="AO48" s="94"/>
    </row>
    <row r="49" spans="1:41" s="105" customFormat="1" ht="20.149999999999999" customHeight="1" x14ac:dyDescent="0.25">
      <c r="B49" s="244"/>
      <c r="C49" s="272" t="str">
        <f>IF(B49=0,"",CONCATENATE("Jornadas de ",B49," horas: "))</f>
        <v/>
      </c>
      <c r="D49" s="246"/>
      <c r="E49" s="246"/>
      <c r="F49" s="246"/>
      <c r="G49" s="246"/>
      <c r="H49" s="246"/>
      <c r="I49" s="246"/>
      <c r="J49" s="246"/>
      <c r="K49" s="246"/>
      <c r="L49" s="246"/>
      <c r="M49" s="246"/>
      <c r="N49" s="246"/>
      <c r="O49" s="246"/>
      <c r="P49" s="246"/>
      <c r="Q49" s="246"/>
      <c r="R49" s="246"/>
      <c r="S49" s="246"/>
      <c r="T49" s="246"/>
      <c r="U49" s="246"/>
      <c r="V49" s="246"/>
      <c r="W49" s="246"/>
      <c r="X49" s="246"/>
      <c r="Y49" s="246"/>
      <c r="Z49" s="246"/>
      <c r="AA49" s="246"/>
      <c r="AB49" s="246"/>
      <c r="AD49" s="94"/>
      <c r="AE49" s="94"/>
      <c r="AF49" s="94"/>
      <c r="AG49" s="94"/>
      <c r="AH49" s="94"/>
      <c r="AI49" s="94"/>
      <c r="AJ49" s="94"/>
      <c r="AK49" s="94"/>
      <c r="AL49" s="94"/>
      <c r="AM49" s="94"/>
      <c r="AN49" s="94"/>
      <c r="AO49" s="94"/>
    </row>
    <row r="50" spans="1:41" s="105" customFormat="1" ht="20.149999999999999" customHeight="1" x14ac:dyDescent="0.25">
      <c r="B50" s="244"/>
      <c r="C50" s="272"/>
      <c r="D50" s="246"/>
      <c r="E50" s="246"/>
      <c r="F50" s="246"/>
      <c r="G50" s="246"/>
      <c r="H50" s="246"/>
      <c r="I50" s="246"/>
      <c r="J50" s="246"/>
      <c r="K50" s="246"/>
      <c r="L50" s="246"/>
      <c r="M50" s="246"/>
      <c r="N50" s="246"/>
      <c r="O50" s="246"/>
      <c r="P50" s="246"/>
      <c r="Q50" s="246"/>
      <c r="R50" s="246"/>
      <c r="S50" s="246"/>
      <c r="T50" s="246"/>
      <c r="U50" s="246"/>
      <c r="V50" s="246"/>
      <c r="W50" s="246"/>
      <c r="X50" s="246"/>
      <c r="Y50" s="246"/>
      <c r="Z50" s="246"/>
      <c r="AA50" s="246"/>
      <c r="AB50" s="246"/>
      <c r="AD50" s="94"/>
      <c r="AE50" s="94"/>
      <c r="AF50" s="94"/>
      <c r="AG50" s="94"/>
      <c r="AH50" s="94"/>
      <c r="AI50" s="94"/>
      <c r="AJ50" s="94"/>
      <c r="AK50" s="94"/>
      <c r="AL50" s="94"/>
      <c r="AM50" s="94"/>
      <c r="AN50" s="94"/>
      <c r="AO50" s="94"/>
    </row>
    <row r="51" spans="1:41" s="105" customFormat="1" ht="20.149999999999999" customHeight="1" x14ac:dyDescent="0.25">
      <c r="B51" s="244"/>
      <c r="C51" s="272" t="str">
        <f>IF(B51=0,"",CONCATENATE("Jornadas de ",B51," horas: "))</f>
        <v/>
      </c>
      <c r="D51" s="246"/>
      <c r="E51" s="246"/>
      <c r="F51" s="246"/>
      <c r="G51" s="246"/>
      <c r="H51" s="246"/>
      <c r="I51" s="246"/>
      <c r="J51" s="246"/>
      <c r="K51" s="246"/>
      <c r="L51" s="246"/>
      <c r="M51" s="246"/>
      <c r="N51" s="246"/>
      <c r="O51" s="246"/>
      <c r="P51" s="246"/>
      <c r="Q51" s="246"/>
      <c r="R51" s="246"/>
      <c r="S51" s="246"/>
      <c r="T51" s="246"/>
      <c r="U51" s="246"/>
      <c r="V51" s="246"/>
      <c r="W51" s="246"/>
      <c r="X51" s="246"/>
      <c r="Y51" s="246"/>
      <c r="Z51" s="246"/>
      <c r="AA51" s="246"/>
      <c r="AB51" s="246"/>
      <c r="AD51" s="94"/>
      <c r="AE51" s="94"/>
      <c r="AF51" s="94"/>
      <c r="AG51" s="94"/>
      <c r="AH51" s="94"/>
      <c r="AI51" s="94"/>
      <c r="AJ51" s="94"/>
      <c r="AK51" s="94"/>
      <c r="AL51" s="94"/>
      <c r="AM51" s="94"/>
      <c r="AN51" s="94"/>
      <c r="AO51" s="94"/>
    </row>
    <row r="52" spans="1:41" s="105" customFormat="1" ht="20.149999999999999" customHeight="1" x14ac:dyDescent="0.25">
      <c r="B52" s="273"/>
      <c r="C52" s="273" t="s">
        <v>306</v>
      </c>
      <c r="D52" s="274">
        <f t="shared" ref="D52:AB52" si="9">SUMPRODUCT(D47:D51,$B$47:$B$51)</f>
        <v>154</v>
      </c>
      <c r="E52" s="274">
        <f t="shared" si="9"/>
        <v>140</v>
      </c>
      <c r="F52" s="274">
        <f t="shared" si="9"/>
        <v>0</v>
      </c>
      <c r="G52" s="274">
        <f t="shared" si="9"/>
        <v>0</v>
      </c>
      <c r="H52" s="274">
        <f t="shared" si="9"/>
        <v>0</v>
      </c>
      <c r="I52" s="274">
        <f t="shared" si="9"/>
        <v>0</v>
      </c>
      <c r="J52" s="274">
        <f t="shared" si="9"/>
        <v>0</v>
      </c>
      <c r="K52" s="274">
        <f t="shared" si="9"/>
        <v>0</v>
      </c>
      <c r="L52" s="274">
        <f t="shared" si="9"/>
        <v>0</v>
      </c>
      <c r="M52" s="274">
        <f t="shared" si="9"/>
        <v>0</v>
      </c>
      <c r="N52" s="274">
        <f t="shared" si="9"/>
        <v>0</v>
      </c>
      <c r="O52" s="274">
        <f t="shared" si="9"/>
        <v>0</v>
      </c>
      <c r="P52" s="274">
        <f t="shared" si="9"/>
        <v>0</v>
      </c>
      <c r="Q52" s="274">
        <f t="shared" si="9"/>
        <v>0</v>
      </c>
      <c r="R52" s="274">
        <f t="shared" si="9"/>
        <v>0</v>
      </c>
      <c r="S52" s="274">
        <f t="shared" si="9"/>
        <v>0</v>
      </c>
      <c r="T52" s="274">
        <f t="shared" si="9"/>
        <v>0</v>
      </c>
      <c r="U52" s="274">
        <f t="shared" si="9"/>
        <v>0</v>
      </c>
      <c r="V52" s="274">
        <f t="shared" si="9"/>
        <v>0</v>
      </c>
      <c r="W52" s="274">
        <f t="shared" si="9"/>
        <v>0</v>
      </c>
      <c r="X52" s="274">
        <f t="shared" si="9"/>
        <v>0</v>
      </c>
      <c r="Y52" s="274">
        <f t="shared" si="9"/>
        <v>0</v>
      </c>
      <c r="Z52" s="274">
        <f t="shared" si="9"/>
        <v>0</v>
      </c>
      <c r="AA52" s="274">
        <f t="shared" si="9"/>
        <v>0</v>
      </c>
      <c r="AB52" s="274">
        <f t="shared" si="9"/>
        <v>0</v>
      </c>
    </row>
    <row r="53" spans="1:41" s="105" customFormat="1" ht="20.149999999999999" customHeight="1" x14ac:dyDescent="0.25">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c r="Z53" s="185"/>
      <c r="AA53" s="185"/>
      <c r="AB53" s="185"/>
    </row>
    <row r="54" spans="1:41" x14ac:dyDescent="0.25">
      <c r="A54" s="105"/>
      <c r="D54" s="100"/>
      <c r="E54" s="100"/>
      <c r="F54" s="100"/>
      <c r="G54" s="100"/>
      <c r="H54" s="100"/>
      <c r="I54" s="100"/>
      <c r="J54" s="100"/>
      <c r="K54" s="100"/>
      <c r="L54" s="100"/>
      <c r="M54" s="100"/>
    </row>
    <row r="55" spans="1:41" ht="20.149999999999999" customHeight="1" x14ac:dyDescent="0.35">
      <c r="B55" s="355" t="s">
        <v>312</v>
      </c>
      <c r="C55" s="331"/>
      <c r="D55" s="356" t="s">
        <v>308</v>
      </c>
      <c r="E55" s="321"/>
      <c r="F55" s="321"/>
      <c r="G55" s="321"/>
      <c r="H55" s="100"/>
      <c r="I55" s="100"/>
      <c r="J55" s="100"/>
      <c r="K55" s="100"/>
      <c r="L55" s="100"/>
      <c r="M55" s="100"/>
      <c r="N55" s="100"/>
      <c r="O55" s="100"/>
      <c r="P55" s="100"/>
      <c r="Q55" s="100"/>
      <c r="R55" s="100"/>
    </row>
    <row r="56" spans="1:41" s="104" customFormat="1" ht="35.15" customHeight="1" x14ac:dyDescent="0.25">
      <c r="B56" s="234" t="s">
        <v>304</v>
      </c>
      <c r="C56" s="234" t="s">
        <v>305</v>
      </c>
      <c r="D56" s="245">
        <f>'Project Infor'!$C$8</f>
        <v>45962</v>
      </c>
      <c r="E56" s="245">
        <f t="shared" ref="E56:AB56" si="10">EOMONTH(D56,1)</f>
        <v>46022</v>
      </c>
      <c r="F56" s="245">
        <f t="shared" si="10"/>
        <v>46053</v>
      </c>
      <c r="G56" s="245">
        <f t="shared" si="10"/>
        <v>46081</v>
      </c>
      <c r="H56" s="245">
        <f t="shared" si="10"/>
        <v>46112</v>
      </c>
      <c r="I56" s="245">
        <f t="shared" si="10"/>
        <v>46142</v>
      </c>
      <c r="J56" s="245">
        <f t="shared" si="10"/>
        <v>46173</v>
      </c>
      <c r="K56" s="245">
        <f t="shared" si="10"/>
        <v>46203</v>
      </c>
      <c r="L56" s="245">
        <f t="shared" si="10"/>
        <v>46234</v>
      </c>
      <c r="M56" s="245">
        <f t="shared" si="10"/>
        <v>46265</v>
      </c>
      <c r="N56" s="245">
        <f t="shared" si="10"/>
        <v>46295</v>
      </c>
      <c r="O56" s="245">
        <f t="shared" si="10"/>
        <v>46326</v>
      </c>
      <c r="P56" s="245">
        <f t="shared" si="10"/>
        <v>46356</v>
      </c>
      <c r="Q56" s="245">
        <f t="shared" si="10"/>
        <v>46387</v>
      </c>
      <c r="R56" s="245">
        <f t="shared" si="10"/>
        <v>46418</v>
      </c>
      <c r="S56" s="245">
        <f t="shared" si="10"/>
        <v>46446</v>
      </c>
      <c r="T56" s="245">
        <f t="shared" si="10"/>
        <v>46477</v>
      </c>
      <c r="U56" s="245">
        <f t="shared" si="10"/>
        <v>46507</v>
      </c>
      <c r="V56" s="245">
        <f t="shared" si="10"/>
        <v>46538</v>
      </c>
      <c r="W56" s="245">
        <f t="shared" si="10"/>
        <v>46568</v>
      </c>
      <c r="X56" s="245">
        <f t="shared" si="10"/>
        <v>46599</v>
      </c>
      <c r="Y56" s="245">
        <f t="shared" si="10"/>
        <v>46630</v>
      </c>
      <c r="Z56" s="245">
        <f t="shared" si="10"/>
        <v>46660</v>
      </c>
      <c r="AA56" s="245">
        <f t="shared" si="10"/>
        <v>46691</v>
      </c>
      <c r="AB56" s="245">
        <f t="shared" si="10"/>
        <v>46721</v>
      </c>
      <c r="AD56" s="94"/>
      <c r="AE56" s="94"/>
      <c r="AF56" s="94"/>
      <c r="AG56" s="94"/>
      <c r="AH56" s="94"/>
      <c r="AI56" s="94"/>
      <c r="AJ56" s="94"/>
      <c r="AK56" s="94"/>
      <c r="AL56" s="94"/>
      <c r="AM56" s="94"/>
      <c r="AN56" s="94"/>
      <c r="AO56" s="94"/>
    </row>
    <row r="57" spans="1:41" s="105" customFormat="1" ht="20.149999999999999" customHeight="1" x14ac:dyDescent="0.25">
      <c r="B57" s="244"/>
      <c r="C57" s="272"/>
      <c r="D57" s="246"/>
      <c r="E57" s="246"/>
      <c r="F57" s="246"/>
      <c r="G57" s="246"/>
      <c r="H57" s="246"/>
      <c r="I57" s="246"/>
      <c r="J57" s="246"/>
      <c r="K57" s="246"/>
      <c r="L57" s="246"/>
      <c r="M57" s="246"/>
      <c r="N57" s="246"/>
      <c r="O57" s="246"/>
      <c r="P57" s="246"/>
      <c r="Q57" s="246"/>
      <c r="R57" s="246"/>
      <c r="S57" s="246"/>
      <c r="T57" s="246"/>
      <c r="U57" s="246"/>
      <c r="V57" s="246"/>
      <c r="W57" s="246"/>
      <c r="X57" s="246"/>
      <c r="Y57" s="246"/>
      <c r="Z57" s="246"/>
      <c r="AA57" s="246"/>
      <c r="AB57" s="246"/>
      <c r="AD57" s="94"/>
      <c r="AE57" s="94"/>
      <c r="AF57" s="94"/>
      <c r="AG57" s="94"/>
      <c r="AH57" s="94"/>
      <c r="AI57" s="94"/>
      <c r="AJ57" s="94"/>
      <c r="AK57" s="94"/>
      <c r="AL57" s="94"/>
      <c r="AM57" s="94"/>
      <c r="AN57" s="94"/>
      <c r="AO57" s="94"/>
    </row>
    <row r="58" spans="1:41" s="105" customFormat="1" ht="20.149999999999999" customHeight="1" x14ac:dyDescent="0.25">
      <c r="B58" s="244"/>
      <c r="C58" s="272" t="str">
        <f>IF(B58=0,"",CONCATENATE("Jornadas de ",B58," horas: "))</f>
        <v/>
      </c>
      <c r="D58" s="246"/>
      <c r="E58" s="246"/>
      <c r="F58" s="246"/>
      <c r="G58" s="246"/>
      <c r="H58" s="246"/>
      <c r="I58" s="246"/>
      <c r="J58" s="246"/>
      <c r="K58" s="246"/>
      <c r="L58" s="246"/>
      <c r="M58" s="246"/>
      <c r="N58" s="246"/>
      <c r="O58" s="246"/>
      <c r="P58" s="246"/>
      <c r="Q58" s="246"/>
      <c r="R58" s="246"/>
      <c r="S58" s="246"/>
      <c r="T58" s="246"/>
      <c r="U58" s="246"/>
      <c r="V58" s="246"/>
      <c r="W58" s="246"/>
      <c r="X58" s="246"/>
      <c r="Y58" s="246"/>
      <c r="Z58" s="246"/>
      <c r="AA58" s="246"/>
      <c r="AB58" s="246"/>
      <c r="AD58" s="94"/>
      <c r="AE58" s="94"/>
      <c r="AF58" s="94"/>
      <c r="AG58" s="94"/>
      <c r="AH58" s="94"/>
      <c r="AI58" s="94"/>
      <c r="AJ58" s="94"/>
      <c r="AK58" s="94"/>
      <c r="AL58" s="94"/>
      <c r="AM58" s="94"/>
      <c r="AN58" s="94"/>
      <c r="AO58" s="94"/>
    </row>
    <row r="59" spans="1:41" s="105" customFormat="1" ht="20.149999999999999" customHeight="1" x14ac:dyDescent="0.25">
      <c r="B59" s="244"/>
      <c r="C59" s="272" t="str">
        <f>IF(B59=0,"",CONCATENATE("Jornadas de ",B59," horas: "))</f>
        <v/>
      </c>
      <c r="D59" s="246"/>
      <c r="E59" s="246"/>
      <c r="F59" s="246"/>
      <c r="G59" s="246"/>
      <c r="H59" s="246"/>
      <c r="I59" s="246"/>
      <c r="J59" s="246"/>
      <c r="K59" s="246"/>
      <c r="L59" s="246"/>
      <c r="M59" s="246"/>
      <c r="N59" s="246"/>
      <c r="O59" s="246"/>
      <c r="P59" s="246"/>
      <c r="Q59" s="246"/>
      <c r="R59" s="246"/>
      <c r="S59" s="246"/>
      <c r="T59" s="246"/>
      <c r="U59" s="246"/>
      <c r="V59" s="246"/>
      <c r="W59" s="246"/>
      <c r="X59" s="246"/>
      <c r="Y59" s="246"/>
      <c r="Z59" s="246"/>
      <c r="AA59" s="246"/>
      <c r="AB59" s="246"/>
      <c r="AD59" s="94"/>
      <c r="AE59" s="94"/>
      <c r="AF59" s="94"/>
      <c r="AG59" s="94"/>
      <c r="AH59" s="94"/>
      <c r="AI59" s="94"/>
      <c r="AJ59" s="94"/>
      <c r="AK59" s="94"/>
      <c r="AL59" s="94"/>
      <c r="AM59" s="94"/>
      <c r="AN59" s="94"/>
      <c r="AO59" s="94"/>
    </row>
    <row r="60" spans="1:41" s="105" customFormat="1" ht="20.149999999999999" customHeight="1" x14ac:dyDescent="0.25">
      <c r="B60" s="244"/>
      <c r="C60" s="272"/>
      <c r="D60" s="246"/>
      <c r="E60" s="246"/>
      <c r="F60" s="246"/>
      <c r="G60" s="246"/>
      <c r="H60" s="246"/>
      <c r="I60" s="246"/>
      <c r="J60" s="246"/>
      <c r="K60" s="246"/>
      <c r="L60" s="246"/>
      <c r="M60" s="246"/>
      <c r="N60" s="246"/>
      <c r="O60" s="246"/>
      <c r="P60" s="246"/>
      <c r="Q60" s="246"/>
      <c r="R60" s="246"/>
      <c r="S60" s="246"/>
      <c r="T60" s="246"/>
      <c r="U60" s="246"/>
      <c r="V60" s="246"/>
      <c r="W60" s="246"/>
      <c r="X60" s="246"/>
      <c r="Y60" s="246"/>
      <c r="Z60" s="246"/>
      <c r="AA60" s="246"/>
      <c r="AB60" s="246"/>
      <c r="AD60" s="94"/>
      <c r="AE60" s="94"/>
      <c r="AF60" s="94"/>
      <c r="AG60" s="94"/>
      <c r="AH60" s="94"/>
      <c r="AI60" s="94"/>
      <c r="AJ60" s="94"/>
      <c r="AK60" s="94"/>
      <c r="AL60" s="94"/>
      <c r="AM60" s="94"/>
      <c r="AN60" s="94"/>
      <c r="AO60" s="94"/>
    </row>
    <row r="61" spans="1:41" s="105" customFormat="1" ht="20.149999999999999" customHeight="1" x14ac:dyDescent="0.25">
      <c r="B61" s="244"/>
      <c r="C61" s="272" t="str">
        <f>IF(B61=0,"",CONCATENATE("Jornadas de ",B61," horas: "))</f>
        <v/>
      </c>
      <c r="D61" s="246"/>
      <c r="E61" s="246"/>
      <c r="F61" s="246"/>
      <c r="G61" s="246"/>
      <c r="H61" s="246"/>
      <c r="I61" s="246"/>
      <c r="J61" s="246"/>
      <c r="K61" s="246"/>
      <c r="L61" s="246"/>
      <c r="M61" s="246"/>
      <c r="N61" s="246"/>
      <c r="O61" s="246"/>
      <c r="P61" s="246"/>
      <c r="Q61" s="246"/>
      <c r="R61" s="246"/>
      <c r="S61" s="246"/>
      <c r="T61" s="246"/>
      <c r="U61" s="246"/>
      <c r="V61" s="246"/>
      <c r="W61" s="246"/>
      <c r="X61" s="246"/>
      <c r="Y61" s="246"/>
      <c r="Z61" s="246"/>
      <c r="AA61" s="246"/>
      <c r="AB61" s="246"/>
      <c r="AD61" s="94"/>
      <c r="AE61" s="94"/>
      <c r="AF61" s="94"/>
      <c r="AG61" s="94"/>
      <c r="AH61" s="94"/>
      <c r="AI61" s="94"/>
      <c r="AJ61" s="94"/>
      <c r="AK61" s="94"/>
      <c r="AL61" s="94"/>
      <c r="AM61" s="94"/>
      <c r="AN61" s="94"/>
      <c r="AO61" s="94"/>
    </row>
    <row r="62" spans="1:41" s="105" customFormat="1" ht="20.149999999999999" customHeight="1" x14ac:dyDescent="0.25">
      <c r="B62" s="273"/>
      <c r="C62" s="273" t="s">
        <v>306</v>
      </c>
      <c r="D62" s="274">
        <f t="shared" ref="D62:AB62" si="11">SUMPRODUCT(D57:D61,$B$57:$B$61)</f>
        <v>0</v>
      </c>
      <c r="E62" s="274">
        <f t="shared" si="11"/>
        <v>0</v>
      </c>
      <c r="F62" s="274">
        <f t="shared" si="11"/>
        <v>0</v>
      </c>
      <c r="G62" s="274">
        <f t="shared" si="11"/>
        <v>0</v>
      </c>
      <c r="H62" s="274">
        <f t="shared" si="11"/>
        <v>0</v>
      </c>
      <c r="I62" s="274">
        <f t="shared" si="11"/>
        <v>0</v>
      </c>
      <c r="J62" s="274">
        <f t="shared" si="11"/>
        <v>0</v>
      </c>
      <c r="K62" s="274">
        <f t="shared" si="11"/>
        <v>0</v>
      </c>
      <c r="L62" s="274">
        <f t="shared" si="11"/>
        <v>0</v>
      </c>
      <c r="M62" s="274">
        <f t="shared" si="11"/>
        <v>0</v>
      </c>
      <c r="N62" s="274">
        <f t="shared" si="11"/>
        <v>0</v>
      </c>
      <c r="O62" s="274">
        <f t="shared" si="11"/>
        <v>0</v>
      </c>
      <c r="P62" s="274">
        <f t="shared" si="11"/>
        <v>0</v>
      </c>
      <c r="Q62" s="274">
        <f t="shared" si="11"/>
        <v>0</v>
      </c>
      <c r="R62" s="274">
        <f t="shared" si="11"/>
        <v>0</v>
      </c>
      <c r="S62" s="274">
        <f t="shared" si="11"/>
        <v>0</v>
      </c>
      <c r="T62" s="274">
        <f t="shared" si="11"/>
        <v>0</v>
      </c>
      <c r="U62" s="274">
        <f t="shared" si="11"/>
        <v>0</v>
      </c>
      <c r="V62" s="274">
        <f t="shared" si="11"/>
        <v>0</v>
      </c>
      <c r="W62" s="274">
        <f t="shared" si="11"/>
        <v>0</v>
      </c>
      <c r="X62" s="274">
        <f t="shared" si="11"/>
        <v>0</v>
      </c>
      <c r="Y62" s="274">
        <f t="shared" si="11"/>
        <v>0</v>
      </c>
      <c r="Z62" s="274">
        <f t="shared" si="11"/>
        <v>0</v>
      </c>
      <c r="AA62" s="274">
        <f t="shared" si="11"/>
        <v>0</v>
      </c>
      <c r="AB62" s="274">
        <f t="shared" si="11"/>
        <v>0</v>
      </c>
    </row>
    <row r="63" spans="1:41" s="105" customFormat="1" ht="20.149999999999999" customHeight="1" x14ac:dyDescent="0.2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c r="AA63" s="185"/>
      <c r="AB63" s="185"/>
    </row>
    <row r="64" spans="1:41" x14ac:dyDescent="0.25">
      <c r="D64" s="100"/>
      <c r="E64" s="100"/>
      <c r="F64" s="100"/>
      <c r="G64" s="100"/>
      <c r="H64" s="100"/>
      <c r="I64" s="100"/>
      <c r="J64" s="100"/>
      <c r="K64" s="100"/>
      <c r="L64" s="100"/>
      <c r="M64" s="100"/>
    </row>
    <row r="65" spans="4:13" x14ac:dyDescent="0.25">
      <c r="D65" s="100"/>
      <c r="E65" s="100"/>
      <c r="F65" s="100"/>
      <c r="G65" s="100"/>
      <c r="H65" s="100"/>
      <c r="I65" s="100"/>
      <c r="J65" s="100"/>
      <c r="K65" s="100"/>
      <c r="L65" s="100"/>
      <c r="M65" s="100"/>
    </row>
    <row r="66" spans="4:13" x14ac:dyDescent="0.25">
      <c r="F66" s="100"/>
      <c r="G66" s="100"/>
      <c r="H66" s="100"/>
    </row>
    <row r="67" spans="4:13" x14ac:dyDescent="0.25">
      <c r="F67" s="100"/>
      <c r="G67" s="100"/>
      <c r="H67" s="100"/>
    </row>
  </sheetData>
  <autoFilter ref="B6" xr:uid="{00000000-0009-0000-0000-00000A000000}"/>
  <mergeCells count="12">
    <mergeCell ref="B5:C5"/>
    <mergeCell ref="D25:G25"/>
    <mergeCell ref="B45:C45"/>
    <mergeCell ref="D15:G15"/>
    <mergeCell ref="D55:G55"/>
    <mergeCell ref="D5:G5"/>
    <mergeCell ref="B35:C35"/>
    <mergeCell ref="B55:C55"/>
    <mergeCell ref="B15:C15"/>
    <mergeCell ref="D45:G45"/>
    <mergeCell ref="B25:C25"/>
    <mergeCell ref="D35:G35"/>
  </mergeCells>
  <pageMargins left="0.70866141732283472" right="0.70866141732283472" top="0.74803149606299213" bottom="0.74803149606299213" header="0.31496062992125978" footer="0.31496062992125978"/>
  <pageSetup paperSize="9" scale="18"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5"/>
  <sheetViews>
    <sheetView showGridLines="0" workbookViewId="0">
      <pane ySplit="5" topLeftCell="A6" activePane="bottomLeft" state="frozen"/>
      <selection pane="bottomLeft"/>
    </sheetView>
  </sheetViews>
  <sheetFormatPr baseColWidth="10" defaultColWidth="8.7265625" defaultRowHeight="14.5" x14ac:dyDescent="0.35"/>
  <cols>
    <col min="1" max="1" width="24" customWidth="1"/>
    <col min="2" max="2" width="22" customWidth="1"/>
    <col min="3" max="3" width="14" customWidth="1"/>
    <col min="4" max="4" width="32" customWidth="1"/>
    <col min="5" max="5" width="20" customWidth="1"/>
    <col min="6" max="6" width="34" customWidth="1"/>
    <col min="7" max="7" width="36" customWidth="1"/>
    <col min="8" max="8" width="18" customWidth="1"/>
  </cols>
  <sheetData>
    <row r="1" spans="1:8" ht="28" customHeight="1" x14ac:dyDescent="0.45">
      <c r="A1" s="360" t="s">
        <v>313</v>
      </c>
      <c r="B1" s="358"/>
      <c r="C1" s="358"/>
      <c r="D1" s="358"/>
      <c r="E1" s="358"/>
      <c r="F1" s="358"/>
      <c r="G1" s="358"/>
      <c r="H1" s="358"/>
    </row>
    <row r="2" spans="1:8" ht="28" customHeight="1" x14ac:dyDescent="0.35">
      <c r="A2" s="359" t="s">
        <v>314</v>
      </c>
      <c r="B2" s="358"/>
      <c r="C2" s="358"/>
      <c r="D2" s="358"/>
      <c r="E2" s="358"/>
      <c r="F2" s="358"/>
      <c r="G2" s="358"/>
      <c r="H2" s="358"/>
    </row>
    <row r="3" spans="1:8" ht="22" customHeight="1" x14ac:dyDescent="0.35"/>
    <row r="4" spans="1:8" ht="28" customHeight="1" x14ac:dyDescent="0.35">
      <c r="A4" s="357" t="s">
        <v>315</v>
      </c>
      <c r="B4" s="358"/>
      <c r="C4" s="358"/>
      <c r="D4" s="358"/>
      <c r="E4" s="358"/>
      <c r="F4" s="358"/>
      <c r="G4" s="358"/>
      <c r="H4" s="358"/>
    </row>
    <row r="5" spans="1:8" ht="22" customHeight="1" x14ac:dyDescent="0.35">
      <c r="A5" s="295" t="s">
        <v>316</v>
      </c>
      <c r="B5" s="295" t="s">
        <v>317</v>
      </c>
      <c r="C5" s="295" t="s">
        <v>318</v>
      </c>
    </row>
    <row r="6" spans="1:8" ht="22" customHeight="1" x14ac:dyDescent="0.35">
      <c r="A6" s="296" t="s">
        <v>319</v>
      </c>
      <c r="B6" s="296" t="s">
        <v>320</v>
      </c>
      <c r="C6" s="296" t="s">
        <v>321</v>
      </c>
    </row>
    <row r="7" spans="1:8" ht="22" customHeight="1" x14ac:dyDescent="0.35">
      <c r="A7" s="296" t="s">
        <v>322</v>
      </c>
      <c r="B7" s="296" t="s">
        <v>193</v>
      </c>
      <c r="C7" s="296" t="s">
        <v>323</v>
      </c>
    </row>
    <row r="8" spans="1:8" ht="22" customHeight="1" x14ac:dyDescent="0.35">
      <c r="A8" s="296" t="s">
        <v>324</v>
      </c>
      <c r="B8" s="296" t="s">
        <v>325</v>
      </c>
      <c r="C8" s="296" t="s">
        <v>326</v>
      </c>
    </row>
    <row r="9" spans="1:8" ht="22" customHeight="1" x14ac:dyDescent="0.35">
      <c r="A9" s="296" t="s">
        <v>327</v>
      </c>
      <c r="B9" s="296" t="s">
        <v>328</v>
      </c>
      <c r="C9" s="296" t="s">
        <v>329</v>
      </c>
    </row>
    <row r="10" spans="1:8" ht="22" customHeight="1" x14ac:dyDescent="0.35">
      <c r="A10" s="296" t="s">
        <v>330</v>
      </c>
      <c r="B10" s="296" t="s">
        <v>331</v>
      </c>
      <c r="C10" s="296" t="s">
        <v>332</v>
      </c>
    </row>
    <row r="11" spans="1:8" ht="22" customHeight="1" x14ac:dyDescent="0.35">
      <c r="A11" s="296" t="s">
        <v>333</v>
      </c>
      <c r="B11" s="296" t="s">
        <v>334</v>
      </c>
      <c r="C11" s="296" t="s">
        <v>335</v>
      </c>
    </row>
    <row r="12" spans="1:8" ht="22" customHeight="1" x14ac:dyDescent="0.35">
      <c r="A12" s="296" t="s">
        <v>336</v>
      </c>
      <c r="B12" s="296" t="s">
        <v>328</v>
      </c>
      <c r="C12" s="296" t="s">
        <v>337</v>
      </c>
    </row>
    <row r="13" spans="1:8" ht="22" customHeight="1" x14ac:dyDescent="0.35">
      <c r="A13" s="296" t="s">
        <v>338</v>
      </c>
      <c r="B13" s="296" t="s">
        <v>339</v>
      </c>
      <c r="C13" s="296" t="s">
        <v>340</v>
      </c>
    </row>
    <row r="14" spans="1:8" ht="22" customHeight="1" x14ac:dyDescent="0.35">
      <c r="A14" s="296" t="s">
        <v>341</v>
      </c>
      <c r="B14" s="296" t="s">
        <v>342</v>
      </c>
      <c r="C14" s="296" t="s">
        <v>343</v>
      </c>
    </row>
    <row r="15" spans="1:8" ht="22" customHeight="1" x14ac:dyDescent="0.35"/>
    <row r="16" spans="1:8" ht="22" customHeight="1" x14ac:dyDescent="0.35"/>
    <row r="17" spans="1:8" ht="28" customHeight="1" x14ac:dyDescent="0.35">
      <c r="A17" s="357" t="s">
        <v>344</v>
      </c>
      <c r="B17" s="358"/>
      <c r="C17" s="358"/>
      <c r="D17" s="358"/>
      <c r="E17" s="358"/>
      <c r="F17" s="358"/>
      <c r="G17" s="358"/>
      <c r="H17" s="358"/>
    </row>
    <row r="18" spans="1:8" ht="22" customHeight="1" x14ac:dyDescent="0.35">
      <c r="A18" s="295" t="s">
        <v>345</v>
      </c>
      <c r="B18" s="295" t="s">
        <v>346</v>
      </c>
      <c r="C18" s="295" t="s">
        <v>347</v>
      </c>
      <c r="D18" s="295" t="s">
        <v>348</v>
      </c>
      <c r="E18" s="295" t="s">
        <v>349</v>
      </c>
      <c r="F18" s="295" t="s">
        <v>350</v>
      </c>
      <c r="G18" s="295" t="s">
        <v>351</v>
      </c>
      <c r="H18" s="295" t="s">
        <v>352</v>
      </c>
    </row>
    <row r="19" spans="1:8" ht="22" customHeight="1" x14ac:dyDescent="0.35">
      <c r="A19" s="296" t="s">
        <v>353</v>
      </c>
      <c r="B19" s="296" t="s">
        <v>354</v>
      </c>
      <c r="C19" s="296" t="s">
        <v>355</v>
      </c>
      <c r="D19" s="296" t="s">
        <v>22</v>
      </c>
      <c r="E19" s="296" t="s">
        <v>356</v>
      </c>
      <c r="F19" s="297">
        <v>45962</v>
      </c>
      <c r="G19" s="296" t="s">
        <v>357</v>
      </c>
      <c r="H19" s="296" t="s">
        <v>358</v>
      </c>
    </row>
    <row r="20" spans="1:8" ht="22" customHeight="1" x14ac:dyDescent="0.35">
      <c r="A20" s="296" t="s">
        <v>24</v>
      </c>
      <c r="B20" s="296" t="s">
        <v>354</v>
      </c>
      <c r="C20" s="296" t="s">
        <v>359</v>
      </c>
      <c r="D20" s="296" t="s">
        <v>360</v>
      </c>
      <c r="E20" s="296" t="s">
        <v>356</v>
      </c>
      <c r="F20" s="296"/>
      <c r="G20" s="296" t="s">
        <v>361</v>
      </c>
      <c r="H20" s="298" t="s">
        <v>362</v>
      </c>
    </row>
    <row r="21" spans="1:8" ht="22" customHeight="1" x14ac:dyDescent="0.35">
      <c r="A21" s="296" t="s">
        <v>34</v>
      </c>
      <c r="B21" s="296" t="s">
        <v>354</v>
      </c>
      <c r="C21" s="296" t="s">
        <v>363</v>
      </c>
      <c r="D21" s="296" t="s">
        <v>364</v>
      </c>
      <c r="E21" s="296" t="s">
        <v>365</v>
      </c>
      <c r="F21" s="296" t="s">
        <v>35</v>
      </c>
      <c r="G21" s="296" t="s">
        <v>366</v>
      </c>
      <c r="H21" s="298" t="s">
        <v>362</v>
      </c>
    </row>
    <row r="22" spans="1:8" ht="22" customHeight="1" x14ac:dyDescent="0.35">
      <c r="A22" s="296" t="s">
        <v>39</v>
      </c>
      <c r="B22" s="296" t="s">
        <v>354</v>
      </c>
      <c r="C22" s="296" t="s">
        <v>367</v>
      </c>
      <c r="D22" s="296" t="s">
        <v>368</v>
      </c>
      <c r="E22" s="296" t="s">
        <v>356</v>
      </c>
      <c r="F22" s="296"/>
      <c r="G22" s="296" t="s">
        <v>369</v>
      </c>
      <c r="H22" s="298" t="s">
        <v>362</v>
      </c>
    </row>
    <row r="23" spans="1:8" ht="22" customHeight="1" x14ac:dyDescent="0.35">
      <c r="A23" s="296" t="s">
        <v>43</v>
      </c>
      <c r="B23" s="296" t="s">
        <v>354</v>
      </c>
      <c r="C23" s="296" t="s">
        <v>370</v>
      </c>
      <c r="D23" s="296" t="s">
        <v>371</v>
      </c>
      <c r="E23" s="296" t="s">
        <v>372</v>
      </c>
      <c r="F23" s="296"/>
      <c r="G23" s="296" t="s">
        <v>373</v>
      </c>
      <c r="H23" s="298" t="s">
        <v>362</v>
      </c>
    </row>
    <row r="24" spans="1:8" ht="22" customHeight="1" x14ac:dyDescent="0.35">
      <c r="A24" s="296" t="s">
        <v>44</v>
      </c>
      <c r="B24" s="296" t="s">
        <v>354</v>
      </c>
      <c r="C24" s="296" t="s">
        <v>374</v>
      </c>
      <c r="D24" s="296" t="s">
        <v>42</v>
      </c>
      <c r="E24" s="296" t="s">
        <v>372</v>
      </c>
      <c r="F24" s="296"/>
      <c r="G24" s="296" t="s">
        <v>375</v>
      </c>
      <c r="H24" s="298" t="s">
        <v>362</v>
      </c>
    </row>
    <row r="25" spans="1:8" ht="22" customHeight="1" x14ac:dyDescent="0.35">
      <c r="A25" s="296" t="s">
        <v>46</v>
      </c>
      <c r="B25" s="296" t="s">
        <v>354</v>
      </c>
      <c r="C25" s="296" t="s">
        <v>376</v>
      </c>
      <c r="D25" s="296" t="s">
        <v>377</v>
      </c>
      <c r="E25" s="296" t="s">
        <v>372</v>
      </c>
      <c r="F25" s="296"/>
      <c r="G25" s="296" t="s">
        <v>373</v>
      </c>
      <c r="H25" s="298" t="s">
        <v>362</v>
      </c>
    </row>
    <row r="26" spans="1:8" ht="22" customHeight="1" x14ac:dyDescent="0.35">
      <c r="A26" s="296" t="s">
        <v>47</v>
      </c>
      <c r="B26" s="296" t="s">
        <v>354</v>
      </c>
      <c r="C26" s="296" t="s">
        <v>378</v>
      </c>
      <c r="D26" s="296" t="s">
        <v>45</v>
      </c>
      <c r="E26" s="296" t="s">
        <v>372</v>
      </c>
      <c r="F26" s="296"/>
      <c r="G26" s="296" t="s">
        <v>375</v>
      </c>
      <c r="H26" s="298" t="s">
        <v>362</v>
      </c>
    </row>
    <row r="27" spans="1:8" ht="22" customHeight="1" x14ac:dyDescent="0.35">
      <c r="A27" s="296" t="s">
        <v>49</v>
      </c>
      <c r="B27" s="296" t="s">
        <v>354</v>
      </c>
      <c r="C27" s="296" t="s">
        <v>379</v>
      </c>
      <c r="D27" s="296" t="s">
        <v>380</v>
      </c>
      <c r="E27" s="296" t="s">
        <v>381</v>
      </c>
      <c r="F27" s="296" t="s">
        <v>50</v>
      </c>
      <c r="G27" s="296" t="s">
        <v>382</v>
      </c>
      <c r="H27" s="298" t="s">
        <v>383</v>
      </c>
    </row>
    <row r="28" spans="1:8" ht="22" customHeight="1" x14ac:dyDescent="0.35">
      <c r="A28" s="296" t="s">
        <v>121</v>
      </c>
      <c r="B28" s="296" t="s">
        <v>384</v>
      </c>
      <c r="C28" s="296" t="s">
        <v>385</v>
      </c>
      <c r="D28" s="296" t="s">
        <v>386</v>
      </c>
      <c r="E28" s="296" t="s">
        <v>372</v>
      </c>
      <c r="F28" s="296"/>
      <c r="G28" s="296" t="s">
        <v>387</v>
      </c>
      <c r="H28" s="298" t="s">
        <v>362</v>
      </c>
    </row>
    <row r="29" spans="1:8" ht="22" customHeight="1" x14ac:dyDescent="0.35">
      <c r="A29" s="296" t="s">
        <v>125</v>
      </c>
      <c r="B29" s="296" t="s">
        <v>384</v>
      </c>
      <c r="C29" s="296" t="s">
        <v>388</v>
      </c>
      <c r="D29" s="296" t="s">
        <v>389</v>
      </c>
      <c r="E29" s="296" t="s">
        <v>372</v>
      </c>
      <c r="F29" s="296"/>
      <c r="G29" s="296" t="s">
        <v>387</v>
      </c>
      <c r="H29" s="298" t="s">
        <v>362</v>
      </c>
    </row>
    <row r="30" spans="1:8" ht="22" customHeight="1" x14ac:dyDescent="0.35">
      <c r="A30" s="296" t="s">
        <v>128</v>
      </c>
      <c r="B30" s="296" t="s">
        <v>384</v>
      </c>
      <c r="C30" s="296" t="s">
        <v>390</v>
      </c>
      <c r="D30" s="296" t="s">
        <v>391</v>
      </c>
      <c r="E30" s="296" t="s">
        <v>372</v>
      </c>
      <c r="F30" s="296"/>
      <c r="G30" s="296" t="s">
        <v>387</v>
      </c>
      <c r="H30" s="298" t="s">
        <v>362</v>
      </c>
    </row>
    <row r="31" spans="1:8" ht="22" customHeight="1" x14ac:dyDescent="0.35">
      <c r="A31" s="296" t="s">
        <v>131</v>
      </c>
      <c r="B31" s="296" t="s">
        <v>384</v>
      </c>
      <c r="C31" s="296" t="s">
        <v>392</v>
      </c>
      <c r="D31" s="296" t="s">
        <v>393</v>
      </c>
      <c r="E31" s="296" t="s">
        <v>372</v>
      </c>
      <c r="F31" s="296"/>
      <c r="G31" s="296" t="s">
        <v>387</v>
      </c>
      <c r="H31" s="298" t="s">
        <v>362</v>
      </c>
    </row>
    <row r="32" spans="1:8" ht="22" customHeight="1" x14ac:dyDescent="0.35">
      <c r="A32" s="296" t="s">
        <v>134</v>
      </c>
      <c r="B32" s="296" t="s">
        <v>384</v>
      </c>
      <c r="C32" s="296" t="s">
        <v>394</v>
      </c>
      <c r="D32" s="296" t="s">
        <v>395</v>
      </c>
      <c r="E32" s="296" t="s">
        <v>372</v>
      </c>
      <c r="F32" s="296"/>
      <c r="G32" s="296" t="s">
        <v>387</v>
      </c>
      <c r="H32" s="298" t="s">
        <v>362</v>
      </c>
    </row>
    <row r="33" spans="1:8" ht="22" customHeight="1" x14ac:dyDescent="0.35">
      <c r="A33" s="296" t="s">
        <v>137</v>
      </c>
      <c r="B33" s="296" t="s">
        <v>384</v>
      </c>
      <c r="C33" s="296" t="s">
        <v>396</v>
      </c>
      <c r="D33" s="296" t="s">
        <v>397</v>
      </c>
      <c r="E33" s="296" t="s">
        <v>372</v>
      </c>
      <c r="F33" s="296"/>
      <c r="G33" s="296" t="s">
        <v>387</v>
      </c>
      <c r="H33" s="298" t="s">
        <v>362</v>
      </c>
    </row>
    <row r="34" spans="1:8" ht="22" customHeight="1" x14ac:dyDescent="0.35">
      <c r="A34" s="296" t="s">
        <v>140</v>
      </c>
      <c r="B34" s="296" t="s">
        <v>384</v>
      </c>
      <c r="C34" s="296" t="s">
        <v>398</v>
      </c>
      <c r="D34" s="296" t="s">
        <v>399</v>
      </c>
      <c r="E34" s="296" t="s">
        <v>372</v>
      </c>
      <c r="F34" s="296"/>
      <c r="G34" s="296" t="s">
        <v>387</v>
      </c>
      <c r="H34" s="298" t="s">
        <v>362</v>
      </c>
    </row>
    <row r="35" spans="1:8" ht="22" customHeight="1" x14ac:dyDescent="0.35">
      <c r="A35" s="296" t="s">
        <v>203</v>
      </c>
      <c r="B35" s="296" t="s">
        <v>400</v>
      </c>
      <c r="C35" s="296" t="s">
        <v>401</v>
      </c>
      <c r="D35" s="296" t="s">
        <v>402</v>
      </c>
      <c r="E35" s="296" t="s">
        <v>403</v>
      </c>
      <c r="F35" s="296"/>
      <c r="G35" s="296" t="s">
        <v>404</v>
      </c>
      <c r="H35" s="298" t="s">
        <v>362</v>
      </c>
    </row>
    <row r="36" spans="1:8" ht="22" customHeight="1" x14ac:dyDescent="0.35">
      <c r="A36" s="296" t="s">
        <v>205</v>
      </c>
      <c r="B36" s="296" t="s">
        <v>400</v>
      </c>
      <c r="C36" s="296" t="s">
        <v>405</v>
      </c>
      <c r="D36" s="296" t="s">
        <v>406</v>
      </c>
      <c r="E36" s="296" t="s">
        <v>403</v>
      </c>
      <c r="F36" s="296"/>
      <c r="G36" s="296" t="s">
        <v>407</v>
      </c>
      <c r="H36" s="298" t="s">
        <v>362</v>
      </c>
    </row>
    <row r="37" spans="1:8" ht="22" customHeight="1" x14ac:dyDescent="0.35">
      <c r="A37" s="296" t="s">
        <v>206</v>
      </c>
      <c r="B37" s="296" t="s">
        <v>400</v>
      </c>
      <c r="C37" s="296" t="s">
        <v>408</v>
      </c>
      <c r="D37" s="296" t="s">
        <v>409</v>
      </c>
      <c r="E37" s="296" t="s">
        <v>403</v>
      </c>
      <c r="F37" s="296"/>
      <c r="G37" s="296" t="s">
        <v>410</v>
      </c>
      <c r="H37" s="298" t="s">
        <v>362</v>
      </c>
    </row>
    <row r="38" spans="1:8" ht="22" customHeight="1" x14ac:dyDescent="0.35"/>
    <row r="39" spans="1:8" ht="22" customHeight="1" x14ac:dyDescent="0.35"/>
    <row r="40" spans="1:8" ht="28" customHeight="1" x14ac:dyDescent="0.35">
      <c r="A40" s="361" t="s">
        <v>411</v>
      </c>
      <c r="B40" s="358"/>
      <c r="C40" s="358"/>
      <c r="D40" s="358"/>
      <c r="E40" s="358"/>
      <c r="F40" s="358"/>
      <c r="G40" s="358"/>
      <c r="H40" s="358"/>
    </row>
    <row r="41" spans="1:8" ht="22" customHeight="1" x14ac:dyDescent="0.35">
      <c r="A41" s="299" t="s">
        <v>412</v>
      </c>
      <c r="B41" s="299" t="s">
        <v>413</v>
      </c>
      <c r="C41" s="299" t="s">
        <v>414</v>
      </c>
      <c r="D41" s="299" t="s">
        <v>415</v>
      </c>
    </row>
    <row r="42" spans="1:8" ht="22" customHeight="1" x14ac:dyDescent="0.35">
      <c r="A42" s="300" t="s">
        <v>416</v>
      </c>
      <c r="B42" s="296" t="s">
        <v>417</v>
      </c>
      <c r="C42" s="296" t="s">
        <v>418</v>
      </c>
      <c r="D42" s="296" t="s">
        <v>419</v>
      </c>
    </row>
    <row r="43" spans="1:8" ht="22" customHeight="1" x14ac:dyDescent="0.35">
      <c r="A43" s="300" t="s">
        <v>420</v>
      </c>
      <c r="B43" s="296" t="s">
        <v>421</v>
      </c>
      <c r="C43" s="296" t="s">
        <v>422</v>
      </c>
      <c r="D43" s="296" t="s">
        <v>423</v>
      </c>
    </row>
    <row r="44" spans="1:8" ht="22" customHeight="1" x14ac:dyDescent="0.35">
      <c r="A44" s="300" t="s">
        <v>424</v>
      </c>
      <c r="B44" s="296" t="s">
        <v>425</v>
      </c>
      <c r="C44" s="296" t="s">
        <v>426</v>
      </c>
      <c r="D44" s="296" t="s">
        <v>427</v>
      </c>
    </row>
    <row r="45" spans="1:8" ht="22" customHeight="1" x14ac:dyDescent="0.35">
      <c r="A45" s="300" t="s">
        <v>428</v>
      </c>
      <c r="B45" s="296" t="s">
        <v>429</v>
      </c>
      <c r="C45" s="296" t="s">
        <v>430</v>
      </c>
      <c r="D45" s="296" t="s">
        <v>431</v>
      </c>
    </row>
  </sheetData>
  <mergeCells count="5">
    <mergeCell ref="A4:H4"/>
    <mergeCell ref="A2:H2"/>
    <mergeCell ref="A17:H17"/>
    <mergeCell ref="A1:H1"/>
    <mergeCell ref="A40:H40"/>
  </mergeCells>
  <pageMargins left="0.75" right="0.75" top="1" bottom="1" header="0.5" footer="0.5"/>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5</vt:i4>
      </vt:variant>
    </vt:vector>
  </HeadingPairs>
  <TitlesOfParts>
    <vt:vector size="17" baseType="lpstr">
      <vt:lpstr>Project Infor</vt:lpstr>
      <vt:lpstr>Cost Overview</vt:lpstr>
      <vt:lpstr>Resources</vt:lpstr>
      <vt:lpstr>Cost Planning</vt:lpstr>
      <vt:lpstr>Monthly View</vt:lpstr>
      <vt:lpstr>Cost Summary</vt:lpstr>
      <vt:lpstr>Ayuda</vt:lpstr>
      <vt:lpstr>aux Billing Plan</vt:lpstr>
      <vt:lpstr>aux Forecast</vt:lpstr>
      <vt:lpstr>aux UTE</vt:lpstr>
      <vt:lpstr>aux Calendarios</vt:lpstr>
      <vt:lpstr>Trazabilidad_RPA</vt:lpstr>
      <vt:lpstr>costerecursosbaselineactual</vt:lpstr>
      <vt:lpstr>FECHA</vt:lpstr>
      <vt:lpstr>FIN</vt:lpstr>
      <vt:lpstr>Inicio</vt:lpstr>
      <vt:lpstr>pedidobaselineactual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Ingelmo Agustin, M Jose</dc:creator>
  <cp:lastModifiedBy>Ortega Angulo, Alvaro</cp:lastModifiedBy>
  <dcterms:created xsi:type="dcterms:W3CDTF">2015-06-05T18:19:34Z</dcterms:created>
  <dcterms:modified xsi:type="dcterms:W3CDTF">2026-04-29T09:32:13Z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0x0101005104B4C06FD53E4DA82687A05841D03F</vt:lpwstr>
  </property>
</Properties>
</file>