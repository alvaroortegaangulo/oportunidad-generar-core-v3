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Documents\UiPath\oportunidad-generar-core-v2\Info complementaria\"/>
    </mc:Choice>
  </mc:AlternateContent>
  <xr:revisionPtr revIDLastSave="0" documentId="13_ncr:1_{9AA41073-7634-4826-9302-CE2DA2AA3738}" xr6:coauthVersionLast="47" xr6:coauthVersionMax="47" xr10:uidLastSave="{00000000-0000-0000-0000-000000000000}"/>
  <bookViews>
    <workbookView xWindow="1480" yWindow="1480" windowWidth="14400" windowHeight="8170" tabRatio="669"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Planning'!$B$66:$E$66</definedName>
    <definedName name="_xlnm._FilterDatabase" localSheetId="2" hidden="1">Resources!$B$6:$E$6</definedName>
    <definedName name="costerecursosbaselineactual">'Cost Overview'!$G$8</definedName>
    <definedName name="costerecursostotalplanificado">costerecursosbaselineactual-'Cost Planning'!$J$5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Planning'!$J$5+'Cost Planning'!$E$47+'Cost Planning'!$E$48+'Cost Planning'!$J$50+'Cost Planning'!$J$64</definedName>
    <definedName name="pedidobaselineactual">'Cost Overview'!$F$8</definedName>
    <definedName name="UTILIZACION">0.93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 l="1"/>
  <c r="AG68" i="6"/>
  <c r="AG69" i="6"/>
  <c r="AG70" i="6"/>
  <c r="AG71" i="6"/>
  <c r="AG72" i="6"/>
  <c r="AG73" i="6"/>
  <c r="AG74" i="6"/>
  <c r="AG75" i="6"/>
  <c r="AG76" i="6"/>
  <c r="AG67" i="6"/>
  <c r="J78" i="6" s="1" a="1"/>
  <c r="J78" i="6" s="1"/>
  <c r="AG54" i="6"/>
  <c r="AG55" i="6"/>
  <c r="AG56" i="6"/>
  <c r="AG57" i="6"/>
  <c r="AG58" i="6"/>
  <c r="AG59" i="6"/>
  <c r="AG60" i="6"/>
  <c r="AG53" i="6"/>
  <c r="K62" i="6" s="1" a="1"/>
  <c r="K62" i="6" s="1"/>
  <c r="J62" i="6" l="1" a="1"/>
  <c r="J62" i="6" s="1"/>
  <c r="V62" i="6" a="1"/>
  <c r="V62" i="6" s="1"/>
  <c r="I62" i="6" a="1"/>
  <c r="I62" i="6" s="1"/>
  <c r="AA62" i="6" a="1"/>
  <c r="AA62" i="6" s="1"/>
  <c r="AF62" i="6" a="1"/>
  <c r="AF62" i="6" s="1"/>
  <c r="Z62" i="6" a="1"/>
  <c r="Z62" i="6" s="1"/>
  <c r="M62" i="6" a="1"/>
  <c r="M62" i="6" s="1"/>
  <c r="T62" i="6" a="1"/>
  <c r="T62" i="6" s="1"/>
  <c r="W62" i="6" a="1"/>
  <c r="W62" i="6" s="1"/>
  <c r="O62" i="6" a="1"/>
  <c r="O62" i="6" s="1"/>
  <c r="Y62" i="6" a="1"/>
  <c r="Y62" i="6" s="1"/>
  <c r="S62" i="6" a="1"/>
  <c r="S62" i="6" s="1"/>
  <c r="AD62" i="6" a="1"/>
  <c r="AD62" i="6" s="1"/>
  <c r="H62" i="6" a="1"/>
  <c r="H62" i="6" s="1"/>
  <c r="P62" i="6" a="1"/>
  <c r="P62" i="6" s="1"/>
  <c r="U62" i="6" a="1"/>
  <c r="U62" i="6" s="1"/>
  <c r="AE62" i="6" a="1"/>
  <c r="AE62" i="6" s="1"/>
  <c r="L62" i="6" a="1"/>
  <c r="L62" i="6" s="1"/>
  <c r="X62" i="6" a="1"/>
  <c r="X62" i="6" s="1"/>
  <c r="Q62" i="6" a="1"/>
  <c r="Q62" i="6" s="1"/>
  <c r="AB62" i="6" a="1"/>
  <c r="AB62" i="6" s="1"/>
  <c r="N62" i="6" a="1"/>
  <c r="N62" i="6" s="1"/>
  <c r="R62" i="6" a="1"/>
  <c r="R62" i="6" s="1"/>
  <c r="AC62" i="6" a="1"/>
  <c r="AC62" i="6" s="1"/>
  <c r="R78" i="6" a="1"/>
  <c r="R78" i="6" s="1"/>
  <c r="I78" i="6" a="1"/>
  <c r="I78" i="6" s="1"/>
  <c r="AD78" i="6" a="1"/>
  <c r="AD78" i="6" s="1"/>
  <c r="W78" i="6" a="1"/>
  <c r="W78" i="6" s="1"/>
  <c r="P78" i="6" a="1"/>
  <c r="P78" i="6" s="1"/>
  <c r="AF78" i="6" a="1"/>
  <c r="AF78" i="6" s="1"/>
  <c r="AE78" i="6" a="1"/>
  <c r="AE78" i="6" s="1"/>
  <c r="AC78" i="6" a="1"/>
  <c r="AC78" i="6" s="1"/>
  <c r="V78" i="6" a="1"/>
  <c r="V78" i="6" s="1"/>
  <c r="T78" i="6" a="1"/>
  <c r="T78" i="6" s="1"/>
  <c r="O78" i="6" a="1"/>
  <c r="O78" i="6" s="1"/>
  <c r="AB78" i="6" a="1"/>
  <c r="AB78" i="6" s="1"/>
  <c r="U78" i="6" a="1"/>
  <c r="U78" i="6" s="1"/>
  <c r="L78" i="6" a="1"/>
  <c r="L78" i="6" s="1"/>
  <c r="AA78" i="6" a="1"/>
  <c r="AA78" i="6" s="1"/>
  <c r="N78" i="6" a="1"/>
  <c r="N78" i="6" s="1"/>
  <c r="Y78" i="6" a="1"/>
  <c r="Y78" i="6" s="1"/>
  <c r="Z78" i="6" a="1"/>
  <c r="Z78" i="6" s="1"/>
  <c r="S78" i="6" a="1"/>
  <c r="S78" i="6" s="1"/>
  <c r="M78" i="6" a="1"/>
  <c r="M78" i="6" s="1"/>
  <c r="K78" i="6" a="1"/>
  <c r="K78" i="6" s="1"/>
  <c r="H78" i="6" a="1"/>
  <c r="H78" i="6" s="1"/>
  <c r="X78" i="6" a="1"/>
  <c r="X78" i="6" s="1"/>
  <c r="Q78" i="6" a="1"/>
  <c r="Q78" i="6" s="1"/>
  <c r="K44" i="6" l="1" a="1"/>
  <c r="K44" i="6" s="1"/>
  <c r="J44" i="6" a="1"/>
  <c r="J44" i="6" s="1"/>
  <c r="S9" i="6"/>
  <c r="AF9" i="6"/>
  <c r="AE9" i="6"/>
  <c r="I9" i="6"/>
  <c r="J9" i="6"/>
  <c r="K9" i="6"/>
  <c r="L9" i="6"/>
  <c r="M9" i="6"/>
  <c r="N9" i="6"/>
  <c r="O9" i="6"/>
  <c r="P9" i="6"/>
  <c r="Q9" i="6"/>
  <c r="R9" i="6"/>
  <c r="T9" i="6"/>
  <c r="U9" i="6"/>
  <c r="V9" i="6"/>
  <c r="W9" i="6"/>
  <c r="X9" i="6"/>
  <c r="Y9" i="6"/>
  <c r="Z9" i="6"/>
  <c r="AA9" i="6"/>
  <c r="AB9" i="6"/>
  <c r="AC9" i="6"/>
  <c r="AD9" i="6"/>
  <c r="H9" i="6"/>
  <c r="N18" i="9"/>
  <c r="I44" i="6" a="1"/>
  <c r="I44" i="6" s="1"/>
  <c r="L44" i="6" a="1"/>
  <c r="L44" i="6" s="1"/>
  <c r="M44" i="6" a="1"/>
  <c r="M44" i="6" s="1"/>
  <c r="N44" i="6" a="1"/>
  <c r="N44" i="6" s="1"/>
  <c r="O44" i="6" a="1"/>
  <c r="O44" i="6" s="1"/>
  <c r="P44" i="6" a="1"/>
  <c r="P44" i="6" s="1"/>
  <c r="Q44" i="6" a="1"/>
  <c r="Q44" i="6" s="1"/>
  <c r="R44" i="6" a="1"/>
  <c r="R44" i="6" s="1"/>
  <c r="S44" i="6" a="1"/>
  <c r="S44" i="6" s="1"/>
  <c r="P18" i="9" s="1"/>
  <c r="T44" i="6" a="1"/>
  <c r="T44" i="6" s="1"/>
  <c r="U44" i="6" a="1"/>
  <c r="U44" i="6" s="1"/>
  <c r="V44" i="6" a="1"/>
  <c r="V44" i="6" s="1"/>
  <c r="W44" i="6" a="1"/>
  <c r="W44" i="6" s="1"/>
  <c r="X44" i="6" a="1"/>
  <c r="X44" i="6" s="1"/>
  <c r="Y44" i="6" a="1"/>
  <c r="Y44" i="6" s="1"/>
  <c r="Z44" i="6" a="1"/>
  <c r="Z44" i="6" s="1"/>
  <c r="W18" i="9" s="1"/>
  <c r="AA44" i="6" a="1"/>
  <c r="AA44" i="6" s="1"/>
  <c r="X18" i="9" s="1"/>
  <c r="AB44" i="6" a="1"/>
  <c r="AB44" i="6" s="1"/>
  <c r="AC44" i="6" a="1"/>
  <c r="AC44" i="6" s="1"/>
  <c r="AD44" i="6" a="1"/>
  <c r="AD44" i="6" s="1"/>
  <c r="AE44" i="6" a="1"/>
  <c r="AE44" i="6" s="1"/>
  <c r="AF44" i="6" a="1"/>
  <c r="AF44" i="6" s="1"/>
  <c r="H44" i="6" a="1"/>
  <c r="H44" i="6" s="1"/>
  <c r="E36" i="5"/>
  <c r="D36" i="5"/>
  <c r="C36" i="5"/>
  <c r="B36" i="5"/>
  <c r="E34" i="5"/>
  <c r="D34" i="5"/>
  <c r="C34" i="5"/>
  <c r="B34" i="5"/>
  <c r="E32" i="5"/>
  <c r="D32" i="5"/>
  <c r="C32" i="5"/>
  <c r="B32" i="5"/>
  <c r="E30" i="5"/>
  <c r="D30" i="5"/>
  <c r="C30" i="5"/>
  <c r="B30" i="5"/>
  <c r="E28" i="5"/>
  <c r="D28" i="5"/>
  <c r="C28" i="5"/>
  <c r="B28" i="5"/>
  <c r="E26" i="5"/>
  <c r="D26" i="5"/>
  <c r="C26" i="5"/>
  <c r="B26" i="5"/>
  <c r="E24" i="5"/>
  <c r="D24" i="5"/>
  <c r="C24" i="5"/>
  <c r="B24" i="5"/>
  <c r="E22" i="5"/>
  <c r="D22" i="5"/>
  <c r="C22" i="5"/>
  <c r="B22" i="5"/>
  <c r="E20" i="5"/>
  <c r="D20" i="5"/>
  <c r="C20" i="5"/>
  <c r="B20" i="5"/>
  <c r="E18" i="5"/>
  <c r="D18" i="5"/>
  <c r="C18" i="5"/>
  <c r="B18" i="5"/>
  <c r="E16" i="5"/>
  <c r="D16" i="5"/>
  <c r="C16" i="5"/>
  <c r="B16" i="5"/>
  <c r="E14" i="5"/>
  <c r="D14" i="5"/>
  <c r="C14" i="5"/>
  <c r="B14" i="5"/>
  <c r="B12" i="6"/>
  <c r="B13" i="6" s="1"/>
  <c r="C12" i="6"/>
  <c r="C13" i="6" s="1"/>
  <c r="D12" i="6"/>
  <c r="D13" i="6" s="1"/>
  <c r="E12" i="6"/>
  <c r="E13" i="6" s="1"/>
  <c r="B14" i="6"/>
  <c r="B15" i="6" s="1"/>
  <c r="C14" i="6"/>
  <c r="C15" i="6" s="1"/>
  <c r="D14" i="6"/>
  <c r="D15" i="6" s="1"/>
  <c r="E14" i="6"/>
  <c r="E15" i="6" s="1"/>
  <c r="B16" i="6"/>
  <c r="B17" i="6" s="1"/>
  <c r="C16" i="6"/>
  <c r="C17" i="6" s="1"/>
  <c r="D16" i="6"/>
  <c r="D17" i="6" s="1"/>
  <c r="E16" i="6"/>
  <c r="E17" i="6"/>
  <c r="B18" i="6"/>
  <c r="B19" i="6" s="1"/>
  <c r="C18" i="6"/>
  <c r="C19" i="6" s="1"/>
  <c r="D18" i="6"/>
  <c r="D19" i="6" s="1"/>
  <c r="E18" i="6"/>
  <c r="E19" i="6" s="1"/>
  <c r="B20" i="6"/>
  <c r="B21" i="6" s="1"/>
  <c r="C20" i="6"/>
  <c r="C21" i="6" s="1"/>
  <c r="D20" i="6"/>
  <c r="D21" i="6" s="1"/>
  <c r="E20" i="6"/>
  <c r="E21" i="6" s="1"/>
  <c r="B22" i="6"/>
  <c r="B23" i="6" s="1"/>
  <c r="C22" i="6"/>
  <c r="C23" i="6" s="1"/>
  <c r="D22" i="6"/>
  <c r="D23" i="6" s="1"/>
  <c r="E22" i="6"/>
  <c r="E23" i="6" s="1"/>
  <c r="B24" i="6"/>
  <c r="B25" i="6" s="1"/>
  <c r="C24" i="6"/>
  <c r="D24" i="6"/>
  <c r="D25" i="6" s="1"/>
  <c r="E24" i="6"/>
  <c r="E25" i="6" s="1"/>
  <c r="C25" i="6"/>
  <c r="B26" i="6"/>
  <c r="B27" i="6" s="1"/>
  <c r="C26" i="6"/>
  <c r="C27" i="6" s="1"/>
  <c r="D26" i="6"/>
  <c r="D27" i="6" s="1"/>
  <c r="E26" i="6"/>
  <c r="E27" i="6" s="1"/>
  <c r="B28" i="6"/>
  <c r="B29" i="6" s="1"/>
  <c r="C28" i="6"/>
  <c r="C29" i="6" s="1"/>
  <c r="D28" i="6"/>
  <c r="D29" i="6" s="1"/>
  <c r="E28" i="6"/>
  <c r="E29" i="6" s="1"/>
  <c r="B30" i="6"/>
  <c r="B31" i="6" s="1"/>
  <c r="C30" i="6"/>
  <c r="C31" i="6" s="1"/>
  <c r="D30" i="6"/>
  <c r="D31" i="6" s="1"/>
  <c r="E30" i="6"/>
  <c r="E31" i="6" s="1"/>
  <c r="B32" i="6"/>
  <c r="B33" i="6" s="1"/>
  <c r="C32" i="6"/>
  <c r="C33" i="6" s="1"/>
  <c r="D32" i="6"/>
  <c r="D33" i="6" s="1"/>
  <c r="E32" i="6"/>
  <c r="E33" i="6" s="1"/>
  <c r="B34" i="6"/>
  <c r="B35" i="6" s="1"/>
  <c r="C34" i="6"/>
  <c r="C35" i="6" s="1"/>
  <c r="D34" i="6"/>
  <c r="D35" i="6" s="1"/>
  <c r="E34" i="6"/>
  <c r="E35" i="6" s="1"/>
  <c r="B36" i="6"/>
  <c r="B37" i="6" s="1"/>
  <c r="C36" i="6"/>
  <c r="C37" i="6" s="1"/>
  <c r="D36" i="6"/>
  <c r="D37" i="6" s="1"/>
  <c r="E36" i="6"/>
  <c r="E37" i="6" s="1"/>
  <c r="B38" i="6"/>
  <c r="B39" i="6" s="1"/>
  <c r="C38" i="6"/>
  <c r="D38" i="6"/>
  <c r="D39" i="6" s="1"/>
  <c r="E38" i="6"/>
  <c r="E39" i="6" s="1"/>
  <c r="C39" i="6"/>
  <c r="E10" i="5"/>
  <c r="E12" i="5"/>
  <c r="D8" i="5"/>
  <c r="E8" i="5"/>
  <c r="D12" i="5"/>
  <c r="B10" i="5"/>
  <c r="C10" i="5"/>
  <c r="D10" i="5"/>
  <c r="B12" i="5"/>
  <c r="C12" i="5"/>
  <c r="C8" i="5"/>
  <c r="B8" i="5"/>
  <c r="AA18" i="9" l="1"/>
  <c r="S18" i="9"/>
  <c r="K18" i="9"/>
  <c r="F18" i="9"/>
  <c r="O18" i="9"/>
  <c r="AC18" i="9"/>
  <c r="V18" i="9"/>
  <c r="AB18" i="9"/>
  <c r="L18" i="9"/>
  <c r="T18" i="9"/>
  <c r="Y18" i="9"/>
  <c r="Z18" i="9"/>
  <c r="R18" i="9"/>
  <c r="U18" i="9"/>
  <c r="M18" i="9"/>
  <c r="J18" i="9"/>
  <c r="Q18" i="9"/>
  <c r="I18" i="9"/>
  <c r="G18" i="9"/>
  <c r="H18" i="9"/>
  <c r="E18" i="9"/>
  <c r="D8" i="12" l="1"/>
  <c r="C7" i="16"/>
  <c r="C8" i="16"/>
  <c r="C9" i="16"/>
  <c r="C10" i="16"/>
  <c r="C11" i="16"/>
  <c r="AF61" i="6"/>
  <c r="V61"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D6" i="16"/>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E16" i="16"/>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C31" i="16"/>
  <c r="C29" i="16"/>
  <c r="C28" i="16"/>
  <c r="C27" i="16"/>
  <c r="C21" i="16"/>
  <c r="C19" i="16"/>
  <c r="C18" i="16"/>
  <c r="C17" i="16"/>
  <c r="D2" i="16"/>
  <c r="C2" i="16"/>
  <c r="E6" i="16"/>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E77" i="6"/>
  <c r="AF77" i="6"/>
  <c r="AE61"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M12" i="3" l="1"/>
  <c r="G7" i="3"/>
  <c r="N12"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I77" i="6"/>
  <c r="H77" i="6"/>
  <c r="Q61" i="6"/>
  <c r="F9" i="6"/>
  <c r="D42" i="9"/>
  <c r="D43" i="9" s="1"/>
  <c r="E43" i="9" s="1"/>
  <c r="F43" i="9" s="1"/>
  <c r="G43" i="9" s="1"/>
  <c r="H43" i="9" s="1"/>
  <c r="I43" i="9" s="1"/>
  <c r="J43" i="9" s="1"/>
  <c r="K43" i="9" s="1"/>
  <c r="L43" i="9" s="1"/>
  <c r="M43" i="9" s="1"/>
  <c r="N43" i="9" l="1"/>
  <c r="O43" i="9" s="1"/>
  <c r="P43" i="9" s="1"/>
  <c r="Q43" i="9" s="1"/>
  <c r="R43" i="9" s="1"/>
  <c r="S43" i="9" s="1"/>
  <c r="T43" i="9" s="1"/>
  <c r="U43" i="9" s="1"/>
  <c r="V43" i="9" s="1"/>
  <c r="W43" i="9" s="1"/>
  <c r="X43" i="9" s="1"/>
  <c r="Y43" i="9" s="1"/>
  <c r="Z43" i="9" s="1"/>
  <c r="AA43" i="9" s="1"/>
  <c r="AB43" i="9" s="1"/>
  <c r="AC43" i="9" s="1"/>
  <c r="F8" i="10"/>
  <c r="D30" i="9"/>
  <c r="D17" i="12" l="1"/>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D10" i="6"/>
  <c r="E10" i="6"/>
  <c r="E11" i="6" s="1"/>
  <c r="C10" i="6"/>
  <c r="C11" i="6" s="1"/>
  <c r="B10" i="6"/>
  <c r="B11" i="6" s="1"/>
  <c r="D36" i="9"/>
  <c r="D35" i="9"/>
  <c r="D32" i="9"/>
  <c r="D31" i="9"/>
  <c r="AC40" i="9"/>
  <c r="D11" i="6" l="1"/>
  <c r="X41" i="6" a="1"/>
  <c r="X41" i="6" s="1"/>
  <c r="V41" i="6" a="1"/>
  <c r="V41" i="6" s="1"/>
  <c r="N41" i="6" a="1"/>
  <c r="N41" i="6" s="1"/>
  <c r="AE40" i="6" a="1"/>
  <c r="AE40" i="6" s="1"/>
  <c r="J40" i="6" a="1"/>
  <c r="J40" i="6" s="1"/>
  <c r="S40" i="6" a="1"/>
  <c r="S40" i="6" s="1"/>
  <c r="Q41" i="6" a="1"/>
  <c r="Q41" i="6" s="1"/>
  <c r="P41" i="6" a="1"/>
  <c r="P41" i="6" s="1"/>
  <c r="M41" i="6" a="1"/>
  <c r="M41" i="6" s="1"/>
  <c r="W40" i="6" a="1"/>
  <c r="W40" i="6" s="1"/>
  <c r="AC40" i="6" a="1"/>
  <c r="AC40" i="6" s="1"/>
  <c r="T40" i="6" a="1"/>
  <c r="T40" i="6" s="1"/>
  <c r="K41" i="6" a="1"/>
  <c r="K41" i="6" s="1"/>
  <c r="I41" i="6" a="1"/>
  <c r="I41" i="6" s="1"/>
  <c r="T41" i="6" a="1"/>
  <c r="T41" i="6" s="1"/>
  <c r="Q40" i="6" a="1"/>
  <c r="Q40" i="6" s="1"/>
  <c r="AB40" i="6" a="1"/>
  <c r="AB40" i="6" s="1"/>
  <c r="N40" i="6" a="1"/>
  <c r="N40" i="6" s="1"/>
  <c r="R41" i="6" a="1"/>
  <c r="R41" i="6" s="1"/>
  <c r="O41" i="6" a="1"/>
  <c r="O41" i="6" s="1"/>
  <c r="AF41" i="6" a="1"/>
  <c r="AF41" i="6" s="1"/>
  <c r="Y40" i="6" a="1"/>
  <c r="Y40" i="6" s="1"/>
  <c r="U40" i="6" a="1"/>
  <c r="U40" i="6" s="1"/>
  <c r="I40" i="6" a="1"/>
  <c r="I40" i="6" s="1"/>
  <c r="M40" i="6" a="1"/>
  <c r="M40" i="6" s="1"/>
  <c r="AC41" i="6" a="1"/>
  <c r="AC41" i="6" s="1"/>
  <c r="AE41" i="6" a="1"/>
  <c r="AE41" i="6" s="1"/>
  <c r="Y41" i="6" a="1"/>
  <c r="Y41" i="6" s="1"/>
  <c r="X40" i="6" a="1"/>
  <c r="X40" i="6" s="1"/>
  <c r="L40" i="6" a="1"/>
  <c r="L40" i="6" s="1"/>
  <c r="Z40" i="6" a="1"/>
  <c r="Z40" i="6" s="1"/>
  <c r="L41" i="6" a="1"/>
  <c r="L41" i="6" s="1"/>
  <c r="W41" i="6" a="1"/>
  <c r="W41" i="6" s="1"/>
  <c r="AB41" i="6" a="1"/>
  <c r="AB41" i="6" s="1"/>
  <c r="S41" i="6" a="1"/>
  <c r="S41" i="6" s="1"/>
  <c r="K40" i="6" a="1"/>
  <c r="K40" i="6" s="1"/>
  <c r="V40" i="6" a="1"/>
  <c r="V40" i="6" s="1"/>
  <c r="H41" i="6" a="1"/>
  <c r="H41" i="6" s="1"/>
  <c r="J41" i="6" a="1"/>
  <c r="J41" i="6" s="1"/>
  <c r="U41" i="6" a="1"/>
  <c r="U41" i="6" s="1"/>
  <c r="AF40" i="6" a="1"/>
  <c r="AF40" i="6" s="1"/>
  <c r="AD40" i="6" a="1"/>
  <c r="AD40" i="6" s="1"/>
  <c r="O40" i="6" a="1"/>
  <c r="O40" i="6" s="1"/>
  <c r="AD41" i="6" a="1"/>
  <c r="AD41" i="6" s="1"/>
  <c r="Z41" i="6" a="1"/>
  <c r="Z41" i="6" s="1"/>
  <c r="AA41" i="6" a="1"/>
  <c r="AA41" i="6" s="1"/>
  <c r="R40" i="6" a="1"/>
  <c r="R40" i="6" s="1"/>
  <c r="P40" i="6" a="1"/>
  <c r="P40" i="6" s="1"/>
  <c r="H40" i="6" a="1"/>
  <c r="H40" i="6" s="1"/>
  <c r="AA40" i="6" a="1"/>
  <c r="AA40" i="6" s="1"/>
  <c r="D37" i="9"/>
  <c r="D38" i="9"/>
  <c r="F41" i="12"/>
  <c r="M26" i="3" l="1"/>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H8" i="10"/>
  <c r="G8" i="10"/>
  <c r="H46" i="6"/>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H52" i="6"/>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D61" i="6"/>
  <c r="AC61" i="6"/>
  <c r="AB61" i="6"/>
  <c r="AA61" i="6"/>
  <c r="Z61" i="6"/>
  <c r="Y61" i="6"/>
  <c r="X61" i="6"/>
  <c r="W61" i="6"/>
  <c r="U61" i="6"/>
  <c r="T61" i="6"/>
  <c r="S61" i="6"/>
  <c r="R61" i="6"/>
  <c r="P61" i="6"/>
  <c r="O61" i="6"/>
  <c r="N61" i="6"/>
  <c r="M61" i="6"/>
  <c r="L61" i="6"/>
  <c r="K61" i="6"/>
  <c r="J61" i="6"/>
  <c r="I61" i="6"/>
  <c r="H61" i="6"/>
  <c r="H66" i="6"/>
  <c r="I66" i="6" s="1"/>
  <c r="J66" i="6" s="1"/>
  <c r="K66" i="6" s="1"/>
  <c r="L66" i="6" s="1"/>
  <c r="M66" i="6" s="1"/>
  <c r="N66" i="6" s="1"/>
  <c r="O66" i="6" s="1"/>
  <c r="P66" i="6" s="1"/>
  <c r="Q66" i="6" s="1"/>
  <c r="R66" i="6" s="1"/>
  <c r="S66" i="6" s="1"/>
  <c r="T66" i="6" s="1"/>
  <c r="U66" i="6" s="1"/>
  <c r="V66" i="6" s="1"/>
  <c r="W66" i="6" s="1"/>
  <c r="X66" i="6" s="1"/>
  <c r="Y66" i="6" s="1"/>
  <c r="Z66" i="6" s="1"/>
  <c r="AA66" i="6" s="1"/>
  <c r="AB66" i="6" s="1"/>
  <c r="AC66" i="6" s="1"/>
  <c r="AD66" i="6" s="1"/>
  <c r="AE66" i="6" s="1"/>
  <c r="AF66" i="6" s="1"/>
  <c r="J77" i="6"/>
  <c r="K77" i="6"/>
  <c r="L77" i="6"/>
  <c r="M77" i="6"/>
  <c r="N77" i="6"/>
  <c r="O77" i="6"/>
  <c r="P77" i="6"/>
  <c r="Q77" i="6"/>
  <c r="R77" i="6"/>
  <c r="S77" i="6"/>
  <c r="T77" i="6"/>
  <c r="U77" i="6"/>
  <c r="V77" i="6"/>
  <c r="W77" i="6"/>
  <c r="X77" i="6"/>
  <c r="Y77" i="6"/>
  <c r="Z77" i="6"/>
  <c r="AA77" i="6"/>
  <c r="AB77" i="6"/>
  <c r="AC77" i="6"/>
  <c r="AD77" i="6"/>
  <c r="E5" i="9"/>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O35" i="3"/>
  <c r="O34" i="3"/>
  <c r="O33" i="3"/>
  <c r="O32" i="3"/>
  <c r="O31" i="3"/>
  <c r="O30" i="3"/>
  <c r="O29" i="3"/>
  <c r="O28" i="3"/>
  <c r="O27" i="3"/>
  <c r="O26" i="3"/>
  <c r="O25" i="3"/>
  <c r="O24" i="3"/>
  <c r="O23" i="3"/>
  <c r="O22" i="3"/>
  <c r="O21" i="3"/>
  <c r="O20" i="3"/>
  <c r="O19" i="3"/>
  <c r="O18" i="3"/>
  <c r="O17" i="3"/>
  <c r="O16" i="3"/>
  <c r="AA26" i="3"/>
  <c r="L36" i="3"/>
  <c r="L7" i="3" s="1"/>
  <c r="K36" i="3"/>
  <c r="K7" i="3" s="1"/>
  <c r="J36" i="3"/>
  <c r="J7" i="3" s="1"/>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H8" i="6"/>
  <c r="G6" i="5"/>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AE6" i="5" s="1"/>
  <c r="C2" i="5"/>
  <c r="M35" i="3"/>
  <c r="M18" i="3"/>
  <c r="M19" i="3"/>
  <c r="M27" i="3"/>
  <c r="M31" i="3"/>
  <c r="M33" i="3"/>
  <c r="M34" i="3"/>
  <c r="I6" i="10"/>
  <c r="H6" i="10"/>
  <c r="G6" i="10"/>
  <c r="F6" i="10"/>
  <c r="M7" i="3" l="1"/>
  <c r="J8" i="10"/>
  <c r="H7" i="6"/>
  <c r="I41" i="12"/>
  <c r="I8" i="10"/>
  <c r="I8" i="6"/>
  <c r="J8" i="6" s="1"/>
  <c r="K8" i="6" s="1"/>
  <c r="L8" i="6" s="1"/>
  <c r="M8" i="6" s="1"/>
  <c r="N8" i="6" s="1"/>
  <c r="O8" i="6" s="1"/>
  <c r="P8" i="6" s="1"/>
  <c r="Q8" i="6" s="1"/>
  <c r="R8" i="6" s="1"/>
  <c r="S8" i="6" s="1"/>
  <c r="T8" i="6" s="1"/>
  <c r="U8" i="6" s="1"/>
  <c r="V8" i="6" s="1"/>
  <c r="W8" i="6" s="1"/>
  <c r="X8" i="6" s="1"/>
  <c r="Y8" i="6" s="1"/>
  <c r="Z8" i="6" s="1"/>
  <c r="AA8" i="6" s="1"/>
  <c r="AB8" i="6" s="1"/>
  <c r="AC8" i="6" s="1"/>
  <c r="AD8" i="6" s="1"/>
  <c r="E4" i="9"/>
  <c r="AA16" i="3"/>
  <c r="O12" i="3"/>
  <c r="AA17" i="3"/>
  <c r="W16" i="3"/>
  <c r="J6" i="10"/>
  <c r="W17" i="3"/>
  <c r="E6" i="10"/>
  <c r="D6" i="10"/>
  <c r="F5" i="9"/>
  <c r="F4" i="9" s="1"/>
  <c r="E40" i="9" s="1"/>
  <c r="E30" i="9" s="1"/>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M8" i="3" l="1"/>
  <c r="O7" i="3"/>
  <c r="N7" i="3"/>
  <c r="E31" i="9"/>
  <c r="AE8" i="6"/>
  <c r="K6" i="10"/>
  <c r="L6" i="10" s="1"/>
  <c r="E32" i="9"/>
  <c r="E8" i="10"/>
  <c r="K8" i="10" s="1"/>
  <c r="N6" i="10"/>
  <c r="M6" i="10"/>
  <c r="E35" i="9"/>
  <c r="E23" i="9" s="1"/>
  <c r="E36" i="9"/>
  <c r="E24" i="9" s="1"/>
  <c r="E33" i="9"/>
  <c r="E21" i="9" s="1"/>
  <c r="E34" i="9"/>
  <c r="E22" i="9" s="1"/>
  <c r="K7" i="6"/>
  <c r="I7" i="6"/>
  <c r="AD7" i="6"/>
  <c r="P7" i="6"/>
  <c r="V7" i="6"/>
  <c r="X7" i="6"/>
  <c r="M7" i="6"/>
  <c r="U7" i="6"/>
  <c r="J7" i="6"/>
  <c r="AB7" i="6"/>
  <c r="W7" i="6"/>
  <c r="T7" i="6"/>
  <c r="Y7" i="6"/>
  <c r="AC7" i="6"/>
  <c r="S7" i="6"/>
  <c r="Q7" i="6"/>
  <c r="R7" i="6"/>
  <c r="O7" i="6"/>
  <c r="L7" i="6"/>
  <c r="Z7" i="6"/>
  <c r="N7" i="6"/>
  <c r="AA7" i="6"/>
  <c r="F9" i="9"/>
  <c r="G5" i="9"/>
  <c r="G4" i="9" s="1"/>
  <c r="U16" i="3"/>
  <c r="D48" i="6"/>
  <c r="E48" i="6" s="1"/>
  <c r="H7" i="10"/>
  <c r="H9" i="10" s="1"/>
  <c r="F64" i="6"/>
  <c r="J64" i="6" s="1"/>
  <c r="J7" i="10"/>
  <c r="J9" i="10" s="1"/>
  <c r="D47" i="6"/>
  <c r="E47" i="6" s="1"/>
  <c r="G7" i="10"/>
  <c r="G9" i="10" s="1"/>
  <c r="E7" i="10"/>
  <c r="F5" i="6"/>
  <c r="J5" i="6" s="1"/>
  <c r="F50" i="6"/>
  <c r="J50" i="6" s="1"/>
  <c r="I7" i="10"/>
  <c r="I9" i="10" s="1"/>
  <c r="F8" i="3"/>
  <c r="F9" i="10"/>
  <c r="F12" i="9"/>
  <c r="F7" i="9"/>
  <c r="F8" i="9"/>
  <c r="F6" i="9"/>
  <c r="F11" i="9"/>
  <c r="F10" i="9"/>
  <c r="E13" i="9"/>
  <c r="E15" i="9" s="1"/>
  <c r="U24" i="3"/>
  <c r="U32" i="3"/>
  <c r="U23" i="3"/>
  <c r="U25" i="3"/>
  <c r="U21" i="3"/>
  <c r="U20" i="3"/>
  <c r="U22" i="3"/>
  <c r="U30" i="3"/>
  <c r="U28" i="3"/>
  <c r="U29" i="3"/>
  <c r="D15" i="9"/>
  <c r="C37" i="1"/>
  <c r="N8" i="3" l="1"/>
  <c r="N5" i="6"/>
  <c r="E37" i="9"/>
  <c r="AF8" i="6"/>
  <c r="AF7" i="6" s="1"/>
  <c r="AE7" i="6"/>
  <c r="F31" i="9"/>
  <c r="F19" i="9" s="1"/>
  <c r="E19" i="9"/>
  <c r="E20" i="9"/>
  <c r="E25" i="9" s="1"/>
  <c r="F32" i="9"/>
  <c r="F40" i="9"/>
  <c r="F30" i="9" s="1"/>
  <c r="G6" i="9"/>
  <c r="G10" i="9"/>
  <c r="G12" i="9"/>
  <c r="F34" i="9"/>
  <c r="G34" i="9" s="1"/>
  <c r="G22" i="9" s="1"/>
  <c r="G8" i="9"/>
  <c r="F36" i="9"/>
  <c r="G36" i="9" s="1"/>
  <c r="G24" i="9" s="1"/>
  <c r="F35" i="9"/>
  <c r="F23" i="9" s="1"/>
  <c r="F33" i="9"/>
  <c r="G33" i="9" s="1"/>
  <c r="G21" i="9" s="1"/>
  <c r="H5" i="9"/>
  <c r="H4" i="9" s="1"/>
  <c r="G7" i="9"/>
  <c r="G11" i="9"/>
  <c r="G9" i="9"/>
  <c r="E5" i="12"/>
  <c r="J5" i="12" s="1"/>
  <c r="P8" i="3" a="1"/>
  <c r="P8" i="3" s="1"/>
  <c r="K7" i="10"/>
  <c r="D7" i="10"/>
  <c r="D8" i="10" s="1"/>
  <c r="M8" i="10" s="1"/>
  <c r="O8" i="3"/>
  <c r="E9" i="10"/>
  <c r="F13" i="9"/>
  <c r="F14" i="9" s="1"/>
  <c r="E14" i="9"/>
  <c r="U34" i="3"/>
  <c r="U31" i="3"/>
  <c r="U17" i="3"/>
  <c r="U27" i="3"/>
  <c r="U19" i="3"/>
  <c r="U35" i="3"/>
  <c r="U33" i="3"/>
  <c r="U26" i="3"/>
  <c r="U18" i="3"/>
  <c r="M2" i="9" l="1"/>
  <c r="F14" i="10"/>
  <c r="E38" i="9"/>
  <c r="F20" i="9"/>
  <c r="F37" i="9"/>
  <c r="L8" i="10"/>
  <c r="G31" i="9"/>
  <c r="G19" i="9" s="1"/>
  <c r="G40" i="9"/>
  <c r="G30" i="9" s="1"/>
  <c r="E44" i="9"/>
  <c r="D9" i="10"/>
  <c r="H6" i="9"/>
  <c r="H11" i="9"/>
  <c r="G35" i="9"/>
  <c r="G23" i="9" s="1"/>
  <c r="H8" i="9"/>
  <c r="I5" i="9"/>
  <c r="I4" i="9" s="1"/>
  <c r="H7" i="9"/>
  <c r="H12" i="9"/>
  <c r="F22" i="9"/>
  <c r="H10" i="9"/>
  <c r="F21" i="9"/>
  <c r="F24" i="9"/>
  <c r="G13" i="9"/>
  <c r="G15" i="9" s="1"/>
  <c r="H9" i="9"/>
  <c r="I9" i="9" s="1"/>
  <c r="N8" i="10"/>
  <c r="G32" i="9"/>
  <c r="L7" i="10"/>
  <c r="K9" i="10"/>
  <c r="H33" i="9"/>
  <c r="H21" i="9" s="1"/>
  <c r="H36" i="9"/>
  <c r="H24" i="9" s="1"/>
  <c r="H34" i="9"/>
  <c r="H22" i="9" s="1"/>
  <c r="F15" i="9"/>
  <c r="I10" i="9" l="1"/>
  <c r="F44" i="9"/>
  <c r="F27" i="9"/>
  <c r="E26" i="9"/>
  <c r="E27" i="9"/>
  <c r="G20" i="9"/>
  <c r="G25" i="9" s="1"/>
  <c r="G37" i="9"/>
  <c r="H31" i="9"/>
  <c r="I31" i="9" s="1"/>
  <c r="I19" i="9" s="1"/>
  <c r="H40" i="9"/>
  <c r="H30" i="9" s="1"/>
  <c r="I11" i="9"/>
  <c r="I7" i="9"/>
  <c r="I12" i="9"/>
  <c r="I8" i="9"/>
  <c r="H35" i="9"/>
  <c r="H23" i="9" s="1"/>
  <c r="I6" i="9"/>
  <c r="J5" i="9"/>
  <c r="J4" i="9" s="1"/>
  <c r="G14" i="9"/>
  <c r="G44" i="9" s="1"/>
  <c r="F25" i="9"/>
  <c r="H13" i="9"/>
  <c r="H15" i="9" s="1"/>
  <c r="L9" i="10"/>
  <c r="F38" i="9"/>
  <c r="H32" i="9"/>
  <c r="I33" i="9"/>
  <c r="I21" i="9" s="1"/>
  <c r="I36" i="9"/>
  <c r="I24" i="9" s="1"/>
  <c r="I34" i="9"/>
  <c r="I22" i="9" s="1"/>
  <c r="H20" i="9" l="1"/>
  <c r="H25" i="9" s="1"/>
  <c r="H37" i="9"/>
  <c r="H19" i="9"/>
  <c r="I40" i="9"/>
  <c r="I30" i="9" s="1"/>
  <c r="I35" i="9"/>
  <c r="I23" i="9" s="1"/>
  <c r="I13" i="9"/>
  <c r="I15" i="9" s="1"/>
  <c r="J11" i="9"/>
  <c r="J6" i="9"/>
  <c r="J7" i="9"/>
  <c r="J9" i="9"/>
  <c r="J31" i="9"/>
  <c r="J19" i="9" s="1"/>
  <c r="K5" i="9"/>
  <c r="K4" i="9" s="1"/>
  <c r="J10" i="9"/>
  <c r="J12" i="9"/>
  <c r="J8" i="9"/>
  <c r="H14" i="9"/>
  <c r="H44" i="9" s="1"/>
  <c r="I32" i="9"/>
  <c r="F26" i="9"/>
  <c r="G38" i="9"/>
  <c r="G27" i="9"/>
  <c r="J33" i="9"/>
  <c r="J21" i="9" s="1"/>
  <c r="J36" i="9"/>
  <c r="J24" i="9" s="1"/>
  <c r="J34" i="9"/>
  <c r="J22" i="9" s="1"/>
  <c r="I20" i="9" l="1"/>
  <c r="I25" i="9" s="1"/>
  <c r="I37" i="9"/>
  <c r="J40" i="9"/>
  <c r="J30" i="9" s="1"/>
  <c r="K6" i="9"/>
  <c r="K8" i="9"/>
  <c r="K11" i="9"/>
  <c r="K9" i="9"/>
  <c r="K7" i="9"/>
  <c r="K12" i="9"/>
  <c r="L5" i="9"/>
  <c r="L4" i="9" s="1"/>
  <c r="J35" i="9"/>
  <c r="J23" i="9" s="1"/>
  <c r="I14" i="9"/>
  <c r="I44" i="9" s="1"/>
  <c r="K10" i="9"/>
  <c r="J13" i="9"/>
  <c r="J14" i="9" s="1"/>
  <c r="K31" i="9"/>
  <c r="K19" i="9" s="1"/>
  <c r="H26" i="9"/>
  <c r="J32" i="9"/>
  <c r="H38" i="9"/>
  <c r="G26" i="9"/>
  <c r="K36" i="9"/>
  <c r="K24" i="9" s="1"/>
  <c r="K33" i="9"/>
  <c r="K21" i="9" s="1"/>
  <c r="K34" i="9"/>
  <c r="K22" i="9" s="1"/>
  <c r="J20" i="9" l="1"/>
  <c r="J25" i="9" s="1"/>
  <c r="J37" i="9"/>
  <c r="L7" i="9"/>
  <c r="K40" i="9"/>
  <c r="K30" i="9" s="1"/>
  <c r="L6" i="9"/>
  <c r="L10" i="9"/>
  <c r="L31" i="9"/>
  <c r="L19" i="9" s="1"/>
  <c r="M5" i="9"/>
  <c r="M4" i="9" s="1"/>
  <c r="L11" i="9"/>
  <c r="L8" i="9"/>
  <c r="L9" i="9"/>
  <c r="L12" i="9"/>
  <c r="K35" i="9"/>
  <c r="K23" i="9" s="1"/>
  <c r="K13" i="9"/>
  <c r="K15" i="9" s="1"/>
  <c r="J15" i="9"/>
  <c r="H27" i="9"/>
  <c r="J44" i="9"/>
  <c r="I26" i="9"/>
  <c r="K32" i="9"/>
  <c r="I38" i="9"/>
  <c r="L33" i="9"/>
  <c r="L21" i="9" s="1"/>
  <c r="L36" i="9"/>
  <c r="L24" i="9" s="1"/>
  <c r="L34" i="9"/>
  <c r="L22" i="9" s="1"/>
  <c r="M8" i="9" l="1"/>
  <c r="K20" i="9"/>
  <c r="K25" i="9" s="1"/>
  <c r="K37" i="9"/>
  <c r="M10" i="9"/>
  <c r="M12" i="9"/>
  <c r="M9" i="9"/>
  <c r="M31" i="9"/>
  <c r="M19" i="9" s="1"/>
  <c r="M6" i="9"/>
  <c r="N5" i="9"/>
  <c r="N4" i="9" s="1"/>
  <c r="M11" i="9"/>
  <c r="M7" i="9"/>
  <c r="L40" i="9"/>
  <c r="L30" i="9" s="1"/>
  <c r="L13" i="9"/>
  <c r="L15" i="9" s="1"/>
  <c r="L35" i="9"/>
  <c r="L23" i="9" s="1"/>
  <c r="K14" i="9"/>
  <c r="K44" i="9" s="1"/>
  <c r="I27" i="9"/>
  <c r="L32" i="9"/>
  <c r="J38" i="9"/>
  <c r="M33" i="9"/>
  <c r="M21" i="9" s="1"/>
  <c r="M36" i="9"/>
  <c r="M24" i="9" s="1"/>
  <c r="M34" i="9"/>
  <c r="M22" i="9" s="1"/>
  <c r="M40" i="9" l="1"/>
  <c r="M30" i="9" s="1"/>
  <c r="L20" i="9"/>
  <c r="L25" i="9" s="1"/>
  <c r="L37" i="9"/>
  <c r="N6" i="9"/>
  <c r="N9" i="9"/>
  <c r="N7" i="9"/>
  <c r="N12" i="9"/>
  <c r="M13" i="9"/>
  <c r="M14" i="9" s="1"/>
  <c r="O5" i="9"/>
  <c r="O4" i="9" s="1"/>
  <c r="N8" i="9"/>
  <c r="N10" i="9"/>
  <c r="N11" i="9"/>
  <c r="L14" i="9"/>
  <c r="L44" i="9" s="1"/>
  <c r="N31" i="9"/>
  <c r="M35" i="9"/>
  <c r="M23" i="9" s="1"/>
  <c r="J26" i="9"/>
  <c r="J27" i="9"/>
  <c r="M32" i="9"/>
  <c r="K38" i="9"/>
  <c r="N33" i="9"/>
  <c r="N21" i="9" s="1"/>
  <c r="N36" i="9"/>
  <c r="N24" i="9" s="1"/>
  <c r="N34" i="9"/>
  <c r="N22" i="9" s="1"/>
  <c r="O9" i="9" l="1"/>
  <c r="M15" i="9"/>
  <c r="P5" i="9"/>
  <c r="P4" i="9" s="1"/>
  <c r="M20" i="9"/>
  <c r="M25" i="9" s="1"/>
  <c r="M37" i="9"/>
  <c r="N40" i="9"/>
  <c r="N30" i="9" s="1"/>
  <c r="O10" i="9"/>
  <c r="O6" i="9"/>
  <c r="O8" i="9"/>
  <c r="O12" i="9"/>
  <c r="O11" i="9"/>
  <c r="P11" i="9" s="1"/>
  <c r="O7" i="9"/>
  <c r="O31" i="9"/>
  <c r="O19" i="9" s="1"/>
  <c r="N19" i="9"/>
  <c r="N13" i="9"/>
  <c r="N14" i="9" s="1"/>
  <c r="M44" i="9"/>
  <c r="N35" i="9"/>
  <c r="N23" i="9" s="1"/>
  <c r="L38" i="9"/>
  <c r="L27" i="9"/>
  <c r="K26" i="9"/>
  <c r="N32" i="9"/>
  <c r="K27" i="9"/>
  <c r="O33" i="9"/>
  <c r="O21" i="9" s="1"/>
  <c r="O36" i="9"/>
  <c r="O24" i="9" s="1"/>
  <c r="O34" i="9"/>
  <c r="O22" i="9" s="1"/>
  <c r="P9" i="9" l="1"/>
  <c r="Q9" i="9" s="1"/>
  <c r="P12" i="9"/>
  <c r="Q12" i="9" s="1"/>
  <c r="P8" i="9"/>
  <c r="Q8" i="9" s="1"/>
  <c r="Q5" i="9"/>
  <c r="Q4" i="9" s="1"/>
  <c r="P7" i="9"/>
  <c r="Q7" i="9" s="1"/>
  <c r="N20" i="9"/>
  <c r="N25" i="9" s="1"/>
  <c r="N37" i="9"/>
  <c r="O40" i="9"/>
  <c r="O30" i="9" s="1"/>
  <c r="P6" i="9"/>
  <c r="O13" i="9"/>
  <c r="O14" i="9" s="1"/>
  <c r="P10" i="9"/>
  <c r="N15" i="9"/>
  <c r="P31" i="9"/>
  <c r="P19" i="9" s="1"/>
  <c r="M38" i="9"/>
  <c r="O35" i="9"/>
  <c r="O23" i="9" s="1"/>
  <c r="M27" i="9"/>
  <c r="L26" i="9"/>
  <c r="P36" i="9"/>
  <c r="P24" i="9" s="1"/>
  <c r="N44" i="9"/>
  <c r="O32" i="9"/>
  <c r="P33" i="9"/>
  <c r="P21" i="9" s="1"/>
  <c r="P34" i="9"/>
  <c r="P22" i="9" s="1"/>
  <c r="Q11" i="9"/>
  <c r="R5" i="9"/>
  <c r="R4" i="9" s="1"/>
  <c r="O15" i="9" l="1"/>
  <c r="P40" i="9"/>
  <c r="P30" i="9" s="1"/>
  <c r="P13" i="9"/>
  <c r="P14" i="9" s="1"/>
  <c r="O20" i="9"/>
  <c r="O25" i="9" s="1"/>
  <c r="O37" i="9"/>
  <c r="Q10" i="9"/>
  <c r="R10" i="9" s="1"/>
  <c r="Q6" i="9"/>
  <c r="Q31" i="9"/>
  <c r="Q19" i="9" s="1"/>
  <c r="M26" i="9"/>
  <c r="P35" i="9"/>
  <c r="P23" i="9" s="1"/>
  <c r="Q36" i="9"/>
  <c r="Q24" i="9" s="1"/>
  <c r="Q33" i="9"/>
  <c r="Q21" i="9" s="1"/>
  <c r="N38" i="9"/>
  <c r="O44" i="9"/>
  <c r="P32" i="9"/>
  <c r="Q34" i="9"/>
  <c r="Q22" i="9" s="1"/>
  <c r="R7" i="9"/>
  <c r="R11" i="9"/>
  <c r="R9" i="9"/>
  <c r="R8" i="9"/>
  <c r="R12" i="9"/>
  <c r="S5" i="9"/>
  <c r="S4" i="9" s="1"/>
  <c r="P15" i="9" l="1"/>
  <c r="P20" i="9"/>
  <c r="P25" i="9" s="1"/>
  <c r="P37" i="9"/>
  <c r="Q40" i="9"/>
  <c r="Q30" i="9" s="1"/>
  <c r="R6" i="9"/>
  <c r="S6" i="9" s="1"/>
  <c r="Q13" i="9"/>
  <c r="Q14" i="9" s="1"/>
  <c r="R31" i="9"/>
  <c r="R19" i="9" s="1"/>
  <c r="Q35" i="9"/>
  <c r="Q23" i="9" s="1"/>
  <c r="R36" i="9"/>
  <c r="R24" i="9" s="1"/>
  <c r="R33" i="9"/>
  <c r="R21" i="9" s="1"/>
  <c r="P44" i="9"/>
  <c r="Q32" i="9"/>
  <c r="N27" i="9"/>
  <c r="N26" i="9"/>
  <c r="O38" i="9"/>
  <c r="O26" i="9"/>
  <c r="R34" i="9"/>
  <c r="R22" i="9" s="1"/>
  <c r="S9" i="9"/>
  <c r="S11" i="9"/>
  <c r="S10" i="9"/>
  <c r="S8" i="9"/>
  <c r="R13" i="9"/>
  <c r="S12" i="9"/>
  <c r="S7" i="9"/>
  <c r="T5" i="9"/>
  <c r="T4" i="9" s="1"/>
  <c r="Q20" i="9" l="1"/>
  <c r="Q25" i="9" s="1"/>
  <c r="Q37" i="9"/>
  <c r="Q15" i="9"/>
  <c r="R14" i="9"/>
  <c r="R40" i="9"/>
  <c r="R30" i="9" s="1"/>
  <c r="S31" i="9"/>
  <c r="S19" i="9" s="1"/>
  <c r="R35" i="9"/>
  <c r="R23" i="9" s="1"/>
  <c r="S40" i="9"/>
  <c r="S36" i="9"/>
  <c r="S24" i="9" s="1"/>
  <c r="S33" i="9"/>
  <c r="S21" i="9" s="1"/>
  <c r="P38" i="9"/>
  <c r="P27" i="9"/>
  <c r="O27" i="9"/>
  <c r="R32" i="9"/>
  <c r="Q38" i="9"/>
  <c r="S34" i="9"/>
  <c r="S22" i="9" s="1"/>
  <c r="T7" i="9"/>
  <c r="T12" i="9"/>
  <c r="T11" i="9"/>
  <c r="T8" i="9"/>
  <c r="S13" i="9"/>
  <c r="S15" i="9" s="1"/>
  <c r="T9" i="9"/>
  <c r="T10" i="9"/>
  <c r="R15" i="9"/>
  <c r="T6" i="9"/>
  <c r="U5" i="9"/>
  <c r="U4" i="9" s="1"/>
  <c r="S30" i="9" l="1"/>
  <c r="R20" i="9"/>
  <c r="R25" i="9" s="1"/>
  <c r="R37" i="9"/>
  <c r="T31" i="9"/>
  <c r="T19" i="9" s="1"/>
  <c r="S35" i="9"/>
  <c r="S23" i="9" s="1"/>
  <c r="T40" i="9"/>
  <c r="T36" i="9"/>
  <c r="T24" i="9" s="1"/>
  <c r="T33" i="9"/>
  <c r="T21" i="9" s="1"/>
  <c r="P26" i="9"/>
  <c r="Q44" i="9"/>
  <c r="S32" i="9"/>
  <c r="R44" i="9"/>
  <c r="T34" i="9"/>
  <c r="T22" i="9" s="1"/>
  <c r="S14" i="9"/>
  <c r="U6" i="9"/>
  <c r="U9" i="9"/>
  <c r="U7" i="9"/>
  <c r="U11" i="9"/>
  <c r="U10" i="9"/>
  <c r="T13" i="9"/>
  <c r="T14" i="9" s="1"/>
  <c r="U8" i="9"/>
  <c r="U12" i="9"/>
  <c r="V5" i="9"/>
  <c r="V4" i="9" s="1"/>
  <c r="T30" i="9" l="1"/>
  <c r="S20" i="9"/>
  <c r="S25" i="9" s="1"/>
  <c r="S37" i="9"/>
  <c r="U31" i="9"/>
  <c r="U19" i="9" s="1"/>
  <c r="T35" i="9"/>
  <c r="T23" i="9" s="1"/>
  <c r="U40" i="9"/>
  <c r="U36" i="9"/>
  <c r="U24" i="9" s="1"/>
  <c r="U33" i="9"/>
  <c r="U21" i="9" s="1"/>
  <c r="Q27" i="9"/>
  <c r="Q26" i="9"/>
  <c r="R38" i="9"/>
  <c r="T32" i="9"/>
  <c r="R27" i="9"/>
  <c r="S44" i="9"/>
  <c r="U34" i="9"/>
  <c r="U22" i="9" s="1"/>
  <c r="V12" i="9"/>
  <c r="V9" i="9"/>
  <c r="V10" i="9"/>
  <c r="T15" i="9"/>
  <c r="U13" i="9"/>
  <c r="U14" i="9" s="1"/>
  <c r="V8" i="9"/>
  <c r="V11" i="9"/>
  <c r="V7" i="9"/>
  <c r="V6" i="9"/>
  <c r="W5" i="9"/>
  <c r="W4" i="9" s="1"/>
  <c r="U30" i="9" l="1"/>
  <c r="T20" i="9"/>
  <c r="T25" i="9" s="1"/>
  <c r="T37" i="9"/>
  <c r="V31" i="9"/>
  <c r="V19" i="9" s="1"/>
  <c r="U35" i="9"/>
  <c r="U23" i="9" s="1"/>
  <c r="V40" i="9"/>
  <c r="V30" i="9" s="1"/>
  <c r="W6" i="9"/>
  <c r="V36" i="9"/>
  <c r="V24" i="9" s="1"/>
  <c r="V33" i="9"/>
  <c r="V21" i="9" s="1"/>
  <c r="R26" i="9"/>
  <c r="S38" i="9"/>
  <c r="T44" i="9"/>
  <c r="V34" i="9"/>
  <c r="V22" i="9" s="1"/>
  <c r="S27" i="9"/>
  <c r="U32" i="9"/>
  <c r="W7" i="9"/>
  <c r="W11" i="9"/>
  <c r="U15" i="9"/>
  <c r="W10" i="9"/>
  <c r="W9" i="9"/>
  <c r="V13" i="9"/>
  <c r="V15" i="9" s="1"/>
  <c r="W8" i="9"/>
  <c r="W12" i="9"/>
  <c r="X5" i="9"/>
  <c r="X4" i="9" s="1"/>
  <c r="U20" i="9" l="1"/>
  <c r="U25" i="9" s="1"/>
  <c r="U37" i="9"/>
  <c r="W31" i="9"/>
  <c r="W19" i="9" s="1"/>
  <c r="V35" i="9"/>
  <c r="V23" i="9" s="1"/>
  <c r="W40" i="9"/>
  <c r="W30" i="9" s="1"/>
  <c r="W36" i="9"/>
  <c r="W24" i="9" s="1"/>
  <c r="W33" i="9"/>
  <c r="W21" i="9" s="1"/>
  <c r="T38" i="9"/>
  <c r="S26" i="9"/>
  <c r="T27" i="9"/>
  <c r="V32" i="9"/>
  <c r="W34" i="9"/>
  <c r="W22" i="9" s="1"/>
  <c r="X9" i="9"/>
  <c r="X7" i="9"/>
  <c r="V14" i="9"/>
  <c r="X10" i="9"/>
  <c r="X12" i="9"/>
  <c r="W13" i="9"/>
  <c r="W15" i="9" s="1"/>
  <c r="X8" i="9"/>
  <c r="X6" i="9"/>
  <c r="X11" i="9"/>
  <c r="Y5" i="9"/>
  <c r="Y4" i="9" s="1"/>
  <c r="V20" i="9" l="1"/>
  <c r="V25" i="9" s="1"/>
  <c r="V37" i="9"/>
  <c r="X31" i="9"/>
  <c r="X19" i="9" s="1"/>
  <c r="U26" i="9"/>
  <c r="W35" i="9"/>
  <c r="W23" i="9" s="1"/>
  <c r="X40" i="9"/>
  <c r="X30" i="9" s="1"/>
  <c r="X36" i="9"/>
  <c r="X24" i="9" s="1"/>
  <c r="X33" i="9"/>
  <c r="X21" i="9" s="1"/>
  <c r="T26" i="9"/>
  <c r="X34" i="9"/>
  <c r="X22" i="9" s="1"/>
  <c r="V44" i="9"/>
  <c r="W32" i="9"/>
  <c r="U38" i="9"/>
  <c r="U44" i="9"/>
  <c r="U27" i="9"/>
  <c r="Y12" i="9"/>
  <c r="W14" i="9"/>
  <c r="Y11" i="9"/>
  <c r="Y7" i="9"/>
  <c r="Y9" i="9"/>
  <c r="X13" i="9"/>
  <c r="X14" i="9" s="1"/>
  <c r="Y8" i="9"/>
  <c r="Y10" i="9"/>
  <c r="Y6" i="9"/>
  <c r="Z5" i="9"/>
  <c r="Z4" i="9" s="1"/>
  <c r="W20" i="9" l="1"/>
  <c r="W25" i="9" s="1"/>
  <c r="W37" i="9"/>
  <c r="Y31" i="9"/>
  <c r="Y19" i="9" s="1"/>
  <c r="X35" i="9"/>
  <c r="X23" i="9" s="1"/>
  <c r="Y40" i="9"/>
  <c r="Y30" i="9" s="1"/>
  <c r="Y36" i="9"/>
  <c r="Y24" i="9" s="1"/>
  <c r="Y33" i="9"/>
  <c r="Y21" i="9" s="1"/>
  <c r="Y34" i="9"/>
  <c r="Y22" i="9" s="1"/>
  <c r="V38" i="9"/>
  <c r="W44" i="9"/>
  <c r="X32" i="9"/>
  <c r="X15" i="9"/>
  <c r="Z12" i="9"/>
  <c r="Z6" i="9"/>
  <c r="Z7" i="9"/>
  <c r="Z11" i="9"/>
  <c r="Z10" i="9"/>
  <c r="Y13" i="9"/>
  <c r="Y15" i="9" s="1"/>
  <c r="Z8" i="9"/>
  <c r="Z9" i="9"/>
  <c r="AA5" i="9"/>
  <c r="Z31" i="9" l="1"/>
  <c r="Z19" i="9" s="1"/>
  <c r="X20" i="9"/>
  <c r="X25" i="9" s="1"/>
  <c r="X37" i="9"/>
  <c r="AA4" i="9"/>
  <c r="Z40" i="9" s="1"/>
  <c r="Z30" i="9" s="1"/>
  <c r="AB5" i="9"/>
  <c r="Y35" i="9"/>
  <c r="Y23" i="9" s="1"/>
  <c r="Z36" i="9"/>
  <c r="Z24" i="9" s="1"/>
  <c r="Z33" i="9"/>
  <c r="Z21" i="9" s="1"/>
  <c r="Z34" i="9"/>
  <c r="Z22" i="9" s="1"/>
  <c r="V27" i="9"/>
  <c r="X44" i="9"/>
  <c r="V26" i="9"/>
  <c r="W27" i="9"/>
  <c r="W38" i="9"/>
  <c r="Y32" i="9"/>
  <c r="AA10" i="9"/>
  <c r="AB10" i="9" s="1"/>
  <c r="Y14" i="9"/>
  <c r="AA7" i="9"/>
  <c r="AB7" i="9" s="1"/>
  <c r="AA9" i="9"/>
  <c r="AB9" i="9" s="1"/>
  <c r="AA11" i="9"/>
  <c r="AA6" i="9"/>
  <c r="AA8" i="9"/>
  <c r="AB8" i="9" s="1"/>
  <c r="Z13" i="9"/>
  <c r="Z14" i="9" s="1"/>
  <c r="AA12" i="9"/>
  <c r="AB12" i="9" s="1"/>
  <c r="AA31" i="9" l="1"/>
  <c r="AB31" i="9" s="1"/>
  <c r="AB19" i="9" s="1"/>
  <c r="Y20" i="9"/>
  <c r="Y25" i="9" s="1"/>
  <c r="Y37" i="9"/>
  <c r="AB11" i="9"/>
  <c r="AB13" i="9" s="1"/>
  <c r="AC5" i="9"/>
  <c r="AC4" i="9" s="1"/>
  <c r="D11" i="10" s="1"/>
  <c r="AB4" i="9"/>
  <c r="AA40" i="9" s="1"/>
  <c r="AA30" i="9" s="1"/>
  <c r="AB6" i="9"/>
  <c r="Z35" i="9"/>
  <c r="Z23" i="9" s="1"/>
  <c r="AA36" i="9"/>
  <c r="AA34" i="9"/>
  <c r="AA33" i="9"/>
  <c r="X26" i="9"/>
  <c r="X38" i="9"/>
  <c r="W26" i="9"/>
  <c r="Z32" i="9"/>
  <c r="Y44" i="9"/>
  <c r="Z15" i="9"/>
  <c r="AA13" i="9"/>
  <c r="AA14" i="9" s="1"/>
  <c r="AA19" i="9" l="1"/>
  <c r="Z37" i="9"/>
  <c r="AA15" i="9"/>
  <c r="AC10" i="9"/>
  <c r="AC7" i="9"/>
  <c r="AA21" i="9"/>
  <c r="AB33" i="9"/>
  <c r="AA22" i="9"/>
  <c r="AB34" i="9"/>
  <c r="AA24" i="9"/>
  <c r="AB36" i="9"/>
  <c r="AC31" i="9"/>
  <c r="AC19" i="9" s="1"/>
  <c r="F11" i="10" s="1"/>
  <c r="F12" i="10" s="1"/>
  <c r="Z20" i="9"/>
  <c r="Z25" i="9" s="1"/>
  <c r="AA32" i="9"/>
  <c r="AC9" i="9"/>
  <c r="AC11" i="9"/>
  <c r="AC8" i="9"/>
  <c r="AC12" i="9"/>
  <c r="AB15" i="9"/>
  <c r="AC6" i="9"/>
  <c r="AB14" i="9"/>
  <c r="AB40" i="9"/>
  <c r="AB30" i="9" s="1"/>
  <c r="AC30" i="9" s="1"/>
  <c r="AA35" i="9"/>
  <c r="X27" i="9"/>
  <c r="Y38" i="9"/>
  <c r="Z44" i="9"/>
  <c r="AB32" i="9" l="1"/>
  <c r="AB20" i="9" s="1"/>
  <c r="AA37" i="9"/>
  <c r="AC13" i="9"/>
  <c r="AC14" i="9" s="1"/>
  <c r="H11" i="10"/>
  <c r="AA23" i="9"/>
  <c r="AB35" i="9"/>
  <c r="AB24" i="9"/>
  <c r="J11" i="10" s="1"/>
  <c r="AC36" i="9"/>
  <c r="AC24" i="9" s="1"/>
  <c r="AB22" i="9"/>
  <c r="AC34" i="9"/>
  <c r="AC22" i="9" s="1"/>
  <c r="AC33" i="9"/>
  <c r="AC21" i="9" s="1"/>
  <c r="AB21" i="9"/>
  <c r="G11" i="10" s="1"/>
  <c r="AA44" i="9"/>
  <c r="Y27" i="9"/>
  <c r="Y26" i="9"/>
  <c r="Z38" i="9"/>
  <c r="AA20" i="9"/>
  <c r="AB38" i="9" l="1"/>
  <c r="AC32" i="9"/>
  <c r="AC20" i="9" s="1"/>
  <c r="AB37" i="9"/>
  <c r="AC15" i="9"/>
  <c r="E11" i="10"/>
  <c r="AC35" i="9"/>
  <c r="AC23" i="9" s="1"/>
  <c r="AB23" i="9"/>
  <c r="AB25" i="9" s="1"/>
  <c r="I11" i="10"/>
  <c r="AA38" i="9"/>
  <c r="AA25" i="9"/>
  <c r="Z26" i="9"/>
  <c r="Z27" i="9"/>
  <c r="M11" i="10" l="1"/>
  <c r="AB44" i="9"/>
  <c r="AB26" i="9"/>
  <c r="AC37" i="9"/>
  <c r="AC44" i="9"/>
  <c r="AC25" i="9"/>
  <c r="AA27" i="9"/>
  <c r="AA26" i="9"/>
  <c r="E12" i="10"/>
  <c r="K11" i="10"/>
  <c r="AB27" i="9" l="1"/>
  <c r="AC26" i="9"/>
  <c r="AC38" i="9"/>
  <c r="N7" i="10"/>
  <c r="M7" i="10"/>
  <c r="M9" i="10" s="1"/>
  <c r="AC27" i="9" l="1"/>
  <c r="D12" i="10"/>
  <c r="N11" i="10"/>
  <c r="L1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<sst xmlns="http://schemas.openxmlformats.org/spreadsheetml/2006/main" count="470" uniqueCount="285">
  <si>
    <t>CORE (COst REport) - AT</t>
  </si>
  <si>
    <t>Fecha Actual</t>
  </si>
  <si>
    <t>Fecha Reporting</t>
  </si>
  <si>
    <t>Fecha de Inicio CORE</t>
  </si>
  <si>
    <t>Fecha Fin CORE</t>
  </si>
  <si>
    <t>WBS-Element</t>
  </si>
  <si>
    <t>ZEZ-AT00001-1001</t>
  </si>
  <si>
    <t>Descripción</t>
  </si>
  <si>
    <t>Asistencia técnica para desarrollo Java/.Net/…</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</si>
  <si>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</si>
  <si>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</si>
  <si>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</si>
  <si>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</si>
  <si>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</si>
  <si>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</si>
  <si>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</si>
  <si>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</si>
  <si>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</si>
  <si>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</si>
  <si>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</si>
  <si>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</si>
  <si>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</si>
  <si>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</si>
  <si>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</si>
  <si>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</si>
  <si>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</si>
  <si>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</si>
  <si>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</si>
  <si>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</si>
  <si>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</si>
  <si>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</si>
  <si>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</si>
  <si>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</si>
  <si>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</si>
  <si>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</si>
  <si>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</si>
  <si>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</si>
  <si>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</si>
  <si>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</si>
  <si>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</si>
  <si>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</si>
  <si>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</si>
  <si>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</si>
  <si>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</si>
  <si>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</si>
  <si>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</si>
  <si>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</si>
  <si>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</si>
  <si>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</si>
  <si>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</si>
  <si>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</si>
  <si>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</si>
  <si>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</si>
  <si>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</si>
  <si>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</si>
  <si>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</si>
  <si>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</si>
  <si>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</si>
  <si>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</si>
  <si>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</si>
  <si>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</si>
  <si>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</si>
  <si>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</si>
  <si>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</si>
  <si>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</si>
  <si>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</si>
  <si>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</si>
  <si>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</si>
  <si>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</si>
  <si>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</si>
  <si>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</si>
  <si>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</si>
  <si>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</si>
  <si>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</si>
  <si>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</si>
  <si>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</si>
  <si>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</si>
  <si>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</si>
  <si>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</si>
  <si>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</si>
  <si>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</si>
  <si>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</si>
  <si>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</si>
  <si>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ej:otro cliente, PO asociada, …</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</si>
  <si>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</si>
  <si>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</si>
  <si>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</si>
  <si>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</si>
  <si>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</si>
  <si>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</si>
  <si>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</si>
  <si>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</si>
  <si>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</si>
  <si>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Coste/hora</t>
  </si>
  <si>
    <t>Tarifa venta (Hora o Jornada)</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</si>
  <si>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</si>
  <si>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</si>
  <si>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</si>
  <si>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</si>
  <si>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</si>
  <si>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</si>
  <si>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</si>
  <si>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</si>
  <si>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</si>
  <si>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</si>
  <si>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</si>
  <si>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</si>
  <si>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</si>
  <si>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</si>
  <si>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</si>
  <si>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</si>
  <si>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</si>
  <si>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</si>
  <si>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</si>
  <si>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</si>
  <si>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</si>
  <si>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</si>
  <si>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</si>
  <si>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</si>
  <si>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</si>
  <si>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</si>
  <si>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</si>
  <si>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</si>
  <si>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</si>
  <si>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</si>
  <si>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</si>
  <si>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</si>
  <si>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</si>
  <si>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</si>
  <si>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PENDIENTE DE PEDIDO</t>
  </si>
  <si>
    <t>CODIGO INTERCO</t>
  </si>
  <si>
    <t>HORAS REALES RECURSOS entidad PROYECTO + INTERCO</t>
  </si>
  <si>
    <t>Horas Reales</t>
  </si>
  <si>
    <t>Horas/Jornadas Facturables</t>
  </si>
  <si>
    <t>COSTE TOTAL RECURSOS entidad PROYECTO (euros)</t>
  </si>
  <si>
    <t>COSTE TOTAL RECURSOS INTERCO (euros)</t>
  </si>
  <si>
    <t>AJUSTE con SAP (en EUROS) para perfiles NO INTERCO</t>
  </si>
  <si>
    <t>AJUSTE con SAP (en EUROS) para perfiles INTERCO</t>
  </si>
  <si>
    <t>VENTA TOTAL HORAS/JORNADAS FACTURABLES (euros)</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</si>
  <si>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</si>
  <si>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</si>
  <si>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</si>
  <si>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</si>
  <si>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</si>
  <si>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</si>
  <si>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</si>
  <si>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</si>
  <si>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</si>
  <si>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REFACTURABLE</t>
  </si>
  <si>
    <t>MARGEN</t>
  </si>
  <si>
    <t>TOTAL GASTOS</t>
  </si>
  <si>
    <t>VENTA GASTOS REFACTURABLES</t>
  </si>
  <si>
    <t xml:space="preserve">COSTE TOTAL COMPRAS BASELINE </t>
  </si>
  <si>
    <t>(!) El coste de COMPRAS planificado es mayor que el de la BASELINE</t>
  </si>
  <si>
    <t>PROVEEDOR</t>
  </si>
  <si>
    <t>DESCRIPCION COMPRA</t>
  </si>
  <si>
    <t>PO COMPRA</t>
  </si>
  <si>
    <t>INFOR ARIBA</t>
  </si>
  <si>
    <t>ADB</t>
  </si>
  <si>
    <t>GAD</t>
  </si>
  <si>
    <t>NO</t>
  </si>
  <si>
    <t>TOTAL COMPRAS</t>
  </si>
  <si>
    <t>VENTA COMPRAS REFACTURABLES</t>
  </si>
  <si>
    <t>Tipos Gasto</t>
  </si>
  <si>
    <t>Travelling Expenses</t>
  </si>
  <si>
    <t>Recruitment Fees</t>
  </si>
  <si>
    <t>Trainning Costs</t>
  </si>
  <si>
    <t>Salaries varios (becas,…)</t>
  </si>
  <si>
    <t>Fees</t>
  </si>
  <si>
    <t>Otros</t>
  </si>
  <si>
    <t>(!) La VENTA total planificada excede el PEDIDO</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</si>
  <si>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</si>
  <si>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</si>
  <si>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</si>
  <si>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</si>
  <si>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</si>
  <si>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</si>
  <si>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</si>
  <si>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</si>
  <si>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</si>
  <si>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</si>
  <si>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</si>
  <si>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</si>
  <si>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</si>
  <si>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</si>
  <si>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</si>
  <si>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</si>
  <si>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</si>
  <si>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</si>
  <si>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</si>
  <si>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</si>
  <si>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</si>
  <si>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</si>
  <si>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</si>
  <si>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</si>
  <si>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</si>
  <si>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</si>
  <si>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</si>
  <si>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</si>
  <si>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</si>
  <si>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</si>
  <si>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</si>
  <si>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</si>
  <si>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</si>
  <si>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</si>
  <si>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</si>
  <si>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</si>
  <si>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</si>
  <si>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</si>
  <si>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</si>
  <si>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</si>
  <si>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
Tambien en Resources tenemos que actualizar la tarifa de venta, ya sea por hora o por jornadas</t>
  </si>
  <si>
    <t xml:space="preserve">4) Actualizar el Planning de Horas Reales y Facturables,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</si>
  <si>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
En la versión de Ats la venta mensual se calcula en función de las horas/jornadas facturables por la tarifa correspondiente.</t>
  </si>
  <si>
    <t xml:space="preserve">6) Actualizar Facturación en "Monthly View" - Fila 42. Una vez actualizada esta información tenemos en "Monthly View"-Fila 44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</si>
  <si>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40) para fijar la venta acumulada hasta el mes pasado para que la diferencia que tuvimos no impacte en el calculo de venta de este mes</t>
  </si>
  <si>
    <t>Normas para cumplimentar la Información</t>
  </si>
  <si>
    <t>Las celdas para completar información tendrán fondo blanco. También hay que completar las celdas con fondo azul que son las relacionadsa con Tarifa de venta y Horas/Jornadas facturables, que son los datos que se utilizarán para el cálculo de la venta mensual</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</si>
  <si>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</si>
  <si>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</si>
  <si>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61
- COMPRAS: costes provisionados para compras (hardware, subcontractors, ...), aparecen en "Cost Planning" - Fila 77</t>
  </si>
  <si>
    <t>Los datos del FORECAST de VENTA aparecen en "Monthly View" - Fila 18.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</si>
  <si>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</si>
  <si>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</si>
  <si>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</si>
  <si>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</si>
  <si>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</si>
  <si>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</si>
  <si>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</si>
  <si>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</si>
  <si>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</si>
  <si>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</si>
  <si>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</si>
  <si>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</si>
  <si>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</si>
  <si>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</si>
  <si>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</si>
  <si>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</si>
  <si>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</si>
  <si>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</si>
  <si>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</si>
  <si>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</si>
  <si>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</si>
  <si>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</si>
  <si>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</si>
  <si>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</si>
  <si>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</si>
  <si>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</si>
  <si>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</si>
  <si>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</si>
  <si>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</si>
  <si>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</si>
  <si>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</si>
  <si>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</si>
  <si>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</si>
  <si>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</si>
  <si>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</si>
  <si>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</si>
  <si>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</si>
  <si>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</si>
  <si>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</si>
  <si>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</si>
  <si>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</si>
  <si>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</si>
  <si>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</si>
  <si>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</si>
  <si>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</si>
  <si>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</si>
  <si>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</si>
  <si>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</si>
  <si>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</si>
  <si>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</si>
  <si>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</si>
  <si>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</si>
  <si>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</si>
  <si>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</si>
  <si>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</si>
  <si>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</si>
  <si>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Advanced Services</t>
  </si>
  <si>
    <t>Advanced Services (Data Analytics)</t>
  </si>
  <si>
    <t>Advanced Services (PMO)</t>
  </si>
  <si>
    <t>Advanced Services (Testing &amp; QA)</t>
  </si>
  <si>
    <t>EAI (Enterprise App Integration) &amp; Cloud Native</t>
  </si>
  <si>
    <t>Outsourcing contracts &amp; Devops</t>
  </si>
  <si>
    <t>Tailored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</si>
</sst>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00\ [$€-C0A]_-;\-* #,##0.00\ [$€-C0A]_-;_-* &quot;-&quot;??\ [$€-C0A]_-;_-@_-"/>
    <numFmt numFmtId="166" formatCode="[$-C0A]mmm\-yy;@"/>
    <numFmt numFmtId="167" formatCode="[$-C0A]d\-mmm\-yy;@"/>
    <numFmt numFmtId="168" formatCode="#,##0.00_ ;\-#,##0.00\ "/>
    <numFmt numFmtId="169" formatCode="dd\.mm\.yyyy"/>
    <numFmt numFmtId="170" formatCode="#,##0.0"/>
    <numFmt numFmtId="171" formatCode="#,##0.00_ ;[Red]\-#,##0.00\ "/>
  </numFmts>
  <fonts count="56"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
      <sz val="11"/>
      <color rgb="FFEAEAEA"/>
      <name val="Verdana"/>
      <family val="2"/>
    </font>
  </fonts>
  <fills count="17">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D9D9D9"/>
        <bgColor indexed="64"/>
      </patternFill>
    </fill>
    <fill>
      <patternFill patternType="solid">
        <fgColor rgb="FFFFFF97"/>
        <bgColor indexed="64"/>
      </patternFill>
    </fill>
    <fill>
      <patternFill patternType="solid">
        <fgColor theme="4" tint="0.79998168889431442"/>
        <bgColor indexed="64"/>
      </patternFill>
    </fill>
  </fills>
  <borders count="43">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right/>
      <top style="thin">
        <color indexed="64"/>
      </top>
      <bottom/>
      <diagonal/>
    </border>
    <border>
      <left/>
      <right/>
      <top style="thin">
        <color theme="3"/>
      </top>
      <bottom style="hair">
        <color indexed="64"/>
      </bottom>
      <diagonal/>
    </border>
    <border>
      <left/>
      <right/>
      <top style="thin">
        <color indexed="64"/>
      </top>
      <bottom style="hair">
        <color indexed="64"/>
      </bottom>
      <diagonal/>
    </border>
    <border>
      <left/>
      <right/>
      <top style="hair">
        <color indexed="64"/>
      </top>
      <bottom style="thin">
        <color theme="3"/>
      </bottom>
      <diagonal/>
    </border>
    <border>
      <left style="medium">
        <color rgb="FFFF670A"/>
      </left>
      <right/>
      <top style="medium">
        <color rgb="FFFF670A"/>
      </top>
      <bottom style="medium">
        <color rgb="FFFF670A"/>
      </bottom>
      <diagonal/>
    </border>
    <border>
      <left style="medium">
        <color indexed="64"/>
      </left>
      <right/>
      <top style="medium">
        <color rgb="FFFF670A"/>
      </top>
      <bottom style="medium">
        <color rgb="FFFF670A"/>
      </bottom>
      <diagonal/>
    </border>
    <border>
      <left style="medium">
        <color rgb="FFFF670A"/>
      </left>
      <right style="medium">
        <color indexed="64"/>
      </right>
      <top style="medium">
        <color rgb="FFFF670A"/>
      </top>
      <bottom style="medium">
        <color rgb="FFFF670A"/>
      </bottom>
      <diagonal/>
    </border>
    <border>
      <left/>
      <right style="medium">
        <color rgb="FFFF670A"/>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53">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protection locked="0"/>
    </xf>
    <xf numFmtId="40"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5" fontId="10" fillId="0" borderId="4" xfId="0" applyNumberFormat="1" applyFont="1" applyBorder="1" applyAlignment="1" applyProtection="1">
      <alignment horizontal="center"/>
      <protection locked="0"/>
    </xf>
    <xf numFmtId="43" fontId="11" fillId="0" borderId="4" xfId="1" applyFont="1" applyFill="1" applyBorder="1" applyAlignment="1" applyProtection="1">
      <alignment horizontal="center"/>
      <protection locked="0"/>
    </xf>
    <xf numFmtId="165"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29" xfId="0" applyNumberFormat="1" applyFont="1" applyBorder="1" applyAlignment="1" applyProtection="1">
      <alignment horizontal="left" vertical="center"/>
      <protection locked="0"/>
    </xf>
    <xf numFmtId="169"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5"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6"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5" fontId="13" fillId="10" borderId="19" xfId="0" applyNumberFormat="1" applyFont="1" applyFill="1" applyBorder="1"/>
    <xf numFmtId="165" fontId="13" fillId="10" borderId="18" xfId="0" applyNumberFormat="1" applyFont="1" applyFill="1" applyBorder="1"/>
    <xf numFmtId="0" fontId="14" fillId="0" borderId="0" xfId="0" applyFont="1" applyAlignment="1">
      <alignment vertical="center"/>
    </xf>
    <xf numFmtId="0" fontId="38" fillId="3" borderId="22"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8" fontId="13" fillId="8" borderId="10" xfId="1" applyNumberFormat="1" applyFont="1" applyFill="1" applyBorder="1" applyAlignment="1" applyProtection="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8" fontId="13" fillId="0" borderId="0" xfId="1" applyNumberFormat="1" applyFont="1" applyFill="1" applyBorder="1" applyAlignment="1" applyProtection="1">
      <alignment horizontal="center" vertical="center"/>
    </xf>
    <xf numFmtId="168"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5"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0" fontId="36" fillId="8" borderId="10" xfId="0" applyFont="1" applyFill="1" applyBorder="1" applyAlignment="1">
      <alignment horizontal="left"/>
    </xf>
    <xf numFmtId="0" fontId="13" fillId="8" borderId="10" xfId="0" applyFont="1" applyFill="1" applyBorder="1" applyAlignment="1">
      <alignment horizontal="left"/>
    </xf>
    <xf numFmtId="168"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2" xfId="0" applyFont="1" applyFill="1" applyBorder="1" applyAlignment="1">
      <alignment horizontal="center" vertical="center"/>
    </xf>
    <xf numFmtId="0" fontId="35" fillId="0" borderId="3" xfId="0" applyFont="1" applyBorder="1" applyAlignment="1">
      <alignment horizontal="right" wrapText="1"/>
    </xf>
    <xf numFmtId="166" fontId="35" fillId="0" borderId="3" xfId="0" applyNumberFormat="1" applyFont="1" applyBorder="1" applyAlignment="1">
      <alignment horizontal="right" wrapText="1"/>
    </xf>
    <xf numFmtId="166" fontId="35" fillId="0" borderId="25" xfId="0" applyNumberFormat="1" applyFont="1" applyBorder="1" applyAlignment="1">
      <alignment horizontal="right" wrapText="1"/>
    </xf>
    <xf numFmtId="166" fontId="35" fillId="0" borderId="26"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4" fontId="11" fillId="14"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6" fontId="35" fillId="0" borderId="3" xfId="0" applyNumberFormat="1" applyFont="1" applyBorder="1" applyAlignment="1">
      <alignment wrapText="1"/>
    </xf>
    <xf numFmtId="170"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1"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5" fontId="45" fillId="11" borderId="0" xfId="0" applyNumberFormat="1" applyFont="1" applyFill="1" applyAlignment="1">
      <alignment vertical="center"/>
    </xf>
    <xf numFmtId="0" fontId="21" fillId="0" borderId="0" xfId="0" applyFont="1"/>
    <xf numFmtId="40" fontId="21" fillId="0" borderId="0" xfId="0" applyNumberFormat="1" applyFont="1"/>
    <xf numFmtId="167"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5" borderId="4" xfId="0" applyNumberFormat="1" applyFont="1" applyFill="1" applyBorder="1" applyAlignment="1" applyProtection="1">
      <alignment horizontal="right" vertical="center"/>
      <protection locked="0"/>
    </xf>
    <xf numFmtId="168"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6" fontId="35" fillId="0" borderId="3" xfId="0" applyNumberFormat="1" applyFont="1" applyBorder="1" applyAlignment="1" applyProtection="1">
      <alignment horizontal="right" wrapText="1"/>
      <protection locked="0"/>
    </xf>
    <xf numFmtId="43"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9"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1" xfId="0" applyNumberFormat="1" applyFont="1" applyFill="1" applyBorder="1" applyAlignment="1">
      <alignment horizontal="right" vertical="center"/>
    </xf>
    <xf numFmtId="10" fontId="11" fillId="7" borderId="31" xfId="0" applyNumberFormat="1" applyFont="1" applyFill="1" applyBorder="1" applyAlignment="1">
      <alignment horizontal="right" vertical="center"/>
    </xf>
    <xf numFmtId="0" fontId="31" fillId="0" borderId="31" xfId="0" applyFont="1" applyBorder="1" applyAlignment="1">
      <alignment horizontal="right" vertical="center"/>
    </xf>
    <xf numFmtId="40" fontId="31" fillId="0" borderId="31" xfId="0" applyNumberFormat="1" applyFont="1" applyBorder="1" applyAlignment="1">
      <alignment horizontal="center" wrapText="1"/>
    </xf>
    <xf numFmtId="40" fontId="31" fillId="0" borderId="31" xfId="0" applyNumberFormat="1" applyFont="1" applyBorder="1" applyAlignment="1">
      <alignment horizontal="right" wrapText="1"/>
    </xf>
    <xf numFmtId="0" fontId="31" fillId="0" borderId="31" xfId="0" applyFont="1" applyBorder="1" applyAlignment="1">
      <alignment horizontal="right" wrapText="1"/>
    </xf>
    <xf numFmtId="0" fontId="31" fillId="0" borderId="31" xfId="0" applyFont="1" applyBorder="1" applyAlignment="1">
      <alignment horizontal="center" wrapText="1"/>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10" fontId="39" fillId="0" borderId="34" xfId="2" applyNumberFormat="1" applyFont="1" applyBorder="1" applyAlignment="1" applyProtection="1">
      <alignment vertical="center"/>
    </xf>
    <xf numFmtId="10" fontId="39" fillId="0" borderId="34" xfId="0" applyNumberFormat="1" applyFont="1" applyBorder="1" applyAlignment="1">
      <alignment horizontal="right" vertical="center"/>
    </xf>
    <xf numFmtId="0" fontId="24" fillId="0" borderId="31" xfId="0" applyFont="1" applyBorder="1" applyAlignment="1">
      <alignment horizontal="right" vertical="center"/>
    </xf>
    <xf numFmtId="10" fontId="24" fillId="0" borderId="31" xfId="2" applyNumberFormat="1" applyFont="1" applyBorder="1" applyAlignment="1" applyProtection="1">
      <alignment vertical="center"/>
    </xf>
    <xf numFmtId="10" fontId="24" fillId="0" borderId="31" xfId="0" applyNumberFormat="1" applyFont="1" applyBorder="1" applyAlignment="1">
      <alignment horizontal="right" vertical="center"/>
    </xf>
    <xf numFmtId="0" fontId="10" fillId="7" borderId="31" xfId="0" applyFont="1" applyFill="1" applyBorder="1" applyAlignment="1">
      <alignment vertical="center"/>
    </xf>
    <xf numFmtId="0" fontId="13" fillId="7" borderId="31" xfId="0" applyFont="1" applyFill="1" applyBorder="1" applyAlignment="1">
      <alignment vertical="center"/>
    </xf>
    <xf numFmtId="0" fontId="13" fillId="7" borderId="31"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9"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9" fontId="13" fillId="0" borderId="0" xfId="0" applyNumberFormat="1" applyFont="1" applyAlignment="1" applyProtection="1">
      <alignment horizontal="left" vertical="center"/>
      <protection locked="0"/>
    </xf>
    <xf numFmtId="171" fontId="11" fillId="15" borderId="4" xfId="0" applyNumberFormat="1" applyFont="1" applyFill="1" applyBorder="1" applyAlignment="1" applyProtection="1">
      <alignment horizontal="left" vertical="center"/>
      <protection locked="0"/>
    </xf>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43"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6"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1" xfId="0" applyFont="1" applyFill="1" applyBorder="1" applyAlignment="1" applyProtection="1">
      <alignment vertical="center"/>
      <protection locked="0"/>
    </xf>
    <xf numFmtId="0" fontId="13" fillId="7" borderId="31" xfId="0" applyFont="1" applyFill="1" applyBorder="1" applyAlignment="1" applyProtection="1">
      <alignment vertical="center"/>
      <protection locked="0"/>
    </xf>
    <xf numFmtId="0" fontId="13" fillId="7" borderId="31"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4"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3" xfId="0" applyFont="1" applyFill="1" applyBorder="1" applyAlignment="1" applyProtection="1">
      <alignment vertical="center"/>
      <protection locked="0"/>
    </xf>
    <xf numFmtId="40" fontId="40" fillId="8" borderId="23" xfId="0" applyNumberFormat="1" applyFont="1" applyFill="1" applyBorder="1" applyAlignment="1" applyProtection="1">
      <alignment horizontal="center" vertical="center"/>
      <protection locked="0"/>
    </xf>
    <xf numFmtId="165"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11" fillId="3" borderId="35" xfId="0" applyFont="1" applyFill="1" applyBorder="1" applyAlignment="1" applyProtection="1">
      <alignment horizontal="left" vertical="center"/>
      <protection locked="0"/>
    </xf>
    <xf numFmtId="49" fontId="11" fillId="3" borderId="35" xfId="0" applyNumberFormat="1" applyFont="1" applyFill="1" applyBorder="1" applyAlignment="1" applyProtection="1">
      <alignment vertical="center" wrapText="1"/>
      <protection locked="0"/>
    </xf>
    <xf numFmtId="40" fontId="11" fillId="3" borderId="36" xfId="0" applyNumberFormat="1" applyFont="1" applyFill="1" applyBorder="1" applyAlignment="1" applyProtection="1">
      <alignment horizontal="left" vertical="center"/>
      <protection locked="0"/>
    </xf>
    <xf numFmtId="40" fontId="11" fillId="16" borderId="3" xfId="0" applyNumberFormat="1" applyFont="1" applyFill="1" applyBorder="1" applyAlignment="1" applyProtection="1">
      <alignment horizontal="left" vertical="center"/>
      <protection locked="0"/>
    </xf>
    <xf numFmtId="0" fontId="11" fillId="7" borderId="35" xfId="0" applyFont="1" applyFill="1" applyBorder="1" applyAlignment="1">
      <alignment horizontal="left" vertical="center"/>
    </xf>
    <xf numFmtId="0" fontId="55" fillId="7" borderId="3" xfId="0" applyFont="1" applyFill="1" applyBorder="1" applyAlignment="1">
      <alignment horizontal="left" vertical="center"/>
    </xf>
    <xf numFmtId="0" fontId="13" fillId="6" borderId="0" xfId="0" applyFont="1" applyFill="1" applyAlignment="1">
      <alignment horizontal="left" vertical="center"/>
    </xf>
    <xf numFmtId="40" fontId="38" fillId="0" borderId="37" xfId="0" applyNumberFormat="1" applyFont="1" applyBorder="1" applyAlignment="1" applyProtection="1">
      <alignment horizontal="left" vertical="center"/>
      <protection locked="0"/>
    </xf>
    <xf numFmtId="40" fontId="38" fillId="0" borderId="36" xfId="0" applyNumberFormat="1" applyFont="1" applyBorder="1" applyAlignment="1" applyProtection="1">
      <alignment horizontal="left" vertical="center"/>
      <protection locked="0"/>
    </xf>
    <xf numFmtId="40" fontId="19" fillId="0" borderId="36" xfId="0" applyNumberFormat="1" applyFont="1" applyBorder="1" applyAlignment="1" applyProtection="1">
      <alignment horizontal="left" vertical="center"/>
      <protection locked="0"/>
    </xf>
    <xf numFmtId="40" fontId="19" fillId="0" borderId="0" xfId="0" applyNumberFormat="1" applyFont="1" applyAlignment="1" applyProtection="1">
      <alignment horizontal="left" vertical="center"/>
      <protection locked="0"/>
    </xf>
    <xf numFmtId="38" fontId="11" fillId="3" borderId="7" xfId="0" applyNumberFormat="1" applyFont="1" applyFill="1" applyBorder="1" applyAlignment="1" applyProtection="1">
      <alignment horizontal="left" vertical="center"/>
      <protection locked="0"/>
    </xf>
    <xf numFmtId="38" fontId="11" fillId="16" borderId="38" xfId="0" applyNumberFormat="1" applyFont="1" applyFill="1" applyBorder="1" applyAlignment="1" applyProtection="1">
      <alignment horizontal="left" vertical="center"/>
      <protection locked="0"/>
    </xf>
    <xf numFmtId="40" fontId="11" fillId="16" borderId="38" xfId="0" applyNumberFormat="1" applyFont="1" applyFill="1" applyBorder="1" applyAlignment="1" applyProtection="1">
      <alignment horizontal="left" vertical="center"/>
      <protection locked="0"/>
    </xf>
    <xf numFmtId="0" fontId="2" fillId="10" borderId="39" xfId="0" applyFont="1" applyFill="1" applyBorder="1"/>
    <xf numFmtId="165" fontId="13" fillId="10" borderId="40" xfId="0" applyNumberFormat="1" applyFont="1" applyFill="1" applyBorder="1"/>
    <xf numFmtId="0" fontId="2" fillId="10" borderId="41" xfId="0" applyFont="1" applyFill="1" applyBorder="1"/>
    <xf numFmtId="40" fontId="13" fillId="7" borderId="2" xfId="0" applyNumberFormat="1" applyFont="1" applyFill="1" applyBorder="1" applyAlignment="1">
      <alignment horizontal="left" vertical="center"/>
    </xf>
    <xf numFmtId="40" fontId="13" fillId="7" borderId="42" xfId="0" applyNumberFormat="1" applyFont="1" applyFill="1" applyBorder="1" applyAlignment="1">
      <alignment horizontal="left" vertical="center"/>
    </xf>
    <xf numFmtId="0" fontId="13" fillId="0" borderId="35" xfId="0" applyFont="1" applyBorder="1" applyAlignment="1">
      <alignment horizontal="center" vertical="center"/>
    </xf>
    <xf numFmtId="0" fontId="13" fillId="6" borderId="10" xfId="0" applyFont="1" applyFill="1" applyBorder="1" applyAlignment="1">
      <alignment horizontal="left" vertical="center"/>
    </xf>
    <xf numFmtId="49" fontId="11" fillId="0" borderId="4" xfId="0" applyNumberFormat="1" applyFont="1" applyBorder="1" applyAlignment="1" applyProtection="1">
      <alignment horizontal="left" vertical="center"/>
      <protection locked="0"/>
    </xf>
    <xf numFmtId="10" fontId="11" fillId="0" borderId="4" xfId="2" applyNumberFormat="1" applyFont="1" applyFill="1" applyBorder="1" applyAlignment="1" applyProtection="1">
      <alignment horizontal="left" vertical="center"/>
      <protection locked="0"/>
    </xf>
    <xf numFmtId="168" fontId="11" fillId="8" borderId="10" xfId="1" applyNumberFormat="1" applyFont="1" applyFill="1" applyBorder="1" applyAlignment="1" applyProtection="1">
      <alignment horizontal="left" vertical="center"/>
    </xf>
    <xf numFmtId="49" fontId="11" fillId="7" borderId="37" xfId="0" applyNumberFormat="1" applyFont="1" applyFill="1" applyBorder="1" applyAlignment="1">
      <alignment vertical="center" wrapText="1"/>
    </xf>
    <xf numFmtId="0" fontId="15" fillId="7" borderId="3" xfId="0" applyFont="1" applyFill="1" applyBorder="1" applyAlignment="1">
      <alignment horizontal="left" vertical="center"/>
    </xf>
    <xf numFmtId="49" fontId="11" fillId="7" borderId="37" xfId="0" applyNumberFormat="1" applyFont="1" applyFill="1" applyBorder="1" applyAlignment="1">
      <alignment horizontal="left" vertical="center"/>
    </xf>
    <xf numFmtId="49" fontId="11" fillId="7" borderId="3" xfId="0" applyNumberFormat="1" applyFont="1" applyFill="1" applyBorder="1" applyAlignment="1">
      <alignment horizontal="left" vertical="center"/>
    </xf>
    <xf numFmtId="43" fontId="15" fillId="0" borderId="0" xfId="1" applyFont="1" applyProtection="1"/>
    <xf numFmtId="164" fontId="13" fillId="0" borderId="0" xfId="0" applyNumberFormat="1" applyFont="1"/>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4" xfId="0" applyFont="1" applyBorder="1" applyAlignment="1">
      <alignment horizontal="right" vertical="center"/>
    </xf>
    <xf numFmtId="0" fontId="13" fillId="3" borderId="27"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28" xfId="0" applyFont="1" applyFill="1" applyBorder="1" applyAlignment="1" applyProtection="1">
      <alignment horizontal="left" vertical="top" wrapText="1"/>
      <protection locked="0"/>
    </xf>
    <xf numFmtId="0" fontId="39" fillId="0" borderId="0" xfId="0" applyFont="1" applyAlignment="1">
      <alignment horizontal="right" vertical="center"/>
    </xf>
    <xf numFmtId="0" fontId="10" fillId="7" borderId="32" xfId="0" applyFont="1" applyFill="1" applyBorder="1" applyAlignment="1">
      <alignment horizontal="left" vertical="center" wrapText="1"/>
    </xf>
    <xf numFmtId="0" fontId="10" fillId="7" borderId="31"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33" fillId="7" borderId="14" xfId="0" applyFont="1" applyFill="1" applyBorder="1" applyAlignment="1">
      <alignment horizontal="center" vertical="center" wrapText="1"/>
    </xf>
    <xf numFmtId="49" fontId="11" fillId="3" borderId="35" xfId="0" applyNumberFormat="1" applyFont="1" applyFill="1" applyBorder="1" applyAlignment="1" applyProtection="1">
      <alignment horizontal="center" vertical="center"/>
      <protection locked="0"/>
    </xf>
    <xf numFmtId="49" fontId="11" fillId="3" borderId="3" xfId="0" applyNumberFormat="1" applyFont="1" applyFill="1" applyBorder="1" applyAlignment="1" applyProtection="1">
      <alignment horizontal="center" vertical="center"/>
      <protection locked="0"/>
    </xf>
    <xf numFmtId="49" fontId="11" fillId="3" borderId="7" xfId="0" applyNumberFormat="1" applyFont="1" applyFill="1" applyBorder="1" applyAlignment="1" applyProtection="1">
      <alignment horizontal="center" vertical="center"/>
      <protection locked="0"/>
    </xf>
    <xf numFmtId="0" fontId="44" fillId="11" borderId="0" xfId="0" applyFont="1" applyFill="1" applyAlignment="1">
      <alignment horizontal="left" vertical="center"/>
    </xf>
    <xf numFmtId="0" fontId="10" fillId="7" borderId="9" xfId="0" applyFont="1" applyFill="1" applyBorder="1" applyAlignment="1">
      <alignment horizontal="left" vertical="center"/>
    </xf>
    <xf numFmtId="0" fontId="10" fillId="7" borderId="4" xfId="0" applyFont="1" applyFill="1" applyBorder="1" applyAlignment="1">
      <alignment horizontal="left" vertical="center"/>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42" fillId="8" borderId="4" xfId="0" quotePrefix="1" applyFont="1" applyFill="1" applyBorder="1" applyAlignment="1">
      <alignment horizontal="left" vertical="center"/>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7" xfId="0" applyFont="1" applyFill="1" applyBorder="1" applyAlignment="1">
      <alignment horizontal="left" vertical="top" wrapText="1"/>
    </xf>
    <xf numFmtId="0" fontId="13" fillId="3" borderId="1" xfId="0" applyFont="1" applyFill="1" applyBorder="1" applyAlignment="1">
      <alignment horizontal="left" vertical="top" wrapText="1"/>
    </xf>
    <xf numFmtId="43"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472">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fill>
        <patternFill>
          <fgColor theme="0"/>
        </patternFill>
      </fill>
    </dxf>
    <dxf>
      <font>
        <color rgb="FFD9D9D9"/>
      </font>
    </dxf>
    <dxf>
      <font>
        <color rgb="FFF3F3F3"/>
      </font>
    </dxf>
    <dxf>
      <font>
        <b/>
        <i val="0"/>
        <color rgb="FFFF0000"/>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FF670A"/>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FF670A"/>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FF670A"/>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b/>
        <i val="0"/>
        <u val="none"/>
        <color rgb="FFFF0000"/>
      </font>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theme="0"/>
      </font>
      <fill>
        <patternFill>
          <bgColor theme="0"/>
        </patternFill>
      </fill>
    </dxf>
    <dxf>
      <font>
        <color rgb="FF03C000"/>
      </font>
    </dxf>
    <dxf>
      <font>
        <color rgb="FF248188"/>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b/>
        <i val="0"/>
        <color rgb="FFFF0000"/>
      </font>
    </dxf>
    <dxf>
      <font>
        <b/>
        <i val="0"/>
        <color rgb="FFFF0000"/>
      </font>
    </dxf>
    <dxf>
      <font>
        <color rgb="FF03C000"/>
      </font>
    </dxf>
    <dxf>
      <font>
        <color rgb="FFFF670A"/>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b/>
        <i val="0"/>
        <u val="none"/>
        <color rgb="FFFF0000"/>
      </font>
    </dxf>
    <dxf>
      <font>
        <color rgb="FFFF670A"/>
      </font>
    </dxf>
    <dxf>
      <font>
        <color rgb="FF03C000"/>
      </font>
    </dxf>
    <dxf>
      <font>
        <color rgb="FF248188"/>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CDF9CC"/>
      <color rgb="FFEAEAEA"/>
      <color rgb="FF03C000"/>
      <color rgb="FFFFFF97"/>
      <color rgb="FFFFCBAB"/>
      <color rgb="FFFF670A"/>
      <color rgb="FF248188"/>
      <color rgb="FFD2E6E6"/>
      <color rgb="FF69A8A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7</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80"/>
  <sheetViews>
    <sheetView showGridLines="0" topLeftCell="A45" zoomScale="85" zoomScaleNormal="85" workbookViewId="0">
      <selection activeCell="A60" sqref="A60:XFD79"/>
    </sheetView>
  </sheetViews>
  <sheetFormatPr baseColWidth="10" defaultColWidth="9.1796875" defaultRowHeight="13.5" x14ac:dyDescent="0.3"/>
  <cols>
    <col min="1" max="1" width="4.26953125" style="25" customWidth="1"/>
    <col min="2" max="2" width="32.54296875" style="25" customWidth="1"/>
    <col min="3" max="3" width="23.81640625" style="25" customWidth="1"/>
    <col min="4" max="4" width="52" style="25" customWidth="1"/>
    <col min="5" max="5" width="17.7265625" style="25" customWidth="1"/>
    <col min="6" max="6" width="15.1796875" style="25" customWidth="1"/>
    <col min="7" max="7" width="37.453125" style="25" customWidth="1"/>
    <col min="8" max="16384" width="9.1796875" style="25"/>
  </cols>
  <sheetData>
    <row r="2" spans="2:16" ht="33" customHeight="1" x14ac:dyDescent="0.45">
      <c r="B2" s="60"/>
      <c r="C2" s="61"/>
    </row>
    <row r="3" spans="2:16" ht="24" customHeight="1" x14ac:dyDescent="0.3">
      <c r="B3" s="318" t="s">
        <v>0</v>
      </c>
      <c r="C3" s="318"/>
      <c r="D3" s="318"/>
    </row>
    <row r="4" spans="2:16" ht="21" customHeight="1" thickBot="1" x14ac:dyDescent="0.35">
      <c r="B4" s="62"/>
      <c r="C4" s="63"/>
      <c r="D4" s="64"/>
      <c r="E4" s="64"/>
      <c r="F4" s="71"/>
      <c r="G4" s="66"/>
    </row>
    <row r="5" spans="2:16" ht="21" customHeight="1" thickBot="1" x14ac:dyDescent="0.35">
      <c r="B5" s="65" t="s">
        <v>1</v>
      </c>
      <c r="C5" s="58">
        <v>44331</v>
      </c>
      <c r="D5" s="66"/>
      <c r="E5" s="64"/>
      <c r="F5" s="71"/>
      <c r="G5" s="66"/>
    </row>
    <row r="6" spans="2:16" ht="18" customHeight="1" x14ac:dyDescent="0.3">
      <c r="B6" s="70" t="s">
        <v>2</v>
      </c>
      <c r="C6" s="190">
        <f>DATE(IF(EXACT(MONTH(EDATE(C5,0)),"12"),YEAR(C5)+1,YEAR(C5)),MONTH(EDATE(C5,1)),1)</f>
        <v>44348</v>
      </c>
      <c r="D6" s="67">
        <f>DATE(YEAR(C6),MONTH(C6),1)</f>
        <v>44348</v>
      </c>
      <c r="E6" s="64"/>
      <c r="F6" s="71"/>
      <c r="G6" s="66"/>
      <c r="H6" s="28"/>
      <c r="I6" s="28"/>
      <c r="J6" s="28"/>
      <c r="K6" s="28"/>
      <c r="L6" s="28"/>
      <c r="M6" s="28"/>
      <c r="N6" s="28"/>
      <c r="O6" s="28"/>
      <c r="P6" s="28"/>
    </row>
    <row r="7" spans="2:16" ht="13.5" customHeight="1" x14ac:dyDescent="0.3">
      <c r="B7" s="68"/>
      <c r="C7" s="69"/>
      <c r="D7" s="66"/>
      <c r="E7" s="64"/>
      <c r="F7" s="71"/>
      <c r="G7" s="66"/>
      <c r="H7" s="28"/>
      <c r="I7" s="28"/>
      <c r="J7" s="28"/>
      <c r="K7" s="28"/>
      <c r="L7" s="28"/>
      <c r="M7" s="28"/>
      <c r="N7" s="28"/>
      <c r="O7" s="28"/>
      <c r="P7" s="28"/>
    </row>
    <row r="8" spans="2:16" ht="18" customHeight="1" x14ac:dyDescent="0.3">
      <c r="B8" s="70" t="s">
        <v>3</v>
      </c>
      <c r="C8" s="3">
        <v>44287</v>
      </c>
      <c r="D8" s="64"/>
      <c r="E8" s="64"/>
      <c r="F8" s="71"/>
      <c r="G8" s="66"/>
      <c r="H8" s="28"/>
      <c r="I8" s="28"/>
      <c r="J8" s="28"/>
      <c r="K8" s="28"/>
      <c r="L8" s="28"/>
      <c r="M8" s="28"/>
      <c r="N8" s="28"/>
      <c r="O8" s="28"/>
      <c r="P8" s="28"/>
    </row>
    <row r="9" spans="2:16" ht="18" customHeight="1" x14ac:dyDescent="0.3">
      <c r="B9" s="70" t="s">
        <v>4</v>
      </c>
      <c r="C9" s="3">
        <v>44561</v>
      </c>
      <c r="D9" s="189"/>
      <c r="E9" s="71"/>
      <c r="F9" s="71"/>
      <c r="G9" s="66"/>
      <c r="H9" s="28"/>
      <c r="I9" s="28"/>
      <c r="J9" s="28"/>
      <c r="K9" s="28"/>
      <c r="L9" s="28"/>
      <c r="M9" s="28"/>
      <c r="N9" s="28"/>
      <c r="O9" s="28"/>
      <c r="P9" s="28"/>
    </row>
    <row r="10" spans="2:16" ht="18" customHeight="1" x14ac:dyDescent="0.3">
      <c r="B10" s="70" t="s">
        <v>5</v>
      </c>
      <c r="C10" s="300" t="s">
        <v>6</v>
      </c>
      <c r="D10" s="301"/>
      <c r="H10" s="28"/>
      <c r="I10" s="28"/>
      <c r="J10" s="28"/>
      <c r="K10" s="28"/>
      <c r="L10" s="28"/>
      <c r="M10" s="28"/>
      <c r="N10" s="28"/>
      <c r="O10" s="28"/>
      <c r="P10" s="28"/>
    </row>
    <row r="11" spans="2:16" ht="18" customHeight="1" x14ac:dyDescent="0.3">
      <c r="B11" s="70" t="s">
        <v>7</v>
      </c>
      <c r="C11" s="322" t="s">
        <v>8</v>
      </c>
      <c r="D11" s="322"/>
      <c r="E11" s="322"/>
      <c r="F11" s="322"/>
      <c r="G11" s="322"/>
      <c r="H11" s="28"/>
      <c r="I11" s="28"/>
      <c r="J11" s="28"/>
      <c r="K11" s="28"/>
      <c r="L11" s="28"/>
      <c r="M11" s="28"/>
      <c r="N11" s="28"/>
      <c r="O11" s="28"/>
      <c r="P11" s="28"/>
    </row>
    <row r="12" spans="2:16" ht="18" customHeight="1" x14ac:dyDescent="0.3">
      <c r="B12" s="70" t="s">
        <v>9</v>
      </c>
      <c r="C12" s="319"/>
      <c r="D12" s="319"/>
      <c r="H12" s="28"/>
      <c r="I12" s="28"/>
      <c r="J12" s="28"/>
      <c r="K12" s="28"/>
      <c r="L12" s="28"/>
      <c r="M12" s="28"/>
      <c r="N12" s="28"/>
      <c r="O12" s="28"/>
      <c r="P12" s="28"/>
    </row>
    <row r="13" spans="2:16" ht="18" customHeight="1" x14ac:dyDescent="0.3">
      <c r="B13" s="70" t="s">
        <v>10</v>
      </c>
      <c r="C13" s="320"/>
      <c r="D13" s="321"/>
      <c r="H13" s="28"/>
      <c r="I13" s="28"/>
      <c r="J13" s="28"/>
      <c r="K13" s="28"/>
      <c r="L13" s="28"/>
      <c r="M13" s="28"/>
      <c r="N13" s="28"/>
      <c r="O13" s="28"/>
      <c r="P13" s="28"/>
    </row>
    <row r="14" spans="2:16" ht="9" customHeight="1" x14ac:dyDescent="0.3">
      <c r="B14" s="68"/>
      <c r="C14" s="69"/>
      <c r="D14" s="69"/>
      <c r="H14" s="28"/>
      <c r="I14" s="28"/>
      <c r="J14" s="28"/>
      <c r="K14" s="28"/>
      <c r="L14" s="28"/>
      <c r="M14" s="28"/>
      <c r="N14" s="28"/>
      <c r="O14" s="28"/>
      <c r="P14" s="28"/>
    </row>
    <row r="15" spans="2:16" ht="18" customHeight="1" x14ac:dyDescent="0.3">
      <c r="B15" s="72"/>
      <c r="C15" s="73" t="s">
        <v>11</v>
      </c>
      <c r="D15" s="73" t="s">
        <v>12</v>
      </c>
      <c r="E15" s="28"/>
      <c r="F15" s="28"/>
      <c r="G15" s="28"/>
      <c r="H15" s="28"/>
      <c r="I15" s="28"/>
      <c r="J15" s="28"/>
      <c r="K15" s="28"/>
      <c r="L15" s="28"/>
      <c r="M15" s="28"/>
      <c r="N15" s="28"/>
      <c r="O15" s="28"/>
      <c r="P15" s="28"/>
    </row>
    <row r="16" spans="2:16" ht="18" customHeight="1" x14ac:dyDescent="0.3">
      <c r="B16" s="70" t="s">
        <v>13</v>
      </c>
      <c r="C16" s="14"/>
      <c r="D16" s="15"/>
      <c r="E16" s="28"/>
      <c r="F16" s="28"/>
      <c r="G16" s="28"/>
      <c r="H16" s="28"/>
      <c r="I16" s="28"/>
      <c r="J16" s="28"/>
      <c r="K16" s="28"/>
      <c r="L16" s="28"/>
      <c r="M16" s="28"/>
      <c r="N16" s="28"/>
      <c r="O16" s="28"/>
      <c r="P16" s="28"/>
    </row>
    <row r="17" spans="2:16" ht="4.5" customHeight="1" x14ac:dyDescent="0.3">
      <c r="B17" s="68"/>
      <c r="C17" s="69"/>
      <c r="D17" s="66"/>
      <c r="E17" s="64"/>
      <c r="F17" s="71"/>
      <c r="G17" s="66"/>
      <c r="H17" s="28"/>
      <c r="I17" s="28"/>
      <c r="J17" s="28"/>
      <c r="K17" s="28"/>
      <c r="L17" s="28"/>
      <c r="M17" s="28"/>
      <c r="N17" s="28"/>
      <c r="O17" s="28"/>
      <c r="P17" s="28"/>
    </row>
    <row r="18" spans="2:16" ht="18" customHeight="1" x14ac:dyDescent="0.3">
      <c r="B18" s="70" t="s">
        <v>14</v>
      </c>
      <c r="C18" s="14"/>
      <c r="D18" s="15"/>
      <c r="E18" s="28"/>
      <c r="F18" s="28"/>
      <c r="G18" s="28"/>
      <c r="H18" s="28"/>
      <c r="I18" s="28"/>
      <c r="J18" s="28"/>
      <c r="K18" s="28"/>
      <c r="L18" s="28"/>
      <c r="M18" s="28"/>
      <c r="N18" s="28"/>
      <c r="O18" s="28"/>
      <c r="P18" s="28"/>
    </row>
    <row r="19" spans="2:16" ht="18" customHeight="1" x14ac:dyDescent="0.3">
      <c r="B19" s="70" t="s">
        <v>15</v>
      </c>
      <c r="C19" s="182"/>
      <c r="D19" s="69"/>
      <c r="E19" s="74"/>
      <c r="F19" s="186"/>
      <c r="G19" s="186"/>
      <c r="H19" s="28"/>
      <c r="I19" s="28"/>
      <c r="J19" s="28"/>
      <c r="K19" s="28"/>
      <c r="L19" s="28"/>
      <c r="M19" s="28"/>
      <c r="N19" s="28"/>
      <c r="O19" s="28"/>
      <c r="P19" s="28"/>
    </row>
    <row r="20" spans="2:16" ht="9" customHeight="1" x14ac:dyDescent="0.3">
      <c r="B20" s="68"/>
      <c r="C20" s="69"/>
      <c r="D20" s="69"/>
      <c r="E20" s="74"/>
      <c r="F20" s="186"/>
      <c r="G20" s="186"/>
      <c r="H20" s="28"/>
      <c r="I20" s="28"/>
      <c r="J20" s="28"/>
      <c r="K20" s="28"/>
      <c r="L20" s="28"/>
      <c r="M20" s="28"/>
      <c r="N20" s="28"/>
      <c r="O20" s="28"/>
      <c r="P20" s="28"/>
    </row>
    <row r="21" spans="2:16" ht="20.149999999999999" customHeight="1" x14ac:dyDescent="0.3">
      <c r="B21" s="75"/>
      <c r="C21" s="76" t="s">
        <v>16</v>
      </c>
      <c r="D21" s="76" t="s">
        <v>17</v>
      </c>
      <c r="E21" s="74"/>
      <c r="F21" s="186"/>
      <c r="G21" s="186"/>
      <c r="H21" s="28"/>
      <c r="I21" s="28"/>
      <c r="J21" s="28"/>
      <c r="K21" s="28"/>
      <c r="L21" s="28"/>
      <c r="M21" s="28"/>
      <c r="N21" s="28"/>
      <c r="O21" s="28"/>
      <c r="P21" s="28"/>
    </row>
    <row r="22" spans="2:16" ht="18" customHeight="1" x14ac:dyDescent="0.3">
      <c r="B22" s="70" t="s">
        <v>18</v>
      </c>
      <c r="C22" s="15"/>
      <c r="D22" s="15"/>
      <c r="E22" s="74"/>
      <c r="F22" s="186"/>
      <c r="G22" s="186"/>
      <c r="H22" s="28"/>
      <c r="I22" s="28"/>
      <c r="J22" s="28"/>
      <c r="K22" s="28"/>
      <c r="L22" s="28"/>
      <c r="M22" s="28"/>
      <c r="N22" s="28"/>
      <c r="O22" s="28"/>
      <c r="P22" s="28"/>
    </row>
    <row r="23" spans="2:16" ht="18" customHeight="1" x14ac:dyDescent="0.3">
      <c r="B23" s="70" t="s">
        <v>19</v>
      </c>
      <c r="C23" s="15"/>
      <c r="D23" s="16"/>
      <c r="E23" s="74"/>
      <c r="F23" s="186"/>
      <c r="G23" s="186"/>
      <c r="H23" s="28"/>
      <c r="I23" s="28"/>
      <c r="J23" s="28"/>
      <c r="K23" s="28"/>
      <c r="L23" s="28"/>
      <c r="M23" s="28"/>
      <c r="N23" s="28"/>
      <c r="O23" s="28"/>
      <c r="P23" s="28"/>
    </row>
    <row r="24" spans="2:16" ht="18" customHeight="1" x14ac:dyDescent="0.3">
      <c r="B24" s="70" t="s">
        <v>20</v>
      </c>
      <c r="C24" s="16"/>
      <c r="D24" s="183"/>
      <c r="E24" s="74"/>
      <c r="F24" s="186"/>
      <c r="G24" s="186"/>
      <c r="H24" s="28"/>
      <c r="I24" s="28"/>
      <c r="J24" s="28"/>
      <c r="K24" s="28"/>
      <c r="L24" s="28"/>
      <c r="M24" s="28"/>
      <c r="N24" s="28"/>
      <c r="O24" s="28"/>
      <c r="P24" s="28"/>
    </row>
    <row r="25" spans="2:16" ht="15" customHeight="1" x14ac:dyDescent="0.3">
      <c r="C25" s="77"/>
      <c r="D25" s="77"/>
      <c r="E25" s="74"/>
      <c r="F25" s="186"/>
      <c r="G25" s="186"/>
      <c r="H25" s="28"/>
      <c r="I25" s="28"/>
      <c r="J25" s="28"/>
      <c r="K25" s="28"/>
      <c r="L25" s="28"/>
      <c r="M25" s="28"/>
      <c r="N25" s="28"/>
      <c r="O25" s="28"/>
      <c r="P25" s="28"/>
    </row>
    <row r="26" spans="2:16" ht="20.25" customHeight="1" x14ac:dyDescent="0.3">
      <c r="B26" s="78" t="s">
        <v>21</v>
      </c>
      <c r="C26" s="79"/>
      <c r="D26" s="28"/>
      <c r="E26" s="28"/>
      <c r="F26" s="28"/>
      <c r="G26" s="28"/>
      <c r="H26" s="28"/>
      <c r="I26" s="28"/>
      <c r="J26" s="28"/>
      <c r="K26" s="28"/>
      <c r="L26" s="28"/>
      <c r="M26" s="28"/>
      <c r="N26" s="28"/>
      <c r="O26" s="28"/>
      <c r="P26" s="28"/>
    </row>
    <row r="27" spans="2:16" ht="7.5" customHeight="1" x14ac:dyDescent="0.3">
      <c r="B27" s="80"/>
      <c r="C27" s="80"/>
      <c r="D27" s="28"/>
      <c r="E27" s="28"/>
      <c r="F27" s="28"/>
      <c r="G27" s="28"/>
      <c r="H27" s="28"/>
      <c r="I27" s="28"/>
      <c r="J27" s="28"/>
      <c r="K27" s="28"/>
      <c r="L27" s="28"/>
      <c r="M27" s="28"/>
      <c r="N27" s="28"/>
      <c r="O27" s="28"/>
      <c r="P27" s="28"/>
    </row>
    <row r="28" spans="2:16" ht="16" customHeight="1" x14ac:dyDescent="0.3">
      <c r="B28" s="70" t="s">
        <v>22</v>
      </c>
      <c r="C28" s="17"/>
      <c r="D28" s="28"/>
      <c r="E28" s="28"/>
      <c r="F28" s="28"/>
      <c r="G28" s="28"/>
      <c r="H28" s="28"/>
      <c r="I28" s="28"/>
      <c r="J28" s="28"/>
      <c r="K28" s="28"/>
      <c r="L28" s="28"/>
      <c r="M28" s="28"/>
      <c r="N28" s="28"/>
      <c r="O28" s="28"/>
      <c r="P28" s="28"/>
    </row>
    <row r="29" spans="2:16" ht="16" customHeight="1" x14ac:dyDescent="0.3">
      <c r="B29" s="70" t="s">
        <v>23</v>
      </c>
      <c r="C29" s="18"/>
      <c r="D29" s="28"/>
      <c r="E29" s="28"/>
      <c r="F29" s="28"/>
      <c r="G29" s="28"/>
      <c r="H29" s="28"/>
      <c r="I29" s="28"/>
      <c r="J29" s="28"/>
      <c r="K29" s="28"/>
      <c r="L29" s="28"/>
      <c r="M29" s="28"/>
      <c r="N29" s="28"/>
      <c r="O29" s="28"/>
      <c r="P29" s="28"/>
    </row>
    <row r="30" spans="2:16" ht="16" customHeight="1" x14ac:dyDescent="0.3">
      <c r="B30" s="70" t="s">
        <v>24</v>
      </c>
      <c r="C30" s="19"/>
      <c r="D30" s="28"/>
      <c r="E30" s="28"/>
      <c r="F30" s="28"/>
      <c r="G30" s="28"/>
      <c r="H30" s="28"/>
      <c r="I30" s="28"/>
      <c r="J30" s="28"/>
      <c r="K30" s="28"/>
      <c r="L30" s="28"/>
      <c r="M30" s="28"/>
      <c r="N30" s="28"/>
      <c r="O30" s="28"/>
      <c r="P30" s="28"/>
    </row>
    <row r="31" spans="2:16" ht="16" customHeight="1" x14ac:dyDescent="0.3">
      <c r="B31" s="70" t="s">
        <v>25</v>
      </c>
      <c r="C31" s="19"/>
      <c r="D31" s="28"/>
      <c r="E31" s="28"/>
      <c r="F31" s="28"/>
      <c r="G31" s="28"/>
      <c r="H31" s="28"/>
      <c r="I31" s="28"/>
      <c r="J31" s="28"/>
      <c r="K31" s="28"/>
      <c r="L31" s="28"/>
      <c r="M31" s="28"/>
      <c r="N31" s="28"/>
      <c r="O31" s="28"/>
      <c r="P31" s="28"/>
    </row>
    <row r="32" spans="2:16" ht="16" customHeight="1" x14ac:dyDescent="0.3">
      <c r="B32" s="70" t="s">
        <v>26</v>
      </c>
      <c r="C32" s="19"/>
      <c r="D32" s="28"/>
      <c r="E32" s="28"/>
      <c r="F32" s="28"/>
      <c r="G32" s="28"/>
      <c r="H32" s="28"/>
      <c r="I32" s="28"/>
      <c r="J32" s="28"/>
      <c r="K32" s="28"/>
      <c r="L32" s="28"/>
      <c r="M32" s="28"/>
      <c r="N32" s="28"/>
      <c r="O32" s="28"/>
      <c r="P32" s="28"/>
    </row>
    <row r="33" spans="2:16" ht="16" customHeight="1" x14ac:dyDescent="0.3">
      <c r="B33" s="70" t="s">
        <v>27</v>
      </c>
      <c r="C33" s="19"/>
      <c r="D33" s="28"/>
      <c r="E33" s="28"/>
      <c r="F33" s="28"/>
      <c r="G33" s="28"/>
      <c r="H33" s="28"/>
      <c r="I33" s="28"/>
      <c r="J33" s="28"/>
      <c r="K33" s="28"/>
      <c r="L33" s="28"/>
      <c r="M33" s="28"/>
      <c r="N33" s="28"/>
      <c r="O33" s="28"/>
      <c r="P33" s="28"/>
    </row>
    <row r="34" spans="2:16" ht="16" customHeight="1" x14ac:dyDescent="0.3">
      <c r="B34" s="70" t="s">
        <v>28</v>
      </c>
      <c r="C34" s="19"/>
      <c r="D34" s="28"/>
      <c r="E34" s="28"/>
      <c r="F34" s="28"/>
      <c r="G34" s="28"/>
      <c r="H34" s="28"/>
      <c r="I34" s="28"/>
      <c r="J34" s="28"/>
      <c r="K34" s="28"/>
      <c r="L34" s="28"/>
      <c r="M34" s="28"/>
      <c r="N34" s="28"/>
      <c r="O34" s="28"/>
      <c r="P34" s="28"/>
    </row>
    <row r="35" spans="2:16" ht="16" customHeight="1" x14ac:dyDescent="0.3">
      <c r="B35" s="81" t="s">
        <v>29</v>
      </c>
      <c r="C35" s="82">
        <f>SUM(C30:C34)</f>
        <v>0</v>
      </c>
      <c r="D35" s="28"/>
      <c r="E35" s="28"/>
      <c r="F35" s="28"/>
      <c r="G35" s="28"/>
      <c r="H35" s="28"/>
      <c r="I35" s="28"/>
      <c r="J35" s="28"/>
      <c r="K35" s="28"/>
      <c r="L35" s="28"/>
      <c r="M35" s="28"/>
      <c r="N35" s="28"/>
      <c r="O35" s="28"/>
      <c r="P35" s="28"/>
    </row>
    <row r="36" spans="2:16" ht="7.5" customHeight="1" x14ac:dyDescent="0.3">
      <c r="B36" s="83"/>
      <c r="C36" s="84"/>
      <c r="D36" s="28"/>
      <c r="E36" s="28"/>
      <c r="F36" s="28"/>
      <c r="G36" s="28"/>
      <c r="H36" s="28"/>
      <c r="I36" s="28"/>
      <c r="J36" s="28"/>
      <c r="K36" s="28"/>
      <c r="L36" s="28"/>
      <c r="M36" s="28"/>
      <c r="N36" s="28"/>
      <c r="O36" s="28"/>
      <c r="P36" s="28"/>
    </row>
    <row r="37" spans="2:16" ht="18" customHeight="1" x14ac:dyDescent="0.3">
      <c r="B37" s="85" t="s">
        <v>30</v>
      </c>
      <c r="C37" s="86">
        <f>IF(C28=0,0,(C28-C35)/C28)</f>
        <v>0</v>
      </c>
      <c r="D37" s="28"/>
      <c r="E37" s="28"/>
      <c r="F37" s="28"/>
      <c r="G37" s="28"/>
      <c r="H37" s="28"/>
      <c r="I37" s="28"/>
      <c r="J37" s="28"/>
      <c r="K37" s="28"/>
      <c r="L37" s="28"/>
      <c r="M37" s="28"/>
      <c r="N37" s="28"/>
      <c r="O37" s="28"/>
      <c r="P37" s="28"/>
    </row>
    <row r="38" spans="2:16" ht="18" customHeight="1" x14ac:dyDescent="0.3">
      <c r="B38" s="70" t="s">
        <v>31</v>
      </c>
      <c r="C38" s="87">
        <f>IF(C28=0,0,(C28-(SUM(C30,C31,C32)/UTILIZACION)-SUM(C34,C33))/C28)</f>
        <v>0</v>
      </c>
      <c r="D38" s="28"/>
      <c r="E38" s="28"/>
      <c r="F38" s="28"/>
      <c r="G38" s="28"/>
      <c r="H38" s="28"/>
      <c r="I38" s="28"/>
      <c r="J38" s="28"/>
      <c r="K38" s="28"/>
      <c r="L38" s="28"/>
      <c r="M38" s="28"/>
      <c r="N38" s="28"/>
      <c r="O38" s="28"/>
      <c r="P38" s="28"/>
    </row>
    <row r="39" spans="2:16" ht="13.5" customHeight="1" x14ac:dyDescent="0.3">
      <c r="B39" s="28"/>
      <c r="C39" s="28"/>
      <c r="D39" s="28"/>
      <c r="E39" s="28"/>
      <c r="F39" s="28"/>
      <c r="G39" s="28"/>
      <c r="H39" s="28"/>
      <c r="I39" s="28"/>
      <c r="J39" s="28"/>
      <c r="K39" s="28"/>
      <c r="L39" s="28"/>
      <c r="M39" s="28"/>
      <c r="N39" s="28"/>
      <c r="O39" s="28"/>
      <c r="P39" s="28"/>
    </row>
    <row r="40" spans="2:16" ht="20.149999999999999" customHeight="1" x14ac:dyDescent="0.3">
      <c r="B40" s="69" t="s">
        <v>32</v>
      </c>
      <c r="C40" s="69"/>
      <c r="D40" s="69"/>
      <c r="E40" s="28"/>
      <c r="F40" s="28"/>
      <c r="G40" s="28"/>
      <c r="H40" s="28"/>
      <c r="I40" s="28"/>
      <c r="J40" s="28"/>
      <c r="K40" s="28"/>
      <c r="L40" s="28"/>
      <c r="M40" s="28"/>
      <c r="N40" s="28"/>
      <c r="O40" s="28"/>
      <c r="P40" s="28"/>
    </row>
    <row r="41" spans="2:16" ht="103.5" customHeight="1" x14ac:dyDescent="0.3">
      <c r="B41" s="315"/>
      <c r="C41" s="316"/>
      <c r="D41" s="317"/>
      <c r="E41" s="88"/>
      <c r="F41" s="28"/>
      <c r="G41" s="28"/>
      <c r="H41" s="28"/>
      <c r="I41" s="28"/>
      <c r="J41" s="28"/>
      <c r="K41" s="28"/>
      <c r="L41" s="28"/>
      <c r="M41" s="28"/>
      <c r="N41" s="28"/>
      <c r="O41" s="28"/>
      <c r="P41" s="28"/>
    </row>
    <row r="42" spans="2:16" ht="20.149999999999999" customHeight="1" x14ac:dyDescent="0.3">
      <c r="B42" s="28"/>
      <c r="C42" s="28"/>
      <c r="D42" s="28"/>
      <c r="E42" s="28"/>
      <c r="F42" s="28"/>
      <c r="G42" s="28"/>
      <c r="H42" s="28"/>
      <c r="I42" s="28"/>
      <c r="J42" s="28"/>
      <c r="K42" s="28"/>
      <c r="L42" s="28"/>
      <c r="M42" s="28"/>
      <c r="N42" s="28"/>
      <c r="O42" s="28"/>
      <c r="P42" s="28"/>
    </row>
    <row r="43" spans="2:16" ht="20.25" customHeight="1" x14ac:dyDescent="0.3">
      <c r="B43" s="78" t="s">
        <v>33</v>
      </c>
      <c r="C43" s="79"/>
      <c r="D43" s="28"/>
      <c r="E43" s="28"/>
      <c r="F43" s="28"/>
      <c r="G43" s="28"/>
      <c r="H43" s="28"/>
      <c r="I43" s="28"/>
      <c r="J43" s="28"/>
      <c r="K43" s="28"/>
      <c r="L43" s="28"/>
      <c r="M43" s="28"/>
      <c r="N43" s="28"/>
      <c r="O43" s="28"/>
      <c r="P43" s="28"/>
    </row>
    <row r="44" spans="2:16" ht="7.5" customHeight="1" x14ac:dyDescent="0.3">
      <c r="B44" s="80"/>
      <c r="C44" s="80"/>
      <c r="D44" s="28"/>
      <c r="E44" s="28"/>
      <c r="F44" s="28"/>
      <c r="G44" s="28"/>
      <c r="H44" s="28"/>
      <c r="I44" s="28"/>
      <c r="J44" s="28"/>
      <c r="K44" s="28"/>
      <c r="L44" s="28"/>
      <c r="M44" s="28"/>
      <c r="N44" s="28"/>
      <c r="O44" s="28"/>
      <c r="P44" s="28"/>
    </row>
    <row r="45" spans="2:16" ht="16" customHeight="1" x14ac:dyDescent="0.3">
      <c r="B45" s="70" t="s">
        <v>34</v>
      </c>
      <c r="C45" s="17"/>
      <c r="D45" s="28"/>
      <c r="E45" s="28"/>
      <c r="F45" s="28"/>
      <c r="G45" s="28"/>
      <c r="H45" s="28"/>
      <c r="I45" s="28"/>
      <c r="J45" s="28"/>
      <c r="K45" s="28"/>
      <c r="L45" s="28"/>
      <c r="M45" s="28"/>
      <c r="N45" s="28"/>
      <c r="O45" s="28"/>
      <c r="P45" s="28"/>
    </row>
    <row r="46" spans="2:16" ht="16" customHeight="1" x14ac:dyDescent="0.3">
      <c r="B46" s="70" t="s">
        <v>35</v>
      </c>
      <c r="C46" s="18"/>
      <c r="D46" s="28"/>
      <c r="E46" s="28"/>
      <c r="F46" s="28"/>
      <c r="G46" s="28"/>
      <c r="H46" s="28"/>
      <c r="I46" s="28"/>
      <c r="J46" s="28"/>
      <c r="K46" s="28"/>
      <c r="L46" s="28"/>
      <c r="M46" s="28"/>
      <c r="N46" s="28"/>
      <c r="O46" s="28"/>
      <c r="P46" s="28"/>
    </row>
    <row r="47" spans="2:16" ht="16" customHeight="1" x14ac:dyDescent="0.3">
      <c r="B47" s="70" t="s">
        <v>36</v>
      </c>
      <c r="C47" s="19"/>
      <c r="D47" s="28"/>
      <c r="E47" s="28"/>
      <c r="F47" s="28"/>
      <c r="G47" s="28"/>
      <c r="H47" s="28"/>
      <c r="I47" s="28"/>
      <c r="J47" s="28"/>
      <c r="K47" s="28"/>
      <c r="L47" s="28"/>
      <c r="M47" s="28"/>
      <c r="N47" s="28"/>
      <c r="O47" s="28"/>
      <c r="P47" s="28"/>
    </row>
    <row r="48" spans="2:16" ht="16" customHeight="1" x14ac:dyDescent="0.3">
      <c r="B48" s="70" t="s">
        <v>37</v>
      </c>
      <c r="C48" s="19"/>
      <c r="D48" s="28"/>
      <c r="E48" s="28"/>
      <c r="F48" s="28"/>
      <c r="G48" s="28"/>
      <c r="H48" s="28"/>
      <c r="I48" s="28"/>
      <c r="J48" s="28"/>
      <c r="K48" s="28"/>
      <c r="L48" s="28"/>
      <c r="M48" s="28"/>
      <c r="N48" s="28"/>
      <c r="O48" s="28"/>
      <c r="P48" s="28"/>
    </row>
    <row r="49" spans="2:16" ht="16" customHeight="1" x14ac:dyDescent="0.3">
      <c r="B49" s="70" t="s">
        <v>38</v>
      </c>
      <c r="C49" s="19"/>
      <c r="D49" s="28"/>
      <c r="E49" s="28"/>
      <c r="F49" s="28"/>
      <c r="G49" s="28"/>
      <c r="H49" s="28"/>
      <c r="I49" s="28"/>
      <c r="J49" s="28"/>
      <c r="K49" s="28"/>
      <c r="L49" s="28"/>
      <c r="M49" s="28"/>
      <c r="N49" s="28"/>
      <c r="O49" s="28"/>
      <c r="P49" s="28"/>
    </row>
    <row r="50" spans="2:16" ht="16" customHeight="1" x14ac:dyDescent="0.3">
      <c r="B50" s="81" t="s">
        <v>29</v>
      </c>
      <c r="C50" s="82">
        <f>SUM(C47:C49)</f>
        <v>0</v>
      </c>
      <c r="D50" s="28"/>
      <c r="E50" s="28"/>
      <c r="F50" s="28"/>
      <c r="G50" s="28"/>
      <c r="H50" s="28"/>
      <c r="I50" s="28"/>
      <c r="J50" s="28"/>
      <c r="K50" s="28"/>
      <c r="L50" s="28"/>
      <c r="M50" s="28"/>
      <c r="N50" s="28"/>
      <c r="O50" s="28"/>
      <c r="P50" s="28"/>
    </row>
    <row r="51" spans="2:16" ht="7.5" customHeight="1" x14ac:dyDescent="0.3">
      <c r="B51" s="83"/>
      <c r="C51" s="84"/>
      <c r="D51" s="28"/>
      <c r="E51" s="28"/>
      <c r="F51" s="28"/>
      <c r="G51" s="28"/>
      <c r="H51" s="28"/>
      <c r="I51" s="28"/>
      <c r="J51" s="28"/>
      <c r="K51" s="28"/>
      <c r="L51" s="28"/>
      <c r="M51" s="28"/>
      <c r="N51" s="28"/>
      <c r="O51" s="28"/>
      <c r="P51" s="28"/>
    </row>
    <row r="52" spans="2:16" ht="18" customHeight="1" x14ac:dyDescent="0.3">
      <c r="B52" s="70" t="s">
        <v>39</v>
      </c>
      <c r="C52" s="86">
        <f>IF(C45=0,0,(C45-C50)/C45)</f>
        <v>0</v>
      </c>
      <c r="D52" s="28"/>
      <c r="E52" s="28"/>
      <c r="F52" s="28"/>
      <c r="G52" s="28"/>
      <c r="H52" s="28"/>
      <c r="I52" s="28"/>
      <c r="J52" s="28"/>
      <c r="K52" s="28"/>
      <c r="L52" s="28"/>
      <c r="M52" s="28"/>
      <c r="N52" s="28"/>
      <c r="O52" s="28"/>
      <c r="P52" s="28"/>
    </row>
    <row r="53" spans="2:16" ht="7.5" customHeight="1" x14ac:dyDescent="0.3">
      <c r="B53" s="191"/>
      <c r="C53" s="192"/>
      <c r="D53" s="28"/>
      <c r="E53" s="28"/>
      <c r="F53" s="28"/>
      <c r="G53" s="28"/>
      <c r="H53" s="28"/>
      <c r="I53" s="28"/>
      <c r="J53" s="28"/>
      <c r="K53" s="28"/>
      <c r="L53" s="28"/>
      <c r="M53" s="28"/>
      <c r="N53" s="28"/>
      <c r="O53" s="28"/>
      <c r="P53" s="28"/>
    </row>
    <row r="54" spans="2:16" ht="16" customHeight="1" x14ac:dyDescent="0.3">
      <c r="B54" s="70" t="s">
        <v>40</v>
      </c>
      <c r="C54" s="17"/>
      <c r="D54" s="28"/>
      <c r="E54" s="28"/>
      <c r="F54" s="28"/>
      <c r="G54" s="28"/>
      <c r="H54" s="28"/>
      <c r="I54" s="28"/>
      <c r="J54" s="28"/>
      <c r="K54" s="28"/>
      <c r="L54" s="28"/>
      <c r="M54" s="28"/>
      <c r="N54" s="28"/>
      <c r="O54" s="28"/>
      <c r="P54" s="28"/>
    </row>
    <row r="55" spans="2:16" ht="13.5" customHeight="1" x14ac:dyDescent="0.3">
      <c r="B55" s="28"/>
      <c r="C55" s="28"/>
      <c r="D55" s="28"/>
      <c r="E55" s="28"/>
      <c r="F55" s="28"/>
      <c r="G55" s="28"/>
      <c r="H55" s="28"/>
      <c r="I55" s="28"/>
      <c r="J55" s="28"/>
      <c r="K55" s="28"/>
      <c r="L55" s="28"/>
      <c r="M55" s="28"/>
      <c r="N55" s="28"/>
      <c r="O55" s="28"/>
      <c r="P55" s="28"/>
    </row>
    <row r="56" spans="2:16" ht="20.149999999999999" customHeight="1" x14ac:dyDescent="0.3">
      <c r="B56" s="69" t="s">
        <v>41</v>
      </c>
      <c r="C56" s="69"/>
      <c r="D56" s="69"/>
      <c r="E56" s="28"/>
      <c r="F56" s="28"/>
      <c r="G56" s="28"/>
      <c r="H56" s="28"/>
      <c r="I56" s="28"/>
      <c r="J56" s="28"/>
      <c r="K56" s="28"/>
      <c r="L56" s="28"/>
      <c r="M56" s="28"/>
      <c r="N56" s="28"/>
      <c r="O56" s="28"/>
      <c r="P56" s="28"/>
    </row>
    <row r="57" spans="2:16" ht="103.5" customHeight="1" x14ac:dyDescent="0.3">
      <c r="B57" s="315"/>
      <c r="C57" s="316"/>
      <c r="D57" s="317"/>
      <c r="E57" s="88"/>
      <c r="F57" s="28"/>
      <c r="G57" s="28"/>
      <c r="H57" s="28"/>
      <c r="I57" s="28"/>
      <c r="J57" s="28"/>
      <c r="K57" s="28"/>
      <c r="L57" s="28"/>
      <c r="M57" s="28"/>
      <c r="N57" s="28"/>
      <c r="O57" s="28"/>
      <c r="P57" s="28"/>
    </row>
    <row r="58" spans="2:16" ht="20.149999999999999" customHeight="1" x14ac:dyDescent="0.3">
      <c r="B58" s="28"/>
      <c r="C58" s="28"/>
      <c r="D58" s="28"/>
      <c r="E58" s="28"/>
      <c r="F58" s="28"/>
      <c r="G58" s="28"/>
      <c r="H58" s="28"/>
      <c r="I58" s="28"/>
      <c r="J58" s="28"/>
      <c r="K58" s="28"/>
      <c r="L58" s="28"/>
      <c r="M58" s="28"/>
      <c r="N58" s="28"/>
      <c r="O58" s="28"/>
      <c r="P58" s="28"/>
    </row>
    <row r="59" spans="2:16" ht="20.149999999999999" customHeight="1" x14ac:dyDescent="0.35">
      <c r="B59"/>
      <c r="C59" s="28"/>
      <c r="D59" s="28"/>
      <c r="E59" s="28"/>
      <c r="F59" s="28"/>
      <c r="G59" s="28"/>
      <c r="H59" s="28"/>
      <c r="I59" s="28"/>
      <c r="J59" s="28"/>
      <c r="K59" s="28"/>
      <c r="L59" s="28"/>
      <c r="M59" s="28"/>
      <c r="N59" s="28"/>
      <c r="O59" s="28"/>
      <c r="P59" s="28"/>
    </row>
    <row r="60" spans="2:16" ht="20.149999999999999" hidden="1" customHeight="1" x14ac:dyDescent="0.3">
      <c r="B60" s="145" t="s">
        <v>42</v>
      </c>
      <c r="C60" s="28"/>
      <c r="D60" s="28"/>
      <c r="E60" s="28"/>
      <c r="F60" s="28"/>
      <c r="G60" s="28"/>
      <c r="H60" s="28"/>
      <c r="I60" s="28"/>
      <c r="J60" s="28"/>
      <c r="K60" s="28"/>
      <c r="L60" s="28"/>
      <c r="M60" s="28"/>
      <c r="N60" s="28"/>
      <c r="O60" s="28"/>
      <c r="P60" s="28"/>
    </row>
    <row r="61" spans="2:16" ht="12.75" hidden="1" customHeight="1" x14ac:dyDescent="0.3">
      <c r="B61" s="25" t="s">
        <v>278</v>
      </c>
      <c r="C61" s="28"/>
      <c r="D61" s="28"/>
      <c r="E61" s="28"/>
      <c r="F61" s="28"/>
      <c r="G61" s="28"/>
      <c r="H61" s="28"/>
      <c r="I61" s="28"/>
      <c r="J61" s="28"/>
      <c r="K61" s="28"/>
      <c r="L61" s="28"/>
      <c r="M61" s="28"/>
      <c r="N61" s="28"/>
      <c r="O61" s="28"/>
      <c r="P61" s="28"/>
    </row>
    <row r="62" spans="2:16" ht="12.75" hidden="1" customHeight="1" x14ac:dyDescent="0.3">
      <c r="B62" s="25" t="s">
        <v>279</v>
      </c>
      <c r="C62" s="28"/>
      <c r="D62" s="28"/>
      <c r="E62" s="28"/>
      <c r="F62" s="28"/>
      <c r="G62" s="28"/>
      <c r="H62" s="28"/>
      <c r="I62" s="28"/>
      <c r="J62" s="28"/>
      <c r="K62" s="28"/>
      <c r="L62" s="28"/>
      <c r="M62" s="28"/>
      <c r="N62" s="28"/>
      <c r="O62" s="28"/>
      <c r="P62" s="28"/>
    </row>
    <row r="63" spans="2:16" hidden="1" x14ac:dyDescent="0.3">
      <c r="B63" s="25" t="s">
        <v>280</v>
      </c>
    </row>
    <row r="64" spans="2:16" ht="12.75" hidden="1" customHeight="1" x14ac:dyDescent="0.3">
      <c r="B64" s="25" t="s">
        <v>281</v>
      </c>
      <c r="C64" s="28"/>
      <c r="D64" s="28"/>
      <c r="E64" s="28"/>
      <c r="F64" s="28"/>
      <c r="G64" s="28"/>
      <c r="H64" s="28"/>
      <c r="I64" s="28"/>
      <c r="J64" s="28"/>
      <c r="K64" s="28"/>
      <c r="L64" s="28"/>
      <c r="M64" s="28"/>
      <c r="N64" s="28"/>
      <c r="O64" s="28"/>
      <c r="P64" s="28"/>
    </row>
    <row r="65" spans="2:16" hidden="1" x14ac:dyDescent="0.3">
      <c r="B65" s="25" t="s">
        <v>43</v>
      </c>
    </row>
    <row r="66" spans="2:16" ht="12.75" hidden="1" customHeight="1" x14ac:dyDescent="0.3">
      <c r="B66" s="25" t="s">
        <v>282</v>
      </c>
      <c r="C66" s="28"/>
      <c r="D66" s="28"/>
      <c r="E66" s="28"/>
      <c r="F66" s="28"/>
      <c r="G66" s="28"/>
      <c r="H66" s="28"/>
      <c r="I66" s="28"/>
      <c r="J66" s="28"/>
      <c r="K66" s="28"/>
      <c r="L66" s="28"/>
      <c r="M66" s="28"/>
      <c r="N66" s="28"/>
      <c r="O66" s="28"/>
      <c r="P66" s="28"/>
    </row>
    <row r="67" spans="2:16" ht="12.75" hidden="1" customHeight="1" x14ac:dyDescent="0.3">
      <c r="B67" s="25" t="s">
        <v>44</v>
      </c>
      <c r="C67" s="28"/>
      <c r="D67" s="28"/>
      <c r="E67" s="28"/>
      <c r="F67" s="28"/>
      <c r="G67" s="28"/>
      <c r="H67" s="28"/>
      <c r="I67" s="28"/>
      <c r="J67" s="28"/>
      <c r="K67" s="28"/>
      <c r="L67" s="28"/>
      <c r="M67" s="28"/>
      <c r="N67" s="28"/>
      <c r="O67" s="28"/>
      <c r="P67" s="28"/>
    </row>
    <row r="68" spans="2:16" hidden="1" x14ac:dyDescent="0.3">
      <c r="B68" s="25" t="s">
        <v>45</v>
      </c>
    </row>
    <row r="69" spans="2:16" ht="12.75" hidden="1" customHeight="1" x14ac:dyDescent="0.3">
      <c r="B69" s="25" t="s">
        <v>46</v>
      </c>
    </row>
    <row r="70" spans="2:16" ht="12.75" hidden="1" customHeight="1" x14ac:dyDescent="0.3">
      <c r="B70" s="25" t="s">
        <v>283</v>
      </c>
      <c r="C70" s="28"/>
      <c r="D70" s="28"/>
      <c r="E70" s="28"/>
      <c r="F70" s="28"/>
      <c r="G70" s="28"/>
      <c r="H70" s="28"/>
      <c r="I70" s="28"/>
      <c r="J70" s="28"/>
      <c r="K70" s="28"/>
      <c r="L70" s="28"/>
      <c r="M70" s="28"/>
      <c r="N70" s="28"/>
      <c r="O70" s="28"/>
      <c r="P70" s="28"/>
    </row>
    <row r="71" spans="2:16" ht="12.75" hidden="1" customHeight="1" x14ac:dyDescent="0.3">
      <c r="B71" s="25" t="s">
        <v>47</v>
      </c>
    </row>
    <row r="72" spans="2:16" ht="12.75" hidden="1" customHeight="1" x14ac:dyDescent="0.3">
      <c r="B72" s="25" t="s">
        <v>48</v>
      </c>
    </row>
    <row r="73" spans="2:16" hidden="1" x14ac:dyDescent="0.3">
      <c r="B73" s="25" t="s">
        <v>49</v>
      </c>
    </row>
    <row r="74" spans="2:16" ht="12.75" hidden="1" customHeight="1" x14ac:dyDescent="0.3">
      <c r="B74" s="25" t="s">
        <v>50</v>
      </c>
    </row>
    <row r="75" spans="2:16" ht="12.75" hidden="1" customHeight="1" x14ac:dyDescent="0.3">
      <c r="B75" s="25" t="s">
        <v>284</v>
      </c>
      <c r="C75" s="28"/>
      <c r="D75" s="28"/>
      <c r="E75" s="28"/>
      <c r="F75" s="28"/>
      <c r="G75" s="28"/>
      <c r="H75" s="28"/>
      <c r="I75" s="28"/>
      <c r="J75" s="28"/>
      <c r="K75" s="28"/>
      <c r="L75" s="28"/>
      <c r="M75" s="28"/>
      <c r="N75" s="28"/>
      <c r="O75" s="28"/>
      <c r="P75" s="28"/>
    </row>
    <row r="76" spans="2:16" ht="12.75" hidden="1" customHeight="1" x14ac:dyDescent="0.3">
      <c r="B76" s="25" t="s">
        <v>51</v>
      </c>
    </row>
    <row r="77" spans="2:16" ht="12.75" hidden="1" customHeight="1" x14ac:dyDescent="0.3">
      <c r="C77" s="28"/>
      <c r="D77" s="28"/>
      <c r="E77" s="28"/>
      <c r="F77" s="28"/>
      <c r="G77" s="28"/>
      <c r="H77" s="28"/>
      <c r="I77" s="28"/>
      <c r="J77" s="28"/>
      <c r="K77" s="28"/>
      <c r="L77" s="28"/>
      <c r="M77" s="28"/>
      <c r="N77" s="28"/>
      <c r="O77" s="28"/>
      <c r="P77" s="28"/>
    </row>
    <row r="78" spans="2:16" ht="12.75" hidden="1" customHeight="1" x14ac:dyDescent="0.3">
      <c r="C78" s="28"/>
      <c r="D78" s="28"/>
      <c r="E78" s="28"/>
      <c r="F78" s="28"/>
      <c r="G78" s="28"/>
      <c r="H78" s="28"/>
      <c r="I78" s="28"/>
      <c r="J78" s="28"/>
      <c r="K78" s="28"/>
      <c r="L78" s="28"/>
      <c r="M78" s="28"/>
      <c r="N78" s="28"/>
      <c r="O78" s="28"/>
      <c r="P78" s="28"/>
    </row>
    <row r="79" spans="2:16" ht="12.75" hidden="1" customHeight="1" x14ac:dyDescent="0.3"/>
    <row r="80" spans="2:16" ht="12.75" customHeight="1" x14ac:dyDescent="0.3">
      <c r="C80" s="28"/>
      <c r="D80" s="28"/>
      <c r="E80" s="28"/>
      <c r="F80" s="28"/>
      <c r="G80" s="28"/>
      <c r="H80" s="28"/>
      <c r="I80" s="28"/>
      <c r="J80" s="28"/>
      <c r="K80" s="28"/>
      <c r="L80" s="28"/>
      <c r="M80" s="28"/>
      <c r="N80" s="28"/>
      <c r="O80" s="28"/>
      <c r="P80" s="28"/>
    </row>
  </sheetData>
  <sheetProtection algorithmName="SHA-512" hashValue="EH88rF3T8VOgWrBG8bLa14OEvEgrdUKtsag2C5lI2x5jGMUOEmwsDmRWbDy7MmufYvp7Tkx9Mqt/HRKgoMUNIw==" saltValue="LhfuRTJtt7gk+DUlnssC0w==" spinCount="100000" sheet="1" objects="1" scenarios="1"/>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$B$61:$B$80</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55" zoomScaleNormal="55" workbookViewId="0">
      <selection activeCell="B16" sqref="B16"/>
    </sheetView>
  </sheetViews>
  <sheetFormatPr baseColWidth="10" defaultColWidth="9.1796875" defaultRowHeight="13.5" x14ac:dyDescent="0.3"/>
  <cols>
    <col min="1" max="1" width="2.1796875" style="25" customWidth="1"/>
    <col min="2" max="2" width="20.453125" style="25" customWidth="1"/>
    <col min="3" max="3" width="22.1796875" style="25" customWidth="1"/>
    <col min="4" max="4" width="20.81640625" style="25" customWidth="1"/>
    <col min="5" max="5" width="65.453125" style="25" customWidth="1"/>
    <col min="6" max="13" width="26.7265625" style="25" customWidth="1"/>
    <col min="14" max="14" width="11.453125" style="25" bestFit="1" customWidth="1"/>
    <col min="15" max="15" width="12.26953125" style="25" bestFit="1" customWidth="1"/>
    <col min="16" max="16" width="23.1796875" style="25" customWidth="1"/>
    <col min="17" max="17" width="5.26953125" style="25" customWidth="1"/>
    <col min="18" max="18" width="41.7265625" style="25" customWidth="1"/>
    <col min="19" max="19" width="9.1796875" style="25"/>
    <col min="20" max="20" width="9.1796875" style="25" hidden="1" customWidth="1"/>
    <col min="21" max="21" width="13" style="25" hidden="1" customWidth="1"/>
    <col min="22" max="22" width="9.1796875" style="25" hidden="1" customWidth="1"/>
    <col min="23" max="23" width="14.26953125" style="25" hidden="1" customWidth="1"/>
    <col min="24" max="24" width="10.7265625" style="25" hidden="1" customWidth="1"/>
    <col min="25" max="26" width="9.1796875" style="25" hidden="1" customWidth="1"/>
    <col min="27" max="27" width="22.453125" style="25" hidden="1" customWidth="1"/>
    <col min="28" max="28" width="0" style="25" hidden="1" customWidth="1"/>
    <col min="29" max="16384" width="9.1796875" style="25"/>
  </cols>
  <sheetData>
    <row r="2" spans="2:27" ht="21" customHeight="1" x14ac:dyDescent="0.3">
      <c r="B2" s="23" t="s">
        <v>5</v>
      </c>
      <c r="C2" s="24" t="str">
        <f>'Project Infor'!C10</f>
        <v>ZEZ-AT00001-1001</v>
      </c>
      <c r="D2" s="23" t="str">
        <f>'Project Infor'!C11</f>
        <v>Asistencia técnica para desarrollo Java/.Net/…</v>
      </c>
      <c r="E2" s="24"/>
      <c r="F2" s="24"/>
      <c r="G2" s="24"/>
      <c r="H2" s="24"/>
    </row>
    <row r="3" spans="2:27" ht="9" customHeight="1" x14ac:dyDescent="0.3">
      <c r="C3" s="26"/>
      <c r="D3" s="26"/>
      <c r="E3" s="26"/>
      <c r="F3" s="26"/>
    </row>
    <row r="4" spans="2:27" ht="15" customHeight="1" x14ac:dyDescent="0.3">
      <c r="C4" s="27"/>
      <c r="D4" s="28"/>
      <c r="E4" s="28"/>
      <c r="F4" s="28"/>
      <c r="G4" s="28"/>
      <c r="H4" s="28"/>
      <c r="I4" s="28"/>
      <c r="J4" s="28"/>
      <c r="K4" s="28"/>
      <c r="L4" s="28"/>
      <c r="M4" s="28"/>
      <c r="N4" s="28"/>
      <c r="O4" s="28"/>
      <c r="P4" s="28"/>
      <c r="Q4" s="28"/>
      <c r="R4" s="28"/>
      <c r="S4" s="28"/>
    </row>
    <row r="5" spans="2:27" ht="20.149999999999999" customHeight="1" x14ac:dyDescent="0.3">
      <c r="B5" s="324" t="s">
        <v>52</v>
      </c>
      <c r="C5" s="324"/>
      <c r="D5" s="324"/>
      <c r="E5" s="324"/>
      <c r="F5" s="324"/>
      <c r="G5" s="324"/>
      <c r="H5" s="324"/>
      <c r="I5" s="324"/>
      <c r="J5" s="324"/>
      <c r="K5" s="324"/>
      <c r="L5" s="324"/>
      <c r="M5" s="324"/>
      <c r="N5" s="324"/>
      <c r="O5" s="324"/>
      <c r="P5" s="89"/>
      <c r="Q5" s="28"/>
      <c r="R5" s="89"/>
      <c r="S5" s="28"/>
      <c r="U5" s="174" t="s">
        <v>53</v>
      </c>
      <c r="V5" s="174" t="s">
        <v>54</v>
      </c>
      <c r="W5" s="174" t="s">
        <v>55</v>
      </c>
      <c r="X5" s="174" t="s">
        <v>56</v>
      </c>
      <c r="Y5" s="174" t="s">
        <v>57</v>
      </c>
      <c r="Z5" s="174" t="s">
        <v>58</v>
      </c>
      <c r="AA5" s="174" t="s">
        <v>59</v>
      </c>
    </row>
    <row r="6" spans="2:27" s="90" customFormat="1" ht="37" customHeight="1" x14ac:dyDescent="0.3">
      <c r="B6" s="29"/>
      <c r="C6" s="193"/>
      <c r="D6" s="193"/>
      <c r="E6" s="193"/>
      <c r="F6" s="30" t="s">
        <v>60</v>
      </c>
      <c r="G6" s="30" t="s">
        <v>61</v>
      </c>
      <c r="H6" s="31" t="s">
        <v>62</v>
      </c>
      <c r="I6" s="30" t="s">
        <v>63</v>
      </c>
      <c r="J6" s="30" t="s">
        <v>64</v>
      </c>
      <c r="K6" s="30" t="s">
        <v>65</v>
      </c>
      <c r="L6" s="30" t="s">
        <v>66</v>
      </c>
      <c r="M6" s="30" t="s">
        <v>67</v>
      </c>
      <c r="N6" s="31" t="s">
        <v>68</v>
      </c>
      <c r="O6" s="31" t="s">
        <v>69</v>
      </c>
      <c r="P6" s="91"/>
      <c r="Q6" s="92"/>
      <c r="R6" s="91"/>
      <c r="S6" s="92"/>
      <c r="U6" s="174"/>
    </row>
    <row r="7" spans="2:27" s="93" customFormat="1" ht="31.5" customHeight="1" thickBot="1" x14ac:dyDescent="0.35">
      <c r="B7" s="325" t="s">
        <v>70</v>
      </c>
      <c r="C7" s="326"/>
      <c r="D7" s="326"/>
      <c r="E7" s="326"/>
      <c r="F7" s="32">
        <f t="shared" ref="F7" si="0">SUM(F12,F36)</f>
        <v>0</v>
      </c>
      <c r="G7" s="33">
        <f t="shared" ref="G7:L7" si="1">SUM(G12,G36)</f>
        <v>0</v>
      </c>
      <c r="H7" s="34">
        <f t="shared" si="1"/>
        <v>0</v>
      </c>
      <c r="I7" s="35">
        <f t="shared" si="1"/>
        <v>0</v>
      </c>
      <c r="J7" s="35">
        <f t="shared" si="1"/>
        <v>0</v>
      </c>
      <c r="K7" s="35">
        <f t="shared" si="1"/>
        <v>0</v>
      </c>
      <c r="L7" s="35">
        <f t="shared" si="1"/>
        <v>0</v>
      </c>
      <c r="M7" s="32">
        <f>SUM(G7,I7,J7,K7,L7)</f>
        <v>0</v>
      </c>
      <c r="N7" s="36">
        <f>IF(F7=0,0,(F7-G7-J7-K7-I7-L7)/F7)</f>
        <v>0</v>
      </c>
      <c r="O7" s="36">
        <f>IF(F7=0,0,(F7-G7/UTILIZACION-I7/UTILIZACION-J7/UTILIZACION-K7-L7)/F7)</f>
        <v>0</v>
      </c>
      <c r="P7" s="89"/>
      <c r="Q7" s="26"/>
      <c r="R7" s="89"/>
      <c r="S7" s="26"/>
    </row>
    <row r="8" spans="2:27" s="93" customFormat="1" ht="36.75" customHeight="1" thickBot="1" x14ac:dyDescent="0.35">
      <c r="B8" s="327" t="s">
        <v>71</v>
      </c>
      <c r="C8" s="327"/>
      <c r="D8" s="327"/>
      <c r="E8" s="327"/>
      <c r="F8" s="37">
        <f>F7</f>
        <v>0</v>
      </c>
      <c r="G8" s="38">
        <f>G7+G37</f>
        <v>0</v>
      </c>
      <c r="H8" s="37">
        <f t="shared" ref="H8:L8" si="2">H7+H37</f>
        <v>0</v>
      </c>
      <c r="I8" s="39">
        <f t="shared" si="2"/>
        <v>0</v>
      </c>
      <c r="J8" s="39">
        <f t="shared" si="2"/>
        <v>0</v>
      </c>
      <c r="K8" s="37">
        <f t="shared" si="2"/>
        <v>0</v>
      </c>
      <c r="L8" s="39">
        <f t="shared" si="2"/>
        <v>0</v>
      </c>
      <c r="M8" s="39">
        <f>M7+M37</f>
        <v>0</v>
      </c>
      <c r="N8" s="40">
        <f>IF(F8=0,0,(F8-G8-J8-K8-I8-L8)/F8)</f>
        <v>0</v>
      </c>
      <c r="O8" s="41">
        <f>IF(F8=0,0,(F8-G8/UTILIZACION-I8/UTILIZACION-J8/UTILIZACION-K8-L8)/F8)</f>
        <v>0</v>
      </c>
      <c r="P8" s="94" cm="1">
        <f t="array" ref="P8">margendirectobaselineactual</f>
        <v>0</v>
      </c>
      <c r="Q8" s="26"/>
      <c r="R8" s="94"/>
      <c r="S8" s="26"/>
    </row>
    <row r="9" spans="2:27" s="93" customFormat="1" ht="22.5" customHeight="1" x14ac:dyDescent="0.3">
      <c r="B9" s="27"/>
      <c r="C9" s="27"/>
      <c r="D9" s="28"/>
      <c r="E9" s="28"/>
      <c r="F9" s="42"/>
      <c r="G9" s="43"/>
      <c r="H9" s="42"/>
      <c r="I9" s="43"/>
      <c r="J9" s="43"/>
      <c r="K9" s="42"/>
      <c r="L9" s="43"/>
      <c r="M9" s="44"/>
      <c r="N9" s="45"/>
      <c r="O9" s="45"/>
      <c r="P9" s="89"/>
      <c r="Q9" s="26"/>
      <c r="R9" s="89"/>
      <c r="S9" s="26"/>
    </row>
    <row r="10" spans="2:27" ht="20.149999999999999" customHeight="1" x14ac:dyDescent="0.3">
      <c r="B10" s="324" t="s">
        <v>72</v>
      </c>
      <c r="C10" s="324"/>
      <c r="D10" s="324"/>
      <c r="E10" s="324"/>
      <c r="F10" s="324"/>
      <c r="G10" s="324"/>
      <c r="H10" s="324"/>
      <c r="I10" s="324"/>
      <c r="J10" s="324"/>
      <c r="K10" s="324"/>
      <c r="L10" s="324"/>
      <c r="M10" s="324"/>
      <c r="N10" s="324"/>
      <c r="O10" s="324"/>
      <c r="P10" s="89"/>
      <c r="Q10" s="28"/>
      <c r="R10" s="89"/>
      <c r="S10" s="28"/>
      <c r="U10" s="174" t="s">
        <v>53</v>
      </c>
      <c r="V10" s="174" t="s">
        <v>54</v>
      </c>
      <c r="W10" s="174" t="s">
        <v>55</v>
      </c>
      <c r="X10" s="174" t="s">
        <v>56</v>
      </c>
      <c r="Y10" s="174" t="s">
        <v>57</v>
      </c>
      <c r="Z10" s="174" t="s">
        <v>58</v>
      </c>
      <c r="AA10" s="174" t="s">
        <v>59</v>
      </c>
    </row>
    <row r="11" spans="2:27" s="90" customFormat="1" ht="31.5" customHeight="1" x14ac:dyDescent="0.3">
      <c r="B11" s="46"/>
      <c r="C11" s="46" t="s">
        <v>73</v>
      </c>
      <c r="D11" s="47" t="s">
        <v>74</v>
      </c>
      <c r="E11" s="46" t="s">
        <v>12</v>
      </c>
      <c r="F11" s="30" t="s">
        <v>75</v>
      </c>
      <c r="G11" s="30" t="s">
        <v>61</v>
      </c>
      <c r="H11" s="31" t="s">
        <v>62</v>
      </c>
      <c r="I11" s="30" t="s">
        <v>63</v>
      </c>
      <c r="J11" s="30" t="s">
        <v>64</v>
      </c>
      <c r="K11" s="30" t="s">
        <v>65</v>
      </c>
      <c r="L11" s="30" t="s">
        <v>66</v>
      </c>
      <c r="M11" s="30" t="s">
        <v>67</v>
      </c>
      <c r="N11" s="31" t="s">
        <v>76</v>
      </c>
      <c r="O11" s="31" t="s">
        <v>69</v>
      </c>
      <c r="P11" s="92"/>
      <c r="Q11" s="92"/>
      <c r="R11" s="92"/>
      <c r="S11" s="92"/>
    </row>
    <row r="12" spans="2:27" ht="20.149999999999999" customHeight="1" x14ac:dyDescent="0.3">
      <c r="B12" s="48"/>
      <c r="C12" s="188"/>
      <c r="D12" s="49">
        <v>10</v>
      </c>
      <c r="E12" s="49" t="s">
        <v>77</v>
      </c>
      <c r="F12" s="50">
        <f>'Project Infor'!C28</f>
        <v>0</v>
      </c>
      <c r="G12" s="50">
        <f>'Project Infor'!C30</f>
        <v>0</v>
      </c>
      <c r="H12" s="50">
        <f>'Project Infor'!C29</f>
        <v>0</v>
      </c>
      <c r="I12" s="50">
        <f>'Project Infor'!C31</f>
        <v>0</v>
      </c>
      <c r="J12" s="50">
        <f>'Project Infor'!C32</f>
        <v>0</v>
      </c>
      <c r="K12" s="50">
        <f>'Project Infor'!C33</f>
        <v>0</v>
      </c>
      <c r="L12" s="50">
        <f>'Project Infor'!C34</f>
        <v>0</v>
      </c>
      <c r="M12" s="50">
        <f>SUM(G12,I12,J12,K12,L12)</f>
        <v>0</v>
      </c>
      <c r="N12" s="51">
        <f>IF(F12=0,0,(F12-G12-J12-K12-I12-L12)/F12)</f>
        <v>0</v>
      </c>
      <c r="O12" s="52">
        <f>IF(F12=0,0,(F12-G12/UTILIZACION-I12/UTILIZACION-J12/UTILIZACION-K12-L12)/F12)</f>
        <v>0</v>
      </c>
      <c r="P12" s="28"/>
      <c r="Q12" s="28"/>
      <c r="R12" s="28"/>
      <c r="S12" s="28"/>
      <c r="T12" s="25" t="s">
        <v>78</v>
      </c>
    </row>
    <row r="13" spans="2:27" ht="20.149999999999999" customHeight="1" x14ac:dyDescent="0.3">
      <c r="C13" s="27"/>
      <c r="D13" s="28"/>
      <c r="E13" s="28"/>
      <c r="F13" s="28"/>
      <c r="G13" s="28"/>
      <c r="H13" s="28"/>
      <c r="I13" s="28"/>
      <c r="J13" s="28"/>
      <c r="K13" s="28"/>
      <c r="L13" s="28"/>
      <c r="M13" s="28"/>
      <c r="N13" s="28"/>
      <c r="O13" s="28"/>
      <c r="P13" s="28"/>
      <c r="Q13" s="28"/>
      <c r="R13" s="28"/>
      <c r="S13" s="28"/>
    </row>
    <row r="14" spans="2:27" ht="20.149999999999999" customHeight="1" x14ac:dyDescent="0.3">
      <c r="B14" s="324" t="s">
        <v>79</v>
      </c>
      <c r="C14" s="324"/>
      <c r="D14" s="324"/>
      <c r="E14" s="324"/>
      <c r="F14" s="324"/>
      <c r="G14" s="324"/>
      <c r="H14" s="324"/>
      <c r="I14" s="324"/>
      <c r="J14" s="324"/>
      <c r="K14" s="324"/>
      <c r="L14" s="324"/>
      <c r="M14" s="324"/>
      <c r="N14" s="324"/>
      <c r="O14" s="324"/>
      <c r="P14" s="28"/>
      <c r="Q14" s="28"/>
      <c r="R14" s="28"/>
      <c r="S14" s="28"/>
      <c r="U14" s="174" t="s">
        <v>53</v>
      </c>
      <c r="V14" s="174" t="s">
        <v>54</v>
      </c>
      <c r="W14" s="174" t="s">
        <v>55</v>
      </c>
      <c r="X14" s="174" t="s">
        <v>56</v>
      </c>
      <c r="Y14" s="174" t="s">
        <v>57</v>
      </c>
      <c r="Z14" s="174" t="s">
        <v>58</v>
      </c>
      <c r="AA14" s="174" t="s">
        <v>59</v>
      </c>
    </row>
    <row r="15" spans="2:27" s="90" customFormat="1" ht="31.5" customHeight="1" x14ac:dyDescent="0.3">
      <c r="B15" s="241" t="s">
        <v>80</v>
      </c>
      <c r="C15" s="241" t="s">
        <v>73</v>
      </c>
      <c r="D15" s="242" t="s">
        <v>74</v>
      </c>
      <c r="E15" s="241" t="s">
        <v>12</v>
      </c>
      <c r="F15" s="243" t="s">
        <v>60</v>
      </c>
      <c r="G15" s="243" t="s">
        <v>61</v>
      </c>
      <c r="H15" s="244" t="s">
        <v>62</v>
      </c>
      <c r="I15" s="243" t="s">
        <v>63</v>
      </c>
      <c r="J15" s="243" t="s">
        <v>64</v>
      </c>
      <c r="K15" s="243" t="s">
        <v>65</v>
      </c>
      <c r="L15" s="243" t="s">
        <v>66</v>
      </c>
      <c r="M15" s="30" t="s">
        <v>67</v>
      </c>
      <c r="N15" s="53" t="s">
        <v>76</v>
      </c>
      <c r="O15" s="53" t="s">
        <v>69</v>
      </c>
      <c r="P15" s="53" t="s">
        <v>81</v>
      </c>
      <c r="Q15" s="28"/>
      <c r="R15" s="47" t="s">
        <v>82</v>
      </c>
      <c r="S15" s="28"/>
      <c r="W15" s="175"/>
    </row>
    <row r="16" spans="2:27" s="71" customFormat="1" ht="20.149999999999999" customHeight="1" x14ac:dyDescent="0.3">
      <c r="B16" s="194"/>
      <c r="C16" s="3"/>
      <c r="D16" s="1"/>
      <c r="E16" s="4"/>
      <c r="F16" s="95"/>
      <c r="G16" s="95"/>
      <c r="H16" s="95"/>
      <c r="I16" s="95"/>
      <c r="J16" s="95"/>
      <c r="K16" s="95"/>
      <c r="L16" s="95"/>
      <c r="M16" s="21">
        <f>SUM(G16,I16,J16,K16,L16)</f>
        <v>0</v>
      </c>
      <c r="N16" s="22">
        <f>IF(F16=0,0,(F16-G16-J16-K16-I16-L16)/F16)</f>
        <v>0</v>
      </c>
      <c r="O16" s="22">
        <f t="shared" ref="O16:O35" si="3">IF(F16=0,0,(F16-G16/UTILIZACION-I16/UTILIZACION-J16/UTILIZACION-K16-L16)/F16)</f>
        <v>0</v>
      </c>
      <c r="P16" s="20"/>
      <c r="Q16" s="28"/>
      <c r="R16" s="20" t="s">
        <v>83</v>
      </c>
      <c r="S16" s="28"/>
      <c r="T16" s="176" t="str">
        <f t="shared" ref="T16:T35" si="4">IF(C16&lt;&gt;"",IF((YEAR(C16)&amp;MONTH(C16))&lt;(YEAR(Inicio)&amp;MONTH(Inicio)),YEAR(Inicio)&amp;MONTH(Inicio),YEAR(C16)&amp;MONTH(C16)),YEAR(C16)&amp;MONTH(C16))</f>
        <v>19001</v>
      </c>
      <c r="U16" s="175">
        <f t="shared" ref="U16:U35" si="5">AA16-Y16-X16-W16</f>
        <v>0</v>
      </c>
      <c r="V16" s="175"/>
      <c r="W16" s="175">
        <f>$G$12+SUM($G$16:G16)</f>
        <v>0</v>
      </c>
      <c r="X16" s="175">
        <f>$I$12+SUM($I$16:I16)+$J$12+SUM($J$16:J16)</f>
        <v>0</v>
      </c>
      <c r="Y16" s="175">
        <f>$K$12+SUM($K$16:K16)</f>
        <v>0</v>
      </c>
      <c r="Z16" s="175">
        <f>$L$12+SUM($L$16:L16)</f>
        <v>0</v>
      </c>
      <c r="AA16" s="175">
        <f>$F$12+SUM($F$16:F16)</f>
        <v>0</v>
      </c>
    </row>
    <row r="17" spans="2:27" s="71" customFormat="1" ht="20.149999999999999" customHeight="1" x14ac:dyDescent="0.3">
      <c r="B17" s="194"/>
      <c r="C17" s="3"/>
      <c r="D17" s="1"/>
      <c r="E17" s="96"/>
      <c r="F17" s="95"/>
      <c r="G17" s="95"/>
      <c r="H17" s="95"/>
      <c r="I17" s="95"/>
      <c r="J17" s="95"/>
      <c r="K17" s="95"/>
      <c r="L17" s="195"/>
      <c r="M17" s="21">
        <f>SUM(G17,I17,J17,K17,L17)</f>
        <v>0</v>
      </c>
      <c r="N17" s="22">
        <f t="shared" ref="N17:N34" si="6">IF(F17=0,0,(F17-G17-J17-K17-I17-L17)/F17)</f>
        <v>0</v>
      </c>
      <c r="O17" s="22">
        <f t="shared" si="3"/>
        <v>0</v>
      </c>
      <c r="P17" s="20"/>
      <c r="Q17" s="28"/>
      <c r="R17" s="20"/>
      <c r="S17" s="28"/>
      <c r="T17" s="176" t="str">
        <f t="shared" si="4"/>
        <v>19001</v>
      </c>
      <c r="U17" s="175">
        <f t="shared" si="5"/>
        <v>0</v>
      </c>
      <c r="V17" s="175"/>
      <c r="W17" s="175">
        <f>$G$12+SUM($G$16:G17)</f>
        <v>0</v>
      </c>
      <c r="X17" s="175">
        <f>$I$12+SUM($I$16:I17)+$J$12+SUM($J$16:J17)</f>
        <v>0</v>
      </c>
      <c r="Y17" s="175">
        <f>$K$12+SUM($K$16:K17)</f>
        <v>0</v>
      </c>
      <c r="Z17" s="175">
        <f>$L$12+SUM($L$16:L17)</f>
        <v>0</v>
      </c>
      <c r="AA17" s="175">
        <f>$F$12+SUM($F$16:F17)</f>
        <v>0</v>
      </c>
    </row>
    <row r="18" spans="2:27" s="71" customFormat="1" ht="20.149999999999999" customHeight="1" x14ac:dyDescent="0.3">
      <c r="B18" s="194"/>
      <c r="C18" s="3"/>
      <c r="D18" s="1"/>
      <c r="E18" s="4"/>
      <c r="F18" s="95"/>
      <c r="G18" s="95"/>
      <c r="H18" s="95"/>
      <c r="I18" s="95"/>
      <c r="J18" s="95"/>
      <c r="K18" s="95"/>
      <c r="L18" s="95"/>
      <c r="M18" s="21">
        <f t="shared" ref="M18:M36" si="7">SUM(G18,I18,J18,K18,L18)</f>
        <v>0</v>
      </c>
      <c r="N18" s="22">
        <f t="shared" si="6"/>
        <v>0</v>
      </c>
      <c r="O18" s="22">
        <f t="shared" si="3"/>
        <v>0</v>
      </c>
      <c r="P18" s="20"/>
      <c r="Q18" s="28"/>
      <c r="R18" s="20"/>
      <c r="S18" s="28"/>
      <c r="T18" s="176" t="str">
        <f t="shared" si="4"/>
        <v>19001</v>
      </c>
      <c r="U18" s="175">
        <f t="shared" si="5"/>
        <v>0</v>
      </c>
      <c r="V18" s="175"/>
      <c r="W18" s="175">
        <f>$G$12+SUM($G$16:G18)</f>
        <v>0</v>
      </c>
      <c r="X18" s="175">
        <f>$I$12+SUM($I$16:I18)+$J$12+SUM($J$16:J18)</f>
        <v>0</v>
      </c>
      <c r="Y18" s="175">
        <f>$K$12+SUM($K$16:K18)</f>
        <v>0</v>
      </c>
      <c r="Z18" s="175">
        <f>$L$12+SUM($L$16:L18)</f>
        <v>0</v>
      </c>
      <c r="AA18" s="175">
        <f>$F$12+SUM($F$16:F18)</f>
        <v>0</v>
      </c>
    </row>
    <row r="19" spans="2:27" s="71" customFormat="1" ht="20.149999999999999" customHeight="1" x14ac:dyDescent="0.3">
      <c r="B19" s="194"/>
      <c r="C19" s="3"/>
      <c r="D19" s="1"/>
      <c r="E19" s="4"/>
      <c r="F19" s="95"/>
      <c r="G19" s="95"/>
      <c r="H19" s="95"/>
      <c r="I19" s="95"/>
      <c r="J19" s="95"/>
      <c r="K19" s="95"/>
      <c r="L19" s="95"/>
      <c r="M19" s="21">
        <f t="shared" si="7"/>
        <v>0</v>
      </c>
      <c r="N19" s="22">
        <f t="shared" si="6"/>
        <v>0</v>
      </c>
      <c r="O19" s="22">
        <f t="shared" si="3"/>
        <v>0</v>
      </c>
      <c r="P19" s="20"/>
      <c r="Q19" s="28"/>
      <c r="R19" s="20"/>
      <c r="S19" s="28"/>
      <c r="T19" s="176" t="str">
        <f t="shared" si="4"/>
        <v>19001</v>
      </c>
      <c r="U19" s="175">
        <f t="shared" si="5"/>
        <v>0</v>
      </c>
      <c r="V19" s="175"/>
      <c r="W19" s="175">
        <f>$G$12+SUM($G$16:G19)</f>
        <v>0</v>
      </c>
      <c r="X19" s="175">
        <f>$I$12+SUM($I$16:I19)+$J$12+SUM($J$16:J19)</f>
        <v>0</v>
      </c>
      <c r="Y19" s="175">
        <f>$K$12+SUM($K$16:K19)</f>
        <v>0</v>
      </c>
      <c r="Z19" s="175">
        <f>$L$12+SUM($L$16:L19)</f>
        <v>0</v>
      </c>
      <c r="AA19" s="175">
        <f>$F$12+SUM($F$16:F19)</f>
        <v>0</v>
      </c>
    </row>
    <row r="20" spans="2:27" s="71" customFormat="1" ht="20.149999999999999" customHeight="1" x14ac:dyDescent="0.3">
      <c r="B20" s="194"/>
      <c r="C20" s="3"/>
      <c r="D20" s="1"/>
      <c r="E20" s="4"/>
      <c r="F20" s="95"/>
      <c r="G20" s="95"/>
      <c r="H20" s="95"/>
      <c r="I20" s="95"/>
      <c r="J20" s="95"/>
      <c r="K20" s="95"/>
      <c r="L20" s="95"/>
      <c r="M20" s="21">
        <f t="shared" ref="M20:M25" si="8">SUM(G20,I20,J20,K20,L20)</f>
        <v>0</v>
      </c>
      <c r="N20" s="22">
        <f t="shared" si="6"/>
        <v>0</v>
      </c>
      <c r="O20" s="22">
        <f t="shared" si="3"/>
        <v>0</v>
      </c>
      <c r="P20" s="20"/>
      <c r="Q20" s="28"/>
      <c r="R20" s="20"/>
      <c r="S20" s="28"/>
      <c r="T20" s="176" t="str">
        <f t="shared" si="4"/>
        <v>19001</v>
      </c>
      <c r="U20" s="175">
        <f t="shared" si="5"/>
        <v>0</v>
      </c>
      <c r="V20" s="175"/>
      <c r="W20" s="175">
        <f>$G$12+SUM($G$16:G20)</f>
        <v>0</v>
      </c>
      <c r="X20" s="175">
        <f>$I$12+SUM($I$16:I20)+$J$12+SUM($J$16:J20)</f>
        <v>0</v>
      </c>
      <c r="Y20" s="175">
        <f>$K$12+SUM($K$16:K20)</f>
        <v>0</v>
      </c>
      <c r="Z20" s="175">
        <f>$L$12+SUM($L$16:L20)</f>
        <v>0</v>
      </c>
      <c r="AA20" s="175">
        <f>$F$12+SUM($F$16:F20)</f>
        <v>0</v>
      </c>
    </row>
    <row r="21" spans="2:27" s="71" customFormat="1" ht="20.149999999999999" customHeight="1" x14ac:dyDescent="0.3">
      <c r="B21" s="194"/>
      <c r="C21" s="3"/>
      <c r="D21" s="1"/>
      <c r="E21" s="4"/>
      <c r="F21" s="95"/>
      <c r="G21" s="95"/>
      <c r="H21" s="95"/>
      <c r="I21" s="95"/>
      <c r="J21" s="95"/>
      <c r="K21" s="95"/>
      <c r="L21" s="95"/>
      <c r="M21" s="21">
        <f t="shared" si="8"/>
        <v>0</v>
      </c>
      <c r="N21" s="22">
        <f t="shared" si="6"/>
        <v>0</v>
      </c>
      <c r="O21" s="22">
        <f t="shared" si="3"/>
        <v>0</v>
      </c>
      <c r="P21" s="20"/>
      <c r="Q21" s="28"/>
      <c r="R21" s="20"/>
      <c r="S21" s="28"/>
      <c r="T21" s="176" t="str">
        <f t="shared" si="4"/>
        <v>19001</v>
      </c>
      <c r="U21" s="175">
        <f t="shared" si="5"/>
        <v>0</v>
      </c>
      <c r="V21" s="175"/>
      <c r="W21" s="175">
        <f>$G$12+SUM($G$16:G21)</f>
        <v>0</v>
      </c>
      <c r="X21" s="175">
        <f>$I$12+SUM($I$16:I21)+$J$12+SUM($J$16:J21)</f>
        <v>0</v>
      </c>
      <c r="Y21" s="175">
        <f>$K$12+SUM($K$16:K21)</f>
        <v>0</v>
      </c>
      <c r="Z21" s="175">
        <f>$L$12+SUM($L$16:L21)</f>
        <v>0</v>
      </c>
      <c r="AA21" s="175">
        <f>$F$12+SUM($F$16:F21)</f>
        <v>0</v>
      </c>
    </row>
    <row r="22" spans="2:27" s="71" customFormat="1" ht="20.149999999999999" customHeight="1" x14ac:dyDescent="0.3">
      <c r="B22" s="194"/>
      <c r="C22" s="3"/>
      <c r="D22" s="1"/>
      <c r="E22" s="4"/>
      <c r="F22" s="95"/>
      <c r="G22" s="95"/>
      <c r="H22" s="95"/>
      <c r="I22" s="95"/>
      <c r="J22" s="95"/>
      <c r="K22" s="95"/>
      <c r="L22" s="95"/>
      <c r="M22" s="21">
        <f t="shared" si="8"/>
        <v>0</v>
      </c>
      <c r="N22" s="22">
        <f t="shared" si="6"/>
        <v>0</v>
      </c>
      <c r="O22" s="22">
        <f t="shared" si="3"/>
        <v>0</v>
      </c>
      <c r="P22" s="20"/>
      <c r="Q22" s="28"/>
      <c r="R22" s="20"/>
      <c r="S22" s="28"/>
      <c r="T22" s="176" t="str">
        <f t="shared" si="4"/>
        <v>19001</v>
      </c>
      <c r="U22" s="175">
        <f t="shared" si="5"/>
        <v>0</v>
      </c>
      <c r="V22" s="175"/>
      <c r="W22" s="175">
        <f>$G$12+SUM($G$16:G22)</f>
        <v>0</v>
      </c>
      <c r="X22" s="175">
        <f>$I$12+SUM($I$16:I22)+$J$12+SUM($J$16:J22)</f>
        <v>0</v>
      </c>
      <c r="Y22" s="175">
        <f>$K$12+SUM($K$16:K22)</f>
        <v>0</v>
      </c>
      <c r="Z22" s="175">
        <f>$L$12+SUM($L$16:L22)</f>
        <v>0</v>
      </c>
      <c r="AA22" s="175">
        <f>$F$12+SUM($F$16:F22)</f>
        <v>0</v>
      </c>
    </row>
    <row r="23" spans="2:27" s="71" customFormat="1" ht="20.149999999999999" customHeight="1" x14ac:dyDescent="0.3">
      <c r="B23" s="194"/>
      <c r="C23" s="3"/>
      <c r="D23" s="1"/>
      <c r="E23" s="4"/>
      <c r="F23" s="95"/>
      <c r="G23" s="95"/>
      <c r="H23" s="95"/>
      <c r="I23" s="95"/>
      <c r="J23" s="95"/>
      <c r="K23" s="95"/>
      <c r="L23" s="95"/>
      <c r="M23" s="21">
        <f t="shared" si="8"/>
        <v>0</v>
      </c>
      <c r="N23" s="22">
        <f t="shared" si="6"/>
        <v>0</v>
      </c>
      <c r="O23" s="22">
        <f t="shared" si="3"/>
        <v>0</v>
      </c>
      <c r="P23" s="20"/>
      <c r="Q23" s="28"/>
      <c r="R23" s="20"/>
      <c r="S23" s="28"/>
      <c r="T23" s="176" t="str">
        <f t="shared" si="4"/>
        <v>19001</v>
      </c>
      <c r="U23" s="175">
        <f t="shared" si="5"/>
        <v>0</v>
      </c>
      <c r="V23" s="175"/>
      <c r="W23" s="175">
        <f>$G$12+SUM($G$16:G23)</f>
        <v>0</v>
      </c>
      <c r="X23" s="175">
        <f>$I$12+SUM($I$16:I23)+$J$12+SUM($J$16:J23)</f>
        <v>0</v>
      </c>
      <c r="Y23" s="175">
        <f>$K$12+SUM($K$16:K23)</f>
        <v>0</v>
      </c>
      <c r="Z23" s="175">
        <f>$L$12+SUM($L$16:L23)</f>
        <v>0</v>
      </c>
      <c r="AA23" s="175">
        <f>$F$12+SUM($F$16:F23)</f>
        <v>0</v>
      </c>
    </row>
    <row r="24" spans="2:27" s="71" customFormat="1" ht="20.149999999999999" customHeight="1" x14ac:dyDescent="0.3">
      <c r="B24" s="194"/>
      <c r="C24" s="3"/>
      <c r="D24" s="1"/>
      <c r="E24" s="4"/>
      <c r="F24" s="95"/>
      <c r="G24" s="95"/>
      <c r="H24" s="95"/>
      <c r="I24" s="95"/>
      <c r="J24" s="95"/>
      <c r="K24" s="95"/>
      <c r="L24" s="95"/>
      <c r="M24" s="21">
        <f t="shared" si="8"/>
        <v>0</v>
      </c>
      <c r="N24" s="22">
        <f t="shared" si="6"/>
        <v>0</v>
      </c>
      <c r="O24" s="22">
        <f t="shared" si="3"/>
        <v>0</v>
      </c>
      <c r="P24" s="20"/>
      <c r="Q24" s="28"/>
      <c r="R24" s="20"/>
      <c r="S24" s="28"/>
      <c r="T24" s="176" t="str">
        <f t="shared" si="4"/>
        <v>19001</v>
      </c>
      <c r="U24" s="175">
        <f t="shared" si="5"/>
        <v>0</v>
      </c>
      <c r="V24" s="175"/>
      <c r="W24" s="175">
        <f>$G$12+SUM($G$16:G24)</f>
        <v>0</v>
      </c>
      <c r="X24" s="175">
        <f>$I$12+SUM($I$16:I24)+$J$12+SUM($J$16:J24)</f>
        <v>0</v>
      </c>
      <c r="Y24" s="175">
        <f>$K$12+SUM($K$16:K24)</f>
        <v>0</v>
      </c>
      <c r="Z24" s="175">
        <f>$L$12+SUM($L$16:L24)</f>
        <v>0</v>
      </c>
      <c r="AA24" s="175">
        <f>$F$12+SUM($F$16:F24)</f>
        <v>0</v>
      </c>
    </row>
    <row r="25" spans="2:27" s="71" customFormat="1" ht="20.149999999999999" customHeight="1" x14ac:dyDescent="0.3">
      <c r="B25" s="194"/>
      <c r="C25" s="3"/>
      <c r="D25" s="1"/>
      <c r="E25" s="4"/>
      <c r="F25" s="95"/>
      <c r="G25" s="95"/>
      <c r="H25" s="95"/>
      <c r="I25" s="95"/>
      <c r="J25" s="95"/>
      <c r="K25" s="95"/>
      <c r="L25" s="95"/>
      <c r="M25" s="21">
        <f t="shared" si="8"/>
        <v>0</v>
      </c>
      <c r="N25" s="22">
        <f t="shared" si="6"/>
        <v>0</v>
      </c>
      <c r="O25" s="22">
        <f t="shared" si="3"/>
        <v>0</v>
      </c>
      <c r="P25" s="20"/>
      <c r="Q25" s="28"/>
      <c r="R25" s="20"/>
      <c r="S25" s="28"/>
      <c r="T25" s="176" t="str">
        <f t="shared" si="4"/>
        <v>19001</v>
      </c>
      <c r="U25" s="175">
        <f t="shared" si="5"/>
        <v>0</v>
      </c>
      <c r="V25" s="175"/>
      <c r="W25" s="175">
        <f>$G$12+SUM($G$16:G25)</f>
        <v>0</v>
      </c>
      <c r="X25" s="175">
        <f>$I$12+SUM($I$16:I25)+$J$12+SUM($J$16:J25)</f>
        <v>0</v>
      </c>
      <c r="Y25" s="175">
        <f>$K$12+SUM($K$16:K25)</f>
        <v>0</v>
      </c>
      <c r="Z25" s="175">
        <f>$L$12+SUM($L$16:L25)</f>
        <v>0</v>
      </c>
      <c r="AA25" s="175">
        <f>$F$12+SUM($F$16:F25)</f>
        <v>0</v>
      </c>
    </row>
    <row r="26" spans="2:27" s="71" customFormat="1" ht="20.149999999999999" customHeight="1" x14ac:dyDescent="0.3">
      <c r="B26" s="194"/>
      <c r="C26" s="3"/>
      <c r="D26" s="1"/>
      <c r="E26" s="4"/>
      <c r="F26" s="95"/>
      <c r="G26" s="95"/>
      <c r="H26" s="95"/>
      <c r="I26" s="95"/>
      <c r="J26" s="95"/>
      <c r="K26" s="95"/>
      <c r="L26" s="95"/>
      <c r="M26" s="21">
        <f t="shared" si="7"/>
        <v>0</v>
      </c>
      <c r="N26" s="22">
        <f t="shared" si="6"/>
        <v>0</v>
      </c>
      <c r="O26" s="22">
        <f t="shared" si="3"/>
        <v>0</v>
      </c>
      <c r="P26" s="20"/>
      <c r="Q26" s="28"/>
      <c r="R26" s="20"/>
      <c r="S26" s="28"/>
      <c r="T26" s="176" t="str">
        <f t="shared" si="4"/>
        <v>19001</v>
      </c>
      <c r="U26" s="175">
        <f t="shared" si="5"/>
        <v>0</v>
      </c>
      <c r="V26" s="175"/>
      <c r="W26" s="175">
        <f>$G$12+SUM($G$16:G26)</f>
        <v>0</v>
      </c>
      <c r="X26" s="175">
        <f>$I$12+SUM($I$16:I26)+$J$12+SUM($J$16:J26)</f>
        <v>0</v>
      </c>
      <c r="Y26" s="175">
        <f>$K$12+SUM($K$16:K26)</f>
        <v>0</v>
      </c>
      <c r="Z26" s="175">
        <f>$L$12+SUM($L$16:L26)</f>
        <v>0</v>
      </c>
      <c r="AA26" s="175">
        <f>$F$12+SUM($F$16:F26)</f>
        <v>0</v>
      </c>
    </row>
    <row r="27" spans="2:27" s="71" customFormat="1" ht="20.149999999999999" customHeight="1" x14ac:dyDescent="0.3">
      <c r="B27" s="194"/>
      <c r="C27" s="3"/>
      <c r="D27" s="1"/>
      <c r="E27" s="4"/>
      <c r="F27" s="95"/>
      <c r="G27" s="95"/>
      <c r="H27" s="95"/>
      <c r="I27" s="95"/>
      <c r="J27" s="95"/>
      <c r="K27" s="95"/>
      <c r="L27" s="95"/>
      <c r="M27" s="21">
        <f t="shared" si="7"/>
        <v>0</v>
      </c>
      <c r="N27" s="22">
        <f t="shared" si="6"/>
        <v>0</v>
      </c>
      <c r="O27" s="22">
        <f t="shared" si="3"/>
        <v>0</v>
      </c>
      <c r="P27" s="20"/>
      <c r="Q27" s="28"/>
      <c r="R27" s="20"/>
      <c r="S27" s="28"/>
      <c r="T27" s="176" t="str">
        <f t="shared" si="4"/>
        <v>19001</v>
      </c>
      <c r="U27" s="175">
        <f t="shared" si="5"/>
        <v>0</v>
      </c>
      <c r="V27" s="175"/>
      <c r="W27" s="175">
        <f>$G$12+SUM($G$16:G27)</f>
        <v>0</v>
      </c>
      <c r="X27" s="175">
        <f>$I$12+SUM($I$16:I27)+$J$12+SUM($J$16:J27)</f>
        <v>0</v>
      </c>
      <c r="Y27" s="175">
        <f>$K$12+SUM($K$16:K27)</f>
        <v>0</v>
      </c>
      <c r="Z27" s="175">
        <f>$L$12+SUM($L$16:L27)</f>
        <v>0</v>
      </c>
      <c r="AA27" s="175">
        <f>$F$12+SUM($F$16:F27)</f>
        <v>0</v>
      </c>
    </row>
    <row r="28" spans="2:27" s="71" customFormat="1" ht="20.149999999999999" customHeight="1" x14ac:dyDescent="0.3">
      <c r="B28" s="194"/>
      <c r="C28" s="3"/>
      <c r="D28" s="1"/>
      <c r="E28" s="4"/>
      <c r="F28" s="95"/>
      <c r="G28" s="95"/>
      <c r="H28" s="95"/>
      <c r="I28" s="95"/>
      <c r="J28" s="95"/>
      <c r="K28" s="95"/>
      <c r="L28" s="95"/>
      <c r="M28" s="21">
        <f t="shared" ref="M28:M30" si="9">SUM(G28,I28,J28,K28,L28)</f>
        <v>0</v>
      </c>
      <c r="N28" s="22">
        <f t="shared" si="6"/>
        <v>0</v>
      </c>
      <c r="O28" s="22">
        <f t="shared" si="3"/>
        <v>0</v>
      </c>
      <c r="P28" s="20"/>
      <c r="Q28" s="28"/>
      <c r="R28" s="20"/>
      <c r="S28" s="28"/>
      <c r="T28" s="176" t="str">
        <f t="shared" si="4"/>
        <v>19001</v>
      </c>
      <c r="U28" s="175">
        <f t="shared" si="5"/>
        <v>0</v>
      </c>
      <c r="V28" s="175"/>
      <c r="W28" s="175">
        <f>$G$12+SUM($G$16:G28)</f>
        <v>0</v>
      </c>
      <c r="X28" s="175">
        <f>$I$12+SUM($I$16:I28)+$J$12+SUM($J$16:J28)</f>
        <v>0</v>
      </c>
      <c r="Y28" s="175">
        <f>$K$12+SUM($K$16:K28)</f>
        <v>0</v>
      </c>
      <c r="Z28" s="175">
        <f>$L$12+SUM($L$16:L28)</f>
        <v>0</v>
      </c>
      <c r="AA28" s="175">
        <f>$F$12+SUM($F$16:F28)</f>
        <v>0</v>
      </c>
    </row>
    <row r="29" spans="2:27" s="71" customFormat="1" ht="20.149999999999999" customHeight="1" x14ac:dyDescent="0.3">
      <c r="B29" s="194"/>
      <c r="C29" s="3"/>
      <c r="D29" s="1"/>
      <c r="E29" s="4"/>
      <c r="F29" s="95"/>
      <c r="G29" s="95"/>
      <c r="H29" s="95"/>
      <c r="I29" s="95"/>
      <c r="J29" s="95"/>
      <c r="K29" s="95"/>
      <c r="L29" s="95"/>
      <c r="M29" s="21">
        <f t="shared" si="9"/>
        <v>0</v>
      </c>
      <c r="N29" s="22">
        <f t="shared" si="6"/>
        <v>0</v>
      </c>
      <c r="O29" s="22">
        <f t="shared" si="3"/>
        <v>0</v>
      </c>
      <c r="P29" s="20"/>
      <c r="Q29" s="28"/>
      <c r="R29" s="20"/>
      <c r="S29" s="28"/>
      <c r="T29" s="176" t="str">
        <f t="shared" si="4"/>
        <v>19001</v>
      </c>
      <c r="U29" s="175">
        <f t="shared" si="5"/>
        <v>0</v>
      </c>
      <c r="V29" s="175"/>
      <c r="W29" s="175">
        <f>$G$12+SUM($G$16:G29)</f>
        <v>0</v>
      </c>
      <c r="X29" s="175">
        <f>$I$12+SUM($I$16:I29)+$J$12+SUM($J$16:J29)</f>
        <v>0</v>
      </c>
      <c r="Y29" s="175">
        <f>$K$12+SUM($K$16:K29)</f>
        <v>0</v>
      </c>
      <c r="Z29" s="175">
        <f>$L$12+SUM($L$16:L29)</f>
        <v>0</v>
      </c>
      <c r="AA29" s="175">
        <f>$F$12+SUM($F$16:F29)</f>
        <v>0</v>
      </c>
    </row>
    <row r="30" spans="2:27" s="71" customFormat="1" ht="20.149999999999999" customHeight="1" x14ac:dyDescent="0.3">
      <c r="B30" s="194"/>
      <c r="C30" s="3"/>
      <c r="D30" s="1"/>
      <c r="E30" s="4"/>
      <c r="F30" s="95"/>
      <c r="G30" s="95"/>
      <c r="H30" s="95"/>
      <c r="I30" s="95"/>
      <c r="J30" s="95"/>
      <c r="K30" s="95"/>
      <c r="L30" s="95"/>
      <c r="M30" s="21">
        <f t="shared" si="9"/>
        <v>0</v>
      </c>
      <c r="N30" s="22">
        <f t="shared" si="6"/>
        <v>0</v>
      </c>
      <c r="O30" s="22">
        <f t="shared" si="3"/>
        <v>0</v>
      </c>
      <c r="P30" s="20"/>
      <c r="Q30" s="28"/>
      <c r="R30" s="20"/>
      <c r="S30" s="28"/>
      <c r="T30" s="176" t="str">
        <f t="shared" si="4"/>
        <v>19001</v>
      </c>
      <c r="U30" s="175">
        <f t="shared" si="5"/>
        <v>0</v>
      </c>
      <c r="V30" s="175"/>
      <c r="W30" s="175">
        <f>$G$12+SUM($G$16:G30)</f>
        <v>0</v>
      </c>
      <c r="X30" s="175">
        <f>$I$12+SUM($I$16:I30)+$J$12+SUM($J$16:J30)</f>
        <v>0</v>
      </c>
      <c r="Y30" s="175">
        <f>$K$12+SUM($K$16:K30)</f>
        <v>0</v>
      </c>
      <c r="Z30" s="175">
        <f>$L$12+SUM($L$16:L30)</f>
        <v>0</v>
      </c>
      <c r="AA30" s="175">
        <f>$F$12+SUM($F$16:F30)</f>
        <v>0</v>
      </c>
    </row>
    <row r="31" spans="2:27" s="71" customFormat="1" ht="20.149999999999999" customHeight="1" x14ac:dyDescent="0.3">
      <c r="B31" s="194"/>
      <c r="C31" s="3"/>
      <c r="D31" s="1"/>
      <c r="E31" s="4"/>
      <c r="F31" s="95"/>
      <c r="G31" s="95"/>
      <c r="H31" s="95"/>
      <c r="I31" s="95"/>
      <c r="J31" s="95"/>
      <c r="K31" s="95"/>
      <c r="L31" s="95"/>
      <c r="M31" s="21">
        <f t="shared" si="7"/>
        <v>0</v>
      </c>
      <c r="N31" s="22">
        <f t="shared" si="6"/>
        <v>0</v>
      </c>
      <c r="O31" s="22">
        <f t="shared" si="3"/>
        <v>0</v>
      </c>
      <c r="P31" s="20"/>
      <c r="Q31" s="28"/>
      <c r="R31" s="20"/>
      <c r="S31" s="28"/>
      <c r="T31" s="176" t="str">
        <f t="shared" si="4"/>
        <v>19001</v>
      </c>
      <c r="U31" s="175">
        <f t="shared" si="5"/>
        <v>0</v>
      </c>
      <c r="V31" s="175"/>
      <c r="W31" s="175">
        <f>$G$12+SUM($G$16:G31)</f>
        <v>0</v>
      </c>
      <c r="X31" s="175">
        <f>$I$12+SUM($I$16:I31)+$J$12+SUM($J$16:J31)</f>
        <v>0</v>
      </c>
      <c r="Y31" s="175">
        <f>$K$12+SUM($K$16:K31)</f>
        <v>0</v>
      </c>
      <c r="Z31" s="175">
        <f>$L$12+SUM($L$16:L31)</f>
        <v>0</v>
      </c>
      <c r="AA31" s="175">
        <f>$F$12+SUM($F$16:F31)</f>
        <v>0</v>
      </c>
    </row>
    <row r="32" spans="2:27" s="71" customFormat="1" ht="20.149999999999999" customHeight="1" x14ac:dyDescent="0.3">
      <c r="B32" s="194"/>
      <c r="C32" s="3"/>
      <c r="D32" s="1"/>
      <c r="E32" s="4"/>
      <c r="F32" s="95"/>
      <c r="G32" s="95"/>
      <c r="H32" s="95"/>
      <c r="I32" s="95"/>
      <c r="J32" s="95"/>
      <c r="K32" s="95"/>
      <c r="L32" s="95"/>
      <c r="M32" s="21">
        <f t="shared" ref="M32" si="10">SUM(G32,I32,J32,K32,L32)</f>
        <v>0</v>
      </c>
      <c r="N32" s="22">
        <f t="shared" si="6"/>
        <v>0</v>
      </c>
      <c r="O32" s="22">
        <f t="shared" si="3"/>
        <v>0</v>
      </c>
      <c r="P32" s="20"/>
      <c r="Q32" s="28"/>
      <c r="R32" s="20"/>
      <c r="S32" s="28"/>
      <c r="T32" s="176" t="str">
        <f t="shared" si="4"/>
        <v>19001</v>
      </c>
      <c r="U32" s="175">
        <f t="shared" si="5"/>
        <v>0</v>
      </c>
      <c r="V32" s="175"/>
      <c r="W32" s="175">
        <f>$G$12+SUM($G$16:G32)</f>
        <v>0</v>
      </c>
      <c r="X32" s="175">
        <f>$I$12+SUM($I$16:I32)+$J$12+SUM($J$16:J32)</f>
        <v>0</v>
      </c>
      <c r="Y32" s="175">
        <f>$K$12+SUM($K$16:K32)</f>
        <v>0</v>
      </c>
      <c r="Z32" s="175">
        <f>$L$12+SUM($L$16:L32)</f>
        <v>0</v>
      </c>
      <c r="AA32" s="175">
        <f>$F$12+SUM($F$16:F32)</f>
        <v>0</v>
      </c>
    </row>
    <row r="33" spans="2:27" s="71" customFormat="1" ht="20.149999999999999" customHeight="1" x14ac:dyDescent="0.3">
      <c r="B33" s="194"/>
      <c r="C33" s="3"/>
      <c r="D33" s="1"/>
      <c r="E33" s="4"/>
      <c r="F33" s="95"/>
      <c r="G33" s="95"/>
      <c r="H33" s="95"/>
      <c r="I33" s="95"/>
      <c r="J33" s="95"/>
      <c r="K33" s="95"/>
      <c r="L33" s="95"/>
      <c r="M33" s="21">
        <f t="shared" si="7"/>
        <v>0</v>
      </c>
      <c r="N33" s="22">
        <f t="shared" si="6"/>
        <v>0</v>
      </c>
      <c r="O33" s="22">
        <f t="shared" si="3"/>
        <v>0</v>
      </c>
      <c r="P33" s="20"/>
      <c r="Q33" s="28"/>
      <c r="R33" s="20"/>
      <c r="S33" s="28"/>
      <c r="T33" s="176" t="str">
        <f t="shared" si="4"/>
        <v>19001</v>
      </c>
      <c r="U33" s="175">
        <f t="shared" si="5"/>
        <v>0</v>
      </c>
      <c r="V33" s="175"/>
      <c r="W33" s="175">
        <f>$G$12+SUM($G$16:G33)</f>
        <v>0</v>
      </c>
      <c r="X33" s="175">
        <f>$I$12+SUM($I$16:I33)+$J$12+SUM($J$16:J33)</f>
        <v>0</v>
      </c>
      <c r="Y33" s="175">
        <f>$K$12+SUM($K$16:K33)</f>
        <v>0</v>
      </c>
      <c r="Z33" s="175">
        <f>$L$12+SUM($L$16:L33)</f>
        <v>0</v>
      </c>
      <c r="AA33" s="175">
        <f>$F$12+SUM($F$16:F33)</f>
        <v>0</v>
      </c>
    </row>
    <row r="34" spans="2:27" s="71" customFormat="1" ht="20.149999999999999" customHeight="1" x14ac:dyDescent="0.3">
      <c r="B34" s="194"/>
      <c r="C34" s="3"/>
      <c r="D34" s="1"/>
      <c r="E34" s="4"/>
      <c r="F34" s="95"/>
      <c r="G34" s="95"/>
      <c r="H34" s="95"/>
      <c r="I34" s="95"/>
      <c r="J34" s="95"/>
      <c r="K34" s="95"/>
      <c r="L34" s="95"/>
      <c r="M34" s="21">
        <f t="shared" si="7"/>
        <v>0</v>
      </c>
      <c r="N34" s="22">
        <f t="shared" si="6"/>
        <v>0</v>
      </c>
      <c r="O34" s="22">
        <f t="shared" si="3"/>
        <v>0</v>
      </c>
      <c r="P34" s="20"/>
      <c r="Q34" s="28"/>
      <c r="R34" s="20"/>
      <c r="S34" s="28"/>
      <c r="T34" s="176" t="str">
        <f t="shared" si="4"/>
        <v>19001</v>
      </c>
      <c r="U34" s="175">
        <f t="shared" si="5"/>
        <v>0</v>
      </c>
      <c r="V34" s="175"/>
      <c r="W34" s="175">
        <f>$G$12+SUM($G$16:G34)</f>
        <v>0</v>
      </c>
      <c r="X34" s="175">
        <f>$I$12+SUM($I$16:I34)+$J$12+SUM($J$16:J34)</f>
        <v>0</v>
      </c>
      <c r="Y34" s="175">
        <f>$K$12+SUM($K$16:K34)</f>
        <v>0</v>
      </c>
      <c r="Z34" s="175">
        <f>$L$12+SUM($L$16:L34)</f>
        <v>0</v>
      </c>
      <c r="AA34" s="175">
        <f>$F$12+SUM($F$16:F34)</f>
        <v>0</v>
      </c>
    </row>
    <row r="35" spans="2:27" s="71" customFormat="1" ht="20.149999999999999" customHeight="1" x14ac:dyDescent="0.3">
      <c r="B35" s="194"/>
      <c r="C35" s="3"/>
      <c r="D35" s="1"/>
      <c r="E35" s="4"/>
      <c r="F35" s="95"/>
      <c r="G35" s="95"/>
      <c r="H35" s="95"/>
      <c r="I35" s="95"/>
      <c r="J35" s="95"/>
      <c r="K35" s="95"/>
      <c r="L35" s="95"/>
      <c r="M35" s="21">
        <f t="shared" si="7"/>
        <v>0</v>
      </c>
      <c r="N35" s="22">
        <f>IF(F35=0,0,(F35-G35-J35-K35-I35-L35)/F35)</f>
        <v>0</v>
      </c>
      <c r="O35" s="22">
        <f t="shared" si="3"/>
        <v>0</v>
      </c>
      <c r="P35" s="20"/>
      <c r="Q35" s="28"/>
      <c r="R35" s="20"/>
      <c r="S35" s="28"/>
      <c r="T35" s="176" t="str">
        <f t="shared" si="4"/>
        <v>19001</v>
      </c>
      <c r="U35" s="175">
        <f t="shared" si="5"/>
        <v>0</v>
      </c>
      <c r="V35" s="175"/>
      <c r="W35" s="175">
        <f>$G$12+SUM($G$16:G35)</f>
        <v>0</v>
      </c>
      <c r="X35" s="175">
        <f>$I$12+SUM($I$16:I35)+$J$12+SUM($J$16:J35)</f>
        <v>0</v>
      </c>
      <c r="Y35" s="175">
        <f>$K$12+SUM($K$16:K35)</f>
        <v>0</v>
      </c>
      <c r="Z35" s="175">
        <f>$L$12+SUM($L$16:L35)</f>
        <v>0</v>
      </c>
      <c r="AA35" s="175">
        <f>$F$12+SUM($F$16:F35)</f>
        <v>0</v>
      </c>
    </row>
    <row r="36" spans="2:27" s="93" customFormat="1" ht="20.149999999999999" customHeight="1" x14ac:dyDescent="0.3">
      <c r="B36" s="323" t="s">
        <v>84</v>
      </c>
      <c r="C36" s="323"/>
      <c r="D36" s="323"/>
      <c r="E36" s="323"/>
      <c r="F36" s="54">
        <f>SUMIF(B16:B35,"AMPLIACION",F16:F35)</f>
        <v>0</v>
      </c>
      <c r="G36" s="54">
        <f>SUMIF(B16:B35,"AMPLIACION",G16:G35)</f>
        <v>0</v>
      </c>
      <c r="H36" s="54">
        <f>SUMIF(B16:B35,"AMPLIACION",H16:H35)</f>
        <v>0</v>
      </c>
      <c r="I36" s="54">
        <f>SUMIF(B16:B35,"AMPLIACION",I16:I35)</f>
        <v>0</v>
      </c>
      <c r="J36" s="54">
        <f>SUMIF(B16:B35,"AMPLIACION",J16:J35)</f>
        <v>0</v>
      </c>
      <c r="K36" s="54">
        <f>SUMIF(B16:B35,"AMPLIACION",K16:K35)</f>
        <v>0</v>
      </c>
      <c r="L36" s="54">
        <f>SUMIF(B16:B35,"AMPLIACION",L16:L35)</f>
        <v>0</v>
      </c>
      <c r="M36" s="54">
        <f t="shared" si="7"/>
        <v>0</v>
      </c>
      <c r="N36" s="55">
        <f>IF(F36=0,0,(F36-G36-J36-K36-I36-L36)/F36)</f>
        <v>0</v>
      </c>
      <c r="O36" s="55">
        <f t="shared" ref="O36" si="11">IF(F36=0,0,(F36-G36/0.93-I36/0.93-J36/0.93-K36-L36)/F36)</f>
        <v>0</v>
      </c>
      <c r="P36" s="28"/>
      <c r="Q36" s="28"/>
      <c r="R36" s="28"/>
      <c r="S36" s="28"/>
      <c r="T36" s="177"/>
      <c r="U36" s="175"/>
      <c r="V36" s="175"/>
      <c r="W36" s="175"/>
      <c r="X36" s="175"/>
      <c r="Y36" s="175"/>
      <c r="Z36" s="175"/>
      <c r="AA36" s="175"/>
    </row>
    <row r="37" spans="2:27" s="93" customFormat="1" ht="20.149999999999999" customHeight="1" x14ac:dyDescent="0.3">
      <c r="B37" s="323" t="s">
        <v>85</v>
      </c>
      <c r="C37" s="323"/>
      <c r="D37" s="323"/>
      <c r="E37" s="323"/>
      <c r="F37" s="54">
        <f>SUMIF(B16:B35,"REESTIMACION",F16:F35)</f>
        <v>0</v>
      </c>
      <c r="G37" s="54">
        <f>SUMIF(B16:B35,"REESTIMACION",G16:G35)</f>
        <v>0</v>
      </c>
      <c r="H37" s="54">
        <f>SUMIF(B16:B35,"REESTIMACION",H16:H35)</f>
        <v>0</v>
      </c>
      <c r="I37" s="54">
        <f>SUMIF(B16:B35,"REESTIMACION",I16:I35)</f>
        <v>0</v>
      </c>
      <c r="J37" s="54">
        <f>SUMIF(B16:B35,"REESTIMACION",J16:J35)</f>
        <v>0</v>
      </c>
      <c r="K37" s="54">
        <f>SUMIF(B16:B35,"REESTIMACION",K16:K35)</f>
        <v>0</v>
      </c>
      <c r="L37" s="54">
        <f>SUMIF(B16:B35,"REESTIMACION",L16:L35)</f>
        <v>0</v>
      </c>
      <c r="M37" s="54">
        <f t="shared" ref="M37" si="12">SUM(G37,I37,J37,K37,L37)</f>
        <v>0</v>
      </c>
      <c r="N37" s="55">
        <f>IF(F37=0,0,(F37-G37-J37-K37-I37-L37)/F37)</f>
        <v>0</v>
      </c>
      <c r="O37" s="55">
        <f t="shared" ref="O37" si="13">IF(F37=0,0,(F37-G37/0.93-I37/0.93-J37/0.93-K37-L37)/F37)</f>
        <v>0</v>
      </c>
      <c r="P37" s="28"/>
      <c r="Q37" s="26"/>
      <c r="R37" s="28"/>
      <c r="S37" s="26"/>
      <c r="T37" s="177"/>
      <c r="U37" s="175"/>
      <c r="V37" s="175"/>
      <c r="W37" s="175"/>
      <c r="X37" s="175"/>
      <c r="Y37" s="175"/>
      <c r="Z37" s="175"/>
      <c r="AA37" s="175"/>
    </row>
    <row r="38" spans="2:27" ht="20.149999999999999" customHeight="1" x14ac:dyDescent="0.3">
      <c r="C38" s="27"/>
      <c r="D38" s="28"/>
      <c r="E38" s="28"/>
      <c r="F38" s="28"/>
      <c r="G38" s="28"/>
      <c r="H38" s="28"/>
      <c r="I38" s="28"/>
      <c r="J38" s="28"/>
      <c r="K38" s="28"/>
      <c r="L38" s="28"/>
      <c r="M38" s="28"/>
      <c r="N38" s="28"/>
      <c r="O38" s="28"/>
      <c r="P38" s="28"/>
      <c r="Q38" s="28"/>
      <c r="R38" s="28"/>
      <c r="S38" s="28"/>
      <c r="T38" s="177"/>
      <c r="U38" s="175"/>
      <c r="V38" s="175"/>
      <c r="W38" s="175"/>
      <c r="X38" s="175"/>
      <c r="Y38" s="175"/>
      <c r="Z38" s="175"/>
      <c r="AA38" s="175"/>
    </row>
    <row r="39" spans="2:27" s="56" customFormat="1" ht="20.149999999999999" customHeight="1" x14ac:dyDescent="0.35">
      <c r="C39" s="57"/>
      <c r="D39" s="57"/>
      <c r="E39" s="57"/>
      <c r="F39" s="57"/>
      <c r="G39" s="57"/>
      <c r="H39" s="57"/>
      <c r="I39" s="57"/>
      <c r="J39" s="57"/>
      <c r="K39" s="57"/>
      <c r="L39" s="57"/>
      <c r="M39" s="57"/>
      <c r="N39" s="57"/>
      <c r="O39" s="57"/>
      <c r="P39" s="57"/>
      <c r="Q39" s="57"/>
      <c r="R39" s="57"/>
      <c r="S39" s="57"/>
    </row>
    <row r="40" spans="2:27" s="56" customFormat="1" ht="20.149999999999999" customHeight="1" x14ac:dyDescent="0.35">
      <c r="C40" s="57"/>
      <c r="D40" s="57"/>
      <c r="E40" s="57"/>
      <c r="F40" s="57"/>
      <c r="G40" s="57"/>
      <c r="H40" s="57"/>
      <c r="I40" s="57"/>
      <c r="J40" s="57"/>
      <c r="K40" s="57"/>
      <c r="L40" s="57"/>
      <c r="M40" s="57"/>
      <c r="N40" s="57"/>
      <c r="O40" s="57"/>
      <c r="P40" s="57"/>
      <c r="Q40" s="57"/>
      <c r="R40" s="57"/>
      <c r="S40" s="57"/>
    </row>
    <row r="41" spans="2:27" s="56" customFormat="1" ht="20.149999999999999" customHeight="1" x14ac:dyDescent="0.35">
      <c r="C41" s="57"/>
      <c r="D41" s="57"/>
      <c r="E41" s="57"/>
      <c r="F41" s="57"/>
      <c r="G41" s="57"/>
      <c r="H41" s="57"/>
      <c r="I41" s="57"/>
      <c r="J41" s="57"/>
      <c r="K41" s="57"/>
      <c r="L41" s="57"/>
      <c r="M41" s="57"/>
      <c r="N41" s="57"/>
      <c r="O41" s="57"/>
      <c r="P41" s="57"/>
      <c r="Q41" s="57"/>
      <c r="R41" s="57"/>
      <c r="S41" s="57"/>
    </row>
    <row r="42" spans="2:27" ht="20.149999999999999" customHeight="1" x14ac:dyDescent="0.3">
      <c r="C42" s="28"/>
      <c r="D42" s="28"/>
      <c r="E42" s="28"/>
      <c r="F42" s="28"/>
      <c r="G42" s="28"/>
      <c r="H42" s="28"/>
      <c r="I42" s="28"/>
      <c r="J42" s="28"/>
      <c r="K42" s="28"/>
      <c r="L42" s="28"/>
      <c r="M42" s="28"/>
      <c r="N42" s="28"/>
      <c r="O42" s="28"/>
      <c r="P42" s="28"/>
      <c r="Q42" s="28"/>
      <c r="R42" s="28"/>
      <c r="S42" s="28"/>
    </row>
    <row r="43" spans="2:27" ht="20.149999999999999" customHeight="1" x14ac:dyDescent="0.3"/>
    <row r="48" spans="2:27" ht="20.149999999999999" customHeight="1" x14ac:dyDescent="0.3">
      <c r="B48" s="69" t="s">
        <v>86</v>
      </c>
      <c r="C48" s="69"/>
      <c r="D48" s="69"/>
      <c r="E48" s="28"/>
      <c r="F48" s="28"/>
      <c r="G48" s="28"/>
      <c r="H48" s="28"/>
      <c r="I48" s="28"/>
      <c r="J48" s="28"/>
      <c r="K48" s="28"/>
      <c r="L48" s="28"/>
      <c r="M48" s="28"/>
      <c r="N48" s="28"/>
      <c r="O48" s="28"/>
      <c r="P48" s="28"/>
      <c r="R48" s="28"/>
    </row>
    <row r="49" spans="2:18" ht="285.75" customHeight="1" x14ac:dyDescent="0.3">
      <c r="B49" s="306" t="s">
        <v>87</v>
      </c>
      <c r="C49" s="307"/>
      <c r="D49" s="307"/>
      <c r="E49" s="307"/>
      <c r="F49" s="307"/>
      <c r="G49" s="307"/>
      <c r="H49" s="307"/>
      <c r="I49" s="307"/>
      <c r="J49" s="308"/>
      <c r="K49" s="28"/>
      <c r="L49" s="28"/>
      <c r="M49" s="28"/>
      <c r="N49" s="28"/>
      <c r="O49" s="28"/>
      <c r="P49" s="28"/>
      <c r="R49" s="28"/>
    </row>
  </sheetData>
  <sheetProtection algorithmName="SHA-512" hashValue="+HEmDu+i6fCvMk6gafQIqp9uk952ugY7LcmfTIG6NFurvYi6san01In5hQxmVMTb+c4smPnLqmW6cKxxP0INCA==" saltValue="8tJ5Hj9hHfyH/FbxQajWng==" spinCount="100000" sheet="1" objects="1" scenarios="1"/>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AR69"/>
  <sheetViews>
    <sheetView showGridLines="0" zoomScale="70" zoomScaleNormal="70" workbookViewId="0">
      <selection activeCell="G8" sqref="G8"/>
    </sheetView>
  </sheetViews>
  <sheetFormatPr baseColWidth="10" defaultColWidth="9.1796875" defaultRowHeight="13.5" x14ac:dyDescent="0.25"/>
  <cols>
    <col min="1" max="1" width="2.1796875" style="97" customWidth="1"/>
    <col min="2" max="2" width="25.7265625" style="97" customWidth="1"/>
    <col min="3" max="3" width="40.7265625" style="97" customWidth="1"/>
    <col min="4" max="4" width="15.7265625" style="97" customWidth="1"/>
    <col min="5" max="5" width="25.7265625" style="98" customWidth="1"/>
    <col min="6" max="6" width="33.54296875" style="98" bestFit="1" customWidth="1"/>
    <col min="7" max="31" width="14.7265625" style="97" customWidth="1"/>
    <col min="32" max="32" width="11.26953125" style="97" customWidth="1"/>
    <col min="33" max="16384" width="9.1796875" style="97"/>
  </cols>
  <sheetData>
    <row r="2" spans="2:44" ht="21" customHeight="1" x14ac:dyDescent="0.25">
      <c r="B2" s="23" t="s">
        <v>5</v>
      </c>
      <c r="C2" s="24" t="str">
        <f>'Project Infor'!C10</f>
        <v>ZEZ-AT00001-1001</v>
      </c>
      <c r="D2" s="99" t="str">
        <f>'Project Infor'!C11</f>
        <v>Asistencia técnica para desarrollo Java/.Net/…</v>
      </c>
      <c r="E2" s="100"/>
      <c r="F2" s="100"/>
      <c r="G2" s="100"/>
      <c r="H2" s="100"/>
      <c r="I2" s="100"/>
      <c r="J2" s="100"/>
    </row>
    <row r="3" spans="2:44" ht="9" customHeight="1" x14ac:dyDescent="0.25">
      <c r="B3" s="68"/>
      <c r="C3" s="68"/>
      <c r="D3" s="101"/>
      <c r="E3" s="101"/>
      <c r="F3" s="101"/>
      <c r="G3" s="68"/>
      <c r="H3" s="68"/>
    </row>
    <row r="4" spans="2:44" ht="15" customHeight="1" x14ac:dyDescent="0.25">
      <c r="B4" s="102"/>
      <c r="C4" s="103"/>
      <c r="D4" s="103"/>
      <c r="E4" s="103"/>
      <c r="F4" s="103"/>
      <c r="G4" s="103"/>
      <c r="H4" s="103"/>
      <c r="I4" s="103"/>
      <c r="J4" s="103"/>
      <c r="K4" s="103"/>
      <c r="L4" s="103"/>
      <c r="M4" s="103"/>
      <c r="N4" s="103"/>
      <c r="O4" s="103"/>
      <c r="P4" s="103"/>
    </row>
    <row r="5" spans="2:44" ht="20.149999999999999" customHeight="1" x14ac:dyDescent="0.25">
      <c r="B5" s="78" t="s">
        <v>88</v>
      </c>
      <c r="C5" s="104"/>
      <c r="D5" s="103"/>
      <c r="E5" s="314" t="s">
        <v>89</v>
      </c>
      <c r="F5" s="314"/>
      <c r="G5" s="314"/>
      <c r="H5" s="314"/>
      <c r="I5" s="314"/>
      <c r="J5" s="173"/>
      <c r="K5" s="103"/>
      <c r="L5" s="103"/>
      <c r="M5" s="103"/>
      <c r="N5" s="103"/>
      <c r="O5" s="103"/>
      <c r="P5" s="103"/>
      <c r="Q5" s="103"/>
      <c r="R5" s="103"/>
      <c r="S5" s="103"/>
      <c r="T5" s="103"/>
      <c r="U5" s="103"/>
    </row>
    <row r="6" spans="2:44" s="107" customFormat="1" ht="35.15" customHeight="1" x14ac:dyDescent="0.25">
      <c r="B6" s="303" t="s">
        <v>16</v>
      </c>
      <c r="C6" s="105" t="s">
        <v>90</v>
      </c>
      <c r="D6" s="105" t="s">
        <v>91</v>
      </c>
      <c r="E6" s="105" t="s">
        <v>92</v>
      </c>
      <c r="F6" s="105"/>
      <c r="G6" s="106">
        <f>'Project Infor'!C8</f>
        <v>44287</v>
      </c>
      <c r="H6" s="106">
        <f t="shared" ref="H6" si="0">EOMONTH(G6,1)</f>
        <v>44347</v>
      </c>
      <c r="I6" s="106">
        <f t="shared" ref="I6" si="1">EOMONTH(H6,1)</f>
        <v>44377</v>
      </c>
      <c r="J6" s="106">
        <f t="shared" ref="J6" si="2">EOMONTH(I6,1)</f>
        <v>44408</v>
      </c>
      <c r="K6" s="106">
        <f t="shared" ref="K6" si="3">EOMONTH(J6,1)</f>
        <v>44439</v>
      </c>
      <c r="L6" s="106">
        <f t="shared" ref="L6" si="4">EOMONTH(K6,1)</f>
        <v>44469</v>
      </c>
      <c r="M6" s="106">
        <f t="shared" ref="M6" si="5">EOMONTH(L6,1)</f>
        <v>44500</v>
      </c>
      <c r="N6" s="106">
        <f t="shared" ref="N6" si="6">EOMONTH(M6,1)</f>
        <v>44530</v>
      </c>
      <c r="O6" s="106">
        <f t="shared" ref="O6" si="7">EOMONTH(N6,1)</f>
        <v>44561</v>
      </c>
      <c r="P6" s="106">
        <f t="shared" ref="P6" si="8">EOMONTH(O6,1)</f>
        <v>44592</v>
      </c>
      <c r="Q6" s="106">
        <f t="shared" ref="Q6" si="9">EOMONTH(P6,1)</f>
        <v>44620</v>
      </c>
      <c r="R6" s="106">
        <f t="shared" ref="R6" si="10">EOMONTH(Q6,1)</f>
        <v>44651</v>
      </c>
      <c r="S6" s="106">
        <f t="shared" ref="S6" si="11">EOMONTH(R6,1)</f>
        <v>44681</v>
      </c>
      <c r="T6" s="106">
        <f t="shared" ref="T6" si="12">EOMONTH(S6,1)</f>
        <v>44712</v>
      </c>
      <c r="U6" s="106">
        <f t="shared" ref="U6" si="13">EOMONTH(T6,1)</f>
        <v>44742</v>
      </c>
      <c r="V6" s="106">
        <f t="shared" ref="V6" si="14">EOMONTH(U6,1)</f>
        <v>44773</v>
      </c>
      <c r="W6" s="106">
        <f t="shared" ref="W6" si="15">EOMONTH(V6,1)</f>
        <v>44804</v>
      </c>
      <c r="X6" s="106">
        <f t="shared" ref="X6" si="16">EOMONTH(W6,1)</f>
        <v>44834</v>
      </c>
      <c r="Y6" s="106">
        <f t="shared" ref="Y6" si="17">EOMONTH(X6,1)</f>
        <v>44865</v>
      </c>
      <c r="Z6" s="106">
        <f t="shared" ref="Z6" si="18">EOMONTH(Y6,1)</f>
        <v>44895</v>
      </c>
      <c r="AA6" s="106">
        <f t="shared" ref="AA6" si="19">EOMONTH(Z6,1)</f>
        <v>44926</v>
      </c>
      <c r="AB6" s="106">
        <f t="shared" ref="AB6" si="20">EOMONTH(AA6,1)</f>
        <v>44957</v>
      </c>
      <c r="AC6" s="106">
        <f t="shared" ref="AC6" si="21">EOMONTH(AB6,1)</f>
        <v>44985</v>
      </c>
      <c r="AD6" s="106">
        <f t="shared" ref="AD6" si="22">EOMONTH(AC6,1)</f>
        <v>45016</v>
      </c>
      <c r="AE6" s="106">
        <f t="shared" ref="AE6" si="23">EOMONTH(AD6,1)</f>
        <v>45046</v>
      </c>
      <c r="AG6" s="97"/>
      <c r="AH6" s="97"/>
      <c r="AI6" s="97"/>
      <c r="AJ6" s="97"/>
      <c r="AK6" s="97"/>
      <c r="AL6" s="97"/>
      <c r="AM6" s="97"/>
      <c r="AN6" s="97"/>
      <c r="AO6" s="97"/>
      <c r="AP6" s="97"/>
      <c r="AQ6" s="97"/>
      <c r="AR6" s="97"/>
    </row>
    <row r="7" spans="2:44" s="108" customFormat="1" ht="20.149999999999999" customHeight="1" x14ac:dyDescent="0.25">
      <c r="B7" s="270"/>
      <c r="C7" s="271"/>
      <c r="D7" s="271"/>
      <c r="E7" s="271"/>
      <c r="F7" s="294" t="s">
        <v>93</v>
      </c>
      <c r="G7" s="272"/>
      <c r="H7" s="272"/>
      <c r="I7" s="272"/>
      <c r="J7" s="272"/>
      <c r="K7" s="272"/>
      <c r="L7" s="272"/>
      <c r="M7" s="272"/>
      <c r="N7" s="272"/>
      <c r="O7" s="272"/>
      <c r="P7" s="272"/>
      <c r="Q7" s="272"/>
      <c r="R7" s="272"/>
      <c r="S7" s="272"/>
      <c r="T7" s="272"/>
      <c r="U7" s="272"/>
      <c r="V7" s="272"/>
      <c r="W7" s="272"/>
      <c r="X7" s="272"/>
      <c r="Y7" s="272"/>
      <c r="Z7" s="272"/>
      <c r="AA7" s="272"/>
      <c r="AB7" s="272"/>
      <c r="AC7" s="272"/>
      <c r="AD7" s="272"/>
      <c r="AE7" s="272"/>
      <c r="AG7" s="97"/>
      <c r="AH7" s="97"/>
      <c r="AI7" s="97"/>
      <c r="AJ7" s="97"/>
      <c r="AK7" s="97"/>
      <c r="AL7" s="97"/>
      <c r="AM7" s="97"/>
      <c r="AN7" s="97"/>
      <c r="AO7" s="97"/>
      <c r="AP7" s="97"/>
      <c r="AQ7" s="97"/>
      <c r="AR7" s="97"/>
    </row>
    <row r="8" spans="2:44" s="108" customFormat="1" ht="20.149999999999999" customHeight="1" x14ac:dyDescent="0.25">
      <c r="B8" s="275">
        <f>B7</f>
        <v>0</v>
      </c>
      <c r="C8" s="275">
        <f t="shared" ref="C8" si="24">C7</f>
        <v>0</v>
      </c>
      <c r="D8" s="275">
        <f t="shared" ref="D8" si="25">D7</f>
        <v>0</v>
      </c>
      <c r="E8" s="275">
        <f t="shared" ref="E8:E12" si="26">E7</f>
        <v>0</v>
      </c>
      <c r="F8" s="295" t="s">
        <v>94</v>
      </c>
      <c r="G8" s="273"/>
      <c r="H8" s="273"/>
      <c r="I8" s="273"/>
      <c r="J8" s="273"/>
      <c r="K8" s="273"/>
      <c r="L8" s="273"/>
      <c r="M8" s="273"/>
      <c r="N8" s="273"/>
      <c r="O8" s="273"/>
      <c r="P8" s="273"/>
      <c r="Q8" s="273"/>
      <c r="R8" s="273"/>
      <c r="S8" s="273"/>
      <c r="T8" s="273"/>
      <c r="U8" s="273"/>
      <c r="V8" s="273"/>
      <c r="W8" s="273"/>
      <c r="X8" s="273"/>
      <c r="Y8" s="273"/>
      <c r="Z8" s="273"/>
      <c r="AA8" s="273"/>
      <c r="AB8" s="273"/>
      <c r="AC8" s="273"/>
      <c r="AD8" s="273"/>
      <c r="AE8" s="273"/>
      <c r="AG8" s="97"/>
      <c r="AH8" s="97"/>
      <c r="AI8" s="97"/>
      <c r="AJ8" s="97"/>
      <c r="AK8" s="97"/>
      <c r="AL8" s="97"/>
      <c r="AM8" s="97"/>
      <c r="AN8" s="97"/>
      <c r="AO8" s="97"/>
      <c r="AP8" s="97"/>
      <c r="AQ8" s="97"/>
      <c r="AR8" s="97"/>
    </row>
    <row r="9" spans="2:44" s="108" customFormat="1" ht="20.149999999999999" customHeight="1" x14ac:dyDescent="0.25">
      <c r="B9" s="270"/>
      <c r="C9" s="271"/>
      <c r="D9" s="271"/>
      <c r="E9" s="271"/>
      <c r="F9" s="294" t="s">
        <v>93</v>
      </c>
      <c r="G9" s="272"/>
      <c r="H9" s="272"/>
      <c r="I9" s="272"/>
      <c r="J9" s="272"/>
      <c r="K9" s="272"/>
      <c r="L9" s="272"/>
      <c r="M9" s="272"/>
      <c r="N9" s="272"/>
      <c r="O9" s="272"/>
      <c r="P9" s="272"/>
      <c r="Q9" s="272"/>
      <c r="R9" s="272"/>
      <c r="S9" s="272"/>
      <c r="T9" s="272"/>
      <c r="U9" s="272"/>
      <c r="V9" s="272"/>
      <c r="W9" s="272"/>
      <c r="X9" s="272"/>
      <c r="Y9" s="272"/>
      <c r="Z9" s="272"/>
      <c r="AA9" s="272"/>
      <c r="AB9" s="272"/>
      <c r="AC9" s="272"/>
      <c r="AD9" s="272"/>
      <c r="AE9" s="272"/>
      <c r="AG9" s="97"/>
      <c r="AH9" s="97"/>
      <c r="AI9" s="97"/>
      <c r="AJ9" s="97"/>
      <c r="AK9" s="97"/>
      <c r="AL9" s="97"/>
      <c r="AM9" s="97"/>
      <c r="AN9" s="97"/>
      <c r="AO9" s="97"/>
      <c r="AP9" s="97"/>
      <c r="AQ9" s="97"/>
      <c r="AR9" s="97"/>
    </row>
    <row r="10" spans="2:44" s="108" customFormat="1" ht="20.149999999999999" customHeight="1" x14ac:dyDescent="0.25">
      <c r="B10" s="275">
        <f t="shared" ref="B10" si="27">B9</f>
        <v>0</v>
      </c>
      <c r="C10" s="275">
        <f t="shared" ref="C10" si="28">C9</f>
        <v>0</v>
      </c>
      <c r="D10" s="275">
        <f t="shared" ref="D10" si="29">D9</f>
        <v>0</v>
      </c>
      <c r="E10" s="275">
        <f t="shared" si="26"/>
        <v>0</v>
      </c>
      <c r="F10" s="295" t="s">
        <v>94</v>
      </c>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3"/>
      <c r="AG10" s="97"/>
      <c r="AH10" s="97"/>
      <c r="AI10" s="97"/>
      <c r="AJ10" s="97"/>
      <c r="AK10" s="97"/>
      <c r="AL10" s="97"/>
      <c r="AM10" s="97"/>
      <c r="AN10" s="97"/>
      <c r="AO10" s="97"/>
      <c r="AP10" s="97"/>
      <c r="AQ10" s="97"/>
      <c r="AR10" s="97"/>
    </row>
    <row r="11" spans="2:44" s="108" customFormat="1" ht="20.149999999999999" customHeight="1" x14ac:dyDescent="0.25">
      <c r="B11" s="270"/>
      <c r="C11" s="271"/>
      <c r="D11" s="271"/>
      <c r="E11" s="271"/>
      <c r="F11" s="294" t="s">
        <v>93</v>
      </c>
      <c r="G11" s="272"/>
      <c r="H11" s="272"/>
      <c r="I11" s="272"/>
      <c r="J11" s="272"/>
      <c r="K11" s="272"/>
      <c r="L11" s="272"/>
      <c r="M11" s="272"/>
      <c r="N11" s="272"/>
      <c r="O11" s="272"/>
      <c r="P11" s="272"/>
      <c r="Q11" s="272"/>
      <c r="R11" s="272"/>
      <c r="S11" s="272"/>
      <c r="T11" s="272"/>
      <c r="U11" s="272"/>
      <c r="V11" s="272"/>
      <c r="W11" s="272"/>
      <c r="X11" s="272"/>
      <c r="Y11" s="272"/>
      <c r="Z11" s="272"/>
      <c r="AA11" s="272"/>
      <c r="AB11" s="272"/>
      <c r="AC11" s="272"/>
      <c r="AD11" s="272"/>
      <c r="AE11" s="272"/>
      <c r="AG11" s="97"/>
      <c r="AH11" s="97"/>
      <c r="AI11" s="97"/>
      <c r="AJ11" s="97"/>
      <c r="AK11" s="97"/>
      <c r="AL11" s="97"/>
      <c r="AM11" s="97"/>
      <c r="AN11" s="97"/>
      <c r="AO11" s="97"/>
      <c r="AP11" s="97"/>
      <c r="AQ11" s="97"/>
      <c r="AR11" s="97"/>
    </row>
    <row r="12" spans="2:44" s="108" customFormat="1" ht="20.149999999999999" customHeight="1" x14ac:dyDescent="0.25">
      <c r="B12" s="275">
        <f t="shared" ref="B12" si="30">B11</f>
        <v>0</v>
      </c>
      <c r="C12" s="275">
        <f t="shared" ref="C12" si="31">C11</f>
        <v>0</v>
      </c>
      <c r="D12" s="275">
        <f t="shared" ref="D12" si="32">D11</f>
        <v>0</v>
      </c>
      <c r="E12" s="275">
        <f t="shared" si="26"/>
        <v>0</v>
      </c>
      <c r="F12" s="295" t="s">
        <v>94</v>
      </c>
      <c r="G12" s="273"/>
      <c r="H12" s="273"/>
      <c r="I12" s="273"/>
      <c r="J12" s="273"/>
      <c r="K12" s="273"/>
      <c r="L12" s="273"/>
      <c r="M12" s="273"/>
      <c r="N12" s="273"/>
      <c r="O12" s="273"/>
      <c r="P12" s="273"/>
      <c r="Q12" s="273"/>
      <c r="R12" s="273"/>
      <c r="S12" s="273"/>
      <c r="T12" s="273"/>
      <c r="U12" s="273"/>
      <c r="V12" s="273"/>
      <c r="W12" s="273"/>
      <c r="X12" s="273"/>
      <c r="Y12" s="273"/>
      <c r="Z12" s="273"/>
      <c r="AA12" s="273"/>
      <c r="AB12" s="273"/>
      <c r="AC12" s="273"/>
      <c r="AD12" s="273"/>
      <c r="AE12" s="273"/>
    </row>
    <row r="13" spans="2:44" s="108" customFormat="1" ht="20.149999999999999" customHeight="1" x14ac:dyDescent="0.25">
      <c r="B13" s="270"/>
      <c r="C13" s="271"/>
      <c r="D13" s="271"/>
      <c r="E13" s="271"/>
      <c r="F13" s="294" t="s">
        <v>93</v>
      </c>
      <c r="G13" s="272"/>
      <c r="H13" s="272"/>
      <c r="I13" s="272"/>
      <c r="J13" s="272"/>
      <c r="K13" s="272"/>
      <c r="L13" s="272"/>
      <c r="M13" s="272"/>
      <c r="N13" s="272"/>
      <c r="O13" s="272"/>
      <c r="P13" s="272"/>
      <c r="Q13" s="272"/>
      <c r="R13" s="272"/>
      <c r="S13" s="272"/>
      <c r="T13" s="272"/>
      <c r="U13" s="272"/>
      <c r="V13" s="272"/>
      <c r="W13" s="272"/>
      <c r="X13" s="272"/>
      <c r="Y13" s="272"/>
      <c r="Z13" s="272"/>
      <c r="AA13" s="272"/>
      <c r="AB13" s="272"/>
      <c r="AC13" s="272"/>
      <c r="AD13" s="272"/>
      <c r="AE13" s="272"/>
    </row>
    <row r="14" spans="2:44" s="108" customFormat="1" ht="20.149999999999999" customHeight="1" x14ac:dyDescent="0.25">
      <c r="B14" s="275">
        <f t="shared" ref="B14" si="33">B13</f>
        <v>0</v>
      </c>
      <c r="C14" s="275">
        <f t="shared" ref="C14" si="34">C13</f>
        <v>0</v>
      </c>
      <c r="D14" s="275">
        <f t="shared" ref="D14" si="35">D13</f>
        <v>0</v>
      </c>
      <c r="E14" s="275">
        <f t="shared" ref="E14" si="36">E13</f>
        <v>0</v>
      </c>
      <c r="F14" s="295" t="s">
        <v>94</v>
      </c>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row>
    <row r="15" spans="2:44" s="108" customFormat="1" ht="20.149999999999999" customHeight="1" x14ac:dyDescent="0.25">
      <c r="B15" s="270"/>
      <c r="C15" s="271"/>
      <c r="D15" s="271"/>
      <c r="E15" s="271"/>
      <c r="F15" s="294" t="s">
        <v>93</v>
      </c>
      <c r="G15" s="272"/>
      <c r="H15" s="272"/>
      <c r="I15" s="272"/>
      <c r="J15" s="272"/>
      <c r="K15" s="272"/>
      <c r="L15" s="272"/>
      <c r="M15" s="272"/>
      <c r="N15" s="272"/>
      <c r="O15" s="272"/>
      <c r="P15" s="272"/>
      <c r="Q15" s="272"/>
      <c r="R15" s="272"/>
      <c r="S15" s="272"/>
      <c r="T15" s="272"/>
      <c r="U15" s="272"/>
      <c r="V15" s="272"/>
      <c r="W15" s="272"/>
      <c r="X15" s="272"/>
      <c r="Y15" s="272"/>
      <c r="Z15" s="272"/>
      <c r="AA15" s="272"/>
      <c r="AB15" s="272"/>
      <c r="AC15" s="272"/>
      <c r="AD15" s="272"/>
      <c r="AE15" s="272"/>
    </row>
    <row r="16" spans="2:44" s="108" customFormat="1" ht="20.149999999999999" customHeight="1" x14ac:dyDescent="0.25">
      <c r="B16" s="275">
        <f t="shared" ref="B16" si="37">B15</f>
        <v>0</v>
      </c>
      <c r="C16" s="275">
        <f t="shared" ref="C16" si="38">C15</f>
        <v>0</v>
      </c>
      <c r="D16" s="275">
        <f t="shared" ref="D16" si="39">D15</f>
        <v>0</v>
      </c>
      <c r="E16" s="275">
        <f t="shared" ref="E16" si="40">E15</f>
        <v>0</v>
      </c>
      <c r="F16" s="295" t="s">
        <v>94</v>
      </c>
      <c r="G16" s="273"/>
      <c r="H16" s="273"/>
      <c r="I16" s="273"/>
      <c r="J16" s="273"/>
      <c r="K16" s="273"/>
      <c r="L16" s="273"/>
      <c r="M16" s="273"/>
      <c r="N16" s="273"/>
      <c r="O16" s="273"/>
      <c r="P16" s="273"/>
      <c r="Q16" s="273"/>
      <c r="R16" s="273"/>
      <c r="S16" s="273"/>
      <c r="T16" s="273"/>
      <c r="U16" s="273"/>
      <c r="V16" s="273"/>
      <c r="W16" s="273"/>
      <c r="X16" s="273"/>
      <c r="Y16" s="273"/>
      <c r="Z16" s="273"/>
      <c r="AA16" s="273"/>
      <c r="AB16" s="273"/>
      <c r="AC16" s="273"/>
      <c r="AD16" s="273"/>
      <c r="AE16" s="273"/>
    </row>
    <row r="17" spans="2:44" s="108" customFormat="1" ht="20.149999999999999" customHeight="1" x14ac:dyDescent="0.25">
      <c r="B17" s="270"/>
      <c r="C17" s="271"/>
      <c r="D17" s="271"/>
      <c r="E17" s="271"/>
      <c r="F17" s="294" t="s">
        <v>93</v>
      </c>
      <c r="G17" s="272"/>
      <c r="H17" s="272"/>
      <c r="I17" s="272"/>
      <c r="J17" s="272"/>
      <c r="K17" s="272"/>
      <c r="L17" s="272"/>
      <c r="M17" s="272"/>
      <c r="N17" s="272"/>
      <c r="O17" s="272"/>
      <c r="P17" s="272"/>
      <c r="Q17" s="272"/>
      <c r="R17" s="272"/>
      <c r="S17" s="272"/>
      <c r="T17" s="272"/>
      <c r="U17" s="272"/>
      <c r="V17" s="272"/>
      <c r="W17" s="272"/>
      <c r="X17" s="272"/>
      <c r="Y17" s="272"/>
      <c r="Z17" s="272"/>
      <c r="AA17" s="272"/>
      <c r="AB17" s="272"/>
      <c r="AC17" s="272"/>
      <c r="AD17" s="272"/>
      <c r="AE17" s="272"/>
      <c r="AG17" s="97"/>
      <c r="AH17" s="97"/>
      <c r="AI17" s="97"/>
      <c r="AJ17" s="97"/>
      <c r="AK17" s="97"/>
      <c r="AL17" s="97"/>
      <c r="AM17" s="97"/>
      <c r="AN17" s="97"/>
      <c r="AO17" s="97"/>
      <c r="AP17" s="97"/>
      <c r="AQ17" s="97"/>
      <c r="AR17" s="97"/>
    </row>
    <row r="18" spans="2:44" s="108" customFormat="1" ht="20.149999999999999" customHeight="1" x14ac:dyDescent="0.25">
      <c r="B18" s="275">
        <f t="shared" ref="B18" si="41">B17</f>
        <v>0</v>
      </c>
      <c r="C18" s="275">
        <f t="shared" ref="C18" si="42">C17</f>
        <v>0</v>
      </c>
      <c r="D18" s="275">
        <f t="shared" ref="D18" si="43">D17</f>
        <v>0</v>
      </c>
      <c r="E18" s="275">
        <f t="shared" ref="E18" si="44">E17</f>
        <v>0</v>
      </c>
      <c r="F18" s="295" t="s">
        <v>94</v>
      </c>
      <c r="G18" s="273"/>
      <c r="H18" s="273"/>
      <c r="I18" s="273"/>
      <c r="J18" s="273"/>
      <c r="K18" s="273"/>
      <c r="L18" s="273"/>
      <c r="M18" s="273"/>
      <c r="N18" s="273"/>
      <c r="O18" s="273"/>
      <c r="P18" s="273"/>
      <c r="Q18" s="273"/>
      <c r="R18" s="273"/>
      <c r="S18" s="273"/>
      <c r="T18" s="273"/>
      <c r="U18" s="273"/>
      <c r="V18" s="273"/>
      <c r="W18" s="273"/>
      <c r="X18" s="273"/>
      <c r="Y18" s="273"/>
      <c r="Z18" s="273"/>
      <c r="AA18" s="273"/>
      <c r="AB18" s="273"/>
      <c r="AC18" s="273"/>
      <c r="AD18" s="273"/>
      <c r="AE18" s="273"/>
      <c r="AG18" s="97"/>
      <c r="AH18" s="97"/>
      <c r="AI18" s="97"/>
      <c r="AJ18" s="97"/>
      <c r="AK18" s="97"/>
      <c r="AL18" s="97"/>
      <c r="AM18" s="97"/>
      <c r="AN18" s="97"/>
      <c r="AO18" s="97"/>
      <c r="AP18" s="97"/>
      <c r="AQ18" s="97"/>
      <c r="AR18" s="97"/>
    </row>
    <row r="19" spans="2:44" s="108" customFormat="1" ht="20.149999999999999" customHeight="1" x14ac:dyDescent="0.25">
      <c r="B19" s="270"/>
      <c r="C19" s="271"/>
      <c r="D19" s="271"/>
      <c r="E19" s="271"/>
      <c r="F19" s="294" t="s">
        <v>93</v>
      </c>
      <c r="G19" s="272"/>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G19" s="97"/>
      <c r="AH19" s="97"/>
      <c r="AI19" s="97"/>
      <c r="AJ19" s="97"/>
      <c r="AK19" s="97"/>
      <c r="AL19" s="97"/>
      <c r="AM19" s="97"/>
      <c r="AN19" s="97"/>
      <c r="AO19" s="97"/>
      <c r="AP19" s="97"/>
      <c r="AQ19" s="97"/>
      <c r="AR19" s="97"/>
    </row>
    <row r="20" spans="2:44" s="108" customFormat="1" ht="20.149999999999999" customHeight="1" x14ac:dyDescent="0.25">
      <c r="B20" s="275">
        <f t="shared" ref="B20" si="45">B19</f>
        <v>0</v>
      </c>
      <c r="C20" s="275">
        <f t="shared" ref="C20" si="46">C19</f>
        <v>0</v>
      </c>
      <c r="D20" s="275">
        <f t="shared" ref="D20" si="47">D19</f>
        <v>0</v>
      </c>
      <c r="E20" s="275">
        <f t="shared" ref="E20" si="48">E19</f>
        <v>0</v>
      </c>
      <c r="F20" s="295" t="s">
        <v>94</v>
      </c>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G20" s="97"/>
      <c r="AH20" s="97"/>
      <c r="AI20" s="97"/>
      <c r="AJ20" s="97"/>
      <c r="AK20" s="97"/>
      <c r="AL20" s="97"/>
      <c r="AM20" s="97"/>
      <c r="AN20" s="97"/>
      <c r="AO20" s="97"/>
      <c r="AP20" s="97"/>
      <c r="AQ20" s="97"/>
      <c r="AR20" s="97"/>
    </row>
    <row r="21" spans="2:44" s="108" customFormat="1" ht="20.149999999999999" customHeight="1" x14ac:dyDescent="0.25">
      <c r="B21" s="270"/>
      <c r="C21" s="271"/>
      <c r="D21" s="271"/>
      <c r="E21" s="271"/>
      <c r="F21" s="294" t="s">
        <v>93</v>
      </c>
      <c r="G21" s="272"/>
      <c r="H21" s="272"/>
      <c r="I21" s="272"/>
      <c r="J21" s="272"/>
      <c r="K21" s="272"/>
      <c r="L21" s="272"/>
      <c r="M21" s="272"/>
      <c r="N21" s="272"/>
      <c r="O21" s="272"/>
      <c r="P21" s="272"/>
      <c r="Q21" s="272"/>
      <c r="R21" s="272"/>
      <c r="S21" s="272"/>
      <c r="T21" s="272"/>
      <c r="U21" s="272"/>
      <c r="V21" s="272"/>
      <c r="W21" s="272"/>
      <c r="X21" s="272"/>
      <c r="Y21" s="272"/>
      <c r="Z21" s="272"/>
      <c r="AA21" s="272"/>
      <c r="AB21" s="272"/>
      <c r="AC21" s="272"/>
      <c r="AD21" s="272"/>
      <c r="AE21" s="272"/>
      <c r="AG21" s="97"/>
      <c r="AH21" s="97"/>
      <c r="AI21" s="97"/>
      <c r="AJ21" s="97"/>
      <c r="AK21" s="97"/>
      <c r="AL21" s="97"/>
      <c r="AM21" s="97"/>
      <c r="AN21" s="97"/>
      <c r="AO21" s="97"/>
      <c r="AP21" s="97"/>
      <c r="AQ21" s="97"/>
      <c r="AR21" s="97"/>
    </row>
    <row r="22" spans="2:44" s="108" customFormat="1" ht="20.149999999999999" customHeight="1" x14ac:dyDescent="0.25">
      <c r="B22" s="275">
        <f t="shared" ref="B22" si="49">B21</f>
        <v>0</v>
      </c>
      <c r="C22" s="275">
        <f t="shared" ref="C22" si="50">C21</f>
        <v>0</v>
      </c>
      <c r="D22" s="275">
        <f t="shared" ref="D22" si="51">D21</f>
        <v>0</v>
      </c>
      <c r="E22" s="275">
        <f t="shared" ref="E22" si="52">E21</f>
        <v>0</v>
      </c>
      <c r="F22" s="295" t="s">
        <v>94</v>
      </c>
      <c r="G22" s="273"/>
      <c r="H22" s="273"/>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row>
    <row r="23" spans="2:44" s="108" customFormat="1" ht="20.149999999999999" customHeight="1" x14ac:dyDescent="0.25">
      <c r="B23" s="270"/>
      <c r="C23" s="271"/>
      <c r="D23" s="271"/>
      <c r="E23" s="271"/>
      <c r="F23" s="294" t="s">
        <v>93</v>
      </c>
      <c r="G23" s="272"/>
      <c r="H23" s="272"/>
      <c r="I23" s="272"/>
      <c r="J23" s="272"/>
      <c r="K23" s="272"/>
      <c r="L23" s="272"/>
      <c r="M23" s="272"/>
      <c r="N23" s="272"/>
      <c r="O23" s="272"/>
      <c r="P23" s="272"/>
      <c r="Q23" s="272"/>
      <c r="R23" s="272"/>
      <c r="S23" s="272"/>
      <c r="T23" s="272"/>
      <c r="U23" s="272"/>
      <c r="V23" s="272"/>
      <c r="W23" s="272"/>
      <c r="X23" s="272"/>
      <c r="Y23" s="272"/>
      <c r="Z23" s="272"/>
      <c r="AA23" s="272"/>
      <c r="AB23" s="272"/>
      <c r="AC23" s="272"/>
      <c r="AD23" s="272"/>
      <c r="AE23" s="272"/>
    </row>
    <row r="24" spans="2:44" s="108" customFormat="1" ht="20.149999999999999" customHeight="1" x14ac:dyDescent="0.25">
      <c r="B24" s="275">
        <f t="shared" ref="B24" si="53">B23</f>
        <v>0</v>
      </c>
      <c r="C24" s="275">
        <f t="shared" ref="C24" si="54">C23</f>
        <v>0</v>
      </c>
      <c r="D24" s="275">
        <f t="shared" ref="D24" si="55">D23</f>
        <v>0</v>
      </c>
      <c r="E24" s="275">
        <f t="shared" ref="E24" si="56">E23</f>
        <v>0</v>
      </c>
      <c r="F24" s="295" t="s">
        <v>94</v>
      </c>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row>
    <row r="25" spans="2:44" s="108" customFormat="1" ht="20.149999999999999" customHeight="1" x14ac:dyDescent="0.25">
      <c r="B25" s="270"/>
      <c r="C25" s="271"/>
      <c r="D25" s="271"/>
      <c r="E25" s="271"/>
      <c r="F25" s="294" t="s">
        <v>93</v>
      </c>
      <c r="G25" s="272"/>
      <c r="H25" s="272"/>
      <c r="I25" s="272"/>
      <c r="J25" s="272"/>
      <c r="K25" s="272"/>
      <c r="L25" s="272"/>
      <c r="M25" s="272"/>
      <c r="N25" s="272"/>
      <c r="O25" s="272"/>
      <c r="P25" s="272"/>
      <c r="Q25" s="272"/>
      <c r="R25" s="272"/>
      <c r="S25" s="272"/>
      <c r="T25" s="272"/>
      <c r="U25" s="272"/>
      <c r="V25" s="272"/>
      <c r="W25" s="272"/>
      <c r="X25" s="272"/>
      <c r="Y25" s="272"/>
      <c r="Z25" s="272"/>
      <c r="AA25" s="272"/>
      <c r="AB25" s="272"/>
      <c r="AC25" s="272"/>
      <c r="AD25" s="272"/>
      <c r="AE25" s="272"/>
    </row>
    <row r="26" spans="2:44" s="108" customFormat="1" ht="20.149999999999999" customHeight="1" x14ac:dyDescent="0.25">
      <c r="B26" s="275">
        <f t="shared" ref="B26" si="57">B25</f>
        <v>0</v>
      </c>
      <c r="C26" s="275">
        <f t="shared" ref="C26" si="58">C25</f>
        <v>0</v>
      </c>
      <c r="D26" s="275">
        <f t="shared" ref="D26" si="59">D25</f>
        <v>0</v>
      </c>
      <c r="E26" s="275">
        <f t="shared" ref="E26" si="60">E25</f>
        <v>0</v>
      </c>
      <c r="F26" s="295" t="s">
        <v>94</v>
      </c>
      <c r="G26" s="273"/>
      <c r="H26" s="273"/>
      <c r="I26" s="273"/>
      <c r="J26" s="273"/>
      <c r="K26" s="273"/>
      <c r="L26" s="273"/>
      <c r="M26" s="273"/>
      <c r="N26" s="273"/>
      <c r="O26" s="273"/>
      <c r="P26" s="273"/>
      <c r="Q26" s="273"/>
      <c r="R26" s="273"/>
      <c r="S26" s="273"/>
      <c r="T26" s="273"/>
      <c r="U26" s="273"/>
      <c r="V26" s="273"/>
      <c r="W26" s="273"/>
      <c r="X26" s="273"/>
      <c r="Y26" s="273"/>
      <c r="Z26" s="273"/>
      <c r="AA26" s="273"/>
      <c r="AB26" s="273"/>
      <c r="AC26" s="273"/>
      <c r="AD26" s="273"/>
      <c r="AE26" s="273"/>
    </row>
    <row r="27" spans="2:44" s="108" customFormat="1" ht="20.149999999999999" customHeight="1" x14ac:dyDescent="0.25">
      <c r="B27" s="270"/>
      <c r="C27" s="271"/>
      <c r="D27" s="271"/>
      <c r="E27" s="271"/>
      <c r="F27" s="294" t="s">
        <v>93</v>
      </c>
      <c r="G27" s="272"/>
      <c r="H27" s="272"/>
      <c r="I27" s="272"/>
      <c r="J27" s="272"/>
      <c r="K27" s="272"/>
      <c r="L27" s="272"/>
      <c r="M27" s="272"/>
      <c r="N27" s="272"/>
      <c r="O27" s="272"/>
      <c r="P27" s="272"/>
      <c r="Q27" s="272"/>
      <c r="R27" s="272"/>
      <c r="S27" s="272"/>
      <c r="T27" s="272"/>
      <c r="U27" s="272"/>
      <c r="V27" s="272"/>
      <c r="W27" s="272"/>
      <c r="X27" s="272"/>
      <c r="Y27" s="272"/>
      <c r="Z27" s="272"/>
      <c r="AA27" s="272"/>
      <c r="AB27" s="272"/>
      <c r="AC27" s="272"/>
      <c r="AD27" s="272"/>
      <c r="AE27" s="272"/>
      <c r="AG27" s="97"/>
      <c r="AH27" s="97"/>
      <c r="AI27" s="97"/>
      <c r="AJ27" s="97"/>
      <c r="AK27" s="97"/>
      <c r="AL27" s="97"/>
      <c r="AM27" s="97"/>
      <c r="AN27" s="97"/>
      <c r="AO27" s="97"/>
      <c r="AP27" s="97"/>
      <c r="AQ27" s="97"/>
      <c r="AR27" s="97"/>
    </row>
    <row r="28" spans="2:44" s="108" customFormat="1" ht="20.149999999999999" customHeight="1" x14ac:dyDescent="0.25">
      <c r="B28" s="275">
        <f t="shared" ref="B28" si="61">B27</f>
        <v>0</v>
      </c>
      <c r="C28" s="275">
        <f t="shared" ref="C28" si="62">C27</f>
        <v>0</v>
      </c>
      <c r="D28" s="275">
        <f t="shared" ref="D28" si="63">D27</f>
        <v>0</v>
      </c>
      <c r="E28" s="275">
        <f t="shared" ref="E28" si="64">E27</f>
        <v>0</v>
      </c>
      <c r="F28" s="295" t="s">
        <v>94</v>
      </c>
      <c r="G28" s="273"/>
      <c r="H28" s="273"/>
      <c r="I28" s="273"/>
      <c r="J28" s="273"/>
      <c r="K28" s="273"/>
      <c r="L28" s="273"/>
      <c r="M28" s="273"/>
      <c r="N28" s="273"/>
      <c r="O28" s="273"/>
      <c r="P28" s="273"/>
      <c r="Q28" s="273"/>
      <c r="R28" s="273"/>
      <c r="S28" s="273"/>
      <c r="T28" s="273"/>
      <c r="U28" s="273"/>
      <c r="V28" s="273"/>
      <c r="W28" s="273"/>
      <c r="X28" s="273"/>
      <c r="Y28" s="273"/>
      <c r="Z28" s="273"/>
      <c r="AA28" s="273"/>
      <c r="AB28" s="273"/>
      <c r="AC28" s="273"/>
      <c r="AD28" s="273"/>
      <c r="AE28" s="273"/>
      <c r="AG28" s="97"/>
      <c r="AH28" s="97"/>
      <c r="AI28" s="97"/>
      <c r="AJ28" s="97"/>
      <c r="AK28" s="97"/>
      <c r="AL28" s="97"/>
      <c r="AM28" s="97"/>
      <c r="AN28" s="97"/>
      <c r="AO28" s="97"/>
      <c r="AP28" s="97"/>
      <c r="AQ28" s="97"/>
      <c r="AR28" s="97"/>
    </row>
    <row r="29" spans="2:44" s="108" customFormat="1" ht="20.149999999999999" customHeight="1" x14ac:dyDescent="0.25">
      <c r="B29" s="270"/>
      <c r="C29" s="271"/>
      <c r="D29" s="271"/>
      <c r="E29" s="271"/>
      <c r="F29" s="294" t="s">
        <v>93</v>
      </c>
      <c r="G29" s="272"/>
      <c r="H29" s="272"/>
      <c r="I29" s="272"/>
      <c r="J29" s="272"/>
      <c r="K29" s="272"/>
      <c r="L29" s="272"/>
      <c r="M29" s="272"/>
      <c r="N29" s="272"/>
      <c r="O29" s="272"/>
      <c r="P29" s="272"/>
      <c r="Q29" s="272"/>
      <c r="R29" s="272"/>
      <c r="S29" s="272"/>
      <c r="T29" s="272"/>
      <c r="U29" s="272"/>
      <c r="V29" s="272"/>
      <c r="W29" s="272"/>
      <c r="X29" s="272"/>
      <c r="Y29" s="272"/>
      <c r="Z29" s="272"/>
      <c r="AA29" s="272"/>
      <c r="AB29" s="272"/>
      <c r="AC29" s="272"/>
      <c r="AD29" s="272"/>
      <c r="AE29" s="272"/>
      <c r="AG29" s="97"/>
      <c r="AH29" s="97"/>
      <c r="AI29" s="97"/>
      <c r="AJ29" s="97"/>
      <c r="AK29" s="97"/>
      <c r="AL29" s="97"/>
      <c r="AM29" s="97"/>
      <c r="AN29" s="97"/>
      <c r="AO29" s="97"/>
      <c r="AP29" s="97"/>
      <c r="AQ29" s="97"/>
      <c r="AR29" s="97"/>
    </row>
    <row r="30" spans="2:44" s="108" customFormat="1" ht="20.149999999999999" customHeight="1" x14ac:dyDescent="0.25">
      <c r="B30" s="275">
        <f t="shared" ref="B30" si="65">B29</f>
        <v>0</v>
      </c>
      <c r="C30" s="275">
        <f t="shared" ref="C30" si="66">C29</f>
        <v>0</v>
      </c>
      <c r="D30" s="275">
        <f t="shared" ref="D30" si="67">D29</f>
        <v>0</v>
      </c>
      <c r="E30" s="275">
        <f t="shared" ref="E30" si="68">E29</f>
        <v>0</v>
      </c>
      <c r="F30" s="295" t="s">
        <v>94</v>
      </c>
      <c r="G30" s="273"/>
      <c r="H30" s="273"/>
      <c r="I30" s="273"/>
      <c r="J30" s="273"/>
      <c r="K30" s="273"/>
      <c r="L30" s="273"/>
      <c r="M30" s="273"/>
      <c r="N30" s="273"/>
      <c r="O30" s="273"/>
      <c r="P30" s="273"/>
      <c r="Q30" s="273"/>
      <c r="R30" s="273"/>
      <c r="S30" s="273"/>
      <c r="T30" s="273"/>
      <c r="U30" s="273"/>
      <c r="V30" s="273"/>
      <c r="W30" s="273"/>
      <c r="X30" s="273"/>
      <c r="Y30" s="273"/>
      <c r="Z30" s="273"/>
      <c r="AA30" s="273"/>
      <c r="AB30" s="273"/>
      <c r="AC30" s="273"/>
      <c r="AD30" s="273"/>
      <c r="AE30" s="273"/>
      <c r="AG30" s="97"/>
      <c r="AH30" s="97"/>
      <c r="AI30" s="97"/>
      <c r="AJ30" s="97"/>
      <c r="AK30" s="97"/>
      <c r="AL30" s="97"/>
      <c r="AM30" s="97"/>
      <c r="AN30" s="97"/>
      <c r="AO30" s="97"/>
      <c r="AP30" s="97"/>
      <c r="AQ30" s="97"/>
      <c r="AR30" s="97"/>
    </row>
    <row r="31" spans="2:44" s="108" customFormat="1" ht="20.149999999999999" customHeight="1" x14ac:dyDescent="0.25">
      <c r="B31" s="270"/>
      <c r="C31" s="271"/>
      <c r="D31" s="271"/>
      <c r="E31" s="271"/>
      <c r="F31" s="294" t="s">
        <v>93</v>
      </c>
      <c r="G31" s="272"/>
      <c r="H31" s="272"/>
      <c r="I31" s="272"/>
      <c r="J31" s="272"/>
      <c r="K31" s="272"/>
      <c r="L31" s="272"/>
      <c r="M31" s="272"/>
      <c r="N31" s="272"/>
      <c r="O31" s="272"/>
      <c r="P31" s="272"/>
      <c r="Q31" s="272"/>
      <c r="R31" s="272"/>
      <c r="S31" s="272"/>
      <c r="T31" s="272"/>
      <c r="U31" s="272"/>
      <c r="V31" s="272"/>
      <c r="W31" s="272"/>
      <c r="X31" s="272"/>
      <c r="Y31" s="272"/>
      <c r="Z31" s="272"/>
      <c r="AA31" s="272"/>
      <c r="AB31" s="272"/>
      <c r="AC31" s="272"/>
      <c r="AD31" s="272"/>
      <c r="AE31" s="272"/>
      <c r="AG31" s="97"/>
      <c r="AH31" s="97"/>
      <c r="AI31" s="97"/>
      <c r="AJ31" s="97"/>
      <c r="AK31" s="97"/>
      <c r="AL31" s="97"/>
      <c r="AM31" s="97"/>
      <c r="AN31" s="97"/>
      <c r="AO31" s="97"/>
      <c r="AP31" s="97"/>
      <c r="AQ31" s="97"/>
      <c r="AR31" s="97"/>
    </row>
    <row r="32" spans="2:44" s="108" customFormat="1" ht="20.149999999999999" customHeight="1" x14ac:dyDescent="0.25">
      <c r="B32" s="275">
        <f t="shared" ref="B32" si="69">B31</f>
        <v>0</v>
      </c>
      <c r="C32" s="275">
        <f t="shared" ref="C32" si="70">C31</f>
        <v>0</v>
      </c>
      <c r="D32" s="275">
        <f t="shared" ref="D32" si="71">D31</f>
        <v>0</v>
      </c>
      <c r="E32" s="275">
        <f t="shared" ref="E32" si="72">E31</f>
        <v>0</v>
      </c>
      <c r="F32" s="295" t="s">
        <v>94</v>
      </c>
      <c r="G32" s="273"/>
      <c r="H32" s="273"/>
      <c r="I32" s="273"/>
      <c r="J32" s="273"/>
      <c r="K32" s="273"/>
      <c r="L32" s="273"/>
      <c r="M32" s="273"/>
      <c r="N32" s="273"/>
      <c r="O32" s="273"/>
      <c r="P32" s="273"/>
      <c r="Q32" s="273"/>
      <c r="R32" s="273"/>
      <c r="S32" s="273"/>
      <c r="T32" s="273"/>
      <c r="U32" s="273"/>
      <c r="V32" s="273"/>
      <c r="W32" s="273"/>
      <c r="X32" s="273"/>
      <c r="Y32" s="273"/>
      <c r="Z32" s="273"/>
      <c r="AA32" s="273"/>
      <c r="AB32" s="273"/>
      <c r="AC32" s="273"/>
      <c r="AD32" s="273"/>
      <c r="AE32" s="273"/>
    </row>
    <row r="33" spans="2:44" s="108" customFormat="1" ht="20.149999999999999" customHeight="1" x14ac:dyDescent="0.25">
      <c r="B33" s="270"/>
      <c r="C33" s="271"/>
      <c r="D33" s="271"/>
      <c r="E33" s="271"/>
      <c r="F33" s="294" t="s">
        <v>93</v>
      </c>
      <c r="G33" s="272"/>
      <c r="H33" s="272"/>
      <c r="I33" s="272"/>
      <c r="J33" s="272"/>
      <c r="K33" s="272"/>
      <c r="L33" s="272"/>
      <c r="M33" s="272"/>
      <c r="N33" s="272"/>
      <c r="O33" s="272"/>
      <c r="P33" s="272"/>
      <c r="Q33" s="272"/>
      <c r="R33" s="272"/>
      <c r="S33" s="272"/>
      <c r="T33" s="272"/>
      <c r="U33" s="272"/>
      <c r="V33" s="272"/>
      <c r="W33" s="272"/>
      <c r="X33" s="272"/>
      <c r="Y33" s="272"/>
      <c r="Z33" s="272"/>
      <c r="AA33" s="272"/>
      <c r="AB33" s="272"/>
      <c r="AC33" s="272"/>
      <c r="AD33" s="272"/>
      <c r="AE33" s="272"/>
    </row>
    <row r="34" spans="2:44" s="108" customFormat="1" ht="20.149999999999999" customHeight="1" x14ac:dyDescent="0.25">
      <c r="B34" s="275">
        <f t="shared" ref="B34" si="73">B33</f>
        <v>0</v>
      </c>
      <c r="C34" s="275">
        <f t="shared" ref="C34" si="74">C33</f>
        <v>0</v>
      </c>
      <c r="D34" s="275">
        <f t="shared" ref="D34" si="75">D33</f>
        <v>0</v>
      </c>
      <c r="E34" s="275">
        <f t="shared" ref="E34" si="76">E33</f>
        <v>0</v>
      </c>
      <c r="F34" s="295" t="s">
        <v>94</v>
      </c>
      <c r="G34" s="273"/>
      <c r="H34" s="273"/>
      <c r="I34" s="273"/>
      <c r="J34" s="273"/>
      <c r="K34" s="273"/>
      <c r="L34" s="273"/>
      <c r="M34" s="273"/>
      <c r="N34" s="273"/>
      <c r="O34" s="273"/>
      <c r="P34" s="273"/>
      <c r="Q34" s="273"/>
      <c r="R34" s="273"/>
      <c r="S34" s="273"/>
      <c r="T34" s="273"/>
      <c r="U34" s="273"/>
      <c r="V34" s="273"/>
      <c r="W34" s="273"/>
      <c r="X34" s="273"/>
      <c r="Y34" s="273"/>
      <c r="Z34" s="273"/>
      <c r="AA34" s="273"/>
      <c r="AB34" s="273"/>
      <c r="AC34" s="273"/>
      <c r="AD34" s="273"/>
      <c r="AE34" s="273"/>
    </row>
    <row r="35" spans="2:44" s="108" customFormat="1" ht="20.149999999999999" customHeight="1" x14ac:dyDescent="0.25">
      <c r="B35" s="270"/>
      <c r="C35" s="271"/>
      <c r="D35" s="271"/>
      <c r="E35" s="271"/>
      <c r="F35" s="294" t="s">
        <v>93</v>
      </c>
      <c r="G35" s="272"/>
      <c r="H35" s="272"/>
      <c r="I35" s="272"/>
      <c r="J35" s="272"/>
      <c r="K35" s="272"/>
      <c r="L35" s="272"/>
      <c r="M35" s="272"/>
      <c r="N35" s="272"/>
      <c r="O35" s="272"/>
      <c r="P35" s="272"/>
      <c r="Q35" s="272"/>
      <c r="R35" s="272"/>
      <c r="S35" s="272"/>
      <c r="T35" s="272"/>
      <c r="U35" s="272"/>
      <c r="V35" s="272"/>
      <c r="W35" s="272"/>
      <c r="X35" s="272"/>
      <c r="Y35" s="272"/>
      <c r="Z35" s="272"/>
      <c r="AA35" s="272"/>
      <c r="AB35" s="272"/>
      <c r="AC35" s="272"/>
      <c r="AD35" s="272"/>
      <c r="AE35" s="272"/>
    </row>
    <row r="36" spans="2:44" s="108" customFormat="1" ht="20.149999999999999" customHeight="1" x14ac:dyDescent="0.25">
      <c r="B36" s="275">
        <f t="shared" ref="B36" si="77">B35</f>
        <v>0</v>
      </c>
      <c r="C36" s="275">
        <f t="shared" ref="C36" si="78">C35</f>
        <v>0</v>
      </c>
      <c r="D36" s="275">
        <f t="shared" ref="D36" si="79">D35</f>
        <v>0</v>
      </c>
      <c r="E36" s="275">
        <f t="shared" ref="E36" si="80">E35</f>
        <v>0</v>
      </c>
      <c r="F36" s="295" t="s">
        <v>94</v>
      </c>
      <c r="G36" s="273"/>
      <c r="H36" s="273"/>
      <c r="I36" s="273"/>
      <c r="J36" s="273"/>
      <c r="K36" s="273"/>
      <c r="L36" s="273"/>
      <c r="M36" s="273"/>
      <c r="N36" s="273"/>
      <c r="O36" s="273"/>
      <c r="P36" s="273"/>
      <c r="Q36" s="273"/>
      <c r="R36" s="273"/>
      <c r="S36" s="273"/>
      <c r="T36" s="273"/>
      <c r="U36" s="273"/>
      <c r="V36" s="273"/>
      <c r="W36" s="273"/>
      <c r="X36" s="273"/>
      <c r="Y36" s="273"/>
      <c r="Z36" s="273"/>
      <c r="AA36" s="273"/>
      <c r="AB36" s="273"/>
      <c r="AC36" s="273"/>
      <c r="AD36" s="273"/>
      <c r="AE36" s="273"/>
    </row>
    <row r="37" spans="2:44" s="108" customFormat="1" ht="20.149999999999999" customHeight="1" x14ac:dyDescent="0.25">
      <c r="B37" s="187"/>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87"/>
    </row>
    <row r="38" spans="2:44" x14ac:dyDescent="0.25">
      <c r="B38" s="110"/>
    </row>
    <row r="39" spans="2:44" x14ac:dyDescent="0.25">
      <c r="B39" s="110"/>
    </row>
    <row r="40" spans="2:44" x14ac:dyDescent="0.25">
      <c r="B40" s="110"/>
    </row>
    <row r="41" spans="2:44" x14ac:dyDescent="0.25">
      <c r="B41" s="110"/>
    </row>
    <row r="42" spans="2:44" x14ac:dyDescent="0.25">
      <c r="B42" s="110"/>
    </row>
    <row r="43" spans="2:44" x14ac:dyDescent="0.25">
      <c r="B43" s="110"/>
    </row>
    <row r="44" spans="2:44" ht="20.149999999999999" customHeight="1" x14ac:dyDescent="0.25">
      <c r="B44" s="103"/>
      <c r="C44" s="103"/>
      <c r="D44" s="103"/>
      <c r="E44" s="111"/>
      <c r="F44" s="111"/>
      <c r="G44" s="103"/>
      <c r="H44" s="103"/>
      <c r="I44" s="103"/>
      <c r="J44" s="103"/>
      <c r="K44" s="103"/>
      <c r="L44" s="103"/>
      <c r="M44" s="103"/>
      <c r="N44" s="103"/>
      <c r="O44" s="103"/>
      <c r="P44" s="103"/>
      <c r="Q44" s="103"/>
    </row>
    <row r="45" spans="2:44" ht="20.149999999999999" customHeight="1" x14ac:dyDescent="0.25">
      <c r="B45" s="78" t="s">
        <v>95</v>
      </c>
      <c r="C45" s="112"/>
      <c r="D45" s="103"/>
      <c r="E45" s="111"/>
      <c r="F45" s="111"/>
      <c r="G45" s="103"/>
      <c r="H45" s="103"/>
      <c r="I45" s="103"/>
      <c r="J45" s="103"/>
      <c r="K45" s="103"/>
      <c r="L45" s="103"/>
      <c r="M45" s="103"/>
      <c r="N45" s="103"/>
      <c r="O45" s="103"/>
      <c r="P45" s="103"/>
      <c r="Q45" s="103"/>
      <c r="R45" s="103"/>
    </row>
    <row r="46" spans="2:44" s="107" customFormat="1" ht="31.5" customHeight="1" x14ac:dyDescent="0.25">
      <c r="B46" s="303" t="s">
        <v>96</v>
      </c>
      <c r="C46" s="105" t="s">
        <v>97</v>
      </c>
      <c r="D46" s="103"/>
      <c r="E46" s="111"/>
      <c r="F46" s="111"/>
      <c r="G46" s="103"/>
      <c r="H46" s="103"/>
      <c r="I46" s="103"/>
      <c r="J46" s="103"/>
      <c r="K46" s="103"/>
      <c r="L46" s="103"/>
      <c r="M46" s="103"/>
      <c r="N46" s="103"/>
      <c r="O46" s="103"/>
      <c r="P46" s="103"/>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row>
    <row r="47" spans="2:44" s="108" customFormat="1" ht="20.149999999999999" customHeight="1" x14ac:dyDescent="0.25">
      <c r="B47" s="1" t="s">
        <v>98</v>
      </c>
      <c r="C47" s="4" t="s">
        <v>18</v>
      </c>
      <c r="E47" s="111"/>
      <c r="F47" s="111"/>
      <c r="G47" s="103"/>
      <c r="H47" s="103"/>
      <c r="I47" s="103"/>
      <c r="J47" s="103"/>
      <c r="K47" s="103"/>
      <c r="L47" s="103"/>
      <c r="M47" s="103"/>
      <c r="N47" s="103"/>
      <c r="O47" s="103"/>
      <c r="P47" s="103"/>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row>
    <row r="48" spans="2:44" s="108" customFormat="1" ht="20.149999999999999" customHeight="1" x14ac:dyDescent="0.25">
      <c r="B48" s="1" t="s">
        <v>99</v>
      </c>
      <c r="C48" s="4" t="s">
        <v>100</v>
      </c>
      <c r="E48" s="111"/>
      <c r="F48" s="111"/>
      <c r="G48" s="103"/>
      <c r="H48" s="103"/>
      <c r="I48" s="103"/>
      <c r="J48" s="103"/>
      <c r="K48" s="103"/>
      <c r="L48" s="103"/>
      <c r="M48" s="103"/>
      <c r="N48" s="103"/>
      <c r="O48" s="103"/>
      <c r="P48" s="103"/>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row>
    <row r="49" spans="2:44" s="108" customFormat="1" ht="20.149999999999999" customHeight="1" x14ac:dyDescent="0.25">
      <c r="B49" s="1" t="s">
        <v>101</v>
      </c>
      <c r="C49" s="4" t="s">
        <v>102</v>
      </c>
      <c r="E49" s="111"/>
      <c r="F49" s="111"/>
      <c r="G49" s="103"/>
      <c r="H49" s="103"/>
      <c r="I49" s="103"/>
      <c r="J49" s="103"/>
      <c r="K49" s="103"/>
      <c r="L49" s="103"/>
      <c r="M49" s="103"/>
      <c r="N49" s="103"/>
      <c r="O49" s="103"/>
      <c r="P49" s="103"/>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row>
    <row r="50" spans="2:44" s="108" customFormat="1" ht="20.149999999999999" customHeight="1" x14ac:dyDescent="0.25">
      <c r="B50" s="1" t="s">
        <v>103</v>
      </c>
      <c r="C50" s="4" t="s">
        <v>104</v>
      </c>
      <c r="E50" s="111"/>
      <c r="F50" s="111"/>
      <c r="G50" s="103"/>
      <c r="H50" s="103"/>
      <c r="I50" s="103"/>
      <c r="J50" s="103"/>
      <c r="K50" s="103"/>
      <c r="L50" s="103"/>
      <c r="M50" s="103"/>
      <c r="N50" s="103"/>
      <c r="O50" s="103"/>
      <c r="P50" s="103"/>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row>
    <row r="51" spans="2:44" s="108" customFormat="1" ht="20.149999999999999" customHeight="1" x14ac:dyDescent="0.25">
      <c r="B51" s="1" t="s">
        <v>105</v>
      </c>
      <c r="C51" s="4" t="s">
        <v>106</v>
      </c>
      <c r="E51" s="98"/>
      <c r="F51" s="98"/>
      <c r="G51" s="103"/>
      <c r="H51" s="103"/>
      <c r="I51" s="103"/>
      <c r="J51" s="103"/>
      <c r="K51" s="103"/>
      <c r="L51" s="103"/>
      <c r="M51" s="103"/>
      <c r="N51" s="103"/>
      <c r="O51" s="103"/>
      <c r="P51" s="103"/>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row>
    <row r="52" spans="2:44" s="108" customFormat="1" ht="20.149999999999999" customHeight="1" x14ac:dyDescent="0.25">
      <c r="B52" s="1" t="s">
        <v>107</v>
      </c>
      <c r="C52" s="4" t="s">
        <v>108</v>
      </c>
      <c r="E52" s="98"/>
      <c r="F52" s="98"/>
      <c r="G52" s="103"/>
      <c r="H52" s="103"/>
      <c r="I52" s="103"/>
      <c r="J52" s="103"/>
      <c r="K52" s="103"/>
      <c r="L52" s="103"/>
      <c r="M52" s="103"/>
      <c r="N52" s="103"/>
      <c r="O52" s="103"/>
      <c r="P52" s="103"/>
      <c r="Q52" s="97"/>
      <c r="R52" s="97"/>
      <c r="S52" s="97"/>
      <c r="T52" s="97"/>
      <c r="U52" s="97"/>
      <c r="V52" s="97"/>
      <c r="W52" s="97"/>
      <c r="X52" s="97"/>
      <c r="Y52" s="97"/>
      <c r="Z52" s="97"/>
      <c r="AA52" s="97"/>
      <c r="AB52" s="97"/>
      <c r="AC52" s="97"/>
      <c r="AD52" s="97"/>
      <c r="AE52" s="97"/>
      <c r="AF52" s="97"/>
      <c r="AG52" s="97"/>
    </row>
    <row r="53" spans="2:44" s="108" customFormat="1" ht="20.149999999999999" customHeight="1" x14ac:dyDescent="0.25">
      <c r="B53" s="1" t="s">
        <v>109</v>
      </c>
      <c r="C53" s="4" t="s">
        <v>110</v>
      </c>
      <c r="E53" s="98"/>
      <c r="F53" s="98"/>
      <c r="G53" s="103"/>
      <c r="H53" s="103"/>
      <c r="I53" s="103"/>
      <c r="J53" s="103"/>
      <c r="K53" s="103"/>
      <c r="L53" s="103"/>
      <c r="M53" s="103"/>
      <c r="N53" s="103"/>
      <c r="O53" s="103"/>
      <c r="P53" s="103"/>
      <c r="Q53" s="97"/>
      <c r="R53" s="97"/>
      <c r="S53" s="97"/>
      <c r="T53" s="97"/>
      <c r="U53" s="97"/>
      <c r="V53" s="97"/>
      <c r="W53" s="97"/>
      <c r="X53" s="97"/>
      <c r="Y53" s="97"/>
      <c r="Z53" s="97"/>
      <c r="AA53" s="97"/>
      <c r="AB53" s="97"/>
      <c r="AC53" s="97"/>
      <c r="AD53" s="97"/>
      <c r="AE53" s="97"/>
      <c r="AF53" s="97"/>
      <c r="AG53" s="97"/>
    </row>
    <row r="54" spans="2:44" s="108" customFormat="1" ht="20.149999999999999" customHeight="1" x14ac:dyDescent="0.25">
      <c r="B54" s="1" t="s">
        <v>111</v>
      </c>
      <c r="C54" s="4" t="s">
        <v>112</v>
      </c>
      <c r="E54" s="98"/>
      <c r="F54" s="98"/>
      <c r="G54" s="103"/>
      <c r="H54" s="103"/>
      <c r="I54" s="103"/>
      <c r="J54" s="103"/>
      <c r="K54" s="103"/>
      <c r="L54" s="103"/>
      <c r="M54" s="103"/>
      <c r="N54" s="103"/>
      <c r="O54" s="103"/>
      <c r="P54" s="103"/>
      <c r="Q54" s="97"/>
      <c r="R54" s="97"/>
      <c r="S54" s="97"/>
      <c r="T54" s="97"/>
      <c r="U54" s="97"/>
      <c r="V54" s="97"/>
      <c r="W54" s="97"/>
      <c r="X54" s="97"/>
      <c r="Y54" s="97"/>
      <c r="Z54" s="97"/>
      <c r="AA54" s="97"/>
      <c r="AB54" s="97"/>
      <c r="AC54" s="97"/>
      <c r="AD54" s="97"/>
      <c r="AE54" s="97"/>
      <c r="AF54" s="97"/>
      <c r="AG54" s="97"/>
    </row>
    <row r="55" spans="2:44" s="108" customFormat="1" ht="20.149999999999999" customHeight="1" x14ac:dyDescent="0.25">
      <c r="B55" s="1" t="s">
        <v>113</v>
      </c>
      <c r="C55" s="4" t="s">
        <v>114</v>
      </c>
      <c r="E55" s="98"/>
      <c r="F55" s="98"/>
      <c r="G55" s="103"/>
      <c r="H55" s="103"/>
      <c r="I55" s="103"/>
      <c r="J55" s="103"/>
      <c r="K55" s="103"/>
      <c r="L55" s="103"/>
      <c r="M55" s="103"/>
      <c r="N55" s="103"/>
      <c r="O55" s="103"/>
      <c r="P55" s="103"/>
      <c r="Q55" s="97"/>
      <c r="R55" s="97"/>
      <c r="S55" s="97"/>
      <c r="T55" s="97"/>
      <c r="U55" s="97"/>
      <c r="V55" s="97"/>
      <c r="W55" s="97"/>
      <c r="X55" s="97"/>
      <c r="Y55" s="97"/>
      <c r="Z55" s="97"/>
      <c r="AA55" s="97"/>
      <c r="AB55" s="97"/>
      <c r="AC55" s="97"/>
      <c r="AD55" s="97"/>
      <c r="AE55" s="97"/>
      <c r="AF55" s="97"/>
      <c r="AG55" s="97"/>
    </row>
    <row r="56" spans="2:44" s="108" customFormat="1" ht="20.149999999999999" customHeight="1" x14ac:dyDescent="0.25">
      <c r="B56" s="1" t="s">
        <v>115</v>
      </c>
      <c r="C56" s="4" t="s">
        <v>116</v>
      </c>
      <c r="E56" s="98"/>
      <c r="F56" s="98"/>
      <c r="G56" s="103"/>
      <c r="H56" s="103"/>
      <c r="I56" s="103"/>
      <c r="J56" s="103"/>
      <c r="K56" s="103"/>
      <c r="L56" s="103"/>
      <c r="M56" s="103"/>
      <c r="N56" s="103"/>
      <c r="O56" s="103"/>
      <c r="P56" s="103"/>
      <c r="Q56" s="97"/>
      <c r="R56" s="97"/>
      <c r="S56" s="97"/>
      <c r="T56" s="97"/>
      <c r="U56" s="97"/>
      <c r="V56" s="97"/>
      <c r="W56" s="97"/>
      <c r="X56" s="97"/>
      <c r="Y56" s="97"/>
      <c r="Z56" s="97"/>
      <c r="AA56" s="97"/>
      <c r="AB56" s="97"/>
      <c r="AC56" s="97"/>
      <c r="AD56" s="97"/>
      <c r="AE56" s="97"/>
      <c r="AF56" s="97"/>
      <c r="AG56" s="97"/>
    </row>
    <row r="57" spans="2:44" s="108" customFormat="1" ht="20.149999999999999" customHeight="1" x14ac:dyDescent="0.25">
      <c r="B57" s="1" t="s">
        <v>43</v>
      </c>
      <c r="C57" s="4" t="s">
        <v>117</v>
      </c>
      <c r="E57" s="98"/>
      <c r="F57" s="98"/>
      <c r="G57" s="103"/>
      <c r="H57" s="103"/>
      <c r="I57" s="103"/>
      <c r="J57" s="103"/>
      <c r="K57" s="103"/>
      <c r="L57" s="103"/>
      <c r="M57" s="103"/>
      <c r="N57" s="103"/>
      <c r="O57" s="103"/>
      <c r="P57" s="103"/>
      <c r="Q57" s="97"/>
      <c r="R57" s="97"/>
      <c r="S57" s="97"/>
      <c r="T57" s="97"/>
      <c r="U57" s="97"/>
      <c r="V57" s="97"/>
      <c r="W57" s="97"/>
      <c r="X57" s="97"/>
      <c r="Y57" s="97"/>
      <c r="Z57" s="97"/>
      <c r="AA57" s="97"/>
      <c r="AB57" s="97"/>
      <c r="AC57" s="97"/>
      <c r="AD57" s="97"/>
      <c r="AE57" s="97"/>
      <c r="AF57" s="97"/>
      <c r="AG57" s="97"/>
    </row>
    <row r="58" spans="2:44" s="108" customFormat="1" ht="20.149999999999999" customHeight="1" x14ac:dyDescent="0.25">
      <c r="B58" s="1" t="s">
        <v>118</v>
      </c>
      <c r="C58" s="4" t="s">
        <v>119</v>
      </c>
      <c r="E58" s="98"/>
      <c r="F58" s="98"/>
      <c r="G58" s="103"/>
      <c r="H58" s="103"/>
      <c r="I58" s="103"/>
      <c r="J58" s="103"/>
      <c r="K58" s="103"/>
      <c r="L58" s="103"/>
      <c r="M58" s="103"/>
      <c r="N58" s="103"/>
      <c r="O58" s="103"/>
      <c r="P58" s="103"/>
      <c r="Q58" s="97"/>
      <c r="R58" s="97"/>
      <c r="S58" s="97"/>
      <c r="T58" s="97"/>
      <c r="U58" s="97"/>
      <c r="V58" s="97"/>
      <c r="W58" s="97"/>
      <c r="X58" s="97"/>
      <c r="Y58" s="97"/>
      <c r="Z58" s="97"/>
      <c r="AA58" s="97"/>
      <c r="AB58" s="97"/>
      <c r="AC58" s="97"/>
      <c r="AD58" s="97"/>
      <c r="AE58" s="97"/>
      <c r="AF58" s="97"/>
      <c r="AG58" s="97"/>
    </row>
    <row r="59" spans="2:44" s="108" customFormat="1" ht="20.149999999999999" customHeight="1" x14ac:dyDescent="0.25">
      <c r="B59" s="1" t="s">
        <v>120</v>
      </c>
      <c r="C59" s="4" t="s">
        <v>121</v>
      </c>
      <c r="E59" s="98"/>
      <c r="F59" s="98"/>
      <c r="G59" s="103"/>
      <c r="H59" s="103"/>
      <c r="I59" s="103"/>
      <c r="J59" s="103"/>
      <c r="K59" s="103"/>
      <c r="L59" s="103"/>
      <c r="M59" s="103"/>
      <c r="N59" s="103"/>
      <c r="O59" s="103"/>
      <c r="P59" s="103"/>
      <c r="Q59" s="97"/>
      <c r="R59" s="97"/>
      <c r="S59" s="97"/>
      <c r="T59" s="97"/>
      <c r="U59" s="97"/>
      <c r="V59" s="97"/>
      <c r="W59" s="97"/>
      <c r="X59" s="97"/>
      <c r="Y59" s="97"/>
      <c r="Z59" s="97"/>
      <c r="AA59" s="97"/>
      <c r="AB59" s="97"/>
      <c r="AC59" s="97"/>
      <c r="AD59" s="97"/>
      <c r="AE59" s="97"/>
      <c r="AF59" s="97"/>
      <c r="AG59" s="97"/>
    </row>
    <row r="60" spans="2:44" s="108" customFormat="1" ht="20.149999999999999" customHeight="1" x14ac:dyDescent="0.25">
      <c r="B60" s="1" t="s">
        <v>122</v>
      </c>
      <c r="C60" s="4" t="s">
        <v>123</v>
      </c>
      <c r="E60" s="98"/>
      <c r="F60" s="98"/>
      <c r="G60" s="103"/>
      <c r="H60" s="103"/>
      <c r="I60" s="103"/>
      <c r="J60" s="103"/>
      <c r="K60" s="103"/>
      <c r="L60" s="103"/>
      <c r="M60" s="103"/>
      <c r="N60" s="103"/>
      <c r="O60" s="103"/>
      <c r="P60" s="103"/>
      <c r="Q60" s="97"/>
      <c r="R60" s="97"/>
      <c r="S60" s="97"/>
      <c r="T60" s="97"/>
      <c r="U60" s="97"/>
      <c r="V60" s="97"/>
      <c r="W60" s="97"/>
      <c r="X60" s="97"/>
      <c r="Y60" s="97"/>
      <c r="Z60" s="97"/>
      <c r="AA60" s="97"/>
      <c r="AB60" s="97"/>
      <c r="AC60" s="97"/>
      <c r="AD60" s="97"/>
      <c r="AE60" s="97"/>
      <c r="AF60" s="97"/>
      <c r="AG60" s="97"/>
    </row>
    <row r="61" spans="2:44" s="108" customFormat="1" ht="20.149999999999999" customHeight="1" x14ac:dyDescent="0.25">
      <c r="B61" s="1" t="s">
        <v>124</v>
      </c>
      <c r="C61" s="4" t="s">
        <v>125</v>
      </c>
      <c r="E61" s="98"/>
      <c r="F61" s="98"/>
      <c r="G61" s="103"/>
      <c r="H61" s="103"/>
      <c r="I61" s="103"/>
      <c r="J61" s="103"/>
      <c r="K61" s="103"/>
      <c r="L61" s="103"/>
      <c r="M61" s="103"/>
      <c r="N61" s="103"/>
      <c r="O61" s="103"/>
      <c r="P61" s="103"/>
      <c r="Q61" s="97"/>
      <c r="R61" s="97"/>
      <c r="S61" s="97"/>
      <c r="T61" s="97"/>
      <c r="U61" s="97"/>
      <c r="V61" s="97"/>
      <c r="W61" s="97"/>
      <c r="X61" s="97"/>
      <c r="Y61" s="97"/>
      <c r="Z61" s="97"/>
      <c r="AA61" s="97"/>
      <c r="AB61" s="97"/>
      <c r="AC61" s="97"/>
      <c r="AD61" s="97"/>
      <c r="AE61" s="97"/>
      <c r="AF61" s="97"/>
      <c r="AG61" s="97"/>
    </row>
    <row r="62" spans="2:44" s="108" customFormat="1" ht="20.149999999999999" customHeight="1" x14ac:dyDescent="0.25">
      <c r="B62" s="1"/>
      <c r="C62" s="4"/>
      <c r="E62" s="98"/>
      <c r="F62" s="98"/>
      <c r="G62" s="103"/>
      <c r="H62" s="103"/>
      <c r="I62" s="103"/>
      <c r="J62" s="103"/>
      <c r="K62" s="103"/>
      <c r="L62" s="103"/>
      <c r="M62" s="103"/>
      <c r="N62" s="103"/>
      <c r="O62" s="103"/>
      <c r="P62" s="103"/>
      <c r="Q62" s="97"/>
      <c r="R62" s="97"/>
      <c r="S62" s="97"/>
      <c r="T62" s="97"/>
      <c r="U62" s="97"/>
      <c r="V62" s="97"/>
      <c r="W62" s="97"/>
      <c r="X62" s="97"/>
      <c r="Y62" s="97"/>
      <c r="Z62" s="97"/>
      <c r="AA62" s="97"/>
      <c r="AB62" s="97"/>
      <c r="AC62" s="97"/>
      <c r="AD62" s="97"/>
      <c r="AE62" s="97"/>
      <c r="AF62" s="97"/>
      <c r="AG62" s="97"/>
    </row>
    <row r="63" spans="2:44" s="108" customFormat="1" ht="20.149999999999999" customHeight="1" x14ac:dyDescent="0.25">
      <c r="B63" s="1"/>
      <c r="C63" s="4"/>
      <c r="E63" s="98"/>
      <c r="F63" s="98"/>
      <c r="G63" s="103"/>
      <c r="H63" s="103"/>
      <c r="I63" s="103"/>
      <c r="J63" s="103"/>
      <c r="K63" s="103"/>
      <c r="L63" s="103"/>
      <c r="M63" s="103"/>
      <c r="N63" s="103"/>
      <c r="O63" s="103"/>
      <c r="P63" s="103"/>
      <c r="Q63" s="97"/>
      <c r="R63" s="97"/>
      <c r="S63" s="97"/>
      <c r="T63" s="97"/>
      <c r="U63" s="97"/>
      <c r="V63" s="97"/>
      <c r="W63" s="97"/>
      <c r="X63" s="97"/>
      <c r="Y63" s="97"/>
      <c r="Z63" s="97"/>
      <c r="AA63" s="97"/>
      <c r="AB63" s="97"/>
      <c r="AC63" s="97"/>
      <c r="AD63" s="97"/>
      <c r="AE63" s="97"/>
      <c r="AF63" s="97"/>
      <c r="AG63" s="97"/>
    </row>
    <row r="64" spans="2:44" s="108" customFormat="1" ht="20.149999999999999" customHeight="1" x14ac:dyDescent="0.25">
      <c r="B64" s="1"/>
      <c r="C64" s="4"/>
      <c r="E64" s="98"/>
      <c r="F64" s="98"/>
      <c r="G64" s="103"/>
      <c r="H64" s="103"/>
      <c r="I64" s="103"/>
      <c r="J64" s="103"/>
      <c r="K64" s="103"/>
      <c r="L64" s="103"/>
      <c r="M64" s="103"/>
      <c r="N64" s="103"/>
      <c r="O64" s="103"/>
      <c r="P64" s="103"/>
      <c r="Q64" s="97"/>
      <c r="R64" s="97"/>
      <c r="S64" s="97"/>
      <c r="T64" s="97"/>
      <c r="U64" s="97"/>
      <c r="V64" s="97"/>
      <c r="W64" s="97"/>
      <c r="X64" s="97"/>
      <c r="Y64" s="97"/>
      <c r="Z64" s="97"/>
      <c r="AA64" s="97"/>
      <c r="AB64" s="97"/>
      <c r="AC64" s="97"/>
      <c r="AD64" s="97"/>
      <c r="AE64" s="97"/>
      <c r="AF64" s="97"/>
      <c r="AG64" s="97"/>
    </row>
    <row r="65" spans="2:33" s="108" customFormat="1" ht="20.149999999999999" customHeight="1" x14ac:dyDescent="0.25">
      <c r="B65" s="1"/>
      <c r="C65" s="4"/>
      <c r="E65" s="98"/>
      <c r="F65" s="98"/>
      <c r="G65" s="103"/>
      <c r="H65" s="103"/>
      <c r="I65" s="103"/>
      <c r="J65" s="103"/>
      <c r="K65" s="103"/>
      <c r="L65" s="103"/>
      <c r="M65" s="103"/>
      <c r="N65" s="103"/>
      <c r="O65" s="103"/>
      <c r="P65" s="103"/>
      <c r="Q65" s="97"/>
      <c r="R65" s="97"/>
      <c r="S65" s="97"/>
      <c r="T65" s="97"/>
      <c r="U65" s="97"/>
      <c r="V65" s="97"/>
      <c r="W65" s="97"/>
      <c r="X65" s="97"/>
      <c r="Y65" s="97"/>
      <c r="Z65" s="97"/>
      <c r="AA65" s="97"/>
      <c r="AB65" s="97"/>
      <c r="AC65" s="97"/>
      <c r="AD65" s="97"/>
      <c r="AE65" s="97"/>
      <c r="AF65" s="97"/>
      <c r="AG65" s="97"/>
    </row>
    <row r="66" spans="2:33" x14ac:dyDescent="0.25">
      <c r="G66" s="103"/>
      <c r="H66" s="103"/>
      <c r="I66" s="103"/>
      <c r="J66" s="103"/>
      <c r="K66" s="103"/>
      <c r="L66" s="103"/>
      <c r="M66" s="103"/>
      <c r="N66" s="103"/>
      <c r="O66" s="103"/>
      <c r="P66" s="103"/>
    </row>
    <row r="67" spans="2:33" x14ac:dyDescent="0.25">
      <c r="G67" s="103"/>
      <c r="H67" s="103"/>
      <c r="I67" s="103"/>
      <c r="J67" s="103"/>
      <c r="K67" s="103"/>
      <c r="L67" s="103"/>
      <c r="M67" s="103"/>
      <c r="N67" s="103"/>
      <c r="O67" s="103"/>
      <c r="P67" s="103"/>
    </row>
    <row r="68" spans="2:33" x14ac:dyDescent="0.25">
      <c r="G68" s="103"/>
      <c r="H68" s="103"/>
      <c r="I68" s="103"/>
      <c r="J68" s="103"/>
      <c r="K68" s="103"/>
      <c r="L68" s="103"/>
      <c r="M68" s="103"/>
      <c r="N68" s="103"/>
      <c r="O68" s="103"/>
      <c r="P68" s="103"/>
    </row>
    <row r="69" spans="2:33" x14ac:dyDescent="0.25">
      <c r="G69" s="103"/>
      <c r="H69" s="103"/>
      <c r="I69" s="103"/>
      <c r="J69" s="103"/>
      <c r="K69" s="103"/>
      <c r="L69" s="103"/>
      <c r="M69" s="103"/>
      <c r="N69" s="103"/>
      <c r="O69" s="103"/>
      <c r="P69" s="103"/>
    </row>
  </sheetData>
  <sheetProtection algorithmName="SHA-512" hashValue="Nz6HOirE9ZLDRO7272uGBtTCmB9b22i/EsEogZ4YjWT/l2GJundYK4KomIrEWR7xmFCFr2icCeKmjbyzdg43jw==" saltValue="+SD8c/mBSVve+snkzIy+uQ==" spinCount="100000" sheet="1" objects="1" scenarios="1"/>
  <autoFilter ref="B6:E6" xr:uid="{AE11830D-A66D-46D0-82B1-602EA893B248}"/>
  <mergeCells count="1">
    <mergeCell ref="E5:I5"/>
  </mergeCells>
  <phoneticPr fontId="3" type="noConversion"/>
  <conditionalFormatting sqref="E5:G5 J5">
    <cfRule type="expression" dxfId="471" priority="1">
      <formula>$E$5=$G$41</formula>
    </cfRule>
  </conditionalFormatting>
  <dataValidations count="2">
    <dataValidation type="list" allowBlank="1" showInputMessage="1" showErrorMessage="1" sqref="E7 E9 E11 E13 E15 E17 E19 E21 E23 E25 E27 E29 E31 E33 E35" xr:uid="{EF6D398A-18CD-4010-BA48-38490A1CABE6}">
      <formula1>$C$47:$C$65</formula1>
    </dataValidation>
    <dataValidation type="list" allowBlank="1" showInputMessage="1" showErrorMessage="1" sqref="D9:D11 D7 D13 D15 D17 D19 D21 D23 D25 D27 D29 D31 D33 D35" xr:uid="{BE52A13E-297D-4A45-A349-EBFC3451D602}">
      <formula1>"NO,INTERCO,"</formula1>
    </dataValidation>
  </dataValidations>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AS99"/>
  <sheetViews>
    <sheetView showGridLines="0" zoomScale="55" zoomScaleNormal="55" workbookViewId="0">
      <pane xSplit="5" ySplit="8" topLeftCell="F9" activePane="bottomRight" state="frozen"/>
      <selection pane="topRight" activeCell="F1" sqref="F1"/>
      <selection pane="bottomLeft" activeCell="A9" sqref="A9"/>
      <selection pane="bottomRight" activeCell="H10" sqref="H10:H11"/>
    </sheetView>
  </sheetViews>
  <sheetFormatPr baseColWidth="10" defaultColWidth="9.1796875" defaultRowHeight="13.5" x14ac:dyDescent="0.25"/>
  <cols>
    <col min="1" max="1" width="2.1796875" style="97" customWidth="1"/>
    <col min="2" max="2" width="30.7265625" style="97" customWidth="1"/>
    <col min="3" max="3" width="55.1796875" style="97" customWidth="1"/>
    <col min="4" max="4" width="20.81640625" style="97" customWidth="1"/>
    <col min="5" max="6" width="25.7265625" style="98" customWidth="1"/>
    <col min="7" max="7" width="32.453125" style="98" customWidth="1"/>
    <col min="8" max="8" width="14.7265625" style="97" customWidth="1"/>
    <col min="9" max="9" width="15.26953125" style="97" customWidth="1"/>
    <col min="10" max="10" width="15.7265625" style="97" customWidth="1"/>
    <col min="11" max="32" width="14.7265625" style="97" customWidth="1"/>
    <col min="33" max="33" width="11.26953125" style="97" hidden="1" customWidth="1"/>
    <col min="34" max="34" width="13.26953125" style="97" bestFit="1" customWidth="1"/>
    <col min="35" max="16384" width="9.1796875" style="97"/>
  </cols>
  <sheetData>
    <row r="1" spans="2:45" ht="14.5" x14ac:dyDescent="0.35">
      <c r="H1"/>
    </row>
    <row r="2" spans="2:45" ht="21" customHeight="1" x14ac:dyDescent="0.25">
      <c r="B2" s="23" t="s">
        <v>5</v>
      </c>
      <c r="C2" s="24" t="str">
        <f>'Project Infor'!C10</f>
        <v>ZEZ-AT00001-1001</v>
      </c>
      <c r="D2" s="99" t="str">
        <f>'Project Infor'!C11</f>
        <v>Asistencia técnica para desarrollo Java/.Net/…</v>
      </c>
      <c r="E2" s="100"/>
      <c r="F2" s="100"/>
      <c r="G2" s="100"/>
      <c r="H2" s="100"/>
      <c r="I2" s="100"/>
      <c r="J2" s="100"/>
    </row>
    <row r="3" spans="2:45" ht="9" customHeight="1" x14ac:dyDescent="0.35">
      <c r="B3" s="68"/>
      <c r="C3" s="68"/>
      <c r="H3"/>
    </row>
    <row r="4" spans="2:45" ht="15" customHeight="1" thickBot="1" x14ac:dyDescent="0.3">
      <c r="B4" s="102"/>
      <c r="C4" s="103"/>
      <c r="D4" s="113"/>
      <c r="E4" s="103"/>
      <c r="F4" s="103"/>
      <c r="G4" s="103"/>
      <c r="H4" s="114"/>
      <c r="I4" s="114"/>
      <c r="J4" s="114"/>
      <c r="K4" s="103"/>
      <c r="L4" s="103"/>
      <c r="M4" s="103"/>
      <c r="N4" s="103"/>
      <c r="O4" s="103"/>
      <c r="P4" s="103"/>
      <c r="Q4" s="103"/>
    </row>
    <row r="5" spans="2:45" ht="20.149999999999999" customHeight="1" thickBot="1" x14ac:dyDescent="0.35">
      <c r="B5" s="78" t="s">
        <v>126</v>
      </c>
      <c r="C5" s="103"/>
      <c r="D5" s="115" t="s">
        <v>127</v>
      </c>
      <c r="E5" s="115"/>
      <c r="F5" s="287">
        <f>costerecursosbaselineactual</f>
        <v>0</v>
      </c>
      <c r="G5" s="116"/>
      <c r="H5" s="284" t="s">
        <v>128</v>
      </c>
      <c r="I5" s="117"/>
      <c r="J5" s="118">
        <f>F5-SUM(F40:AF41)</f>
        <v>0</v>
      </c>
      <c r="K5" s="103"/>
      <c r="L5" s="284" t="s">
        <v>129</v>
      </c>
      <c r="M5" s="117"/>
      <c r="N5" s="118">
        <f>-(pedidobaselineactual-SUM(H44:AF44)-SUM(H62:AF62)-SUM(H78:AF78))</f>
        <v>0</v>
      </c>
      <c r="O5" s="234"/>
      <c r="P5" s="234"/>
      <c r="Q5" s="234"/>
      <c r="S5" s="103"/>
    </row>
    <row r="6" spans="2:45" ht="12" customHeight="1" x14ac:dyDescent="0.25">
      <c r="B6" s="102"/>
      <c r="C6" s="103"/>
      <c r="D6" s="113"/>
      <c r="E6" s="113"/>
      <c r="F6" s="113"/>
      <c r="G6" s="113"/>
      <c r="H6" s="103"/>
      <c r="I6" s="103"/>
      <c r="J6" s="103"/>
      <c r="K6" s="103"/>
      <c r="L6" s="119"/>
      <c r="M6" s="103"/>
      <c r="N6" s="103"/>
      <c r="O6" s="103"/>
      <c r="P6" s="103"/>
      <c r="Q6" s="103"/>
    </row>
    <row r="7" spans="2:45" ht="20.149999999999999" customHeight="1" x14ac:dyDescent="0.25">
      <c r="B7" s="103"/>
      <c r="C7" s="103"/>
      <c r="D7" s="103"/>
      <c r="E7" s="113"/>
      <c r="F7" s="113"/>
      <c r="G7" s="113"/>
      <c r="H7" s="120" t="str">
        <f>IF(H8&gt;EOMONTH(FIN,0),"Fin",IF(H8&gt;FECHA,"Prev","Real"))</f>
        <v>Real</v>
      </c>
      <c r="I7" s="120" t="str">
        <f t="shared" ref="I7:AF7" si="0">IF(I8&gt;EOMONTH(FIN,0),"Fin",IF(I8&gt;FECHA,"Prev","Real"))</f>
        <v>Real</v>
      </c>
      <c r="J7" s="120" t="str">
        <f t="shared" si="0"/>
        <v>Prev</v>
      </c>
      <c r="K7" s="120" t="str">
        <f t="shared" si="0"/>
        <v>Prev</v>
      </c>
      <c r="L7" s="120" t="str">
        <f t="shared" si="0"/>
        <v>Prev</v>
      </c>
      <c r="M7" s="120" t="str">
        <f t="shared" si="0"/>
        <v>Prev</v>
      </c>
      <c r="N7" s="120" t="str">
        <f t="shared" si="0"/>
        <v>Prev</v>
      </c>
      <c r="O7" s="120" t="str">
        <f t="shared" si="0"/>
        <v>Prev</v>
      </c>
      <c r="P7" s="120" t="str">
        <f t="shared" si="0"/>
        <v>Prev</v>
      </c>
      <c r="Q7" s="120" t="str">
        <f t="shared" si="0"/>
        <v>Fin</v>
      </c>
      <c r="R7" s="120" t="str">
        <f t="shared" si="0"/>
        <v>Fin</v>
      </c>
      <c r="S7" s="120" t="str">
        <f t="shared" si="0"/>
        <v>Fin</v>
      </c>
      <c r="T7" s="120" t="str">
        <f t="shared" si="0"/>
        <v>Fin</v>
      </c>
      <c r="U7" s="120" t="str">
        <f t="shared" si="0"/>
        <v>Fin</v>
      </c>
      <c r="V7" s="120" t="str">
        <f t="shared" si="0"/>
        <v>Fin</v>
      </c>
      <c r="W7" s="120" t="str">
        <f t="shared" si="0"/>
        <v>Fin</v>
      </c>
      <c r="X7" s="120" t="str">
        <f t="shared" si="0"/>
        <v>Fin</v>
      </c>
      <c r="Y7" s="120" t="str">
        <f t="shared" si="0"/>
        <v>Fin</v>
      </c>
      <c r="Z7" s="120" t="str">
        <f t="shared" si="0"/>
        <v>Fin</v>
      </c>
      <c r="AA7" s="120" t="str">
        <f t="shared" si="0"/>
        <v>Fin</v>
      </c>
      <c r="AB7" s="120" t="str">
        <f t="shared" si="0"/>
        <v>Fin</v>
      </c>
      <c r="AC7" s="120" t="str">
        <f t="shared" si="0"/>
        <v>Fin</v>
      </c>
      <c r="AD7" s="120" t="str">
        <f t="shared" si="0"/>
        <v>Fin</v>
      </c>
      <c r="AE7" s="120" t="str">
        <f t="shared" si="0"/>
        <v>Fin</v>
      </c>
      <c r="AF7" s="120" t="str">
        <f t="shared" si="0"/>
        <v>Fin</v>
      </c>
    </row>
    <row r="8" spans="2:45" s="107" customFormat="1" ht="35.15" customHeight="1" x14ac:dyDescent="0.25">
      <c r="B8" s="303" t="s">
        <v>16</v>
      </c>
      <c r="C8" s="105" t="s">
        <v>90</v>
      </c>
      <c r="D8" s="105" t="s">
        <v>91</v>
      </c>
      <c r="E8" s="105" t="s">
        <v>92</v>
      </c>
      <c r="F8" s="105" t="s">
        <v>130</v>
      </c>
      <c r="G8" s="105"/>
      <c r="H8" s="106">
        <f>'Project Infor'!C8</f>
        <v>44287</v>
      </c>
      <c r="I8" s="106">
        <f t="shared" ref="I8:AD8" si="1">EOMONTH(H8,1)</f>
        <v>44347</v>
      </c>
      <c r="J8" s="106">
        <f t="shared" si="1"/>
        <v>44377</v>
      </c>
      <c r="K8" s="106">
        <f t="shared" si="1"/>
        <v>44408</v>
      </c>
      <c r="L8" s="106">
        <f t="shared" si="1"/>
        <v>44439</v>
      </c>
      <c r="M8" s="106">
        <f t="shared" si="1"/>
        <v>44469</v>
      </c>
      <c r="N8" s="106">
        <f t="shared" si="1"/>
        <v>44500</v>
      </c>
      <c r="O8" s="106">
        <f t="shared" si="1"/>
        <v>44530</v>
      </c>
      <c r="P8" s="106">
        <f t="shared" si="1"/>
        <v>44561</v>
      </c>
      <c r="Q8" s="106">
        <f t="shared" si="1"/>
        <v>44592</v>
      </c>
      <c r="R8" s="106">
        <f t="shared" si="1"/>
        <v>44620</v>
      </c>
      <c r="S8" s="106">
        <f t="shared" si="1"/>
        <v>44651</v>
      </c>
      <c r="T8" s="106">
        <f t="shared" si="1"/>
        <v>44681</v>
      </c>
      <c r="U8" s="106">
        <f t="shared" si="1"/>
        <v>44712</v>
      </c>
      <c r="V8" s="106">
        <f t="shared" si="1"/>
        <v>44742</v>
      </c>
      <c r="W8" s="106">
        <f t="shared" si="1"/>
        <v>44773</v>
      </c>
      <c r="X8" s="106">
        <f t="shared" si="1"/>
        <v>44804</v>
      </c>
      <c r="Y8" s="106">
        <f t="shared" si="1"/>
        <v>44834</v>
      </c>
      <c r="Z8" s="106">
        <f t="shared" si="1"/>
        <v>44865</v>
      </c>
      <c r="AA8" s="106">
        <f t="shared" si="1"/>
        <v>44895</v>
      </c>
      <c r="AB8" s="106">
        <f t="shared" si="1"/>
        <v>44926</v>
      </c>
      <c r="AC8" s="106">
        <f t="shared" si="1"/>
        <v>44957</v>
      </c>
      <c r="AD8" s="106">
        <f t="shared" si="1"/>
        <v>44985</v>
      </c>
      <c r="AE8" s="106">
        <f t="shared" ref="AE8" si="2">EOMONTH(AD8,1)</f>
        <v>45016</v>
      </c>
      <c r="AF8" s="106">
        <f t="shared" ref="AF8" si="3">EOMONTH(AE8,1)</f>
        <v>45046</v>
      </c>
      <c r="AG8" s="97"/>
      <c r="AH8" s="97"/>
      <c r="AI8" s="97"/>
      <c r="AJ8" s="97"/>
      <c r="AK8" s="97"/>
      <c r="AL8" s="97"/>
      <c r="AM8" s="97"/>
      <c r="AN8" s="97"/>
      <c r="AO8" s="97"/>
      <c r="AP8" s="97"/>
      <c r="AQ8" s="97"/>
      <c r="AR8" s="97"/>
      <c r="AS8" s="97"/>
    </row>
    <row r="9" spans="2:45" ht="20.149999999999999" customHeight="1" x14ac:dyDescent="0.25">
      <c r="B9" s="121" t="s">
        <v>131</v>
      </c>
      <c r="C9" s="122"/>
      <c r="D9" s="123"/>
      <c r="E9" s="123"/>
      <c r="F9" s="185">
        <f>'Project Infor'!C46</f>
        <v>0</v>
      </c>
      <c r="G9" s="185"/>
      <c r="H9" s="124">
        <f>SUMIF($G$10:$G$39,"Horas Reales",H$10:H$39)</f>
        <v>0</v>
      </c>
      <c r="I9" s="124">
        <f t="shared" ref="I9:AD9" si="4">SUMIF($G$10:$G$39,"Horas Reales",I$10:I$39)</f>
        <v>0</v>
      </c>
      <c r="J9" s="124">
        <f t="shared" si="4"/>
        <v>0</v>
      </c>
      <c r="K9" s="124">
        <f t="shared" si="4"/>
        <v>0</v>
      </c>
      <c r="L9" s="124">
        <f t="shared" si="4"/>
        <v>0</v>
      </c>
      <c r="M9" s="124">
        <f t="shared" si="4"/>
        <v>0</v>
      </c>
      <c r="N9" s="124">
        <f t="shared" si="4"/>
        <v>0</v>
      </c>
      <c r="O9" s="124">
        <f t="shared" si="4"/>
        <v>0</v>
      </c>
      <c r="P9" s="124">
        <f t="shared" si="4"/>
        <v>0</v>
      </c>
      <c r="Q9" s="124">
        <f t="shared" si="4"/>
        <v>0</v>
      </c>
      <c r="R9" s="124">
        <f t="shared" si="4"/>
        <v>0</v>
      </c>
      <c r="S9" s="124">
        <f>SUMIF($G$10:$G$39,"Horas Reales",S$10:S$39)</f>
        <v>0</v>
      </c>
      <c r="T9" s="124">
        <f t="shared" si="4"/>
        <v>0</v>
      </c>
      <c r="U9" s="124">
        <f t="shared" si="4"/>
        <v>0</v>
      </c>
      <c r="V9" s="124">
        <f t="shared" si="4"/>
        <v>0</v>
      </c>
      <c r="W9" s="124">
        <f t="shared" si="4"/>
        <v>0</v>
      </c>
      <c r="X9" s="124">
        <f t="shared" si="4"/>
        <v>0</v>
      </c>
      <c r="Y9" s="124">
        <f t="shared" si="4"/>
        <v>0</v>
      </c>
      <c r="Z9" s="124">
        <f t="shared" si="4"/>
        <v>0</v>
      </c>
      <c r="AA9" s="124">
        <f t="shared" si="4"/>
        <v>0</v>
      </c>
      <c r="AB9" s="124">
        <f t="shared" si="4"/>
        <v>0</v>
      </c>
      <c r="AC9" s="124">
        <f t="shared" si="4"/>
        <v>0</v>
      </c>
      <c r="AD9" s="124">
        <f t="shared" si="4"/>
        <v>0</v>
      </c>
      <c r="AE9" s="124">
        <f>SUMIF($G$10:$G$39,"Horas Reales",AE$10:AE$39)</f>
        <v>0</v>
      </c>
      <c r="AF9" s="124">
        <f>SUMIF($G$10:$G$39,"Horas Reales",AF$10:AF$39)</f>
        <v>0</v>
      </c>
    </row>
    <row r="10" spans="2:45" s="108" customFormat="1" ht="19.5" customHeight="1" x14ac:dyDescent="0.25">
      <c r="B10" s="274" t="str">
        <f>IF(Resources!B7="","",Resources!B7)</f>
        <v/>
      </c>
      <c r="C10" s="274" t="str">
        <f>IF(Resources!C7="","",Resources!C7)</f>
        <v/>
      </c>
      <c r="D10" s="274" t="str">
        <f>IF(Resources!D7="","",Resources!D7)</f>
        <v/>
      </c>
      <c r="E10" s="274" t="str">
        <f>IF(Resources!E7="","",Resources!E7)</f>
        <v/>
      </c>
      <c r="F10" s="328"/>
      <c r="G10" s="296" t="s">
        <v>132</v>
      </c>
      <c r="H10" s="277"/>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H10" s="97"/>
      <c r="AI10" s="97"/>
      <c r="AJ10" s="97"/>
      <c r="AK10" s="97"/>
      <c r="AL10" s="97"/>
      <c r="AM10" s="97"/>
      <c r="AN10" s="97"/>
      <c r="AO10" s="97"/>
      <c r="AP10" s="97"/>
      <c r="AQ10" s="97"/>
      <c r="AR10" s="97"/>
      <c r="AS10" s="97"/>
    </row>
    <row r="11" spans="2:45" s="108" customFormat="1" ht="20.149999999999999" customHeight="1" x14ac:dyDescent="0.25">
      <c r="B11" s="275" t="str">
        <f>B10</f>
        <v/>
      </c>
      <c r="C11" s="275" t="str">
        <f t="shared" ref="C11:E11" si="5">C10</f>
        <v/>
      </c>
      <c r="D11" s="275" t="str">
        <f t="shared" si="5"/>
        <v/>
      </c>
      <c r="E11" s="275" t="str">
        <f t="shared" si="5"/>
        <v/>
      </c>
      <c r="F11" s="329"/>
      <c r="G11" s="297" t="s">
        <v>133</v>
      </c>
      <c r="H11" s="273"/>
      <c r="I11" s="273"/>
      <c r="J11" s="273"/>
      <c r="K11" s="273"/>
      <c r="L11" s="273"/>
      <c r="M11" s="273"/>
      <c r="N11" s="273"/>
      <c r="O11" s="273"/>
      <c r="P11" s="273"/>
      <c r="Q11" s="273"/>
      <c r="R11" s="273"/>
      <c r="S11" s="273"/>
      <c r="T11" s="273"/>
      <c r="U11" s="273"/>
      <c r="V11" s="273"/>
      <c r="W11" s="273"/>
      <c r="X11" s="273"/>
      <c r="Y11" s="273"/>
      <c r="Z11" s="273"/>
      <c r="AA11" s="273"/>
      <c r="AB11" s="273"/>
      <c r="AC11" s="273"/>
      <c r="AD11" s="273"/>
      <c r="AE11" s="273"/>
      <c r="AF11" s="273"/>
      <c r="AH11" s="97"/>
      <c r="AI11" s="97"/>
      <c r="AJ11" s="97"/>
      <c r="AK11" s="97"/>
      <c r="AL11" s="97"/>
      <c r="AM11" s="97"/>
      <c r="AN11" s="97"/>
      <c r="AO11" s="97"/>
      <c r="AP11" s="97"/>
      <c r="AQ11" s="97"/>
      <c r="AR11" s="97"/>
      <c r="AS11" s="97"/>
    </row>
    <row r="12" spans="2:45" s="108" customFormat="1" ht="20.149999999999999" customHeight="1" x14ac:dyDescent="0.25">
      <c r="B12" s="274" t="str">
        <f>IF(Resources!B9="","",Resources!B9)</f>
        <v/>
      </c>
      <c r="C12" s="274" t="str">
        <f>IF(Resources!C9="","",Resources!C9)</f>
        <v/>
      </c>
      <c r="D12" s="274" t="str">
        <f>IF(Resources!D9="","",Resources!D9)</f>
        <v/>
      </c>
      <c r="E12" s="274" t="str">
        <f>IF(Resources!E9="","",Resources!E9)</f>
        <v/>
      </c>
      <c r="F12" s="330"/>
      <c r="G12" s="296" t="s">
        <v>132</v>
      </c>
      <c r="H12" s="278"/>
      <c r="I12" s="278"/>
      <c r="J12" s="278"/>
      <c r="K12" s="278"/>
      <c r="L12" s="278"/>
      <c r="M12" s="278"/>
      <c r="N12" s="278"/>
      <c r="O12" s="278"/>
      <c r="P12" s="278"/>
      <c r="Q12" s="278"/>
      <c r="R12" s="278"/>
      <c r="S12" s="278"/>
      <c r="T12" s="278"/>
      <c r="U12" s="278"/>
      <c r="V12" s="278"/>
      <c r="W12" s="278"/>
      <c r="X12" s="278"/>
      <c r="Y12" s="278"/>
      <c r="Z12" s="278"/>
      <c r="AA12" s="278"/>
      <c r="AB12" s="278"/>
      <c r="AC12" s="278"/>
      <c r="AD12" s="278"/>
      <c r="AE12" s="278"/>
      <c r="AF12" s="278"/>
      <c r="AH12" s="97"/>
      <c r="AI12" s="97"/>
      <c r="AJ12" s="97"/>
      <c r="AK12" s="97"/>
      <c r="AL12" s="97"/>
      <c r="AM12" s="97"/>
      <c r="AN12" s="97"/>
      <c r="AO12" s="97"/>
      <c r="AP12" s="97"/>
      <c r="AQ12" s="97"/>
      <c r="AR12" s="97"/>
      <c r="AS12" s="97"/>
    </row>
    <row r="13" spans="2:45" s="108" customFormat="1" ht="20.149999999999999" customHeight="1" x14ac:dyDescent="0.25">
      <c r="B13" s="275" t="str">
        <f t="shared" ref="B13" si="6">B12</f>
        <v/>
      </c>
      <c r="C13" s="275" t="str">
        <f t="shared" ref="C13" si="7">C12</f>
        <v/>
      </c>
      <c r="D13" s="275" t="str">
        <f t="shared" ref="D13" si="8">D12</f>
        <v/>
      </c>
      <c r="E13" s="275" t="str">
        <f t="shared" ref="E13" si="9">E12</f>
        <v/>
      </c>
      <c r="F13" s="329"/>
      <c r="G13" s="297" t="s">
        <v>133</v>
      </c>
      <c r="H13" s="273"/>
      <c r="I13" s="273"/>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H13" s="97"/>
      <c r="AI13" s="97"/>
      <c r="AJ13" s="97"/>
      <c r="AK13" s="97"/>
      <c r="AL13" s="97"/>
      <c r="AM13" s="97"/>
      <c r="AN13" s="97"/>
      <c r="AO13" s="97"/>
      <c r="AP13" s="97"/>
      <c r="AQ13" s="97"/>
      <c r="AR13" s="97"/>
      <c r="AS13" s="97"/>
    </row>
    <row r="14" spans="2:45" s="108" customFormat="1" ht="20.149999999999999" customHeight="1" x14ac:dyDescent="0.25">
      <c r="B14" s="274" t="str">
        <f>IF(Resources!B11="","",Resources!B11)</f>
        <v/>
      </c>
      <c r="C14" s="274" t="str">
        <f>IF(Resources!C11="","",Resources!C11)</f>
        <v/>
      </c>
      <c r="D14" s="274" t="str">
        <f>IF(Resources!D11="","",Resources!D11)</f>
        <v/>
      </c>
      <c r="E14" s="274" t="str">
        <f>IF(Resources!E11="","",Resources!E11)</f>
        <v/>
      </c>
      <c r="F14" s="330"/>
      <c r="G14" s="296" t="s">
        <v>132</v>
      </c>
      <c r="H14" s="278"/>
      <c r="I14" s="278"/>
      <c r="J14" s="278"/>
      <c r="K14" s="278"/>
      <c r="L14" s="278"/>
      <c r="M14" s="278"/>
      <c r="N14" s="278"/>
      <c r="O14" s="278"/>
      <c r="P14" s="278"/>
      <c r="Q14" s="278"/>
      <c r="R14" s="278"/>
      <c r="S14" s="278"/>
      <c r="T14" s="278"/>
      <c r="U14" s="278"/>
      <c r="V14" s="278"/>
      <c r="W14" s="278"/>
      <c r="X14" s="278"/>
      <c r="Y14" s="278"/>
      <c r="Z14" s="278"/>
      <c r="AA14" s="278"/>
      <c r="AB14" s="278"/>
      <c r="AC14" s="278"/>
      <c r="AD14" s="278"/>
      <c r="AE14" s="278"/>
      <c r="AF14" s="278"/>
      <c r="AH14" s="97"/>
      <c r="AI14" s="97"/>
      <c r="AJ14" s="97"/>
      <c r="AK14" s="97"/>
      <c r="AL14" s="97"/>
      <c r="AM14" s="97"/>
      <c r="AN14" s="97"/>
      <c r="AO14" s="97"/>
      <c r="AP14" s="97"/>
      <c r="AQ14" s="97"/>
      <c r="AR14" s="97"/>
      <c r="AS14" s="97"/>
    </row>
    <row r="15" spans="2:45" s="108" customFormat="1" ht="20.149999999999999" customHeight="1" x14ac:dyDescent="0.25">
      <c r="B15" s="275" t="str">
        <f t="shared" ref="B15" si="10">B14</f>
        <v/>
      </c>
      <c r="C15" s="275" t="str">
        <f t="shared" ref="C15" si="11">C14</f>
        <v/>
      </c>
      <c r="D15" s="275" t="str">
        <f t="shared" ref="D15" si="12">D14</f>
        <v/>
      </c>
      <c r="E15" s="275" t="str">
        <f t="shared" ref="E15" si="13">E14</f>
        <v/>
      </c>
      <c r="F15" s="329"/>
      <c r="G15" s="297" t="s">
        <v>133</v>
      </c>
      <c r="H15" s="273"/>
      <c r="I15" s="273"/>
      <c r="J15" s="273"/>
      <c r="K15" s="273"/>
      <c r="L15" s="273"/>
      <c r="M15" s="273"/>
      <c r="N15" s="273"/>
      <c r="O15" s="273"/>
      <c r="P15" s="273"/>
      <c r="Q15" s="273"/>
      <c r="R15" s="273"/>
      <c r="S15" s="273"/>
      <c r="T15" s="273"/>
      <c r="U15" s="273"/>
      <c r="V15" s="273"/>
      <c r="W15" s="273"/>
      <c r="X15" s="273"/>
      <c r="Y15" s="273"/>
      <c r="Z15" s="273"/>
      <c r="AA15" s="273"/>
      <c r="AB15" s="273"/>
      <c r="AC15" s="273"/>
      <c r="AD15" s="273"/>
      <c r="AE15" s="273"/>
      <c r="AF15" s="273"/>
    </row>
    <row r="16" spans="2:45" s="108" customFormat="1" ht="20.149999999999999" customHeight="1" x14ac:dyDescent="0.25">
      <c r="B16" s="274" t="str">
        <f>IF(Resources!B13="","",Resources!B13)</f>
        <v/>
      </c>
      <c r="C16" s="274" t="str">
        <f>IF(Resources!C13="","",Resources!C13)</f>
        <v/>
      </c>
      <c r="D16" s="274" t="str">
        <f>IF(Resources!D13="","",Resources!D13)</f>
        <v/>
      </c>
      <c r="E16" s="274" t="str">
        <f>IF(Resources!E13="","",Resources!E13)</f>
        <v/>
      </c>
      <c r="F16" s="330"/>
      <c r="G16" s="296" t="s">
        <v>132</v>
      </c>
      <c r="H16" s="279"/>
      <c r="I16" s="279"/>
      <c r="J16" s="279"/>
      <c r="K16" s="279"/>
      <c r="L16" s="279"/>
      <c r="M16" s="279"/>
      <c r="N16" s="279"/>
      <c r="O16" s="279"/>
      <c r="P16" s="279"/>
      <c r="Q16" s="279"/>
      <c r="R16" s="279"/>
      <c r="S16" s="279"/>
      <c r="T16" s="279"/>
      <c r="U16" s="279"/>
      <c r="V16" s="279"/>
      <c r="W16" s="279"/>
      <c r="X16" s="279"/>
      <c r="Y16" s="279"/>
      <c r="Z16" s="279"/>
      <c r="AA16" s="279"/>
      <c r="AB16" s="279"/>
      <c r="AC16" s="279"/>
      <c r="AD16" s="279"/>
      <c r="AE16" s="279"/>
      <c r="AF16" s="279"/>
    </row>
    <row r="17" spans="2:45" s="108" customFormat="1" ht="20.149999999999999" customHeight="1" x14ac:dyDescent="0.25">
      <c r="B17" s="275" t="str">
        <f t="shared" ref="B17" si="14">B16</f>
        <v/>
      </c>
      <c r="C17" s="275" t="str">
        <f t="shared" ref="C17" si="15">C16</f>
        <v/>
      </c>
      <c r="D17" s="275" t="str">
        <f t="shared" ref="D17" si="16">D16</f>
        <v/>
      </c>
      <c r="E17" s="275" t="str">
        <f t="shared" ref="E17" si="17">E16</f>
        <v/>
      </c>
      <c r="F17" s="329"/>
      <c r="G17" s="297" t="s">
        <v>133</v>
      </c>
      <c r="H17" s="273"/>
      <c r="I17" s="273"/>
      <c r="J17" s="273"/>
      <c r="K17" s="273"/>
      <c r="L17" s="273"/>
      <c r="M17" s="273"/>
      <c r="N17" s="273"/>
      <c r="O17" s="273"/>
      <c r="P17" s="273"/>
      <c r="Q17" s="273"/>
      <c r="R17" s="273"/>
      <c r="S17" s="273"/>
      <c r="T17" s="273"/>
      <c r="U17" s="273"/>
      <c r="V17" s="273"/>
      <c r="W17" s="273"/>
      <c r="X17" s="273"/>
      <c r="Y17" s="273"/>
      <c r="Z17" s="273"/>
      <c r="AA17" s="273"/>
      <c r="AB17" s="273"/>
      <c r="AC17" s="273"/>
      <c r="AD17" s="273"/>
      <c r="AE17" s="273"/>
      <c r="AF17" s="273"/>
    </row>
    <row r="18" spans="2:45" s="108" customFormat="1" ht="19.5" customHeight="1" x14ac:dyDescent="0.25">
      <c r="B18" s="274" t="str">
        <f>IF(Resources!B15="","",Resources!B15)</f>
        <v/>
      </c>
      <c r="C18" s="274" t="str">
        <f>IF(Resources!C15="","",Resources!C15)</f>
        <v/>
      </c>
      <c r="D18" s="274" t="str">
        <f>IF(Resources!D15="","",Resources!D15)</f>
        <v/>
      </c>
      <c r="E18" s="274" t="str">
        <f>IF(Resources!E15="","",Resources!E15)</f>
        <v/>
      </c>
      <c r="F18" s="330"/>
      <c r="G18" s="296" t="s">
        <v>132</v>
      </c>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row>
    <row r="19" spans="2:45" s="108" customFormat="1" ht="20.149999999999999" customHeight="1" x14ac:dyDescent="0.25">
      <c r="B19" s="275" t="str">
        <f t="shared" ref="B19" si="18">B18</f>
        <v/>
      </c>
      <c r="C19" s="275" t="str">
        <f t="shared" ref="C19" si="19">C18</f>
        <v/>
      </c>
      <c r="D19" s="275" t="str">
        <f t="shared" ref="D19" si="20">D18</f>
        <v/>
      </c>
      <c r="E19" s="275" t="str">
        <f t="shared" ref="E19" si="21">E18</f>
        <v/>
      </c>
      <c r="F19" s="329"/>
      <c r="G19" s="297" t="s">
        <v>133</v>
      </c>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row>
    <row r="20" spans="2:45" s="108" customFormat="1" ht="19.5" customHeight="1" x14ac:dyDescent="0.25">
      <c r="B20" s="274" t="str">
        <f>IF(Resources!B17="","",Resources!B17)</f>
        <v/>
      </c>
      <c r="C20" s="274" t="str">
        <f>IF(Resources!C17="","",Resources!C17)</f>
        <v/>
      </c>
      <c r="D20" s="274" t="str">
        <f>IF(Resources!D17="","",Resources!D17)</f>
        <v/>
      </c>
      <c r="E20" s="274" t="str">
        <f>IF(Resources!E17="","",Resources!E17)</f>
        <v/>
      </c>
      <c r="F20" s="330"/>
      <c r="G20" s="296" t="s">
        <v>132</v>
      </c>
      <c r="H20" s="279"/>
      <c r="I20" s="279"/>
      <c r="J20" s="279"/>
      <c r="K20" s="279"/>
      <c r="L20" s="279"/>
      <c r="M20" s="279"/>
      <c r="N20" s="279"/>
      <c r="O20" s="279"/>
      <c r="P20" s="279"/>
      <c r="Q20" s="279"/>
      <c r="R20" s="279"/>
      <c r="S20" s="279"/>
      <c r="T20" s="279"/>
      <c r="U20" s="279"/>
      <c r="V20" s="279"/>
      <c r="W20" s="279"/>
      <c r="X20" s="279"/>
      <c r="Y20" s="279"/>
      <c r="Z20" s="279"/>
      <c r="AA20" s="279"/>
      <c r="AB20" s="279"/>
      <c r="AC20" s="279"/>
      <c r="AD20" s="279"/>
      <c r="AE20" s="279"/>
      <c r="AF20" s="279"/>
      <c r="AH20" s="97"/>
      <c r="AI20" s="97"/>
      <c r="AJ20" s="97"/>
      <c r="AK20" s="97"/>
      <c r="AL20" s="97"/>
      <c r="AM20" s="97"/>
      <c r="AN20" s="97"/>
      <c r="AO20" s="97"/>
      <c r="AP20" s="97"/>
      <c r="AQ20" s="97"/>
      <c r="AR20" s="97"/>
      <c r="AS20" s="97"/>
    </row>
    <row r="21" spans="2:45" s="108" customFormat="1" ht="20.149999999999999" customHeight="1" x14ac:dyDescent="0.25">
      <c r="B21" s="275" t="str">
        <f t="shared" ref="B21" si="22">B20</f>
        <v/>
      </c>
      <c r="C21" s="275" t="str">
        <f t="shared" ref="C21" si="23">C20</f>
        <v/>
      </c>
      <c r="D21" s="275" t="str">
        <f t="shared" ref="D21" si="24">D20</f>
        <v/>
      </c>
      <c r="E21" s="275" t="str">
        <f t="shared" ref="E21" si="25">E20</f>
        <v/>
      </c>
      <c r="F21" s="329"/>
      <c r="G21" s="297" t="s">
        <v>133</v>
      </c>
      <c r="H21" s="273"/>
      <c r="I21" s="273"/>
      <c r="J21" s="273"/>
      <c r="K21" s="273"/>
      <c r="L21" s="273"/>
      <c r="M21" s="273"/>
      <c r="N21" s="273"/>
      <c r="O21" s="273"/>
      <c r="P21" s="273"/>
      <c r="Q21" s="273"/>
      <c r="R21" s="273"/>
      <c r="S21" s="273"/>
      <c r="T21" s="273"/>
      <c r="U21" s="273"/>
      <c r="V21" s="273"/>
      <c r="W21" s="273"/>
      <c r="X21" s="273"/>
      <c r="Y21" s="273"/>
      <c r="Z21" s="273"/>
      <c r="AA21" s="273"/>
      <c r="AB21" s="273"/>
      <c r="AC21" s="273"/>
      <c r="AD21" s="273"/>
      <c r="AE21" s="273"/>
      <c r="AF21" s="273"/>
      <c r="AH21" s="97"/>
      <c r="AI21" s="97"/>
      <c r="AJ21" s="97"/>
      <c r="AK21" s="97"/>
      <c r="AL21" s="97"/>
      <c r="AM21" s="97"/>
      <c r="AN21" s="97"/>
      <c r="AO21" s="97"/>
      <c r="AP21" s="97"/>
      <c r="AQ21" s="97"/>
      <c r="AR21" s="97"/>
      <c r="AS21" s="97"/>
    </row>
    <row r="22" spans="2:45" s="108" customFormat="1" ht="20.149999999999999" customHeight="1" x14ac:dyDescent="0.25">
      <c r="B22" s="274" t="str">
        <f>IF(Resources!B19="","",Resources!B19)</f>
        <v/>
      </c>
      <c r="C22" s="274" t="str">
        <f>IF(Resources!C19="","",Resources!C19)</f>
        <v/>
      </c>
      <c r="D22" s="274" t="str">
        <f>IF(Resources!D19="","",Resources!D19)</f>
        <v/>
      </c>
      <c r="E22" s="274" t="str">
        <f>IF(Resources!E19="","",Resources!E19)</f>
        <v/>
      </c>
      <c r="F22" s="330"/>
      <c r="G22" s="296" t="s">
        <v>132</v>
      </c>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H22" s="97"/>
      <c r="AI22" s="97"/>
      <c r="AJ22" s="97"/>
      <c r="AK22" s="97"/>
      <c r="AL22" s="97"/>
      <c r="AM22" s="97"/>
      <c r="AN22" s="97"/>
      <c r="AO22" s="97"/>
      <c r="AP22" s="97"/>
      <c r="AQ22" s="97"/>
      <c r="AR22" s="97"/>
      <c r="AS22" s="97"/>
    </row>
    <row r="23" spans="2:45" s="108" customFormat="1" ht="20.149999999999999" customHeight="1" x14ac:dyDescent="0.25">
      <c r="B23" s="275" t="str">
        <f t="shared" ref="B23" si="26">B22</f>
        <v/>
      </c>
      <c r="C23" s="275" t="str">
        <f t="shared" ref="C23" si="27">C22</f>
        <v/>
      </c>
      <c r="D23" s="275" t="str">
        <f t="shared" ref="D23" si="28">D22</f>
        <v/>
      </c>
      <c r="E23" s="275" t="str">
        <f t="shared" ref="E23" si="29">E22</f>
        <v/>
      </c>
      <c r="F23" s="329"/>
      <c r="G23" s="297" t="s">
        <v>133</v>
      </c>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c r="AF23" s="273"/>
      <c r="AH23" s="97"/>
      <c r="AI23" s="97"/>
      <c r="AJ23" s="97"/>
      <c r="AK23" s="97"/>
      <c r="AL23" s="97"/>
      <c r="AM23" s="97"/>
      <c r="AN23" s="97"/>
      <c r="AO23" s="97"/>
      <c r="AP23" s="97"/>
      <c r="AQ23" s="97"/>
      <c r="AR23" s="97"/>
      <c r="AS23" s="97"/>
    </row>
    <row r="24" spans="2:45" s="108" customFormat="1" ht="20.149999999999999" customHeight="1" x14ac:dyDescent="0.25">
      <c r="B24" s="274" t="str">
        <f>IF(Resources!B21="","",Resources!B21)</f>
        <v/>
      </c>
      <c r="C24" s="274" t="str">
        <f>IF(Resources!C21="","",Resources!C21)</f>
        <v/>
      </c>
      <c r="D24" s="274" t="str">
        <f>IF(Resources!D21="","",Resources!D21)</f>
        <v/>
      </c>
      <c r="E24" s="274" t="str">
        <f>IF(Resources!E21="","",Resources!E21)</f>
        <v/>
      </c>
      <c r="F24" s="330"/>
      <c r="G24" s="296" t="s">
        <v>132</v>
      </c>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H24" s="97"/>
      <c r="AI24" s="97"/>
      <c r="AJ24" s="97"/>
      <c r="AK24" s="97"/>
      <c r="AL24" s="97"/>
      <c r="AM24" s="97"/>
      <c r="AN24" s="97"/>
      <c r="AO24" s="97"/>
      <c r="AP24" s="97"/>
      <c r="AQ24" s="97"/>
      <c r="AR24" s="97"/>
      <c r="AS24" s="97"/>
    </row>
    <row r="25" spans="2:45" s="108" customFormat="1" ht="20.149999999999999" customHeight="1" x14ac:dyDescent="0.25">
      <c r="B25" s="275" t="str">
        <f t="shared" ref="B25" si="30">B24</f>
        <v/>
      </c>
      <c r="C25" s="275" t="str">
        <f t="shared" ref="C25" si="31">C24</f>
        <v/>
      </c>
      <c r="D25" s="275" t="str">
        <f t="shared" ref="D25" si="32">D24</f>
        <v/>
      </c>
      <c r="E25" s="275" t="str">
        <f t="shared" ref="E25" si="33">E24</f>
        <v/>
      </c>
      <c r="F25" s="329"/>
      <c r="G25" s="297" t="s">
        <v>133</v>
      </c>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row>
    <row r="26" spans="2:45" s="108" customFormat="1" ht="20.149999999999999" customHeight="1" x14ac:dyDescent="0.25">
      <c r="B26" s="274" t="str">
        <f>IF(Resources!B23="","",Resources!B23)</f>
        <v/>
      </c>
      <c r="C26" s="274" t="str">
        <f>IF(Resources!C23="","",Resources!C23)</f>
        <v/>
      </c>
      <c r="D26" s="274" t="str">
        <f>IF(Resources!D23="","",Resources!D23)</f>
        <v/>
      </c>
      <c r="E26" s="274" t="str">
        <f>IF(Resources!E23="","",Resources!E23)</f>
        <v/>
      </c>
      <c r="F26" s="330"/>
      <c r="G26" s="296" t="s">
        <v>132</v>
      </c>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row>
    <row r="27" spans="2:45" s="108" customFormat="1" ht="20.149999999999999" customHeight="1" x14ac:dyDescent="0.25">
      <c r="B27" s="275" t="str">
        <f t="shared" ref="B27" si="34">B26</f>
        <v/>
      </c>
      <c r="C27" s="275" t="str">
        <f t="shared" ref="C27" si="35">C26</f>
        <v/>
      </c>
      <c r="D27" s="275" t="str">
        <f t="shared" ref="D27" si="36">D26</f>
        <v/>
      </c>
      <c r="E27" s="275" t="str">
        <f t="shared" ref="E27" si="37">E26</f>
        <v/>
      </c>
      <c r="F27" s="329"/>
      <c r="G27" s="297" t="s">
        <v>133</v>
      </c>
      <c r="H27" s="273"/>
      <c r="I27" s="273"/>
      <c r="J27" s="273"/>
      <c r="K27" s="273"/>
      <c r="L27" s="273"/>
      <c r="M27" s="273"/>
      <c r="N27" s="273"/>
      <c r="O27" s="273"/>
      <c r="P27" s="273"/>
      <c r="Q27" s="273"/>
      <c r="R27" s="273"/>
      <c r="S27" s="273"/>
      <c r="T27" s="273"/>
      <c r="U27" s="273"/>
      <c r="V27" s="273"/>
      <c r="W27" s="273"/>
      <c r="X27" s="273"/>
      <c r="Y27" s="273"/>
      <c r="Z27" s="273"/>
      <c r="AA27" s="273"/>
      <c r="AB27" s="273"/>
      <c r="AC27" s="273"/>
      <c r="AD27" s="273"/>
      <c r="AE27" s="273"/>
      <c r="AF27" s="273"/>
    </row>
    <row r="28" spans="2:45" s="108" customFormat="1" ht="19.5" customHeight="1" x14ac:dyDescent="0.25">
      <c r="B28" s="274" t="str">
        <f>IF(Resources!B25="","",Resources!B25)</f>
        <v/>
      </c>
      <c r="C28" s="274" t="str">
        <f>IF(Resources!C25="","",Resources!C25)</f>
        <v/>
      </c>
      <c r="D28" s="274" t="str">
        <f>IF(Resources!D25="","",Resources!D25)</f>
        <v/>
      </c>
      <c r="E28" s="274" t="str">
        <f>IF(Resources!E25="","",Resources!E25)</f>
        <v/>
      </c>
      <c r="F28" s="330"/>
      <c r="G28" s="296" t="s">
        <v>132</v>
      </c>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row>
    <row r="29" spans="2:45" s="108" customFormat="1" ht="20.149999999999999" customHeight="1" x14ac:dyDescent="0.25">
      <c r="B29" s="275" t="str">
        <f t="shared" ref="B29" si="38">B28</f>
        <v/>
      </c>
      <c r="C29" s="275" t="str">
        <f t="shared" ref="C29" si="39">C28</f>
        <v/>
      </c>
      <c r="D29" s="275" t="str">
        <f t="shared" ref="D29" si="40">D28</f>
        <v/>
      </c>
      <c r="E29" s="275" t="str">
        <f t="shared" ref="E29" si="41">E28</f>
        <v/>
      </c>
      <c r="F29" s="329"/>
      <c r="G29" s="297" t="s">
        <v>133</v>
      </c>
      <c r="H29" s="273"/>
      <c r="I29" s="273"/>
      <c r="J29" s="273"/>
      <c r="K29" s="273"/>
      <c r="L29" s="273"/>
      <c r="M29" s="273"/>
      <c r="N29" s="273"/>
      <c r="O29" s="273"/>
      <c r="P29" s="273"/>
      <c r="Q29" s="273"/>
      <c r="R29" s="273"/>
      <c r="S29" s="273"/>
      <c r="T29" s="273"/>
      <c r="U29" s="273"/>
      <c r="V29" s="273"/>
      <c r="W29" s="273"/>
      <c r="X29" s="273"/>
      <c r="Y29" s="273"/>
      <c r="Z29" s="273"/>
      <c r="AA29" s="273"/>
      <c r="AB29" s="273"/>
      <c r="AC29" s="273"/>
      <c r="AD29" s="273"/>
      <c r="AE29" s="273"/>
      <c r="AF29" s="273"/>
    </row>
    <row r="30" spans="2:45" s="108" customFormat="1" ht="19.5" customHeight="1" x14ac:dyDescent="0.25">
      <c r="B30" s="274" t="str">
        <f>IF(Resources!B27="","",Resources!B27)</f>
        <v/>
      </c>
      <c r="C30" s="274" t="str">
        <f>IF(Resources!C27="","",Resources!C27)</f>
        <v/>
      </c>
      <c r="D30" s="274" t="str">
        <f>IF(Resources!D27="","",Resources!D27)</f>
        <v/>
      </c>
      <c r="E30" s="274" t="str">
        <f>IF(Resources!E27="","",Resources!E27)</f>
        <v/>
      </c>
      <c r="F30" s="330"/>
      <c r="G30" s="296" t="s">
        <v>132</v>
      </c>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H30" s="97"/>
      <c r="AI30" s="97"/>
      <c r="AJ30" s="97"/>
      <c r="AK30" s="97"/>
      <c r="AL30" s="97"/>
      <c r="AM30" s="97"/>
      <c r="AN30" s="97"/>
      <c r="AO30" s="97"/>
      <c r="AP30" s="97"/>
      <c r="AQ30" s="97"/>
      <c r="AR30" s="97"/>
      <c r="AS30" s="97"/>
    </row>
    <row r="31" spans="2:45" s="108" customFormat="1" ht="20.149999999999999" customHeight="1" x14ac:dyDescent="0.25">
      <c r="B31" s="275" t="str">
        <f t="shared" ref="B31" si="42">B30</f>
        <v/>
      </c>
      <c r="C31" s="275" t="str">
        <f t="shared" ref="C31" si="43">C30</f>
        <v/>
      </c>
      <c r="D31" s="275" t="str">
        <f t="shared" ref="D31" si="44">D30</f>
        <v/>
      </c>
      <c r="E31" s="275" t="str">
        <f t="shared" ref="E31" si="45">E30</f>
        <v/>
      </c>
      <c r="F31" s="329"/>
      <c r="G31" s="297" t="s">
        <v>133</v>
      </c>
      <c r="H31" s="273"/>
      <c r="I31" s="273"/>
      <c r="J31" s="273"/>
      <c r="K31" s="273"/>
      <c r="L31" s="273"/>
      <c r="M31" s="273"/>
      <c r="N31" s="273"/>
      <c r="O31" s="273"/>
      <c r="P31" s="273"/>
      <c r="Q31" s="273"/>
      <c r="R31" s="273"/>
      <c r="S31" s="273"/>
      <c r="T31" s="273"/>
      <c r="U31" s="273"/>
      <c r="V31" s="273"/>
      <c r="W31" s="273"/>
      <c r="X31" s="273"/>
      <c r="Y31" s="273"/>
      <c r="Z31" s="273"/>
      <c r="AA31" s="273"/>
      <c r="AB31" s="273"/>
      <c r="AC31" s="273"/>
      <c r="AD31" s="273"/>
      <c r="AE31" s="273"/>
      <c r="AF31" s="273"/>
      <c r="AH31" s="97"/>
      <c r="AI31" s="97"/>
      <c r="AJ31" s="97"/>
      <c r="AK31" s="97"/>
      <c r="AL31" s="97"/>
      <c r="AM31" s="97"/>
      <c r="AN31" s="97"/>
      <c r="AO31" s="97"/>
      <c r="AP31" s="97"/>
      <c r="AQ31" s="97"/>
      <c r="AR31" s="97"/>
      <c r="AS31" s="97"/>
    </row>
    <row r="32" spans="2:45" s="108" customFormat="1" ht="20.149999999999999" customHeight="1" x14ac:dyDescent="0.25">
      <c r="B32" s="274" t="str">
        <f>IF(Resources!B29="","",Resources!B29)</f>
        <v/>
      </c>
      <c r="C32" s="274" t="str">
        <f>IF(Resources!C29="","",Resources!C29)</f>
        <v/>
      </c>
      <c r="D32" s="274" t="str">
        <f>IF(Resources!D29="","",Resources!D29)</f>
        <v/>
      </c>
      <c r="E32" s="274" t="str">
        <f>IF(Resources!E29="","",Resources!E29)</f>
        <v/>
      </c>
      <c r="F32" s="330"/>
      <c r="G32" s="296" t="s">
        <v>132</v>
      </c>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H32" s="97"/>
      <c r="AI32" s="97"/>
      <c r="AJ32" s="97"/>
      <c r="AK32" s="97"/>
      <c r="AL32" s="97"/>
      <c r="AM32" s="97"/>
      <c r="AN32" s="97"/>
      <c r="AO32" s="97"/>
      <c r="AP32" s="97"/>
      <c r="AQ32" s="97"/>
      <c r="AR32" s="97"/>
      <c r="AS32" s="97"/>
    </row>
    <row r="33" spans="2:45" s="108" customFormat="1" ht="20.149999999999999" customHeight="1" x14ac:dyDescent="0.25">
      <c r="B33" s="275" t="str">
        <f t="shared" ref="B33" si="46">B32</f>
        <v/>
      </c>
      <c r="C33" s="275" t="str">
        <f t="shared" ref="C33" si="47">C32</f>
        <v/>
      </c>
      <c r="D33" s="275" t="str">
        <f t="shared" ref="D33" si="48">D32</f>
        <v/>
      </c>
      <c r="E33" s="275" t="str">
        <f t="shared" ref="E33" si="49">E32</f>
        <v/>
      </c>
      <c r="F33" s="329"/>
      <c r="G33" s="297" t="s">
        <v>133</v>
      </c>
      <c r="H33" s="283"/>
      <c r="I33" s="283"/>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H33" s="97"/>
      <c r="AI33" s="97"/>
      <c r="AJ33" s="97"/>
      <c r="AK33" s="97"/>
      <c r="AL33" s="97"/>
      <c r="AM33" s="97"/>
      <c r="AN33" s="97"/>
      <c r="AO33" s="97"/>
      <c r="AP33" s="97"/>
      <c r="AQ33" s="97"/>
      <c r="AR33" s="97"/>
      <c r="AS33" s="97"/>
    </row>
    <row r="34" spans="2:45" s="108" customFormat="1" ht="20.149999999999999" customHeight="1" x14ac:dyDescent="0.25">
      <c r="B34" s="274" t="str">
        <f>IF(Resources!B31="","",Resources!B31)</f>
        <v/>
      </c>
      <c r="C34" s="274" t="str">
        <f>IF(Resources!C31="","",Resources!C31)</f>
        <v/>
      </c>
      <c r="D34" s="274" t="str">
        <f>IF(Resources!D31="","",Resources!D31)</f>
        <v/>
      </c>
      <c r="E34" s="274" t="str">
        <f>IF(Resources!E31="","",Resources!E31)</f>
        <v/>
      </c>
      <c r="F34" s="330"/>
      <c r="G34" s="296" t="s">
        <v>132</v>
      </c>
      <c r="H34" s="9"/>
      <c r="I34" s="9"/>
      <c r="J34" s="9"/>
      <c r="K34" s="9"/>
      <c r="L34" s="9"/>
      <c r="M34" s="9"/>
      <c r="N34" s="9"/>
      <c r="O34" s="9"/>
      <c r="P34" s="9"/>
      <c r="Q34" s="9"/>
      <c r="R34" s="9"/>
      <c r="S34" s="9"/>
      <c r="T34" s="9"/>
      <c r="U34" s="9"/>
      <c r="V34" s="9"/>
      <c r="W34" s="9"/>
      <c r="X34" s="9"/>
      <c r="Y34" s="9"/>
      <c r="Z34" s="9"/>
      <c r="AA34" s="9"/>
      <c r="AB34" s="9"/>
      <c r="AC34" s="9"/>
      <c r="AD34" s="9"/>
      <c r="AE34" s="9"/>
      <c r="AF34" s="9"/>
      <c r="AH34" s="97"/>
      <c r="AI34" s="97"/>
      <c r="AJ34" s="97"/>
      <c r="AK34" s="97"/>
      <c r="AL34" s="97"/>
      <c r="AM34" s="97"/>
      <c r="AN34" s="97"/>
      <c r="AO34" s="97"/>
      <c r="AP34" s="97"/>
      <c r="AQ34" s="97"/>
      <c r="AR34" s="97"/>
      <c r="AS34" s="97"/>
    </row>
    <row r="35" spans="2:45" s="108" customFormat="1" ht="20.149999999999999" customHeight="1" x14ac:dyDescent="0.25">
      <c r="B35" s="275" t="str">
        <f t="shared" ref="B35" si="50">B34</f>
        <v/>
      </c>
      <c r="C35" s="275" t="str">
        <f t="shared" ref="C35" si="51">C34</f>
        <v/>
      </c>
      <c r="D35" s="275" t="str">
        <f t="shared" ref="D35" si="52">D34</f>
        <v/>
      </c>
      <c r="E35" s="275" t="str">
        <f t="shared" ref="E35" si="53">E34</f>
        <v/>
      </c>
      <c r="F35" s="329"/>
      <c r="G35" s="297" t="s">
        <v>133</v>
      </c>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row>
    <row r="36" spans="2:45" s="108" customFormat="1" ht="20.149999999999999" customHeight="1" x14ac:dyDescent="0.25">
      <c r="B36" s="274" t="str">
        <f>IF(Resources!B33="","",Resources!B33)</f>
        <v/>
      </c>
      <c r="C36" s="274" t="str">
        <f>IF(Resources!C33="","",Resources!C33)</f>
        <v/>
      </c>
      <c r="D36" s="274" t="str">
        <f>IF(Resources!D33="","",Resources!D33)</f>
        <v/>
      </c>
      <c r="E36" s="274" t="str">
        <f>IF(Resources!E33="","",Resources!E33)</f>
        <v/>
      </c>
      <c r="F36" s="330"/>
      <c r="G36" s="296" t="s">
        <v>132</v>
      </c>
      <c r="H36" s="9"/>
      <c r="I36" s="9"/>
      <c r="J36" s="9"/>
      <c r="K36" s="9"/>
      <c r="L36" s="9"/>
      <c r="M36" s="9"/>
      <c r="N36" s="9"/>
      <c r="O36" s="9"/>
      <c r="P36" s="9"/>
      <c r="Q36" s="9"/>
      <c r="R36" s="9"/>
      <c r="S36" s="9"/>
      <c r="T36" s="9"/>
      <c r="U36" s="9"/>
      <c r="V36" s="9"/>
      <c r="W36" s="9"/>
      <c r="X36" s="9"/>
      <c r="Y36" s="9"/>
      <c r="Z36" s="9"/>
      <c r="AA36" s="9"/>
      <c r="AB36" s="9"/>
      <c r="AC36" s="9"/>
      <c r="AD36" s="9"/>
      <c r="AE36" s="9"/>
      <c r="AF36" s="9"/>
    </row>
    <row r="37" spans="2:45" s="108" customFormat="1" ht="20.149999999999999" customHeight="1" x14ac:dyDescent="0.25">
      <c r="B37" s="275" t="str">
        <f t="shared" ref="B37" si="54">B36</f>
        <v/>
      </c>
      <c r="C37" s="275" t="str">
        <f t="shared" ref="C37" si="55">C36</f>
        <v/>
      </c>
      <c r="D37" s="275" t="str">
        <f t="shared" ref="D37" si="56">D36</f>
        <v/>
      </c>
      <c r="E37" s="275" t="str">
        <f t="shared" ref="E37" si="57">E36</f>
        <v/>
      </c>
      <c r="F37" s="329"/>
      <c r="G37" s="297" t="s">
        <v>133</v>
      </c>
      <c r="H37" s="283"/>
      <c r="I37" s="283"/>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row>
    <row r="38" spans="2:45" s="108" customFormat="1" ht="19.5" customHeight="1" x14ac:dyDescent="0.25">
      <c r="B38" s="274" t="str">
        <f>IF(Resources!B35="","",Resources!B35)</f>
        <v/>
      </c>
      <c r="C38" s="274" t="str">
        <f>IF(Resources!C35="","",Resources!C35)</f>
        <v/>
      </c>
      <c r="D38" s="274" t="str">
        <f>IF(Resources!D35="","",Resources!D35)</f>
        <v/>
      </c>
      <c r="E38" s="274" t="str">
        <f>IF(Resources!E35="","",Resources!E35)</f>
        <v/>
      </c>
      <c r="F38" s="330"/>
      <c r="G38" s="296" t="s">
        <v>132</v>
      </c>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row>
    <row r="39" spans="2:45" s="108" customFormat="1" ht="19.5" customHeight="1" x14ac:dyDescent="0.25">
      <c r="B39" s="275" t="str">
        <f t="shared" ref="B39" si="58">B38</f>
        <v/>
      </c>
      <c r="C39" s="275" t="str">
        <f t="shared" ref="C39" si="59">C38</f>
        <v/>
      </c>
      <c r="D39" s="275" t="str">
        <f t="shared" ref="D39" si="60">D38</f>
        <v/>
      </c>
      <c r="E39" s="275" t="str">
        <f t="shared" ref="E39" si="61">E38</f>
        <v/>
      </c>
      <c r="F39" s="329"/>
      <c r="G39" s="297" t="s">
        <v>133</v>
      </c>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row>
    <row r="40" spans="2:45" ht="20.149999999999999" customHeight="1" x14ac:dyDescent="0.25">
      <c r="B40" s="121" t="s">
        <v>134</v>
      </c>
      <c r="C40" s="122"/>
      <c r="D40" s="123"/>
      <c r="E40" s="123"/>
      <c r="F40" s="185">
        <f>'Project Infor'!C47</f>
        <v>0</v>
      </c>
      <c r="G40" s="185"/>
      <c r="H40" s="124" cm="1">
        <f t="array" ref="H40">SUMPRODUCT(($D$10:$D$39="NO")*1,($G$10:$G$39="Horas Reales")*1,H$10:H$39,Resources!G7:G36)+H42</f>
        <v>0</v>
      </c>
      <c r="I40" s="124" cm="1">
        <f t="array" ref="I40">SUMPRODUCT(($D$10:$D$39="NO")*1,($G$10:$G$39="Horas Reales")*1,I$10:I$39,Resources!H7:H36)+I42</f>
        <v>0</v>
      </c>
      <c r="J40" s="124" cm="1">
        <f t="array" ref="J40">SUMPRODUCT(($D$10:$D$39="NO")*1,($G$10:$G$39="Horas Reales")*1,J$10:J$39,Resources!I7:I36)+J42</f>
        <v>0</v>
      </c>
      <c r="K40" s="124" cm="1">
        <f t="array" ref="K40">SUMPRODUCT(($D$10:$D$39="NO")*1,($G$10:$G$39="Horas Reales")*1,K$10:K$39,Resources!J7:J36)+K42</f>
        <v>0</v>
      </c>
      <c r="L40" s="124" cm="1">
        <f t="array" ref="L40">SUMPRODUCT(($D$10:$D$39="NO")*1,($G$10:$G$39="Horas Reales")*1,L$10:L$39,Resources!K7:K36)+L42</f>
        <v>0</v>
      </c>
      <c r="M40" s="124" cm="1">
        <f t="array" ref="M40">SUMPRODUCT(($D$10:$D$39="NO")*1,($G$10:$G$39="Horas Reales")*1,M$10:M$39,Resources!L7:L36)+M42</f>
        <v>0</v>
      </c>
      <c r="N40" s="124" cm="1">
        <f t="array" ref="N40">SUMPRODUCT(($D$10:$D$39="NO")*1,($G$10:$G$39="Horas Reales")*1,N$10:N$39,Resources!M7:M36)+N42</f>
        <v>0</v>
      </c>
      <c r="O40" s="124" cm="1">
        <f t="array" ref="O40">SUMPRODUCT(($D$10:$D$39="NO")*1,($G$10:$G$39="Horas Reales")*1,O$10:O$39,Resources!N7:N36)+O42</f>
        <v>0</v>
      </c>
      <c r="P40" s="124" cm="1">
        <f t="array" ref="P40">SUMPRODUCT(($D$10:$D$39="NO")*1,($G$10:$G$39="Horas Reales")*1,P$10:P$39,Resources!O7:O36)+P42</f>
        <v>0</v>
      </c>
      <c r="Q40" s="124" cm="1">
        <f t="array" ref="Q40">SUMPRODUCT(($D$10:$D$39="NO")*1,($G$10:$G$39="Horas Reales")*1,Q$10:Q$39,Resources!P7:P36)+Q42</f>
        <v>0</v>
      </c>
      <c r="R40" s="124" cm="1">
        <f t="array" ref="R40">SUMPRODUCT(($D$10:$D$39="NO")*1,($G$10:$G$39="Horas Reales")*1,R$10:R$39,Resources!Q7:Q36)+R42</f>
        <v>0</v>
      </c>
      <c r="S40" s="124" cm="1">
        <f t="array" ref="S40">SUMPRODUCT(($D$10:$D$39="NO")*1,($G$10:$G$39="Horas Reales")*1,S$10:S$39,Resources!R7:R36)+S42</f>
        <v>0</v>
      </c>
      <c r="T40" s="124" cm="1">
        <f t="array" ref="T40">SUMPRODUCT(($D$10:$D$39="NO")*1,($G$10:$G$39="Horas Reales")*1,T$10:T$39,Resources!S7:S36)+T42</f>
        <v>0</v>
      </c>
      <c r="U40" s="124" cm="1">
        <f t="array" ref="U40">SUMPRODUCT(($D$10:$D$39="NO")*1,($G$10:$G$39="Horas Reales")*1,U$10:U$39,Resources!T7:T36)+U42</f>
        <v>0</v>
      </c>
      <c r="V40" s="124" cm="1">
        <f t="array" ref="V40">SUMPRODUCT(($D$10:$D$39="NO")*1,($G$10:$G$39="Horas Reales")*1,V$10:V$39,Resources!U7:U36)+V42</f>
        <v>0</v>
      </c>
      <c r="W40" s="124" cm="1">
        <f t="array" ref="W40">SUMPRODUCT(($D$10:$D$39="NO")*1,($G$10:$G$39="Horas Reales")*1,W$10:W$39,Resources!V7:V36)+W42</f>
        <v>0</v>
      </c>
      <c r="X40" s="124" cm="1">
        <f t="array" ref="X40">SUMPRODUCT(($D$10:$D$39="NO")*1,($G$10:$G$39="Horas Reales")*1,X$10:X$39,Resources!W7:W36)+X42</f>
        <v>0</v>
      </c>
      <c r="Y40" s="124" cm="1">
        <f t="array" ref="Y40">SUMPRODUCT(($D$10:$D$39="NO")*1,($G$10:$G$39="Horas Reales")*1,Y$10:Y$39,Resources!X7:X36)+Y42</f>
        <v>0</v>
      </c>
      <c r="Z40" s="124" cm="1">
        <f t="array" ref="Z40">SUMPRODUCT(($D$10:$D$39="NO")*1,($G$10:$G$39="Horas Reales")*1,Z$10:Z$39,Resources!Y7:Y36)+Z42</f>
        <v>0</v>
      </c>
      <c r="AA40" s="124" cm="1">
        <f t="array" ref="AA40">SUMPRODUCT(($D$10:$D$39="NO")*1,($G$10:$G$39="Horas Reales")*1,AA$10:AA$39,Resources!Z7:Z36)+AA42</f>
        <v>0</v>
      </c>
      <c r="AB40" s="124" cm="1">
        <f t="array" ref="AB40">SUMPRODUCT(($D$10:$D$39="NO")*1,($G$10:$G$39="Horas Reales")*1,AB$10:AB$39,Resources!AA7:AA36)+AB42</f>
        <v>0</v>
      </c>
      <c r="AC40" s="124" cm="1">
        <f t="array" ref="AC40">SUMPRODUCT(($D$10:$D$39="NO")*1,($G$10:$G$39="Horas Reales")*1,AC$10:AC$39,Resources!AB7:AB36)+AC42</f>
        <v>0</v>
      </c>
      <c r="AD40" s="124" cm="1">
        <f t="array" ref="AD40">SUMPRODUCT(($D$10:$D$39="NO")*1,($G$10:$G$39="Horas Reales")*1,AD$10:AD$39,Resources!AC7:AC36)+AD42</f>
        <v>0</v>
      </c>
      <c r="AE40" s="124" cm="1">
        <f t="array" ref="AE40">SUMPRODUCT(($D$10:$D$39="NO")*1,($G$10:$G$39="Horas Reales")*1,AE$10:AE$39,Resources!AD7:AD36)+AE42</f>
        <v>0</v>
      </c>
      <c r="AF40" s="124" cm="1">
        <f t="array" ref="AF40">SUMPRODUCT(($D$10:$D$39="NO")*1,($G$10:$G$39="Horas Reales")*1,AF$10:AF$39,Resources!AE7:AE36)+AF42</f>
        <v>0</v>
      </c>
    </row>
    <row r="41" spans="2:45" ht="20.149999999999999" customHeight="1" x14ac:dyDescent="0.25">
      <c r="B41" s="125" t="s">
        <v>135</v>
      </c>
      <c r="C41" s="126"/>
      <c r="D41" s="127"/>
      <c r="E41" s="127"/>
      <c r="F41" s="124"/>
      <c r="G41" s="124"/>
      <c r="H41" s="124" cm="1">
        <f t="array" ref="H41">SUMPRODUCT(($D$10:$D$39="INTERCO")*1,($G$10:$G$39="Horas Reales")*1,H$10:H$39,Resources!G7:G36)+H43</f>
        <v>0</v>
      </c>
      <c r="I41" s="124" cm="1">
        <f t="array" ref="I41">SUMPRODUCT(($D$10:$D$39="INTERCO")*1,($G$10:$G$39="Horas Reales")*1,I$10:I$39,Resources!H7:H36)+I43</f>
        <v>0</v>
      </c>
      <c r="J41" s="124" cm="1">
        <f t="array" ref="J41">SUMPRODUCT(($D$10:$D$39="INTERCO")*1,($G$10:$G$39="Horas Reales")*1,J$10:J$39,Resources!I7:I36)+J43</f>
        <v>0</v>
      </c>
      <c r="K41" s="124" cm="1">
        <f t="array" ref="K41">SUMPRODUCT(($D$10:$D$39="INTERCO")*1,($G$10:$G$39="Horas Reales")*1,K$10:K$39,Resources!J7:J36)+K43</f>
        <v>0</v>
      </c>
      <c r="L41" s="124" cm="1">
        <f t="array" ref="L41">SUMPRODUCT(($D$10:$D$39="INTERCO")*1,($G$10:$G$39="Horas Reales")*1,L$10:L$39,Resources!K7:K36)+L43</f>
        <v>0</v>
      </c>
      <c r="M41" s="124" cm="1">
        <f t="array" ref="M41">SUMPRODUCT(($D$10:$D$39="INTERCO")*1,($G$10:$G$39="Horas Reales")*1,M$10:M$39,Resources!L7:L36)+M43</f>
        <v>0</v>
      </c>
      <c r="N41" s="124" cm="1">
        <f t="array" ref="N41">SUMPRODUCT(($D$10:$D$39="INTERCO")*1,($G$10:$G$39="Horas Reales")*1,N$10:N$39,Resources!M7:M36)+N43</f>
        <v>0</v>
      </c>
      <c r="O41" s="124" cm="1">
        <f t="array" ref="O41">SUMPRODUCT(($D$10:$D$39="INTERCO")*1,($G$10:$G$39="Horas Reales")*1,O$10:O$39,Resources!N7:N36)+O43</f>
        <v>0</v>
      </c>
      <c r="P41" s="124" cm="1">
        <f t="array" ref="P41">SUMPRODUCT(($D$10:$D$39="INTERCO")*1,($G$10:$G$39="Horas Reales")*1,P$10:P$39,Resources!O7:O36)+P43</f>
        <v>0</v>
      </c>
      <c r="Q41" s="124" cm="1">
        <f t="array" ref="Q41">SUMPRODUCT(($D$10:$D$39="INTERCO")*1,($G$10:$G$39="Horas Reales")*1,Q$10:Q$39,Resources!P7:P36)+Q43</f>
        <v>0</v>
      </c>
      <c r="R41" s="124" cm="1">
        <f t="array" ref="R41">SUMPRODUCT(($D$10:$D$39="INTERCO")*1,($G$10:$G$39="Horas Reales")*1,R$10:R$39,Resources!Q7:Q36)+R43</f>
        <v>0</v>
      </c>
      <c r="S41" s="124" cm="1">
        <f t="array" ref="S41">SUMPRODUCT(($D$10:$D$39="INTERCO")*1,($G$10:$G$39="Horas Reales")*1,S$10:S$39,Resources!R7:R36)+S43</f>
        <v>0</v>
      </c>
      <c r="T41" s="124" cm="1">
        <f t="array" ref="T41">SUMPRODUCT(($D$10:$D$39="INTERCO")*1,($G$10:$G$39="Horas Reales")*1,T$10:T$39,Resources!S7:S36)+T43</f>
        <v>0</v>
      </c>
      <c r="U41" s="124" cm="1">
        <f t="array" ref="U41">SUMPRODUCT(($D$10:$D$39="INTERCO")*1,($G$10:$G$39="Horas Reales")*1,U$10:U$39,Resources!T7:T36)+U43</f>
        <v>0</v>
      </c>
      <c r="V41" s="124" cm="1">
        <f t="array" ref="V41">SUMPRODUCT(($D$10:$D$39="INTERCO")*1,($G$10:$G$39="Horas Reales")*1,V$10:V$39,Resources!U7:U36)+V43</f>
        <v>0</v>
      </c>
      <c r="W41" s="124" cm="1">
        <f t="array" ref="W41">SUMPRODUCT(($D$10:$D$39="INTERCO")*1,($G$10:$G$39="Horas Reales")*1,W$10:W$39,Resources!V7:V36)+W43</f>
        <v>0</v>
      </c>
      <c r="X41" s="124" cm="1">
        <f t="array" ref="X41">SUMPRODUCT(($D$10:$D$39="INTERCO")*1,($G$10:$G$39="Horas Reales")*1,X$10:X$39,Resources!W7:W36)+X43</f>
        <v>0</v>
      </c>
      <c r="Y41" s="124" cm="1">
        <f t="array" ref="Y41">SUMPRODUCT(($D$10:$D$39="INTERCO")*1,($G$10:$G$39="Horas Reales")*1,Y$10:Y$39,Resources!X7:X36)+Y43</f>
        <v>0</v>
      </c>
      <c r="Z41" s="124" cm="1">
        <f t="array" ref="Z41">SUMPRODUCT(($D$10:$D$39="INTERCO")*1,($G$10:$G$39="Horas Reales")*1,Z$10:Z$39,Resources!Y7:Y36)+Z43</f>
        <v>0</v>
      </c>
      <c r="AA41" s="124" cm="1">
        <f t="array" ref="AA41">SUMPRODUCT(($D$10:$D$39="INTERCO")*1,($G$10:$G$39="Horas Reales")*1,AA$10:AA$39,Resources!Z7:Z36)+AA43</f>
        <v>0</v>
      </c>
      <c r="AB41" s="124" cm="1">
        <f t="array" ref="AB41">SUMPRODUCT(($D$10:$D$39="INTERCO")*1,($G$10:$G$39="Horas Reales")*1,AB$10:AB$39,Resources!AA7:AA36)+AB43</f>
        <v>0</v>
      </c>
      <c r="AC41" s="124" cm="1">
        <f t="array" ref="AC41">SUMPRODUCT(($D$10:$D$39="INTERCO")*1,($G$10:$G$39="Horas Reales")*1,AC$10:AC$39,Resources!AB7:AB36)+AC43</f>
        <v>0</v>
      </c>
      <c r="AD41" s="124" cm="1">
        <f t="array" ref="AD41">SUMPRODUCT(($D$10:$D$39="INTERCO")*1,($G$10:$G$39="Horas Reales")*1,AD$10:AD$39,Resources!AC7:AC36)+AD43</f>
        <v>0</v>
      </c>
      <c r="AE41" s="124" cm="1">
        <f t="array" ref="AE41">SUMPRODUCT(($D$10:$D$39="INTERCO")*1,($G$10:$G$39="Horas Reales")*1,AE$10:AE$39,Resources!AD7:AD36)+AE43</f>
        <v>0</v>
      </c>
      <c r="AF41" s="124" cm="1">
        <f t="array" ref="AF41">SUMPRODUCT(($D$10:$D$39="INTERCO")*1,($G$10:$G$39="Horas Reales")*1,AF$10:AF$39,Resources!AE7:AE36)+AF43</f>
        <v>0</v>
      </c>
    </row>
    <row r="42" spans="2:45" s="108" customFormat="1" ht="19.5" customHeight="1" x14ac:dyDescent="0.25">
      <c r="B42" s="304"/>
      <c r="C42" s="332" t="s">
        <v>136</v>
      </c>
      <c r="D42" s="332"/>
      <c r="E42" s="332"/>
      <c r="F42" s="109"/>
      <c r="G42" s="109"/>
      <c r="H42" s="232"/>
      <c r="I42" s="232"/>
      <c r="J42" s="232"/>
      <c r="K42" s="232"/>
      <c r="L42" s="232"/>
      <c r="M42" s="232"/>
      <c r="N42" s="232"/>
      <c r="O42" s="232"/>
      <c r="P42" s="232"/>
      <c r="Q42" s="232"/>
      <c r="R42" s="232"/>
      <c r="S42" s="232"/>
      <c r="T42" s="232"/>
      <c r="U42" s="232"/>
      <c r="V42" s="232"/>
      <c r="W42" s="232"/>
      <c r="X42" s="232"/>
      <c r="Y42" s="232"/>
      <c r="Z42" s="232"/>
      <c r="AA42" s="232"/>
      <c r="AB42" s="232"/>
      <c r="AC42" s="232"/>
      <c r="AD42" s="232"/>
      <c r="AE42" s="232"/>
      <c r="AF42" s="232"/>
    </row>
    <row r="43" spans="2:45" s="108" customFormat="1" ht="19.5" customHeight="1" x14ac:dyDescent="0.25">
      <c r="B43" s="304"/>
      <c r="C43" s="333" t="s">
        <v>137</v>
      </c>
      <c r="D43" s="333"/>
      <c r="E43" s="333"/>
      <c r="F43" s="109"/>
      <c r="G43" s="109"/>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row>
    <row r="44" spans="2:45" ht="20.149999999999999" customHeight="1" x14ac:dyDescent="0.25">
      <c r="B44" s="125" t="s">
        <v>138</v>
      </c>
      <c r="C44" s="126"/>
      <c r="D44" s="127"/>
      <c r="E44" s="127"/>
      <c r="F44" s="124"/>
      <c r="G44" s="124"/>
      <c r="H44" s="293" cm="1">
        <f t="array" ref="H44">SUMPRODUCT(($G$10:$G$39="Horas/Jornadas Facturables")*1,H$10:H$39,Resources!G7:G36)</f>
        <v>0</v>
      </c>
      <c r="I44" s="293" cm="1">
        <f t="array" ref="I44">SUMPRODUCT(($G$10:$G$39="Horas/Jornadas Facturables")*1,I$10:I$39,Resources!H7:H36)</f>
        <v>0</v>
      </c>
      <c r="J44" s="293" cm="1">
        <f t="array" ref="J44">SUMPRODUCT(($G$10:$G$39="Horas/Jornadas Facturables")*1,J$10:J$39,Resources!I7:I36)</f>
        <v>0</v>
      </c>
      <c r="K44" s="293" cm="1">
        <f t="array" ref="K44">SUMPRODUCT(($G$10:$G$39="Horas/Jornadas Facturables")*1,K$10:K$39,Resources!J7:J36)</f>
        <v>0</v>
      </c>
      <c r="L44" s="293" cm="1">
        <f t="array" ref="L44">SUMPRODUCT(($G$10:$G$39="Horas/Jornadas Facturables")*1,L$10:L$39,Resources!K7:K36)</f>
        <v>0</v>
      </c>
      <c r="M44" s="293" cm="1">
        <f t="array" ref="M44">SUMPRODUCT(($G$10:$G$39="Horas/Jornadas Facturables")*1,M$10:M$39,Resources!L7:L36)</f>
        <v>0</v>
      </c>
      <c r="N44" s="293" cm="1">
        <f t="array" ref="N44">SUMPRODUCT(($G$10:$G$39="Horas/Jornadas Facturables")*1,N$10:N$39,Resources!M7:M36)</f>
        <v>0</v>
      </c>
      <c r="O44" s="293" cm="1">
        <f t="array" ref="O44">SUMPRODUCT(($G$10:$G$39="Horas/Jornadas Facturables")*1,O$10:O$39,Resources!N7:N36)</f>
        <v>0</v>
      </c>
      <c r="P44" s="293" cm="1">
        <f t="array" ref="P44">SUMPRODUCT(($G$10:$G$39="Horas/Jornadas Facturables")*1,P$10:P$39,Resources!O7:O36)</f>
        <v>0</v>
      </c>
      <c r="Q44" s="293" cm="1">
        <f t="array" ref="Q44">SUMPRODUCT(($G$10:$G$39="Horas/Jornadas Facturables")*1,Q$10:Q$39,Resources!P7:P36)</f>
        <v>0</v>
      </c>
      <c r="R44" s="293" cm="1">
        <f t="array" ref="R44">SUMPRODUCT(($G$10:$G$39="Horas/Jornadas Facturables")*1,R$10:R$39,Resources!Q7:Q36)</f>
        <v>0</v>
      </c>
      <c r="S44" s="293" cm="1">
        <f t="array" ref="S44">SUMPRODUCT(($G$10:$G$39="Horas/Jornadas Facturables")*1,S$10:S$39,Resources!R7:R36)</f>
        <v>0</v>
      </c>
      <c r="T44" s="293" cm="1">
        <f t="array" ref="T44">SUMPRODUCT(($G$10:$G$39="Horas/Jornadas Facturables")*1,T$10:T$39,Resources!S7:S36)</f>
        <v>0</v>
      </c>
      <c r="U44" s="293" cm="1">
        <f t="array" ref="U44">SUMPRODUCT(($G$10:$G$39="Horas/Jornadas Facturables")*1,U$10:U$39,Resources!T7:T36)</f>
        <v>0</v>
      </c>
      <c r="V44" s="293" cm="1">
        <f t="array" ref="V44">SUMPRODUCT(($G$10:$G$39="Horas/Jornadas Facturables")*1,V$10:V$39,Resources!U7:U36)</f>
        <v>0</v>
      </c>
      <c r="W44" s="293" cm="1">
        <f t="array" ref="W44">SUMPRODUCT(($G$10:$G$39="Horas/Jornadas Facturables")*1,W$10:W$39,Resources!V7:V36)</f>
        <v>0</v>
      </c>
      <c r="X44" s="293" cm="1">
        <f t="array" ref="X44">SUMPRODUCT(($G$10:$G$39="Horas/Jornadas Facturables")*1,X$10:X$39,Resources!W7:W36)</f>
        <v>0</v>
      </c>
      <c r="Y44" s="293" cm="1">
        <f t="array" ref="Y44">SUMPRODUCT(($G$10:$G$39="Horas/Jornadas Facturables")*1,Y$10:Y$39,Resources!X7:X36)</f>
        <v>0</v>
      </c>
      <c r="Z44" s="293" cm="1">
        <f t="array" ref="Z44">SUMPRODUCT(($G$10:$G$39="Horas/Jornadas Facturables")*1,Z$10:Z$39,Resources!Y7:Y36)</f>
        <v>0</v>
      </c>
      <c r="AA44" s="293" cm="1">
        <f t="array" ref="AA44">SUMPRODUCT(($G$10:$G$39="Horas/Jornadas Facturables")*1,AA$10:AA$39,Resources!Z7:Z36)</f>
        <v>0</v>
      </c>
      <c r="AB44" s="293" cm="1">
        <f t="array" ref="AB44">SUMPRODUCT(($G$10:$G$39="Horas/Jornadas Facturables")*1,AB$10:AB$39,Resources!AA7:AA36)</f>
        <v>0</v>
      </c>
      <c r="AC44" s="293" cm="1">
        <f t="array" ref="AC44">SUMPRODUCT(($G$10:$G$39="Horas/Jornadas Facturables")*1,AC$10:AC$39,Resources!AB7:AB36)</f>
        <v>0</v>
      </c>
      <c r="AD44" s="293" cm="1">
        <f t="array" ref="AD44">SUMPRODUCT(($G$10:$G$39="Horas/Jornadas Facturables")*1,AD$10:AD$39,Resources!AC7:AC36)</f>
        <v>0</v>
      </c>
      <c r="AE44" s="293" cm="1">
        <f t="array" ref="AE44">SUMPRODUCT(($G$10:$G$39="Horas/Jornadas Facturables")*1,AE$10:AE$39,Resources!AD7:AD36)</f>
        <v>0</v>
      </c>
      <c r="AF44" s="293" cm="1">
        <f t="array" ref="AF44">SUMPRODUCT(($G$10:$G$39="Horas/Jornadas Facturables")*1,AF$10:AF$39,Resources!AE7:AE36)</f>
        <v>0</v>
      </c>
    </row>
    <row r="45" spans="2:45" ht="12" customHeight="1" x14ac:dyDescent="0.25">
      <c r="B45" s="102"/>
      <c r="C45" s="103"/>
      <c r="D45" s="113"/>
      <c r="E45" s="113"/>
      <c r="F45" s="113"/>
      <c r="G45" s="113"/>
      <c r="H45" s="103"/>
      <c r="I45" s="103"/>
      <c r="J45" s="103"/>
      <c r="K45" s="103"/>
      <c r="L45" s="103"/>
      <c r="M45" s="103"/>
      <c r="N45" s="103"/>
      <c r="O45" s="103"/>
      <c r="P45" s="103"/>
      <c r="Q45" s="103"/>
    </row>
    <row r="46" spans="2:45" s="107" customFormat="1" ht="35.15" customHeight="1" thickBot="1" x14ac:dyDescent="0.3">
      <c r="B46" s="102"/>
      <c r="C46" s="130"/>
      <c r="D46" s="130" t="s">
        <v>139</v>
      </c>
      <c r="E46" s="131" t="s">
        <v>128</v>
      </c>
      <c r="F46" s="303"/>
      <c r="G46" s="303"/>
      <c r="H46" s="106">
        <f>'Project Infor'!C8</f>
        <v>44287</v>
      </c>
      <c r="I46" s="106">
        <f t="shared" ref="I46" si="62">EOMONTH(H46,1)</f>
        <v>44347</v>
      </c>
      <c r="J46" s="106">
        <f t="shared" ref="J46" si="63">EOMONTH(I46,1)</f>
        <v>44377</v>
      </c>
      <c r="K46" s="106">
        <f t="shared" ref="K46" si="64">EOMONTH(J46,1)</f>
        <v>44408</v>
      </c>
      <c r="L46" s="106">
        <f t="shared" ref="L46" si="65">EOMONTH(K46,1)</f>
        <v>44439</v>
      </c>
      <c r="M46" s="106">
        <f t="shared" ref="M46" si="66">EOMONTH(L46,1)</f>
        <v>44469</v>
      </c>
      <c r="N46" s="106">
        <f t="shared" ref="N46" si="67">EOMONTH(M46,1)</f>
        <v>44500</v>
      </c>
      <c r="O46" s="106">
        <f t="shared" ref="O46" si="68">EOMONTH(N46,1)</f>
        <v>44530</v>
      </c>
      <c r="P46" s="106">
        <f t="shared" ref="P46" si="69">EOMONTH(O46,1)</f>
        <v>44561</v>
      </c>
      <c r="Q46" s="106">
        <f t="shared" ref="Q46" si="70">EOMONTH(P46,1)</f>
        <v>44592</v>
      </c>
      <c r="R46" s="106">
        <f t="shared" ref="R46" si="71">EOMONTH(Q46,1)</f>
        <v>44620</v>
      </c>
      <c r="S46" s="106">
        <f t="shared" ref="S46" si="72">EOMONTH(R46,1)</f>
        <v>44651</v>
      </c>
      <c r="T46" s="106">
        <f t="shared" ref="T46" si="73">EOMONTH(S46,1)</f>
        <v>44681</v>
      </c>
      <c r="U46" s="106">
        <f t="shared" ref="U46" si="74">EOMONTH(T46,1)</f>
        <v>44712</v>
      </c>
      <c r="V46" s="106">
        <f t="shared" ref="V46" si="75">EOMONTH(U46,1)</f>
        <v>44742</v>
      </c>
      <c r="W46" s="106">
        <f t="shared" ref="W46" si="76">EOMONTH(V46,1)</f>
        <v>44773</v>
      </c>
      <c r="X46" s="106">
        <f t="shared" ref="X46" si="77">EOMONTH(W46,1)</f>
        <v>44804</v>
      </c>
      <c r="Y46" s="106">
        <f t="shared" ref="Y46" si="78">EOMONTH(X46,1)</f>
        <v>44834</v>
      </c>
      <c r="Z46" s="106">
        <f t="shared" ref="Z46" si="79">EOMONTH(Y46,1)</f>
        <v>44865</v>
      </c>
      <c r="AA46" s="106">
        <f t="shared" ref="AA46" si="80">EOMONTH(Z46,1)</f>
        <v>44895</v>
      </c>
      <c r="AB46" s="106">
        <f t="shared" ref="AB46" si="81">EOMONTH(AA46,1)</f>
        <v>44926</v>
      </c>
      <c r="AC46" s="106">
        <f t="shared" ref="AC46" si="82">EOMONTH(AB46,1)</f>
        <v>44957</v>
      </c>
      <c r="AD46" s="106">
        <f t="shared" ref="AD46" si="83">EOMONTH(AC46,1)</f>
        <v>44985</v>
      </c>
      <c r="AE46" s="106">
        <f t="shared" ref="AE46" si="84">EOMONTH(AD46,1)</f>
        <v>45016</v>
      </c>
      <c r="AF46" s="106">
        <f t="shared" ref="AF46" si="85">EOMONTH(AE46,1)</f>
        <v>45046</v>
      </c>
      <c r="AG46" s="97"/>
      <c r="AH46" s="97"/>
      <c r="AI46" s="97"/>
      <c r="AJ46" s="97"/>
      <c r="AK46" s="97"/>
      <c r="AL46" s="97"/>
      <c r="AM46" s="97"/>
      <c r="AN46" s="97"/>
      <c r="AO46" s="97"/>
      <c r="AP46" s="97"/>
      <c r="AQ46" s="97"/>
      <c r="AR46" s="97"/>
      <c r="AS46" s="97"/>
    </row>
    <row r="47" spans="2:45" s="108" customFormat="1" ht="19.5" customHeight="1" thickBot="1" x14ac:dyDescent="0.3">
      <c r="B47" s="132" t="s">
        <v>63</v>
      </c>
      <c r="C47" s="133" t="s">
        <v>140</v>
      </c>
      <c r="D47" s="134">
        <f>'Cost Overview'!I8</f>
        <v>0</v>
      </c>
      <c r="E47" s="135">
        <f>D47-SUM(H47:AF47)</f>
        <v>0</v>
      </c>
      <c r="F47" s="136"/>
      <c r="G47" s="290"/>
      <c r="H47" s="8"/>
      <c r="I47" s="8"/>
      <c r="J47" s="8"/>
      <c r="K47" s="8"/>
      <c r="L47" s="8"/>
      <c r="M47" s="8"/>
      <c r="N47" s="8"/>
      <c r="O47" s="8"/>
      <c r="P47" s="8"/>
      <c r="Q47" s="5"/>
      <c r="R47" s="5"/>
      <c r="S47" s="5"/>
      <c r="T47" s="5"/>
      <c r="U47" s="5"/>
      <c r="V47" s="5"/>
      <c r="W47" s="5"/>
      <c r="X47" s="5"/>
      <c r="Y47" s="5"/>
      <c r="Z47" s="5"/>
      <c r="AA47" s="5"/>
      <c r="AB47" s="5"/>
      <c r="AC47" s="5"/>
      <c r="AD47" s="5"/>
      <c r="AE47" s="5"/>
      <c r="AF47" s="5"/>
      <c r="AH47" s="97"/>
      <c r="AI47" s="97"/>
      <c r="AJ47" s="97"/>
      <c r="AK47" s="97"/>
      <c r="AL47" s="97"/>
      <c r="AM47" s="97"/>
      <c r="AN47" s="97"/>
      <c r="AO47" s="97"/>
      <c r="AP47" s="97"/>
      <c r="AQ47" s="97"/>
      <c r="AR47" s="97"/>
      <c r="AS47" s="97"/>
    </row>
    <row r="48" spans="2:45" s="108" customFormat="1" ht="19.5" customHeight="1" thickBot="1" x14ac:dyDescent="0.3">
      <c r="B48" s="137" t="s">
        <v>141</v>
      </c>
      <c r="C48" s="138" t="s">
        <v>142</v>
      </c>
      <c r="D48" s="139">
        <f>'Cost Overview'!J8</f>
        <v>0</v>
      </c>
      <c r="E48" s="135">
        <f>D48-SUM(H48:AF48)</f>
        <v>0</v>
      </c>
      <c r="F48" s="140"/>
      <c r="G48" s="276"/>
      <c r="H48" s="8"/>
      <c r="I48" s="8"/>
      <c r="J48" s="8"/>
      <c r="K48" s="8"/>
      <c r="L48" s="8"/>
      <c r="M48" s="8"/>
      <c r="N48" s="8"/>
      <c r="O48" s="8"/>
      <c r="P48" s="8"/>
      <c r="Q48" s="5"/>
      <c r="R48" s="5"/>
      <c r="S48" s="5"/>
      <c r="T48" s="5"/>
      <c r="U48" s="5"/>
      <c r="V48" s="5"/>
      <c r="W48" s="5"/>
      <c r="X48" s="5"/>
      <c r="Y48" s="5"/>
      <c r="Z48" s="5"/>
      <c r="AA48" s="5"/>
      <c r="AB48" s="5"/>
      <c r="AC48" s="5"/>
      <c r="AD48" s="5"/>
      <c r="AE48" s="5"/>
      <c r="AF48" s="5"/>
      <c r="AH48" s="97"/>
      <c r="AI48" s="97"/>
      <c r="AJ48" s="97"/>
      <c r="AK48" s="97"/>
      <c r="AL48" s="97"/>
      <c r="AM48" s="97"/>
      <c r="AN48" s="97"/>
      <c r="AO48" s="97"/>
      <c r="AP48" s="97"/>
      <c r="AQ48" s="97"/>
      <c r="AR48" s="97"/>
      <c r="AS48" s="97"/>
    </row>
    <row r="49" spans="2:45" ht="25" customHeight="1" thickBot="1" x14ac:dyDescent="0.3">
      <c r="B49" s="102"/>
      <c r="C49" s="103"/>
      <c r="D49" s="113"/>
      <c r="E49" s="113"/>
      <c r="F49" s="113"/>
      <c r="G49" s="289"/>
      <c r="H49" s="114"/>
      <c r="I49" s="114"/>
      <c r="J49" s="114"/>
      <c r="K49" s="103"/>
      <c r="L49" s="103"/>
      <c r="M49" s="103"/>
      <c r="N49" s="103"/>
      <c r="O49" s="103"/>
      <c r="P49" s="103"/>
      <c r="Q49" s="103"/>
    </row>
    <row r="50" spans="2:45" ht="20.149999999999999" customHeight="1" thickBot="1" x14ac:dyDescent="0.35">
      <c r="B50" s="78" t="s">
        <v>65</v>
      </c>
      <c r="C50" s="103"/>
      <c r="D50" s="115" t="s">
        <v>143</v>
      </c>
      <c r="E50" s="115"/>
      <c r="F50" s="287">
        <f>'Cost Overview'!K8</f>
        <v>0</v>
      </c>
      <c r="G50" s="288"/>
      <c r="H50" s="284" t="s">
        <v>128</v>
      </c>
      <c r="I50" s="117"/>
      <c r="J50" s="118">
        <f>F50-SUM(F61:AF61)</f>
        <v>0</v>
      </c>
      <c r="K50" s="103"/>
      <c r="L50" s="331" t="s">
        <v>144</v>
      </c>
      <c r="M50" s="331"/>
      <c r="N50" s="331"/>
      <c r="O50" s="331"/>
      <c r="P50" s="331"/>
      <c r="Q50" s="331"/>
      <c r="S50" s="103"/>
    </row>
    <row r="51" spans="2:45" ht="12" customHeight="1" x14ac:dyDescent="0.25">
      <c r="B51" s="102"/>
      <c r="C51" s="103"/>
      <c r="D51" s="113"/>
      <c r="E51" s="113"/>
      <c r="F51" s="113"/>
      <c r="G51" s="289"/>
      <c r="H51" s="103"/>
      <c r="I51" s="103"/>
      <c r="J51" s="103"/>
      <c r="K51" s="103"/>
      <c r="L51" s="103"/>
      <c r="M51" s="103"/>
      <c r="N51" s="103"/>
      <c r="O51" s="103"/>
      <c r="P51" s="103"/>
      <c r="Q51" s="103"/>
    </row>
    <row r="52" spans="2:45" s="107" customFormat="1" ht="35.15" customHeight="1" x14ac:dyDescent="0.25">
      <c r="B52" s="303" t="s">
        <v>145</v>
      </c>
      <c r="C52" s="303" t="s">
        <v>146</v>
      </c>
      <c r="D52" s="335" t="s">
        <v>147</v>
      </c>
      <c r="E52" s="335"/>
      <c r="F52" s="105" t="s">
        <v>148</v>
      </c>
      <c r="G52" s="105" t="s">
        <v>149</v>
      </c>
      <c r="H52" s="106">
        <f>'Project Infor'!C8</f>
        <v>44287</v>
      </c>
      <c r="I52" s="106">
        <f t="shared" ref="I52" si="86">EOMONTH(H52,1)</f>
        <v>44347</v>
      </c>
      <c r="J52" s="106">
        <f t="shared" ref="J52" si="87">EOMONTH(I52,1)</f>
        <v>44377</v>
      </c>
      <c r="K52" s="106">
        <f t="shared" ref="K52" si="88">EOMONTH(J52,1)</f>
        <v>44408</v>
      </c>
      <c r="L52" s="106">
        <f t="shared" ref="L52" si="89">EOMONTH(K52,1)</f>
        <v>44439</v>
      </c>
      <c r="M52" s="106">
        <f t="shared" ref="M52" si="90">EOMONTH(L52,1)</f>
        <v>44469</v>
      </c>
      <c r="N52" s="106">
        <f t="shared" ref="N52" si="91">EOMONTH(M52,1)</f>
        <v>44500</v>
      </c>
      <c r="O52" s="106">
        <f t="shared" ref="O52" si="92">EOMONTH(N52,1)</f>
        <v>44530</v>
      </c>
      <c r="P52" s="106">
        <f t="shared" ref="P52" si="93">EOMONTH(O52,1)</f>
        <v>44561</v>
      </c>
      <c r="Q52" s="106">
        <f t="shared" ref="Q52" si="94">EOMONTH(P52,1)</f>
        <v>44592</v>
      </c>
      <c r="R52" s="106">
        <f t="shared" ref="R52" si="95">EOMONTH(Q52,1)</f>
        <v>44620</v>
      </c>
      <c r="S52" s="106">
        <f t="shared" ref="S52" si="96">EOMONTH(R52,1)</f>
        <v>44651</v>
      </c>
      <c r="T52" s="106">
        <f t="shared" ref="T52" si="97">EOMONTH(S52,1)</f>
        <v>44681</v>
      </c>
      <c r="U52" s="106">
        <f t="shared" ref="U52" si="98">EOMONTH(T52,1)</f>
        <v>44712</v>
      </c>
      <c r="V52" s="106">
        <f t="shared" ref="V52" si="99">EOMONTH(U52,1)</f>
        <v>44742</v>
      </c>
      <c r="W52" s="106">
        <f t="shared" ref="W52" si="100">EOMONTH(V52,1)</f>
        <v>44773</v>
      </c>
      <c r="X52" s="106">
        <f t="shared" ref="X52" si="101">EOMONTH(W52,1)</f>
        <v>44804</v>
      </c>
      <c r="Y52" s="106">
        <f t="shared" ref="Y52" si="102">EOMONTH(X52,1)</f>
        <v>44834</v>
      </c>
      <c r="Z52" s="106">
        <f t="shared" ref="Z52" si="103">EOMONTH(Y52,1)</f>
        <v>44865</v>
      </c>
      <c r="AA52" s="106">
        <f t="shared" ref="AA52" si="104">EOMONTH(Z52,1)</f>
        <v>44895</v>
      </c>
      <c r="AB52" s="106">
        <f t="shared" ref="AB52" si="105">EOMONTH(AA52,1)</f>
        <v>44926</v>
      </c>
      <c r="AC52" s="106">
        <f t="shared" ref="AC52" si="106">EOMONTH(AB52,1)</f>
        <v>44957</v>
      </c>
      <c r="AD52" s="106">
        <f t="shared" ref="AD52" si="107">EOMONTH(AC52,1)</f>
        <v>44985</v>
      </c>
      <c r="AE52" s="106">
        <f t="shared" ref="AE52" si="108">EOMONTH(AD52,1)</f>
        <v>45016</v>
      </c>
      <c r="AF52" s="106">
        <f t="shared" ref="AF52" si="109">EOMONTH(AE52,1)</f>
        <v>45046</v>
      </c>
      <c r="AG52" s="97"/>
      <c r="AH52" s="97"/>
      <c r="AI52" s="97"/>
      <c r="AJ52" s="97"/>
      <c r="AK52" s="97"/>
      <c r="AL52" s="97"/>
      <c r="AM52" s="97"/>
      <c r="AN52" s="97"/>
      <c r="AO52" s="97"/>
      <c r="AP52" s="97"/>
      <c r="AQ52" s="97"/>
      <c r="AR52" s="97"/>
      <c r="AS52" s="97"/>
    </row>
    <row r="53" spans="2:45" s="108" customFormat="1" ht="19.5" customHeight="1" x14ac:dyDescent="0.25">
      <c r="B53" s="1"/>
      <c r="C53" s="302"/>
      <c r="D53" s="334"/>
      <c r="E53" s="334"/>
      <c r="F53" s="291"/>
      <c r="G53" s="292"/>
      <c r="H53" s="8"/>
      <c r="I53" s="8"/>
      <c r="J53" s="8"/>
      <c r="K53" s="8"/>
      <c r="L53" s="8"/>
      <c r="M53" s="8"/>
      <c r="N53" s="8"/>
      <c r="O53" s="8"/>
      <c r="P53" s="8"/>
      <c r="Q53" s="8"/>
      <c r="R53" s="5"/>
      <c r="S53" s="5"/>
      <c r="T53" s="5"/>
      <c r="U53" s="5"/>
      <c r="V53" s="5"/>
      <c r="W53" s="5"/>
      <c r="X53" s="5"/>
      <c r="Y53" s="5"/>
      <c r="Z53" s="5"/>
      <c r="AA53" s="5"/>
      <c r="AB53" s="5"/>
      <c r="AC53" s="5"/>
      <c r="AD53" s="5"/>
      <c r="AE53" s="5"/>
      <c r="AF53" s="5"/>
      <c r="AG53" s="298">
        <f>1/(1-G53)</f>
        <v>1</v>
      </c>
      <c r="AH53" s="97"/>
      <c r="AI53" s="97"/>
      <c r="AJ53" s="97"/>
      <c r="AK53" s="97"/>
      <c r="AL53" s="97"/>
      <c r="AM53" s="97"/>
      <c r="AN53" s="97"/>
      <c r="AO53" s="97"/>
      <c r="AP53" s="97"/>
      <c r="AQ53" s="97"/>
      <c r="AR53" s="97"/>
      <c r="AS53" s="97"/>
    </row>
    <row r="54" spans="2:45" s="108" customFormat="1" ht="19.5" customHeight="1" x14ac:dyDescent="0.25">
      <c r="B54" s="1"/>
      <c r="C54" s="302"/>
      <c r="D54" s="334"/>
      <c r="E54" s="334"/>
      <c r="F54" s="291"/>
      <c r="G54" s="292"/>
      <c r="H54" s="8"/>
      <c r="I54" s="8"/>
      <c r="J54" s="8"/>
      <c r="K54" s="8"/>
      <c r="L54" s="8"/>
      <c r="M54" s="8"/>
      <c r="N54" s="8"/>
      <c r="O54" s="8"/>
      <c r="P54" s="8"/>
      <c r="Q54" s="5"/>
      <c r="R54" s="5"/>
      <c r="S54" s="5"/>
      <c r="T54" s="5"/>
      <c r="U54" s="5"/>
      <c r="V54" s="5"/>
      <c r="W54" s="5"/>
      <c r="X54" s="5"/>
      <c r="Y54" s="5"/>
      <c r="Z54" s="5"/>
      <c r="AA54" s="5"/>
      <c r="AB54" s="5"/>
      <c r="AC54" s="5"/>
      <c r="AD54" s="5"/>
      <c r="AE54" s="5"/>
      <c r="AF54" s="5"/>
      <c r="AG54" s="298">
        <f t="shared" ref="AG54:AG60" si="110">1/(1-G54)</f>
        <v>1</v>
      </c>
      <c r="AH54" s="97"/>
      <c r="AI54" s="97"/>
      <c r="AJ54" s="97"/>
      <c r="AK54" s="97"/>
      <c r="AL54" s="97"/>
      <c r="AM54" s="97"/>
      <c r="AN54" s="97"/>
      <c r="AO54" s="97"/>
      <c r="AP54" s="97"/>
      <c r="AQ54" s="97"/>
      <c r="AR54" s="97"/>
      <c r="AS54" s="97"/>
    </row>
    <row r="55" spans="2:45" s="108" customFormat="1" ht="19.5" customHeight="1" x14ac:dyDescent="0.25">
      <c r="B55" s="1"/>
      <c r="C55" s="302"/>
      <c r="D55" s="334"/>
      <c r="E55" s="334"/>
      <c r="F55" s="291"/>
      <c r="G55" s="292"/>
      <c r="H55" s="8"/>
      <c r="I55" s="8"/>
      <c r="J55" s="8"/>
      <c r="K55" s="8"/>
      <c r="L55" s="8"/>
      <c r="M55" s="8"/>
      <c r="N55" s="8"/>
      <c r="O55" s="8"/>
      <c r="P55" s="8"/>
      <c r="Q55" s="5"/>
      <c r="R55" s="5"/>
      <c r="S55" s="5"/>
      <c r="T55" s="5"/>
      <c r="U55" s="5"/>
      <c r="V55" s="5"/>
      <c r="W55" s="5"/>
      <c r="X55" s="5"/>
      <c r="Y55" s="5"/>
      <c r="Z55" s="5"/>
      <c r="AA55" s="5"/>
      <c r="AB55" s="5"/>
      <c r="AC55" s="5"/>
      <c r="AD55" s="5"/>
      <c r="AE55" s="5"/>
      <c r="AF55" s="5"/>
      <c r="AG55" s="298">
        <f t="shared" si="110"/>
        <v>1</v>
      </c>
      <c r="AH55" s="97"/>
      <c r="AI55" s="97"/>
      <c r="AJ55" s="97"/>
      <c r="AK55" s="97"/>
      <c r="AL55" s="97"/>
      <c r="AM55" s="97"/>
      <c r="AN55" s="97"/>
      <c r="AO55" s="97"/>
      <c r="AP55" s="97"/>
      <c r="AQ55" s="97"/>
      <c r="AR55" s="97"/>
      <c r="AS55" s="97"/>
    </row>
    <row r="56" spans="2:45" s="108" customFormat="1" ht="19.5" customHeight="1" x14ac:dyDescent="0.25">
      <c r="B56" s="1"/>
      <c r="C56" s="302"/>
      <c r="D56" s="334"/>
      <c r="E56" s="334"/>
      <c r="F56" s="291"/>
      <c r="G56" s="292"/>
      <c r="H56" s="8"/>
      <c r="I56" s="8"/>
      <c r="J56" s="8"/>
      <c r="K56" s="8"/>
      <c r="L56" s="8"/>
      <c r="M56" s="8"/>
      <c r="N56" s="8"/>
      <c r="O56" s="8"/>
      <c r="P56" s="8"/>
      <c r="Q56" s="5"/>
      <c r="R56" s="5"/>
      <c r="S56" s="5"/>
      <c r="T56" s="5"/>
      <c r="U56" s="5"/>
      <c r="V56" s="5"/>
      <c r="W56" s="5"/>
      <c r="X56" s="5"/>
      <c r="Y56" s="5"/>
      <c r="Z56" s="5"/>
      <c r="AA56" s="5"/>
      <c r="AB56" s="5"/>
      <c r="AC56" s="5"/>
      <c r="AD56" s="5"/>
      <c r="AE56" s="5"/>
      <c r="AF56" s="5"/>
      <c r="AG56" s="298">
        <f t="shared" si="110"/>
        <v>1</v>
      </c>
      <c r="AH56" s="97"/>
      <c r="AI56" s="97"/>
      <c r="AJ56" s="97"/>
      <c r="AK56" s="97"/>
      <c r="AL56" s="97"/>
      <c r="AM56" s="97"/>
      <c r="AN56" s="97"/>
      <c r="AO56" s="97"/>
      <c r="AP56" s="97"/>
      <c r="AQ56" s="97"/>
      <c r="AR56" s="97"/>
      <c r="AS56" s="97"/>
    </row>
    <row r="57" spans="2:45" s="108" customFormat="1" ht="19.5" customHeight="1" x14ac:dyDescent="0.25">
      <c r="B57" s="1"/>
      <c r="C57" s="302"/>
      <c r="D57" s="334"/>
      <c r="E57" s="334"/>
      <c r="F57" s="291"/>
      <c r="G57" s="292"/>
      <c r="H57" s="8"/>
      <c r="I57" s="8"/>
      <c r="J57" s="8"/>
      <c r="K57" s="8"/>
      <c r="L57" s="8"/>
      <c r="M57" s="8"/>
      <c r="N57" s="8"/>
      <c r="O57" s="8"/>
      <c r="P57" s="8"/>
      <c r="Q57" s="5"/>
      <c r="R57" s="5"/>
      <c r="S57" s="5"/>
      <c r="T57" s="5"/>
      <c r="U57" s="5"/>
      <c r="V57" s="5"/>
      <c r="W57" s="5"/>
      <c r="X57" s="5"/>
      <c r="Y57" s="5"/>
      <c r="Z57" s="5"/>
      <c r="AA57" s="5"/>
      <c r="AB57" s="5"/>
      <c r="AC57" s="5"/>
      <c r="AD57" s="5"/>
      <c r="AE57" s="5"/>
      <c r="AF57" s="5"/>
      <c r="AG57" s="298">
        <f t="shared" si="110"/>
        <v>1</v>
      </c>
      <c r="AH57" s="97"/>
      <c r="AI57" s="97"/>
      <c r="AJ57" s="97"/>
      <c r="AK57" s="97"/>
      <c r="AL57" s="97"/>
      <c r="AM57" s="97"/>
      <c r="AN57" s="97"/>
      <c r="AO57" s="97"/>
      <c r="AP57" s="97"/>
      <c r="AQ57" s="97"/>
      <c r="AR57" s="97"/>
      <c r="AS57" s="97"/>
    </row>
    <row r="58" spans="2:45" s="108" customFormat="1" ht="19.5" customHeight="1" x14ac:dyDescent="0.25">
      <c r="B58" s="1"/>
      <c r="C58" s="302"/>
      <c r="D58" s="334"/>
      <c r="E58" s="334"/>
      <c r="F58" s="291"/>
      <c r="G58" s="292"/>
      <c r="H58" s="8"/>
      <c r="I58" s="8"/>
      <c r="J58" s="8"/>
      <c r="K58" s="8"/>
      <c r="L58" s="8"/>
      <c r="M58" s="8"/>
      <c r="N58" s="8"/>
      <c r="O58" s="8"/>
      <c r="P58" s="8"/>
      <c r="Q58" s="5"/>
      <c r="R58" s="5"/>
      <c r="S58" s="5"/>
      <c r="T58" s="5"/>
      <c r="U58" s="5"/>
      <c r="V58" s="5"/>
      <c r="W58" s="5"/>
      <c r="X58" s="5"/>
      <c r="Y58" s="5"/>
      <c r="Z58" s="5"/>
      <c r="AA58" s="5"/>
      <c r="AB58" s="5"/>
      <c r="AC58" s="5"/>
      <c r="AD58" s="5"/>
      <c r="AE58" s="5"/>
      <c r="AF58" s="5"/>
      <c r="AG58" s="298">
        <f t="shared" si="110"/>
        <v>1</v>
      </c>
      <c r="AH58" s="97"/>
      <c r="AI58" s="97"/>
      <c r="AJ58" s="97"/>
      <c r="AK58" s="97"/>
      <c r="AL58" s="97"/>
      <c r="AM58" s="97"/>
      <c r="AN58" s="97"/>
      <c r="AO58" s="97"/>
      <c r="AP58" s="97"/>
      <c r="AQ58" s="97"/>
      <c r="AR58" s="97"/>
      <c r="AS58" s="97"/>
    </row>
    <row r="59" spans="2:45" s="108" customFormat="1" ht="19.5" customHeight="1" x14ac:dyDescent="0.25">
      <c r="B59" s="1"/>
      <c r="C59" s="302"/>
      <c r="D59" s="334"/>
      <c r="E59" s="334"/>
      <c r="F59" s="291"/>
      <c r="G59" s="292"/>
      <c r="H59" s="8"/>
      <c r="I59" s="8"/>
      <c r="J59" s="8"/>
      <c r="K59" s="8"/>
      <c r="L59" s="8"/>
      <c r="M59" s="8"/>
      <c r="N59" s="8"/>
      <c r="O59" s="8"/>
      <c r="P59" s="8"/>
      <c r="Q59" s="5"/>
      <c r="R59" s="5"/>
      <c r="S59" s="5"/>
      <c r="T59" s="5"/>
      <c r="U59" s="5"/>
      <c r="V59" s="5"/>
      <c r="W59" s="5"/>
      <c r="X59" s="5"/>
      <c r="Y59" s="5"/>
      <c r="Z59" s="5"/>
      <c r="AA59" s="5"/>
      <c r="AB59" s="5"/>
      <c r="AC59" s="5"/>
      <c r="AD59" s="5"/>
      <c r="AE59" s="5"/>
      <c r="AF59" s="5"/>
      <c r="AG59" s="298">
        <f t="shared" si="110"/>
        <v>1</v>
      </c>
      <c r="AH59" s="299"/>
      <c r="AI59" s="97"/>
      <c r="AJ59" s="97"/>
      <c r="AK59" s="97"/>
      <c r="AL59" s="97"/>
      <c r="AM59" s="97"/>
      <c r="AN59" s="97"/>
      <c r="AO59" s="97"/>
      <c r="AP59" s="97"/>
      <c r="AQ59" s="97"/>
      <c r="AR59" s="97"/>
      <c r="AS59" s="97"/>
    </row>
    <row r="60" spans="2:45" s="108" customFormat="1" ht="19.5" customHeight="1" x14ac:dyDescent="0.25">
      <c r="B60" s="1"/>
      <c r="C60" s="302"/>
      <c r="D60" s="334"/>
      <c r="E60" s="334"/>
      <c r="F60" s="291"/>
      <c r="G60" s="292"/>
      <c r="H60" s="8"/>
      <c r="I60" s="8"/>
      <c r="J60" s="8"/>
      <c r="K60" s="8"/>
      <c r="L60" s="8"/>
      <c r="M60" s="8"/>
      <c r="N60" s="8"/>
      <c r="O60" s="8"/>
      <c r="P60" s="8"/>
      <c r="Q60" s="5"/>
      <c r="R60" s="5"/>
      <c r="S60" s="5"/>
      <c r="T60" s="5"/>
      <c r="U60" s="5"/>
      <c r="V60" s="5"/>
      <c r="W60" s="5"/>
      <c r="X60" s="5"/>
      <c r="Y60" s="5"/>
      <c r="Z60" s="5"/>
      <c r="AA60" s="5"/>
      <c r="AB60" s="5"/>
      <c r="AC60" s="5"/>
      <c r="AD60" s="5"/>
      <c r="AE60" s="5"/>
      <c r="AF60" s="5"/>
      <c r="AG60" s="298">
        <f t="shared" si="110"/>
        <v>1</v>
      </c>
      <c r="AH60" s="97"/>
      <c r="AI60" s="97"/>
      <c r="AJ60" s="97"/>
      <c r="AK60" s="97"/>
      <c r="AL60" s="97"/>
      <c r="AM60" s="97"/>
      <c r="AN60" s="97"/>
      <c r="AO60" s="97"/>
      <c r="AP60" s="97"/>
      <c r="AQ60" s="97"/>
      <c r="AR60" s="97"/>
      <c r="AS60" s="97"/>
    </row>
    <row r="61" spans="2:45" ht="20.149999999999999" customHeight="1" x14ac:dyDescent="0.25">
      <c r="B61" s="121" t="s">
        <v>150</v>
      </c>
      <c r="C61" s="122"/>
      <c r="D61" s="123"/>
      <c r="E61" s="123"/>
      <c r="F61" s="124"/>
      <c r="G61" s="124"/>
      <c r="H61" s="124">
        <f t="shared" ref="H61:AD61" si="111">SUM(H53:H60)</f>
        <v>0</v>
      </c>
      <c r="I61" s="124">
        <f t="shared" si="111"/>
        <v>0</v>
      </c>
      <c r="J61" s="124">
        <f t="shared" si="111"/>
        <v>0</v>
      </c>
      <c r="K61" s="124">
        <f t="shared" si="111"/>
        <v>0</v>
      </c>
      <c r="L61" s="124">
        <f t="shared" si="111"/>
        <v>0</v>
      </c>
      <c r="M61" s="124">
        <f t="shared" si="111"/>
        <v>0</v>
      </c>
      <c r="N61" s="124">
        <f t="shared" si="111"/>
        <v>0</v>
      </c>
      <c r="O61" s="124">
        <f t="shared" si="111"/>
        <v>0</v>
      </c>
      <c r="P61" s="124">
        <f t="shared" si="111"/>
        <v>0</v>
      </c>
      <c r="Q61" s="124">
        <f>SUM(Q53:Q60)</f>
        <v>0</v>
      </c>
      <c r="R61" s="124">
        <f t="shared" si="111"/>
        <v>0</v>
      </c>
      <c r="S61" s="124">
        <f t="shared" si="111"/>
        <v>0</v>
      </c>
      <c r="T61" s="124">
        <f t="shared" si="111"/>
        <v>0</v>
      </c>
      <c r="U61" s="124">
        <f t="shared" si="111"/>
        <v>0</v>
      </c>
      <c r="V61" s="124">
        <f>SUM(V53:V60)</f>
        <v>0</v>
      </c>
      <c r="W61" s="124">
        <f t="shared" si="111"/>
        <v>0</v>
      </c>
      <c r="X61" s="124">
        <f t="shared" si="111"/>
        <v>0</v>
      </c>
      <c r="Y61" s="124">
        <f t="shared" si="111"/>
        <v>0</v>
      </c>
      <c r="Z61" s="124">
        <f t="shared" si="111"/>
        <v>0</v>
      </c>
      <c r="AA61" s="124">
        <f t="shared" si="111"/>
        <v>0</v>
      </c>
      <c r="AB61" s="124">
        <f t="shared" si="111"/>
        <v>0</v>
      </c>
      <c r="AC61" s="124">
        <f t="shared" si="111"/>
        <v>0</v>
      </c>
      <c r="AD61" s="124">
        <f t="shared" si="111"/>
        <v>0</v>
      </c>
      <c r="AE61" s="124">
        <f t="shared" ref="AE61" si="112">SUM(AE53:AE60)</f>
        <v>0</v>
      </c>
      <c r="AF61" s="124">
        <f>SUM(AF53:AF60)</f>
        <v>0</v>
      </c>
    </row>
    <row r="62" spans="2:45" ht="20.149999999999999" customHeight="1" x14ac:dyDescent="0.25">
      <c r="B62" s="125" t="s">
        <v>151</v>
      </c>
      <c r="C62" s="126"/>
      <c r="D62" s="127"/>
      <c r="E62" s="127"/>
      <c r="F62" s="124"/>
      <c r="G62" s="124"/>
      <c r="H62" s="293" cm="1">
        <f t="array" ref="H62">SUMPRODUCT(($F$53:$F$60="SI")*1,$AG$53:$AG$60,H53:H60)</f>
        <v>0</v>
      </c>
      <c r="I62" s="293" cm="1">
        <f t="array" ref="I62">SUMPRODUCT(($F$53:$F$60="SI")*1,$AG$53:$AG$60,I53:I60)</f>
        <v>0</v>
      </c>
      <c r="J62" s="293" cm="1">
        <f t="array" ref="J62">SUMPRODUCT(($F$53:$F$60="SI")*1,$AG$53:$AG$60,J53:J60)</f>
        <v>0</v>
      </c>
      <c r="K62" s="293" cm="1">
        <f t="array" ref="K62">SUMPRODUCT(($F$53:$F$60="SI")*1,$AG$53:$AG$60,K53:K60)</f>
        <v>0</v>
      </c>
      <c r="L62" s="293" cm="1">
        <f t="array" ref="L62">SUMPRODUCT(($F$53:$F$60="SI")*1,$AG$53:$AG$60,L53:L60)</f>
        <v>0</v>
      </c>
      <c r="M62" s="293" cm="1">
        <f t="array" ref="M62">SUMPRODUCT(($F$53:$F$60="SI")*1,$AG$53:$AG$60,M53:M60)</f>
        <v>0</v>
      </c>
      <c r="N62" s="293" cm="1">
        <f t="array" ref="N62">SUMPRODUCT(($F$53:$F$60="SI")*1,$AG$53:$AG$60,N53:N60)</f>
        <v>0</v>
      </c>
      <c r="O62" s="293" cm="1">
        <f t="array" ref="O62">SUMPRODUCT(($F$53:$F$60="SI")*1,$AG$53:$AG$60,O53:O60)</f>
        <v>0</v>
      </c>
      <c r="P62" s="293" cm="1">
        <f t="array" ref="P62">SUMPRODUCT(($F$53:$F$60="SI")*1,$AG$53:$AG$60,P53:P60)</f>
        <v>0</v>
      </c>
      <c r="Q62" s="293" cm="1">
        <f t="array" ref="Q62">SUMPRODUCT(($F$53:$F$60="SI")*1,$AG$53:$AG$60,Q53:Q60)</f>
        <v>0</v>
      </c>
      <c r="R62" s="293" cm="1">
        <f t="array" ref="R62">SUMPRODUCT(($F$53:$F$60="SI")*1,$AG$53:$AG$60,R53:R60)</f>
        <v>0</v>
      </c>
      <c r="S62" s="293" cm="1">
        <f t="array" ref="S62">SUMPRODUCT(($F$53:$F$60="SI")*1,$AG$53:$AG$60,S53:S60)</f>
        <v>0</v>
      </c>
      <c r="T62" s="293" cm="1">
        <f t="array" ref="T62">SUMPRODUCT(($F$53:$F$60="SI")*1,$AG$53:$AG$60,T53:T60)</f>
        <v>0</v>
      </c>
      <c r="U62" s="293" cm="1">
        <f t="array" ref="U62">SUMPRODUCT(($F$53:$F$60="SI")*1,$AG$53:$AG$60,U53:U60)</f>
        <v>0</v>
      </c>
      <c r="V62" s="293" cm="1">
        <f t="array" ref="V62">SUMPRODUCT(($F$53:$F$60="SI")*1,$AG$53:$AG$60,V53:V60)</f>
        <v>0</v>
      </c>
      <c r="W62" s="293" cm="1">
        <f t="array" ref="W62">SUMPRODUCT(($F$53:$F$60="SI")*1,$AG$53:$AG$60,W53:W60)</f>
        <v>0</v>
      </c>
      <c r="X62" s="293" cm="1">
        <f t="array" ref="X62">SUMPRODUCT(($F$53:$F$60="SI")*1,$AG$53:$AG$60,X53:X60)</f>
        <v>0</v>
      </c>
      <c r="Y62" s="293" cm="1">
        <f t="array" ref="Y62">SUMPRODUCT(($F$53:$F$60="SI")*1,$AG$53:$AG$60,Y53:Y60)</f>
        <v>0</v>
      </c>
      <c r="Z62" s="293" cm="1">
        <f t="array" ref="Z62">SUMPRODUCT(($F$53:$F$60="SI")*1,$AG$53:$AG$60,Z53:Z60)</f>
        <v>0</v>
      </c>
      <c r="AA62" s="293" cm="1">
        <f t="array" ref="AA62">SUMPRODUCT(($F$53:$F$60="SI")*1,$AG$53:$AG$60,AA53:AA60)</f>
        <v>0</v>
      </c>
      <c r="AB62" s="293" cm="1">
        <f t="array" ref="AB62">SUMPRODUCT(($F$53:$F$60="SI")*1,$AG$53:$AG$60,AB53:AB60)</f>
        <v>0</v>
      </c>
      <c r="AC62" s="293" cm="1">
        <f t="array" ref="AC62">SUMPRODUCT(($F$53:$F$60="SI")*1,$AG$53:$AG$60,AC53:AC60)</f>
        <v>0</v>
      </c>
      <c r="AD62" s="293" cm="1">
        <f t="array" ref="AD62">SUMPRODUCT(($F$53:$F$60="SI")*1,$AG$53:$AG$60,AD53:AD60)</f>
        <v>0</v>
      </c>
      <c r="AE62" s="293" cm="1">
        <f t="array" ref="AE62">SUMPRODUCT(($F$53:$F$60="SI")*1,$AG$53:$AG$60,AE53:AE60)</f>
        <v>0</v>
      </c>
      <c r="AF62" s="293" cm="1">
        <f t="array" ref="AF62">SUMPRODUCT(($F$53:$F$60="SI")*1,$AG$53:$AG$60,AF53:AF60)</f>
        <v>0</v>
      </c>
    </row>
    <row r="63" spans="2:45" ht="25" customHeight="1" thickBot="1" x14ac:dyDescent="0.3">
      <c r="B63" s="102"/>
      <c r="C63" s="103"/>
      <c r="D63" s="113"/>
      <c r="E63" s="113"/>
      <c r="F63" s="113"/>
      <c r="G63" s="113"/>
      <c r="H63" s="141"/>
      <c r="I63" s="141"/>
      <c r="J63" s="141"/>
      <c r="K63" s="103"/>
      <c r="L63" s="103"/>
      <c r="M63" s="103"/>
      <c r="N63" s="103"/>
      <c r="O63" s="103"/>
      <c r="P63" s="103"/>
      <c r="Q63" s="103"/>
    </row>
    <row r="64" spans="2:45" ht="20.149999999999999" customHeight="1" thickBot="1" x14ac:dyDescent="0.35">
      <c r="B64" s="78" t="s">
        <v>66</v>
      </c>
      <c r="C64" s="103"/>
      <c r="D64" s="115" t="s">
        <v>152</v>
      </c>
      <c r="E64" s="115"/>
      <c r="F64" s="287">
        <f>'Cost Overview'!L8</f>
        <v>0</v>
      </c>
      <c r="G64" s="288"/>
      <c r="H64" s="286" t="s">
        <v>128</v>
      </c>
      <c r="I64" s="285"/>
      <c r="J64" s="118">
        <f>F64-SUM(F77:AF77)</f>
        <v>-1000</v>
      </c>
      <c r="K64" s="103"/>
      <c r="L64" s="331" t="s">
        <v>153</v>
      </c>
      <c r="M64" s="331"/>
      <c r="N64" s="331"/>
      <c r="O64" s="331"/>
      <c r="P64" s="331"/>
      <c r="Q64" s="331"/>
      <c r="S64" s="103"/>
    </row>
    <row r="65" spans="2:45" ht="12" customHeight="1" x14ac:dyDescent="0.25">
      <c r="B65" s="102"/>
      <c r="C65" s="103"/>
      <c r="D65" s="113"/>
      <c r="E65" s="113"/>
      <c r="F65" s="113"/>
      <c r="G65" s="289"/>
      <c r="H65" s="103"/>
      <c r="I65" s="103"/>
      <c r="J65" s="103"/>
      <c r="K65" s="103"/>
      <c r="L65" s="103"/>
      <c r="M65" s="103"/>
      <c r="N65" s="103"/>
      <c r="O65" s="103"/>
      <c r="P65" s="103"/>
      <c r="Q65" s="103"/>
    </row>
    <row r="66" spans="2:45" s="107" customFormat="1" ht="35.15" customHeight="1" x14ac:dyDescent="0.25">
      <c r="B66" s="303" t="s">
        <v>154</v>
      </c>
      <c r="C66" s="303" t="s">
        <v>155</v>
      </c>
      <c r="D66" s="303" t="s">
        <v>156</v>
      </c>
      <c r="E66" s="303" t="s">
        <v>157</v>
      </c>
      <c r="F66" s="105" t="s">
        <v>148</v>
      </c>
      <c r="G66" s="105" t="s">
        <v>149</v>
      </c>
      <c r="H66" s="106">
        <f>'Project Infor'!C8</f>
        <v>44287</v>
      </c>
      <c r="I66" s="106">
        <f t="shared" ref="I66" si="113">EOMONTH(H66,1)</f>
        <v>44347</v>
      </c>
      <c r="J66" s="106">
        <f t="shared" ref="J66" si="114">EOMONTH(I66,1)</f>
        <v>44377</v>
      </c>
      <c r="K66" s="106">
        <f t="shared" ref="K66" si="115">EOMONTH(J66,1)</f>
        <v>44408</v>
      </c>
      <c r="L66" s="106">
        <f t="shared" ref="L66" si="116">EOMONTH(K66,1)</f>
        <v>44439</v>
      </c>
      <c r="M66" s="106">
        <f t="shared" ref="M66" si="117">EOMONTH(L66,1)</f>
        <v>44469</v>
      </c>
      <c r="N66" s="106">
        <f t="shared" ref="N66" si="118">EOMONTH(M66,1)</f>
        <v>44500</v>
      </c>
      <c r="O66" s="106">
        <f t="shared" ref="O66" si="119">EOMONTH(N66,1)</f>
        <v>44530</v>
      </c>
      <c r="P66" s="106">
        <f t="shared" ref="P66" si="120">EOMONTH(O66,1)</f>
        <v>44561</v>
      </c>
      <c r="Q66" s="106">
        <f t="shared" ref="Q66" si="121">EOMONTH(P66,1)</f>
        <v>44592</v>
      </c>
      <c r="R66" s="106">
        <f t="shared" ref="R66" si="122">EOMONTH(Q66,1)</f>
        <v>44620</v>
      </c>
      <c r="S66" s="106">
        <f t="shared" ref="S66" si="123">EOMONTH(R66,1)</f>
        <v>44651</v>
      </c>
      <c r="T66" s="106">
        <f t="shared" ref="T66" si="124">EOMONTH(S66,1)</f>
        <v>44681</v>
      </c>
      <c r="U66" s="106">
        <f t="shared" ref="U66" si="125">EOMONTH(T66,1)</f>
        <v>44712</v>
      </c>
      <c r="V66" s="106">
        <f t="shared" ref="V66" si="126">EOMONTH(U66,1)</f>
        <v>44742</v>
      </c>
      <c r="W66" s="106">
        <f t="shared" ref="W66" si="127">EOMONTH(V66,1)</f>
        <v>44773</v>
      </c>
      <c r="X66" s="106">
        <f t="shared" ref="X66" si="128">EOMONTH(W66,1)</f>
        <v>44804</v>
      </c>
      <c r="Y66" s="106">
        <f t="shared" ref="Y66" si="129">EOMONTH(X66,1)</f>
        <v>44834</v>
      </c>
      <c r="Z66" s="106">
        <f t="shared" ref="Z66" si="130">EOMONTH(Y66,1)</f>
        <v>44865</v>
      </c>
      <c r="AA66" s="106">
        <f t="shared" ref="AA66" si="131">EOMONTH(Z66,1)</f>
        <v>44895</v>
      </c>
      <c r="AB66" s="106">
        <f t="shared" ref="AB66" si="132">EOMONTH(AA66,1)</f>
        <v>44926</v>
      </c>
      <c r="AC66" s="106">
        <f t="shared" ref="AC66" si="133">EOMONTH(AB66,1)</f>
        <v>44957</v>
      </c>
      <c r="AD66" s="106">
        <f t="shared" ref="AD66" si="134">EOMONTH(AC66,1)</f>
        <v>44985</v>
      </c>
      <c r="AE66" s="106">
        <f t="shared" ref="AE66" si="135">EOMONTH(AD66,1)</f>
        <v>45016</v>
      </c>
      <c r="AF66" s="106">
        <f t="shared" ref="AF66" si="136">EOMONTH(AE66,1)</f>
        <v>45046</v>
      </c>
      <c r="AG66" s="97"/>
      <c r="AH66" s="97"/>
      <c r="AI66" s="97"/>
      <c r="AJ66" s="97"/>
      <c r="AK66" s="97"/>
      <c r="AL66" s="97"/>
      <c r="AM66" s="97"/>
      <c r="AN66" s="97"/>
      <c r="AO66" s="97"/>
      <c r="AP66" s="97"/>
      <c r="AQ66" s="97"/>
      <c r="AR66" s="97"/>
      <c r="AS66" s="97"/>
    </row>
    <row r="67" spans="2:45" s="108" customFormat="1" ht="19.5" customHeight="1" x14ac:dyDescent="0.25">
      <c r="B67" s="6" t="s">
        <v>158</v>
      </c>
      <c r="C67" s="10" t="s">
        <v>159</v>
      </c>
      <c r="D67" s="10"/>
      <c r="E67" s="10"/>
      <c r="F67" s="291" t="s">
        <v>160</v>
      </c>
      <c r="G67" s="292"/>
      <c r="H67" s="11">
        <v>1000</v>
      </c>
      <c r="I67" s="11"/>
      <c r="J67" s="11"/>
      <c r="K67" s="11"/>
      <c r="L67" s="11"/>
      <c r="M67" s="11"/>
      <c r="N67" s="11"/>
      <c r="O67" s="11"/>
      <c r="P67" s="11"/>
      <c r="Q67" s="7"/>
      <c r="R67" s="7"/>
      <c r="S67" s="7"/>
      <c r="T67" s="7"/>
      <c r="U67" s="7"/>
      <c r="V67" s="7"/>
      <c r="W67" s="7"/>
      <c r="X67" s="7"/>
      <c r="Y67" s="7"/>
      <c r="Z67" s="7"/>
      <c r="AA67" s="7"/>
      <c r="AB67" s="7"/>
      <c r="AC67" s="7"/>
      <c r="AD67" s="7"/>
      <c r="AE67" s="7"/>
      <c r="AF67" s="7"/>
      <c r="AG67" s="298">
        <f>1/(1-G67)</f>
        <v>1</v>
      </c>
      <c r="AH67" s="97"/>
      <c r="AI67" s="97"/>
      <c r="AJ67" s="97"/>
      <c r="AK67" s="97"/>
      <c r="AL67" s="97"/>
      <c r="AM67" s="97"/>
      <c r="AN67" s="97"/>
      <c r="AO67" s="97"/>
      <c r="AP67" s="97"/>
      <c r="AQ67" s="97"/>
      <c r="AR67" s="97"/>
      <c r="AS67" s="97"/>
    </row>
    <row r="68" spans="2:45" s="108" customFormat="1" ht="19.5" customHeight="1" x14ac:dyDescent="0.25">
      <c r="B68" s="6"/>
      <c r="C68" s="10"/>
      <c r="D68" s="10"/>
      <c r="E68" s="10"/>
      <c r="F68" s="291"/>
      <c r="G68" s="292"/>
      <c r="H68" s="11"/>
      <c r="I68" s="11"/>
      <c r="J68" s="11"/>
      <c r="K68" s="11"/>
      <c r="L68" s="11"/>
      <c r="M68" s="11"/>
      <c r="N68" s="11"/>
      <c r="O68" s="11"/>
      <c r="P68" s="11"/>
      <c r="Q68" s="7"/>
      <c r="R68" s="7"/>
      <c r="S68" s="7"/>
      <c r="T68" s="7"/>
      <c r="U68" s="7"/>
      <c r="V68" s="7"/>
      <c r="W68" s="7"/>
      <c r="X68" s="7"/>
      <c r="Y68" s="7"/>
      <c r="Z68" s="7"/>
      <c r="AA68" s="7"/>
      <c r="AB68" s="7"/>
      <c r="AC68" s="7"/>
      <c r="AD68" s="7"/>
      <c r="AE68" s="7"/>
      <c r="AF68" s="7"/>
      <c r="AG68" s="298">
        <f t="shared" ref="AG68:AG76" si="137">1/(1-G68)</f>
        <v>1</v>
      </c>
      <c r="AH68" s="97"/>
      <c r="AI68" s="97"/>
      <c r="AJ68" s="97"/>
      <c r="AK68" s="97"/>
      <c r="AL68" s="97"/>
      <c r="AM68" s="97"/>
      <c r="AN68" s="97"/>
      <c r="AO68" s="97"/>
      <c r="AP68" s="97"/>
      <c r="AQ68" s="97"/>
      <c r="AR68" s="97"/>
      <c r="AS68" s="97"/>
    </row>
    <row r="69" spans="2:45" s="108" customFormat="1" ht="19.5" customHeight="1" x14ac:dyDescent="0.25">
      <c r="B69" s="6"/>
      <c r="C69" s="10"/>
      <c r="D69" s="10"/>
      <c r="E69" s="10"/>
      <c r="F69" s="291"/>
      <c r="G69" s="292"/>
      <c r="H69" s="11"/>
      <c r="I69" s="11"/>
      <c r="J69" s="11"/>
      <c r="K69" s="11"/>
      <c r="L69" s="11"/>
      <c r="M69" s="11"/>
      <c r="N69" s="11"/>
      <c r="O69" s="11"/>
      <c r="P69" s="11"/>
      <c r="Q69" s="7"/>
      <c r="R69" s="7"/>
      <c r="S69" s="7"/>
      <c r="T69" s="7"/>
      <c r="U69" s="7"/>
      <c r="V69" s="7"/>
      <c r="W69" s="7"/>
      <c r="X69" s="7"/>
      <c r="Y69" s="7"/>
      <c r="Z69" s="7"/>
      <c r="AA69" s="7"/>
      <c r="AB69" s="7"/>
      <c r="AC69" s="7"/>
      <c r="AD69" s="7"/>
      <c r="AE69" s="7"/>
      <c r="AF69" s="7"/>
      <c r="AG69" s="298">
        <f t="shared" si="137"/>
        <v>1</v>
      </c>
      <c r="AH69" s="97"/>
      <c r="AI69" s="97"/>
      <c r="AJ69" s="97"/>
      <c r="AK69" s="97"/>
      <c r="AL69" s="97"/>
      <c r="AM69" s="97"/>
      <c r="AN69" s="97"/>
      <c r="AO69" s="97"/>
      <c r="AP69" s="97"/>
      <c r="AQ69" s="97"/>
      <c r="AR69" s="97"/>
      <c r="AS69" s="97"/>
    </row>
    <row r="70" spans="2:45" s="108" customFormat="1" ht="19.5" customHeight="1" x14ac:dyDescent="0.25">
      <c r="B70" s="6"/>
      <c r="C70" s="10"/>
      <c r="D70" s="10"/>
      <c r="E70" s="10"/>
      <c r="F70" s="291"/>
      <c r="G70" s="292"/>
      <c r="H70" s="11"/>
      <c r="I70" s="11"/>
      <c r="J70" s="11"/>
      <c r="K70" s="11"/>
      <c r="L70" s="11"/>
      <c r="M70" s="11"/>
      <c r="N70" s="11"/>
      <c r="O70" s="11"/>
      <c r="P70" s="11"/>
      <c r="Q70" s="7"/>
      <c r="R70" s="7"/>
      <c r="S70" s="7"/>
      <c r="T70" s="7"/>
      <c r="U70" s="7"/>
      <c r="V70" s="7"/>
      <c r="W70" s="7"/>
      <c r="X70" s="7"/>
      <c r="Y70" s="7"/>
      <c r="Z70" s="7"/>
      <c r="AA70" s="7"/>
      <c r="AB70" s="7"/>
      <c r="AC70" s="7"/>
      <c r="AD70" s="7"/>
      <c r="AE70" s="7"/>
      <c r="AF70" s="7"/>
      <c r="AG70" s="298">
        <f t="shared" si="137"/>
        <v>1</v>
      </c>
      <c r="AH70" s="97"/>
      <c r="AI70" s="97"/>
      <c r="AJ70" s="97"/>
      <c r="AK70" s="97"/>
      <c r="AL70" s="97"/>
      <c r="AM70" s="97"/>
      <c r="AN70" s="97"/>
      <c r="AO70" s="97"/>
      <c r="AP70" s="97"/>
      <c r="AQ70" s="97"/>
      <c r="AR70" s="97"/>
      <c r="AS70" s="97"/>
    </row>
    <row r="71" spans="2:45" s="108" customFormat="1" ht="19.5" customHeight="1" x14ac:dyDescent="0.25">
      <c r="B71" s="6"/>
      <c r="C71" s="10"/>
      <c r="D71" s="10"/>
      <c r="E71" s="10"/>
      <c r="F71" s="291"/>
      <c r="G71" s="292"/>
      <c r="H71" s="11"/>
      <c r="I71" s="11"/>
      <c r="J71" s="11"/>
      <c r="K71" s="11"/>
      <c r="L71" s="11"/>
      <c r="M71" s="11"/>
      <c r="N71" s="11"/>
      <c r="O71" s="11"/>
      <c r="P71" s="11"/>
      <c r="Q71" s="7"/>
      <c r="R71" s="7"/>
      <c r="S71" s="7"/>
      <c r="T71" s="7"/>
      <c r="U71" s="7"/>
      <c r="V71" s="7"/>
      <c r="W71" s="7"/>
      <c r="X71" s="7"/>
      <c r="Y71" s="7"/>
      <c r="Z71" s="7"/>
      <c r="AA71" s="7"/>
      <c r="AB71" s="7"/>
      <c r="AC71" s="7"/>
      <c r="AD71" s="7"/>
      <c r="AE71" s="7"/>
      <c r="AF71" s="7"/>
      <c r="AG71" s="298">
        <f t="shared" si="137"/>
        <v>1</v>
      </c>
      <c r="AH71" s="97"/>
      <c r="AI71" s="97"/>
      <c r="AJ71" s="97"/>
      <c r="AK71" s="97"/>
      <c r="AL71" s="97"/>
      <c r="AM71" s="97"/>
      <c r="AN71" s="97"/>
      <c r="AO71" s="97"/>
      <c r="AP71" s="97"/>
      <c r="AQ71" s="97"/>
      <c r="AR71" s="97"/>
      <c r="AS71" s="97"/>
    </row>
    <row r="72" spans="2:45" s="108" customFormat="1" ht="19.5" customHeight="1" x14ac:dyDescent="0.25">
      <c r="B72" s="6"/>
      <c r="C72" s="10"/>
      <c r="D72" s="10"/>
      <c r="E72" s="10"/>
      <c r="F72" s="291"/>
      <c r="G72" s="292"/>
      <c r="H72" s="11"/>
      <c r="I72" s="11"/>
      <c r="J72" s="11"/>
      <c r="K72" s="11"/>
      <c r="L72" s="11"/>
      <c r="M72" s="11"/>
      <c r="N72" s="11"/>
      <c r="O72" s="11"/>
      <c r="P72" s="11"/>
      <c r="Q72" s="7"/>
      <c r="R72" s="7"/>
      <c r="S72" s="7"/>
      <c r="T72" s="7"/>
      <c r="U72" s="7"/>
      <c r="V72" s="7"/>
      <c r="W72" s="7"/>
      <c r="X72" s="7"/>
      <c r="Y72" s="7"/>
      <c r="Z72" s="7"/>
      <c r="AA72" s="7"/>
      <c r="AB72" s="7"/>
      <c r="AC72" s="7"/>
      <c r="AD72" s="7"/>
      <c r="AE72" s="7"/>
      <c r="AF72" s="7"/>
      <c r="AG72" s="298">
        <f t="shared" si="137"/>
        <v>1</v>
      </c>
      <c r="AH72" s="97"/>
      <c r="AI72" s="97"/>
      <c r="AJ72" s="97"/>
      <c r="AK72" s="97"/>
      <c r="AL72" s="97"/>
      <c r="AM72" s="97"/>
      <c r="AN72" s="97"/>
      <c r="AO72" s="97"/>
      <c r="AP72" s="97"/>
      <c r="AQ72" s="97"/>
      <c r="AR72" s="97"/>
      <c r="AS72" s="97"/>
    </row>
    <row r="73" spans="2:45" s="108" customFormat="1" ht="19.5" customHeight="1" x14ac:dyDescent="0.25">
      <c r="B73" s="6"/>
      <c r="C73" s="10"/>
      <c r="D73" s="10"/>
      <c r="E73" s="10"/>
      <c r="F73" s="291"/>
      <c r="G73" s="292"/>
      <c r="H73" s="11"/>
      <c r="I73" s="11"/>
      <c r="J73" s="11"/>
      <c r="K73" s="11"/>
      <c r="L73" s="11"/>
      <c r="M73" s="11"/>
      <c r="N73" s="11"/>
      <c r="O73" s="11"/>
      <c r="P73" s="11"/>
      <c r="Q73" s="7"/>
      <c r="R73" s="7"/>
      <c r="S73" s="7"/>
      <c r="T73" s="7"/>
      <c r="U73" s="7"/>
      <c r="V73" s="7"/>
      <c r="W73" s="7"/>
      <c r="X73" s="7"/>
      <c r="Y73" s="7"/>
      <c r="Z73" s="7"/>
      <c r="AA73" s="7"/>
      <c r="AB73" s="7"/>
      <c r="AC73" s="7"/>
      <c r="AD73" s="7"/>
      <c r="AE73" s="7"/>
      <c r="AF73" s="7"/>
      <c r="AG73" s="298">
        <f t="shared" si="137"/>
        <v>1</v>
      </c>
      <c r="AH73" s="97"/>
      <c r="AI73" s="97"/>
      <c r="AJ73" s="97"/>
      <c r="AK73" s="97"/>
      <c r="AL73" s="97"/>
      <c r="AM73" s="97"/>
      <c r="AN73" s="97"/>
      <c r="AO73" s="97"/>
      <c r="AP73" s="97"/>
      <c r="AQ73" s="97"/>
      <c r="AR73" s="97"/>
      <c r="AS73" s="97"/>
    </row>
    <row r="74" spans="2:45" s="108" customFormat="1" ht="19.5" customHeight="1" x14ac:dyDescent="0.25">
      <c r="B74" s="6"/>
      <c r="C74" s="10"/>
      <c r="D74" s="10"/>
      <c r="E74" s="10"/>
      <c r="F74" s="291"/>
      <c r="G74" s="292"/>
      <c r="H74" s="11"/>
      <c r="I74" s="11"/>
      <c r="J74" s="11"/>
      <c r="K74" s="11"/>
      <c r="L74" s="11"/>
      <c r="M74" s="11"/>
      <c r="N74" s="11"/>
      <c r="O74" s="11"/>
      <c r="P74" s="11"/>
      <c r="Q74" s="7"/>
      <c r="R74" s="7"/>
      <c r="S74" s="7"/>
      <c r="T74" s="7"/>
      <c r="U74" s="7"/>
      <c r="V74" s="7"/>
      <c r="W74" s="7"/>
      <c r="X74" s="7"/>
      <c r="Y74" s="7"/>
      <c r="Z74" s="7"/>
      <c r="AA74" s="7"/>
      <c r="AB74" s="7"/>
      <c r="AC74" s="7"/>
      <c r="AD74" s="7"/>
      <c r="AE74" s="7"/>
      <c r="AF74" s="7"/>
      <c r="AG74" s="298">
        <f t="shared" si="137"/>
        <v>1</v>
      </c>
      <c r="AH74" s="97"/>
      <c r="AI74" s="97"/>
      <c r="AJ74" s="97"/>
      <c r="AK74" s="97"/>
      <c r="AL74" s="97"/>
      <c r="AM74" s="97"/>
      <c r="AN74" s="97"/>
      <c r="AO74" s="97"/>
      <c r="AP74" s="97"/>
      <c r="AQ74" s="97"/>
      <c r="AR74" s="97"/>
      <c r="AS74" s="97"/>
    </row>
    <row r="75" spans="2:45" s="108" customFormat="1" ht="19.5" customHeight="1" x14ac:dyDescent="0.25">
      <c r="B75" s="6"/>
      <c r="C75" s="10"/>
      <c r="D75" s="10"/>
      <c r="E75" s="10"/>
      <c r="F75" s="291"/>
      <c r="G75" s="292"/>
      <c r="H75" s="11"/>
      <c r="I75" s="11"/>
      <c r="J75" s="11"/>
      <c r="K75" s="11"/>
      <c r="L75" s="11"/>
      <c r="M75" s="11"/>
      <c r="N75" s="11"/>
      <c r="O75" s="11"/>
      <c r="P75" s="11"/>
      <c r="Q75" s="7"/>
      <c r="R75" s="7"/>
      <c r="S75" s="7"/>
      <c r="T75" s="7"/>
      <c r="U75" s="7"/>
      <c r="V75" s="7"/>
      <c r="W75" s="7"/>
      <c r="X75" s="7"/>
      <c r="Y75" s="7"/>
      <c r="Z75" s="7"/>
      <c r="AA75" s="7"/>
      <c r="AB75" s="7"/>
      <c r="AC75" s="7"/>
      <c r="AD75" s="7"/>
      <c r="AE75" s="7"/>
      <c r="AF75" s="7"/>
      <c r="AG75" s="298">
        <f t="shared" si="137"/>
        <v>1</v>
      </c>
      <c r="AH75" s="97"/>
      <c r="AI75" s="97"/>
      <c r="AJ75" s="97"/>
      <c r="AK75" s="97"/>
      <c r="AL75" s="97"/>
      <c r="AM75" s="97"/>
      <c r="AN75" s="97"/>
      <c r="AO75" s="97"/>
      <c r="AP75" s="97"/>
      <c r="AQ75" s="97"/>
      <c r="AR75" s="97"/>
      <c r="AS75" s="97"/>
    </row>
    <row r="76" spans="2:45" s="108" customFormat="1" ht="19.5" customHeight="1" x14ac:dyDescent="0.25">
      <c r="B76" s="6"/>
      <c r="C76" s="10"/>
      <c r="D76" s="10"/>
      <c r="E76" s="10"/>
      <c r="F76" s="291"/>
      <c r="G76" s="292"/>
      <c r="H76" s="11"/>
      <c r="I76" s="11"/>
      <c r="J76" s="11"/>
      <c r="K76" s="11"/>
      <c r="L76" s="11"/>
      <c r="M76" s="11"/>
      <c r="N76" s="11"/>
      <c r="O76" s="11"/>
      <c r="P76" s="11"/>
      <c r="Q76" s="7"/>
      <c r="R76" s="7"/>
      <c r="S76" s="7"/>
      <c r="T76" s="7"/>
      <c r="U76" s="7"/>
      <c r="V76" s="7"/>
      <c r="W76" s="7"/>
      <c r="X76" s="7"/>
      <c r="Y76" s="7"/>
      <c r="Z76" s="7"/>
      <c r="AA76" s="7"/>
      <c r="AB76" s="7"/>
      <c r="AC76" s="7"/>
      <c r="AD76" s="7"/>
      <c r="AE76" s="7"/>
      <c r="AF76" s="7"/>
      <c r="AG76" s="298">
        <f t="shared" si="137"/>
        <v>1</v>
      </c>
      <c r="AH76" s="97"/>
      <c r="AI76" s="97"/>
      <c r="AJ76" s="97"/>
      <c r="AK76" s="97"/>
      <c r="AL76" s="97"/>
      <c r="AM76" s="97"/>
      <c r="AN76" s="97"/>
      <c r="AO76" s="97"/>
      <c r="AP76" s="97"/>
      <c r="AQ76" s="97"/>
      <c r="AR76" s="97"/>
      <c r="AS76" s="97"/>
    </row>
    <row r="77" spans="2:45" ht="20.149999999999999" customHeight="1" x14ac:dyDescent="0.25">
      <c r="B77" s="142" t="s">
        <v>161</v>
      </c>
      <c r="C77" s="143"/>
      <c r="D77" s="143"/>
      <c r="E77" s="143"/>
      <c r="F77" s="144"/>
      <c r="G77" s="144"/>
      <c r="H77" s="144">
        <f>SUM(H67:H76)</f>
        <v>1000</v>
      </c>
      <c r="I77" s="144">
        <f>SUM(I67:I76)</f>
        <v>0</v>
      </c>
      <c r="J77" s="144">
        <f t="shared" ref="J77:AD77" si="138">SUM(J67:J76)</f>
        <v>0</v>
      </c>
      <c r="K77" s="144">
        <f t="shared" si="138"/>
        <v>0</v>
      </c>
      <c r="L77" s="144">
        <f t="shared" si="138"/>
        <v>0</v>
      </c>
      <c r="M77" s="144">
        <f t="shared" si="138"/>
        <v>0</v>
      </c>
      <c r="N77" s="144">
        <f t="shared" si="138"/>
        <v>0</v>
      </c>
      <c r="O77" s="144">
        <f t="shared" si="138"/>
        <v>0</v>
      </c>
      <c r="P77" s="144">
        <f t="shared" si="138"/>
        <v>0</v>
      </c>
      <c r="Q77" s="144">
        <f t="shared" si="138"/>
        <v>0</v>
      </c>
      <c r="R77" s="144">
        <f t="shared" si="138"/>
        <v>0</v>
      </c>
      <c r="S77" s="144">
        <f t="shared" si="138"/>
        <v>0</v>
      </c>
      <c r="T77" s="144">
        <f t="shared" si="138"/>
        <v>0</v>
      </c>
      <c r="U77" s="144">
        <f t="shared" si="138"/>
        <v>0</v>
      </c>
      <c r="V77" s="144">
        <f t="shared" si="138"/>
        <v>0</v>
      </c>
      <c r="W77" s="144">
        <f t="shared" si="138"/>
        <v>0</v>
      </c>
      <c r="X77" s="144">
        <f t="shared" si="138"/>
        <v>0</v>
      </c>
      <c r="Y77" s="144">
        <f t="shared" si="138"/>
        <v>0</v>
      </c>
      <c r="Z77" s="144">
        <f t="shared" si="138"/>
        <v>0</v>
      </c>
      <c r="AA77" s="144">
        <f t="shared" si="138"/>
        <v>0</v>
      </c>
      <c r="AB77" s="144">
        <f t="shared" si="138"/>
        <v>0</v>
      </c>
      <c r="AC77" s="144">
        <f t="shared" si="138"/>
        <v>0</v>
      </c>
      <c r="AD77" s="144">
        <f t="shared" si="138"/>
        <v>0</v>
      </c>
      <c r="AE77" s="144">
        <f t="shared" ref="AE77:AF77" si="139">SUM(AE67:AE76)</f>
        <v>0</v>
      </c>
      <c r="AF77" s="144">
        <f t="shared" si="139"/>
        <v>0</v>
      </c>
    </row>
    <row r="78" spans="2:45" ht="20.149999999999999" customHeight="1" x14ac:dyDescent="0.25">
      <c r="B78" s="125" t="s">
        <v>162</v>
      </c>
      <c r="C78" s="126"/>
      <c r="D78" s="127"/>
      <c r="E78" s="127"/>
      <c r="F78" s="124"/>
      <c r="G78" s="124"/>
      <c r="H78" s="293" cm="1">
        <f t="array" ref="H78">SUMPRODUCT(($F$67:$F$76="SI")*1,$AG$67:$AG$76,H67:H76)</f>
        <v>0</v>
      </c>
      <c r="I78" s="293" cm="1">
        <f t="array" ref="I78">SUMPRODUCT(($F$67:$F$76="SI")*1,$AG$67:$AG$76,I67:I76)</f>
        <v>0</v>
      </c>
      <c r="J78" s="293" cm="1">
        <f t="array" ref="J78">SUMPRODUCT(($F$67:$F$76="SI")*1,$AG$67:$AG$76,J67:J76)</f>
        <v>0</v>
      </c>
      <c r="K78" s="293" cm="1">
        <f t="array" ref="K78">SUMPRODUCT(($F$67:$F$76="SI")*1,$AG$67:$AG$76,K67:K76)</f>
        <v>0</v>
      </c>
      <c r="L78" s="293" cm="1">
        <f t="array" ref="L78">SUMPRODUCT(($F$67:$F$76="SI")*1,$AG$67:$AG$76,L67:L76)</f>
        <v>0</v>
      </c>
      <c r="M78" s="293" cm="1">
        <f t="array" ref="M78">SUMPRODUCT(($F$67:$F$76="SI")*1,$AG$67:$AG$76,M67:M76)</f>
        <v>0</v>
      </c>
      <c r="N78" s="293" cm="1">
        <f t="array" ref="N78">SUMPRODUCT(($F$67:$F$76="SI")*1,$AG$67:$AG$76,N67:N76)</f>
        <v>0</v>
      </c>
      <c r="O78" s="293" cm="1">
        <f t="array" ref="O78">SUMPRODUCT(($F$67:$F$76="SI")*1,$AG$67:$AG$76,O67:O76)</f>
        <v>0</v>
      </c>
      <c r="P78" s="293" cm="1">
        <f t="array" ref="P78">SUMPRODUCT(($F$67:$F$76="SI")*1,$AG$67:$AG$76,P67:P76)</f>
        <v>0</v>
      </c>
      <c r="Q78" s="293" cm="1">
        <f t="array" ref="Q78">SUMPRODUCT(($F$67:$F$76="SI")*1,$AG$67:$AG$76,Q67:Q76)</f>
        <v>0</v>
      </c>
      <c r="R78" s="293" cm="1">
        <f t="array" ref="R78">SUMPRODUCT(($F$67:$F$76="SI")*1,$AG$67:$AG$76,R67:R76)</f>
        <v>0</v>
      </c>
      <c r="S78" s="293" cm="1">
        <f t="array" ref="S78">SUMPRODUCT(($F$67:$F$76="SI")*1,$AG$67:$AG$76,S67:S76)</f>
        <v>0</v>
      </c>
      <c r="T78" s="293" cm="1">
        <f t="array" ref="T78">SUMPRODUCT(($F$67:$F$76="SI")*1,$AG$67:$AG$76,T67:T76)</f>
        <v>0</v>
      </c>
      <c r="U78" s="293" cm="1">
        <f t="array" ref="U78">SUMPRODUCT(($F$67:$F$76="SI")*1,$AG$67:$AG$76,U67:U76)</f>
        <v>0</v>
      </c>
      <c r="V78" s="293" cm="1">
        <f t="array" ref="V78">SUMPRODUCT(($F$67:$F$76="SI")*1,$AG$67:$AG$76,V67:V76)</f>
        <v>0</v>
      </c>
      <c r="W78" s="293" cm="1">
        <f t="array" ref="W78">SUMPRODUCT(($F$67:$F$76="SI")*1,$AG$67:$AG$76,W67:W76)</f>
        <v>0</v>
      </c>
      <c r="X78" s="293" cm="1">
        <f t="array" ref="X78">SUMPRODUCT(($F$67:$F$76="SI")*1,$AG$67:$AG$76,X67:X76)</f>
        <v>0</v>
      </c>
      <c r="Y78" s="293" cm="1">
        <f t="array" ref="Y78">SUMPRODUCT(($F$67:$F$76="SI")*1,$AG$67:$AG$76,Y67:Y76)</f>
        <v>0</v>
      </c>
      <c r="Z78" s="293" cm="1">
        <f t="array" ref="Z78">SUMPRODUCT(($F$67:$F$76="SI")*1,$AG$67:$AG$76,Z67:Z76)</f>
        <v>0</v>
      </c>
      <c r="AA78" s="293" cm="1">
        <f t="array" ref="AA78">SUMPRODUCT(($F$67:$F$76="SI")*1,$AG$67:$AG$76,AA67:AA76)</f>
        <v>0</v>
      </c>
      <c r="AB78" s="293" cm="1">
        <f t="array" ref="AB78">SUMPRODUCT(($F$67:$F$76="SI")*1,$AG$67:$AG$76,AB67:AB76)</f>
        <v>0</v>
      </c>
      <c r="AC78" s="293" cm="1">
        <f t="array" ref="AC78">SUMPRODUCT(($F$67:$F$76="SI")*1,$AG$67:$AG$76,AC67:AC76)</f>
        <v>0</v>
      </c>
      <c r="AD78" s="293" cm="1">
        <f t="array" ref="AD78">SUMPRODUCT(($F$67:$F$76="SI")*1,$AG$67:$AG$76,AD67:AD76)</f>
        <v>0</v>
      </c>
      <c r="AE78" s="293" cm="1">
        <f t="array" ref="AE78">SUMPRODUCT(($F$67:$F$76="SI")*1,$AG$67:$AG$76,AE67:AE76)</f>
        <v>0</v>
      </c>
      <c r="AF78" s="293" cm="1">
        <f t="array" ref="AF78">SUMPRODUCT(($F$67:$F$76="SI")*1,$AG$67:$AG$76,AF67:AF76)</f>
        <v>0</v>
      </c>
    </row>
    <row r="79" spans="2:45" ht="20.149999999999999" customHeight="1" x14ac:dyDescent="0.25">
      <c r="C79" s="103"/>
      <c r="D79" s="103"/>
      <c r="E79" s="113"/>
      <c r="F79" s="128"/>
      <c r="G79" s="128"/>
      <c r="H79" s="128"/>
      <c r="I79" s="128"/>
      <c r="J79" s="128"/>
      <c r="K79" s="128"/>
      <c r="L79" s="128"/>
      <c r="M79" s="128"/>
      <c r="N79" s="128"/>
      <c r="O79" s="128"/>
      <c r="P79" s="128"/>
      <c r="Q79" s="128"/>
      <c r="R79" s="128"/>
      <c r="S79" s="128"/>
      <c r="T79" s="128"/>
      <c r="U79" s="129"/>
      <c r="V79" s="129"/>
      <c r="W79" s="129"/>
      <c r="X79" s="129"/>
      <c r="Y79" s="129"/>
      <c r="Z79" s="129"/>
      <c r="AA79" s="129"/>
      <c r="AB79" s="129"/>
      <c r="AC79" s="129"/>
      <c r="AD79" s="129"/>
      <c r="AE79" s="129"/>
      <c r="AF79" s="129"/>
    </row>
    <row r="80" spans="2:45" ht="20.149999999999999" customHeight="1" x14ac:dyDescent="0.25">
      <c r="B80" s="102"/>
      <c r="C80" s="103"/>
      <c r="D80" s="103"/>
      <c r="E80" s="113"/>
      <c r="F80" s="128"/>
      <c r="G80" s="128"/>
      <c r="H80" s="128"/>
      <c r="I80" s="128"/>
      <c r="J80" s="128"/>
      <c r="K80" s="128"/>
      <c r="L80" s="128"/>
      <c r="M80" s="128"/>
      <c r="N80" s="128"/>
      <c r="O80" s="128"/>
      <c r="P80" s="128"/>
      <c r="Q80" s="128"/>
      <c r="R80" s="128"/>
      <c r="S80" s="128"/>
      <c r="T80" s="128"/>
      <c r="U80" s="129"/>
      <c r="V80" s="129"/>
      <c r="W80" s="129"/>
      <c r="X80" s="129"/>
      <c r="Y80" s="129"/>
      <c r="Z80" s="129"/>
      <c r="AA80" s="129"/>
      <c r="AB80" s="129"/>
      <c r="AC80" s="129"/>
      <c r="AD80" s="129"/>
      <c r="AE80" s="129"/>
      <c r="AF80" s="129"/>
    </row>
    <row r="81" spans="2:32" ht="20.149999999999999" customHeight="1" x14ac:dyDescent="0.25">
      <c r="B81" s="102"/>
      <c r="C81" s="103"/>
      <c r="D81" s="103"/>
      <c r="E81" s="113"/>
      <c r="F81" s="128"/>
      <c r="G81" s="128"/>
      <c r="H81" s="128"/>
      <c r="I81" s="128"/>
      <c r="J81" s="128"/>
      <c r="K81" s="128"/>
      <c r="L81" s="128"/>
      <c r="M81" s="128"/>
      <c r="N81" s="128"/>
      <c r="O81" s="128"/>
      <c r="P81" s="128"/>
      <c r="Q81" s="128"/>
      <c r="R81" s="128"/>
      <c r="S81" s="128"/>
      <c r="T81" s="128"/>
      <c r="U81" s="129"/>
      <c r="V81" s="129"/>
      <c r="W81" s="129"/>
      <c r="X81" s="129"/>
      <c r="Y81" s="129"/>
      <c r="Z81" s="129"/>
      <c r="AA81" s="129"/>
      <c r="AB81" s="129"/>
      <c r="AC81" s="129"/>
      <c r="AD81" s="129"/>
      <c r="AE81" s="129"/>
      <c r="AF81" s="129"/>
    </row>
    <row r="82" spans="2:32" x14ac:dyDescent="0.25">
      <c r="H82" s="103"/>
      <c r="I82" s="103"/>
      <c r="J82" s="103"/>
      <c r="K82" s="103"/>
      <c r="L82" s="103"/>
      <c r="M82" s="103"/>
      <c r="N82" s="103"/>
      <c r="O82" s="103"/>
      <c r="P82" s="103"/>
      <c r="Q82" s="103"/>
    </row>
    <row r="85" spans="2:32" hidden="1" x14ac:dyDescent="0.25"/>
    <row r="86" spans="2:32" hidden="1" x14ac:dyDescent="0.25"/>
    <row r="87" spans="2:32" hidden="1" x14ac:dyDescent="0.25"/>
    <row r="88" spans="2:32" ht="14" hidden="1" x14ac:dyDescent="0.3">
      <c r="B88" s="145" t="s">
        <v>163</v>
      </c>
    </row>
    <row r="89" spans="2:32" ht="14" hidden="1" x14ac:dyDescent="0.3">
      <c r="B89" s="25" t="s">
        <v>164</v>
      </c>
    </row>
    <row r="90" spans="2:32" ht="14" hidden="1" x14ac:dyDescent="0.3">
      <c r="B90" s="25" t="s">
        <v>165</v>
      </c>
    </row>
    <row r="91" spans="2:32" ht="14" hidden="1" x14ac:dyDescent="0.3">
      <c r="B91" s="25" t="s">
        <v>166</v>
      </c>
    </row>
    <row r="92" spans="2:32" ht="14" hidden="1" x14ac:dyDescent="0.3">
      <c r="B92" s="25" t="s">
        <v>167</v>
      </c>
    </row>
    <row r="93" spans="2:32" ht="14" hidden="1" x14ac:dyDescent="0.3">
      <c r="B93" s="25" t="s">
        <v>168</v>
      </c>
    </row>
    <row r="94" spans="2:32" ht="14" hidden="1" x14ac:dyDescent="0.3">
      <c r="B94" s="25" t="s">
        <v>169</v>
      </c>
    </row>
    <row r="95" spans="2:32" ht="14" hidden="1" x14ac:dyDescent="0.3">
      <c r="B95" s="25"/>
    </row>
    <row r="96" spans="2:32" ht="14" hidden="1" x14ac:dyDescent="0.3">
      <c r="B96" s="25"/>
    </row>
    <row r="97" spans="2:2" ht="14" hidden="1" x14ac:dyDescent="0.3">
      <c r="B97" s="25"/>
    </row>
    <row r="98" spans="2:2" ht="14" hidden="1" x14ac:dyDescent="0.3">
      <c r="B98" s="25"/>
    </row>
    <row r="99" spans="2:2" ht="14" hidden="1" x14ac:dyDescent="0.3">
      <c r="B99" s="25"/>
    </row>
  </sheetData>
  <sheetProtection algorithmName="SHA-512" hashValue="J7em2zykq+L5BUlmDIygeekJlno4i3RvAAIjgqUufKZBeR/ehbvYHPX+Nmi5KxHj0dHNP5gJv0uK8DaeRLwqOg==" saltValue="UrelOlukPIbjlcuIRs6UZw==" spinCount="100000" sheet="1" objects="1" scenarios="1"/>
  <autoFilter ref="B66:E66" xr:uid="{C9AA7D31-B8D8-407C-B661-DEF18A68B713}"/>
  <mergeCells count="28">
    <mergeCell ref="F36:F37"/>
    <mergeCell ref="C42:E42"/>
    <mergeCell ref="C43:E43"/>
    <mergeCell ref="D60:E60"/>
    <mergeCell ref="D52:E52"/>
    <mergeCell ref="D53:E53"/>
    <mergeCell ref="D54:E54"/>
    <mergeCell ref="D55:E55"/>
    <mergeCell ref="D58:E58"/>
    <mergeCell ref="D59:E59"/>
    <mergeCell ref="D56:E56"/>
    <mergeCell ref="D57:E57"/>
    <mergeCell ref="F10:F11"/>
    <mergeCell ref="F12:F13"/>
    <mergeCell ref="F14:F15"/>
    <mergeCell ref="F16:F17"/>
    <mergeCell ref="L64:Q64"/>
    <mergeCell ref="L50:Q50"/>
    <mergeCell ref="F18:F19"/>
    <mergeCell ref="F20:F21"/>
    <mergeCell ref="F22:F23"/>
    <mergeCell ref="F24:F25"/>
    <mergeCell ref="F26:F27"/>
    <mergeCell ref="F38:F39"/>
    <mergeCell ref="F28:F29"/>
    <mergeCell ref="F30:F31"/>
    <mergeCell ref="F32:F33"/>
    <mergeCell ref="F34:F35"/>
  </mergeCells>
  <phoneticPr fontId="3" type="noConversion"/>
  <conditionalFormatting sqref="E47">
    <cfRule type="expression" dxfId="470" priority="5">
      <formula>$E$47&lt;0</formula>
    </cfRule>
  </conditionalFormatting>
  <conditionalFormatting sqref="E48">
    <cfRule type="expression" dxfId="469" priority="3">
      <formula>$E$48&lt;0</formula>
    </cfRule>
  </conditionalFormatting>
  <conditionalFormatting sqref="H7">
    <cfRule type="expression" dxfId="468" priority="153">
      <formula>$H$7="Fin"</formula>
    </cfRule>
    <cfRule type="expression" dxfId="467" priority="154">
      <formula>$H$7="Prev"</formula>
    </cfRule>
    <cfRule type="expression" dxfId="466" priority="155">
      <formula>$H$7="Real"</formula>
    </cfRule>
  </conditionalFormatting>
  <conditionalFormatting sqref="H10:H39">
    <cfRule type="expression" dxfId="465" priority="93">
      <formula>$H$7="Fin"</formula>
    </cfRule>
    <cfRule type="expression" dxfId="464" priority="94">
      <formula>$H$7="Prev"</formula>
    </cfRule>
    <cfRule type="expression" dxfId="463" priority="95">
      <formula>$H$7="Real"</formula>
    </cfRule>
  </conditionalFormatting>
  <conditionalFormatting sqref="I7">
    <cfRule type="expression" dxfId="462" priority="157">
      <formula>$I$7="Prev"</formula>
    </cfRule>
    <cfRule type="expression" dxfId="461" priority="158">
      <formula>$I$7="Real"</formula>
    </cfRule>
    <cfRule type="expression" dxfId="460" priority="156">
      <formula>$I$7="Fin"</formula>
    </cfRule>
  </conditionalFormatting>
  <conditionalFormatting sqref="I10:I39">
    <cfRule type="expression" dxfId="459" priority="91">
      <formula>$I$7="Prev"</formula>
    </cfRule>
    <cfRule type="expression" dxfId="458" priority="92">
      <formula>$I$7="Real"</formula>
    </cfRule>
    <cfRule type="expression" dxfId="457" priority="90">
      <formula>$I$7="Fin"</formula>
    </cfRule>
  </conditionalFormatting>
  <conditionalFormatting sqref="J5">
    <cfRule type="expression" dxfId="456" priority="7">
      <formula>$J$5&lt;0</formula>
    </cfRule>
  </conditionalFormatting>
  <conditionalFormatting sqref="J7">
    <cfRule type="expression" dxfId="455" priority="159">
      <formula>$J$7="Fin"</formula>
    </cfRule>
    <cfRule type="expression" dxfId="454" priority="160">
      <formula>$J$7="Prev"</formula>
    </cfRule>
    <cfRule type="expression" dxfId="453" priority="161">
      <formula>$J$7="Real"</formula>
    </cfRule>
  </conditionalFormatting>
  <conditionalFormatting sqref="J10:J39">
    <cfRule type="expression" dxfId="452" priority="85">
      <formula>$J$7="Prev"</formula>
    </cfRule>
    <cfRule type="expression" dxfId="451" priority="84">
      <formula>$J$7="Fin"</formula>
    </cfRule>
    <cfRule type="expression" dxfId="450" priority="86">
      <formula>$J$7="Real"</formula>
    </cfRule>
  </conditionalFormatting>
  <conditionalFormatting sqref="J50">
    <cfRule type="expression" dxfId="449" priority="6">
      <formula>$J$50&lt;0</formula>
    </cfRule>
  </conditionalFormatting>
  <conditionalFormatting sqref="J64">
    <cfRule type="expression" dxfId="448" priority="2">
      <formula>$J$64&lt;0</formula>
    </cfRule>
  </conditionalFormatting>
  <conditionalFormatting sqref="K7">
    <cfRule type="expression" dxfId="447" priority="163">
      <formula>$K$7="Prev"</formula>
    </cfRule>
    <cfRule type="expression" dxfId="446" priority="162">
      <formula>$K$7="Fin"</formula>
    </cfRule>
    <cfRule type="expression" dxfId="445" priority="164">
      <formula>$K$7="Real"</formula>
    </cfRule>
  </conditionalFormatting>
  <conditionalFormatting sqref="K10:K39">
    <cfRule type="expression" dxfId="444" priority="83">
      <formula>$K$7="Real"</formula>
    </cfRule>
    <cfRule type="expression" dxfId="443" priority="81">
      <formula>$K$7="Fin"</formula>
    </cfRule>
    <cfRule type="expression" dxfId="442" priority="82">
      <formula>$K$7="Prev"</formula>
    </cfRule>
  </conditionalFormatting>
  <conditionalFormatting sqref="L7">
    <cfRule type="expression" dxfId="441" priority="165">
      <formula>$L$7="Fin"</formula>
    </cfRule>
    <cfRule type="expression" dxfId="440" priority="167">
      <formula>$L$7="Real"</formula>
    </cfRule>
    <cfRule type="expression" dxfId="439" priority="166">
      <formula>$L$7="Prev"</formula>
    </cfRule>
  </conditionalFormatting>
  <conditionalFormatting sqref="L10:L39">
    <cfRule type="expression" dxfId="438" priority="78">
      <formula>$L$7="Fin"</formula>
    </cfRule>
    <cfRule type="expression" dxfId="437" priority="79">
      <formula>$L$7="Prev"</formula>
    </cfRule>
    <cfRule type="expression" dxfId="436" priority="80">
      <formula>$L$7="Real"</formula>
    </cfRule>
  </conditionalFormatting>
  <conditionalFormatting sqref="L50:Q50">
    <cfRule type="expression" dxfId="435" priority="15">
      <formula>$J$50&gt;=0</formula>
    </cfRule>
  </conditionalFormatting>
  <conditionalFormatting sqref="L64:Q64">
    <cfRule type="expression" dxfId="434" priority="14">
      <formula>$J$64&gt;=0</formula>
    </cfRule>
  </conditionalFormatting>
  <conditionalFormatting sqref="M7">
    <cfRule type="expression" dxfId="433" priority="152">
      <formula>$M$7="Real"</formula>
    </cfRule>
    <cfRule type="expression" dxfId="432" priority="151">
      <formula>$M$7="Prev"</formula>
    </cfRule>
    <cfRule type="expression" dxfId="431" priority="150">
      <formula>$M$7="Fin"</formula>
    </cfRule>
  </conditionalFormatting>
  <conditionalFormatting sqref="M10:M39">
    <cfRule type="expression" dxfId="430" priority="77">
      <formula>$M$7="Real"</formula>
    </cfRule>
    <cfRule type="expression" dxfId="429" priority="76">
      <formula>$M$7="Prev"</formula>
    </cfRule>
    <cfRule type="expression" dxfId="428" priority="75">
      <formula>$M$7="Fin"</formula>
    </cfRule>
  </conditionalFormatting>
  <conditionalFormatting sqref="N5">
    <cfRule type="expression" dxfId="427" priority="1">
      <formula>$J$5&lt;0</formula>
    </cfRule>
  </conditionalFormatting>
  <conditionalFormatting sqref="N7">
    <cfRule type="expression" dxfId="426" priority="148">
      <formula>$N$7="Prev"</formula>
    </cfRule>
    <cfRule type="expression" dxfId="425" priority="149">
      <formula>$N$7="Real"</formula>
    </cfRule>
    <cfRule type="expression" dxfId="424" priority="147">
      <formula>$N$7="Fin"</formula>
    </cfRule>
  </conditionalFormatting>
  <conditionalFormatting sqref="N10:N39">
    <cfRule type="expression" dxfId="423" priority="74">
      <formula>$N$7="Real"</formula>
    </cfRule>
    <cfRule type="expression" dxfId="422" priority="73">
      <formula>$N$7="Prev"</formula>
    </cfRule>
    <cfRule type="expression" dxfId="421" priority="72">
      <formula>$N$7="Fin"</formula>
    </cfRule>
  </conditionalFormatting>
  <conditionalFormatting sqref="O7">
    <cfRule type="expression" dxfId="420" priority="146">
      <formula>$O$7="Real"</formula>
    </cfRule>
    <cfRule type="expression" dxfId="419" priority="145">
      <formula>$O$7="Prev"</formula>
    </cfRule>
    <cfRule type="expression" dxfId="418" priority="144">
      <formula>$O$7="Fin"</formula>
    </cfRule>
  </conditionalFormatting>
  <conditionalFormatting sqref="O10:O39">
    <cfRule type="expression" dxfId="417" priority="71">
      <formula>$O$7="Real"</formula>
    </cfRule>
    <cfRule type="expression" dxfId="416" priority="70">
      <formula>$O$7="Prev"</formula>
    </cfRule>
    <cfRule type="expression" dxfId="415" priority="69">
      <formula>$O$7="Fin"</formula>
    </cfRule>
  </conditionalFormatting>
  <conditionalFormatting sqref="O5:Q5">
    <cfRule type="expression" dxfId="414" priority="17">
      <formula>$J$5&gt;=0</formula>
    </cfRule>
  </conditionalFormatting>
  <conditionalFormatting sqref="P7">
    <cfRule type="expression" dxfId="413" priority="143">
      <formula>$P$7="Real"</formula>
    </cfRule>
    <cfRule type="expression" dxfId="412" priority="142">
      <formula>$P$7="Prev"</formula>
    </cfRule>
    <cfRule type="expression" dxfId="411" priority="141">
      <formula>$P$7="Fin"</formula>
    </cfRule>
  </conditionalFormatting>
  <conditionalFormatting sqref="P10:P39">
    <cfRule type="expression" dxfId="410" priority="68">
      <formula>$P$7="Real"</formula>
    </cfRule>
    <cfRule type="expression" dxfId="409" priority="66">
      <formula>$P$7="Fin"</formula>
    </cfRule>
    <cfRule type="expression" dxfId="408" priority="67">
      <formula>$P$7="Prev"</formula>
    </cfRule>
  </conditionalFormatting>
  <conditionalFormatting sqref="Q7">
    <cfRule type="expression" dxfId="407" priority="138">
      <formula>$Q$7="Fin"</formula>
    </cfRule>
    <cfRule type="expression" dxfId="406" priority="139">
      <formula>$Q$7="Prev"</formula>
    </cfRule>
    <cfRule type="expression" dxfId="405" priority="140">
      <formula>$Q$7="Real"</formula>
    </cfRule>
  </conditionalFormatting>
  <conditionalFormatting sqref="Q10:Q39">
    <cfRule type="expression" dxfId="404" priority="64">
      <formula>$Q$7="Prev"</formula>
    </cfRule>
    <cfRule type="expression" dxfId="403" priority="63">
      <formula>$Q$7="Fin"</formula>
    </cfRule>
    <cfRule type="expression" dxfId="402" priority="65">
      <formula>$Q$7="Real"</formula>
    </cfRule>
  </conditionalFormatting>
  <conditionalFormatting sqref="R7">
    <cfRule type="expression" dxfId="401" priority="135">
      <formula>$R$7="Fin"</formula>
    </cfRule>
    <cfRule type="expression" dxfId="400" priority="137">
      <formula>$R$7="Real"</formula>
    </cfRule>
    <cfRule type="expression" dxfId="399" priority="136">
      <formula>$R$7="Prev"</formula>
    </cfRule>
  </conditionalFormatting>
  <conditionalFormatting sqref="R10:R39">
    <cfRule type="expression" dxfId="398" priority="61">
      <formula>$R$7="Prev"</formula>
    </cfRule>
    <cfRule type="expression" dxfId="397" priority="60">
      <formula>$R$7="Fin"</formula>
    </cfRule>
    <cfRule type="expression" dxfId="396" priority="62">
      <formula>$R$7="Real"</formula>
    </cfRule>
  </conditionalFormatting>
  <conditionalFormatting sqref="S7">
    <cfRule type="expression" dxfId="395" priority="134">
      <formula>$S$7="Real"</formula>
    </cfRule>
    <cfRule type="expression" dxfId="394" priority="133">
      <formula>$S$7="Prev"</formula>
    </cfRule>
    <cfRule type="expression" dxfId="393" priority="132">
      <formula>$S$7="Fin"</formula>
    </cfRule>
  </conditionalFormatting>
  <conditionalFormatting sqref="S10:S39">
    <cfRule type="expression" dxfId="392" priority="58">
      <formula>$S$7="Prev"</formula>
    </cfRule>
    <cfRule type="expression" dxfId="391" priority="59">
      <formula>$S$7="Real"</formula>
    </cfRule>
    <cfRule type="expression" dxfId="390" priority="57">
      <formula>$S$7="Fin"</formula>
    </cfRule>
  </conditionalFormatting>
  <conditionalFormatting sqref="T7">
    <cfRule type="expression" dxfId="389" priority="131">
      <formula>$T$7="Real"</formula>
    </cfRule>
    <cfRule type="expression" dxfId="388" priority="130">
      <formula>$T$7="Prev"</formula>
    </cfRule>
    <cfRule type="expression" dxfId="387" priority="129">
      <formula>$T$7="Fin"</formula>
    </cfRule>
  </conditionalFormatting>
  <conditionalFormatting sqref="T10:T39">
    <cfRule type="expression" dxfId="386" priority="55">
      <formula>$T$7="Prev"</formula>
    </cfRule>
    <cfRule type="expression" dxfId="385" priority="54">
      <formula>$T$7="Fin"</formula>
    </cfRule>
    <cfRule type="expression" dxfId="384" priority="56">
      <formula>$T$7="Real"</formula>
    </cfRule>
  </conditionalFormatting>
  <conditionalFormatting sqref="U7">
    <cfRule type="expression" dxfId="383" priority="128">
      <formula>$U$7="Real"</formula>
    </cfRule>
    <cfRule type="expression" dxfId="382" priority="127">
      <formula>$U$7="Prev"</formula>
    </cfRule>
    <cfRule type="expression" dxfId="381" priority="126">
      <formula>$U$7="Fin"</formula>
    </cfRule>
  </conditionalFormatting>
  <conditionalFormatting sqref="U10:U39">
    <cfRule type="expression" dxfId="380" priority="52">
      <formula>$U$7="Prev"</formula>
    </cfRule>
    <cfRule type="expression" dxfId="379" priority="53">
      <formula>$U$7="Real"</formula>
    </cfRule>
    <cfRule type="expression" dxfId="378" priority="51">
      <formula>$U$7="Fin"</formula>
    </cfRule>
  </conditionalFormatting>
  <conditionalFormatting sqref="V7">
    <cfRule type="expression" dxfId="377" priority="125">
      <formula>$V$7="Real"</formula>
    </cfRule>
    <cfRule type="expression" dxfId="376" priority="124">
      <formula>$V$7="Prev"</formula>
    </cfRule>
    <cfRule type="expression" dxfId="375" priority="123">
      <formula>$V$7="Fin"</formula>
    </cfRule>
  </conditionalFormatting>
  <conditionalFormatting sqref="V10:V39">
    <cfRule type="expression" dxfId="374" priority="50">
      <formula>$V$7="Real"</formula>
    </cfRule>
    <cfRule type="expression" dxfId="373" priority="49">
      <formula>$V$7="Prev"</formula>
    </cfRule>
    <cfRule type="expression" dxfId="372" priority="48">
      <formula>$V$7="Fin"</formula>
    </cfRule>
  </conditionalFormatting>
  <conditionalFormatting sqref="W7">
    <cfRule type="expression" dxfId="371" priority="120">
      <formula>$W$7="Fin"</formula>
    </cfRule>
    <cfRule type="expression" dxfId="370" priority="121">
      <formula>$W$7="Prev"</formula>
    </cfRule>
    <cfRule type="expression" dxfId="369" priority="122">
      <formula>$W$7="Real"</formula>
    </cfRule>
  </conditionalFormatting>
  <conditionalFormatting sqref="W10:W39">
    <cfRule type="expression" dxfId="368" priority="45">
      <formula>$W$7="Fin"</formula>
    </cfRule>
    <cfRule type="expression" dxfId="367" priority="46">
      <formula>$W$7="Prev"</formula>
    </cfRule>
    <cfRule type="expression" dxfId="366" priority="47">
      <formula>$W$7="Real"</formula>
    </cfRule>
  </conditionalFormatting>
  <conditionalFormatting sqref="X7">
    <cfRule type="expression" dxfId="365" priority="117">
      <formula>$X$7="Fin"</formula>
    </cfRule>
    <cfRule type="expression" dxfId="364" priority="119">
      <formula>$X$7="Real"</formula>
    </cfRule>
    <cfRule type="expression" dxfId="363" priority="118">
      <formula>$X$7="Prev"</formula>
    </cfRule>
  </conditionalFormatting>
  <conditionalFormatting sqref="X10:X39">
    <cfRule type="expression" dxfId="362" priority="42">
      <formula>$X$7="Fin"</formula>
    </cfRule>
    <cfRule type="expression" dxfId="361" priority="43">
      <formula>$X$7="Prev"</formula>
    </cfRule>
    <cfRule type="expression" dxfId="360" priority="44">
      <formula>$X$7="Real"</formula>
    </cfRule>
  </conditionalFormatting>
  <conditionalFormatting sqref="Y7">
    <cfRule type="expression" dxfId="359" priority="116">
      <formula>$Y$7="Real"</formula>
    </cfRule>
    <cfRule type="expression" dxfId="358" priority="115">
      <formula>$Y$7="Prev"</formula>
    </cfRule>
    <cfRule type="expression" dxfId="357" priority="114">
      <formula>$Y$7="Fin"</formula>
    </cfRule>
  </conditionalFormatting>
  <conditionalFormatting sqref="Y10:Y39">
    <cfRule type="expression" dxfId="356" priority="40">
      <formula>$Y$7="Prev"</formula>
    </cfRule>
    <cfRule type="expression" dxfId="355" priority="41">
      <formula>$Y$7="Real"</formula>
    </cfRule>
    <cfRule type="expression" dxfId="354" priority="39">
      <formula>$Y$7="Fin"</formula>
    </cfRule>
  </conditionalFormatting>
  <conditionalFormatting sqref="Z7">
    <cfRule type="expression" dxfId="353" priority="113">
      <formula>$Z$7="Real"</formula>
    </cfRule>
    <cfRule type="expression" dxfId="352" priority="112">
      <formula>$Z$7="Prev"</formula>
    </cfRule>
    <cfRule type="expression" dxfId="351" priority="111">
      <formula>$Z$7="Fin"</formula>
    </cfRule>
  </conditionalFormatting>
  <conditionalFormatting sqref="Z10:Z39">
    <cfRule type="expression" dxfId="350" priority="38">
      <formula>$Z$7="Real"</formula>
    </cfRule>
    <cfRule type="expression" dxfId="349" priority="37">
      <formula>$Z$7="Prev"</formula>
    </cfRule>
    <cfRule type="expression" dxfId="348" priority="36">
      <formula>$Z$7="Fin"</formula>
    </cfRule>
  </conditionalFormatting>
  <conditionalFormatting sqref="AA7">
    <cfRule type="expression" dxfId="347" priority="108">
      <formula>$AA$7="Fin"</formula>
    </cfRule>
    <cfRule type="expression" dxfId="346" priority="110">
      <formula>$AA$7="Real"</formula>
    </cfRule>
    <cfRule type="expression" dxfId="345" priority="109">
      <formula>$AA$7="Prev"</formula>
    </cfRule>
  </conditionalFormatting>
  <conditionalFormatting sqref="AA10:AA39">
    <cfRule type="expression" dxfId="344" priority="35">
      <formula>$AA$7="Real"</formula>
    </cfRule>
    <cfRule type="expression" dxfId="343" priority="34">
      <formula>$AA$7="Prev"</formula>
    </cfRule>
    <cfRule type="expression" dxfId="342" priority="33">
      <formula>$AA$7="Fin"</formula>
    </cfRule>
  </conditionalFormatting>
  <conditionalFormatting sqref="AB7">
    <cfRule type="expression" dxfId="341" priority="107">
      <formula>$AB$7="Real"</formula>
    </cfRule>
    <cfRule type="expression" dxfId="340" priority="106">
      <formula>$AB$7="Prev"</formula>
    </cfRule>
    <cfRule type="expression" dxfId="339" priority="105">
      <formula>$AB$7="Fin"</formula>
    </cfRule>
  </conditionalFormatting>
  <conditionalFormatting sqref="AB10:AB39">
    <cfRule type="expression" dxfId="338" priority="30">
      <formula>$AB$7="Fin"</formula>
    </cfRule>
    <cfRule type="expression" dxfId="337" priority="31">
      <formula>$AB$7="Prev"</formula>
    </cfRule>
    <cfRule type="expression" dxfId="336" priority="32">
      <formula>$AB$7="Real"</formula>
    </cfRule>
  </conditionalFormatting>
  <conditionalFormatting sqref="AC7">
    <cfRule type="expression" dxfId="335" priority="104">
      <formula>$AC$7="Real"</formula>
    </cfRule>
    <cfRule type="expression" dxfId="334" priority="103">
      <formula>$AC$7="Prev"</formula>
    </cfRule>
    <cfRule type="expression" dxfId="333" priority="102">
      <formula>$AC$7="Fin"</formula>
    </cfRule>
  </conditionalFormatting>
  <conditionalFormatting sqref="AC10:AC39">
    <cfRule type="expression" dxfId="332" priority="27">
      <formula>$AC$7="Fin"</formula>
    </cfRule>
    <cfRule type="expression" dxfId="331" priority="29">
      <formula>$AC$7="Real"</formula>
    </cfRule>
    <cfRule type="expression" dxfId="330" priority="28">
      <formula>$AC$7="Prev"</formula>
    </cfRule>
  </conditionalFormatting>
  <conditionalFormatting sqref="AD7">
    <cfRule type="expression" dxfId="329" priority="101">
      <formula>$AD$7="Real"</formula>
    </cfRule>
    <cfRule type="expression" dxfId="328" priority="100">
      <formula>$AD$7="Prev"</formula>
    </cfRule>
    <cfRule type="expression" dxfId="327" priority="99">
      <formula>$AD$7="Fin"</formula>
    </cfRule>
  </conditionalFormatting>
  <conditionalFormatting sqref="AD10:AD39">
    <cfRule type="expression" dxfId="326" priority="13">
      <formula>$AD$7="Fin"</formula>
    </cfRule>
    <cfRule type="expression" dxfId="325" priority="12">
      <formula>$AD$7="Prev"</formula>
    </cfRule>
    <cfRule type="expression" dxfId="324" priority="11">
      <formula>$AD$7="Real"</formula>
    </cfRule>
  </conditionalFormatting>
  <conditionalFormatting sqref="AE7">
    <cfRule type="expression" dxfId="323" priority="8">
      <formula>$AE$7="Fin"</formula>
    </cfRule>
    <cfRule type="expression" dxfId="322" priority="10">
      <formula>$AE$7="Real"</formula>
    </cfRule>
    <cfRule type="expression" dxfId="321" priority="9">
      <formula>$AE$7="Prev"</formula>
    </cfRule>
  </conditionalFormatting>
  <conditionalFormatting sqref="AE10:AE39">
    <cfRule type="expression" dxfId="320" priority="26">
      <formula>$AE$7="Real"</formula>
    </cfRule>
    <cfRule type="expression" dxfId="319" priority="24">
      <formula>$AE$7="Fin"</formula>
    </cfRule>
    <cfRule type="expression" dxfId="318" priority="25">
      <formula>$AE$7="Prev"</formula>
    </cfRule>
  </conditionalFormatting>
  <conditionalFormatting sqref="AF7">
    <cfRule type="expression" dxfId="317" priority="98">
      <formula>$AF$7="Real"</formula>
    </cfRule>
    <cfRule type="expression" dxfId="316" priority="97">
      <formula>$AF$7="Prev"</formula>
    </cfRule>
    <cfRule type="expression" dxfId="315" priority="96">
      <formula>$AF$7="Fin"</formula>
    </cfRule>
  </conditionalFormatting>
  <conditionalFormatting sqref="AF10:AF39">
    <cfRule type="expression" dxfId="314" priority="22">
      <formula>$AF$7="Prev"</formula>
    </cfRule>
    <cfRule type="expression" dxfId="313" priority="23">
      <formula>$AF$7="Real"</formula>
    </cfRule>
    <cfRule type="expression" dxfId="312" priority="21">
      <formula>$AF$7="Fin"</formula>
    </cfRule>
  </conditionalFormatting>
  <dataValidations count="2">
    <dataValidation type="list" allowBlank="1" showInputMessage="1" showErrorMessage="1" sqref="B53:B60" xr:uid="{051D3A3F-286D-45E9-91C2-768AFCB58707}">
      <formula1>$B$89:$B$95</formula1>
    </dataValidation>
    <dataValidation type="list" allowBlank="1" showInputMessage="1" showErrorMessage="1" sqref="F67:F76 F53:F60" xr:uid="{1ABA7179-B90F-4562-929D-EC8F4E582DD4}">
      <formula1>"NO,SI,"</formula1>
    </dataValidation>
  </dataValidations>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AP46"/>
  <sheetViews>
    <sheetView showGridLines="0" zoomScale="55" zoomScaleNormal="55" workbookViewId="0">
      <selection activeCell="I30" sqref="I30"/>
    </sheetView>
  </sheetViews>
  <sheetFormatPr baseColWidth="10" defaultColWidth="9.1796875" defaultRowHeight="13.5" outlineLevelRow="1" x14ac:dyDescent="0.3"/>
  <cols>
    <col min="1" max="1" width="4" style="25" customWidth="1"/>
    <col min="2" max="2" width="21.453125" style="25" customWidth="1"/>
    <col min="3" max="3" width="29" style="25" customWidth="1"/>
    <col min="4" max="4" width="18.1796875" style="60" customWidth="1"/>
    <col min="5" max="29" width="16.7265625" style="25" customWidth="1"/>
    <col min="30" max="30" width="11.26953125" style="25" customWidth="1"/>
    <col min="31" max="16384" width="9.1796875" style="25"/>
  </cols>
  <sheetData>
    <row r="1" spans="2:42" ht="14.5" x14ac:dyDescent="0.35">
      <c r="E1"/>
    </row>
    <row r="2" spans="2:42" ht="21" customHeight="1" x14ac:dyDescent="0.3">
      <c r="B2" s="23" t="s">
        <v>5</v>
      </c>
      <c r="C2" s="24" t="str">
        <f>'Project Infor'!C10</f>
        <v>ZEZ-AT00001-1001</v>
      </c>
      <c r="D2" s="99" t="str">
        <f>'Project Infor'!C11</f>
        <v>Asistencia técnica para desarrollo Java/.Net/…</v>
      </c>
      <c r="E2" s="100"/>
      <c r="F2" s="100"/>
      <c r="G2" s="100"/>
      <c r="I2" s="314" t="s">
        <v>170</v>
      </c>
      <c r="J2" s="314"/>
      <c r="K2" s="314"/>
      <c r="L2" s="314"/>
      <c r="M2" s="173">
        <f>'Cost Planning'!N5</f>
        <v>0</v>
      </c>
    </row>
    <row r="3" spans="2:42" ht="6" customHeight="1" x14ac:dyDescent="0.3">
      <c r="B3" s="26"/>
      <c r="C3" s="26"/>
      <c r="D3" s="146"/>
      <c r="E3" s="26"/>
      <c r="F3" s="26"/>
    </row>
    <row r="4" spans="2:42" ht="20.149999999999999" customHeight="1" x14ac:dyDescent="0.3">
      <c r="B4" s="28"/>
      <c r="C4" s="28"/>
      <c r="D4" s="147"/>
      <c r="E4" s="148" t="str">
        <f t="shared" ref="E4:AC4" si="0">IF(E5&gt;EOMONTH(FIN,0),"Fin",IF(E5&gt;FECHA,"Prev","Real"))</f>
        <v>Real</v>
      </c>
      <c r="F4" s="148" t="str">
        <f t="shared" si="0"/>
        <v>Real</v>
      </c>
      <c r="G4" s="148" t="str">
        <f>IF(G5&gt;EOMONTH(FIN,0),"Fin",IF(G5&gt;FECHA,"Prev","Real"))</f>
        <v>Prev</v>
      </c>
      <c r="H4" s="148" t="str">
        <f t="shared" si="0"/>
        <v>Prev</v>
      </c>
      <c r="I4" s="148" t="str">
        <f>IF(I5&gt;EOMONTH(FIN,0),"Fin",IF(I5&gt;FECHA,"Prev","Real"))</f>
        <v>Prev</v>
      </c>
      <c r="J4" s="148" t="str">
        <f t="shared" si="0"/>
        <v>Prev</v>
      </c>
      <c r="K4" s="148" t="str">
        <f t="shared" si="0"/>
        <v>Prev</v>
      </c>
      <c r="L4" s="148" t="str">
        <f t="shared" si="0"/>
        <v>Prev</v>
      </c>
      <c r="M4" s="148" t="str">
        <f t="shared" si="0"/>
        <v>Prev</v>
      </c>
      <c r="N4" s="148" t="str">
        <f t="shared" si="0"/>
        <v>Fin</v>
      </c>
      <c r="O4" s="148" t="str">
        <f t="shared" si="0"/>
        <v>Fin</v>
      </c>
      <c r="P4" s="148" t="str">
        <f t="shared" si="0"/>
        <v>Fin</v>
      </c>
      <c r="Q4" s="148" t="str">
        <f t="shared" si="0"/>
        <v>Fin</v>
      </c>
      <c r="R4" s="148" t="str">
        <f t="shared" si="0"/>
        <v>Fin</v>
      </c>
      <c r="S4" s="148" t="str">
        <f t="shared" si="0"/>
        <v>Fin</v>
      </c>
      <c r="T4" s="148" t="str">
        <f t="shared" si="0"/>
        <v>Fin</v>
      </c>
      <c r="U4" s="148" t="str">
        <f t="shared" si="0"/>
        <v>Fin</v>
      </c>
      <c r="V4" s="148" t="str">
        <f t="shared" si="0"/>
        <v>Fin</v>
      </c>
      <c r="W4" s="148" t="str">
        <f t="shared" si="0"/>
        <v>Fin</v>
      </c>
      <c r="X4" s="148" t="str">
        <f>IF(X5&gt;EOMONTH(FIN,0),"Fin",IF(X5&gt;FECHA,"Prev","Real"))</f>
        <v>Fin</v>
      </c>
      <c r="Y4" s="148" t="str">
        <f t="shared" si="0"/>
        <v>Fin</v>
      </c>
      <c r="Z4" s="148" t="str">
        <f t="shared" si="0"/>
        <v>Fin</v>
      </c>
      <c r="AA4" s="148" t="str">
        <f t="shared" si="0"/>
        <v>Fin</v>
      </c>
      <c r="AB4" s="148" t="str">
        <f t="shared" si="0"/>
        <v>Fin</v>
      </c>
      <c r="AC4" s="148" t="str">
        <f t="shared" si="0"/>
        <v>Fin</v>
      </c>
    </row>
    <row r="5" spans="2:42" s="90" customFormat="1" ht="25" customHeight="1" x14ac:dyDescent="0.3">
      <c r="B5" s="335" t="s">
        <v>171</v>
      </c>
      <c r="C5" s="335"/>
      <c r="D5" s="149" t="s">
        <v>172</v>
      </c>
      <c r="E5" s="150">
        <f>'Project Infor'!C8</f>
        <v>44287</v>
      </c>
      <c r="F5" s="150">
        <f t="shared" ref="F5:AA5" si="1">EOMONTH(E5,1)</f>
        <v>44347</v>
      </c>
      <c r="G5" s="150">
        <f t="shared" si="1"/>
        <v>44377</v>
      </c>
      <c r="H5" s="150">
        <f t="shared" si="1"/>
        <v>44408</v>
      </c>
      <c r="I5" s="150">
        <f t="shared" si="1"/>
        <v>44439</v>
      </c>
      <c r="J5" s="150">
        <f t="shared" si="1"/>
        <v>44469</v>
      </c>
      <c r="K5" s="150">
        <f t="shared" si="1"/>
        <v>44500</v>
      </c>
      <c r="L5" s="151">
        <f t="shared" si="1"/>
        <v>44530</v>
      </c>
      <c r="M5" s="151">
        <f t="shared" si="1"/>
        <v>44561</v>
      </c>
      <c r="N5" s="150">
        <f t="shared" si="1"/>
        <v>44592</v>
      </c>
      <c r="O5" s="152">
        <f t="shared" si="1"/>
        <v>44620</v>
      </c>
      <c r="P5" s="152">
        <f t="shared" si="1"/>
        <v>44651</v>
      </c>
      <c r="Q5" s="152">
        <f t="shared" si="1"/>
        <v>44681</v>
      </c>
      <c r="R5" s="152">
        <f t="shared" si="1"/>
        <v>44712</v>
      </c>
      <c r="S5" s="152">
        <f t="shared" si="1"/>
        <v>44742</v>
      </c>
      <c r="T5" s="152">
        <f t="shared" si="1"/>
        <v>44773</v>
      </c>
      <c r="U5" s="152">
        <f t="shared" si="1"/>
        <v>44804</v>
      </c>
      <c r="V5" s="152">
        <f t="shared" si="1"/>
        <v>44834</v>
      </c>
      <c r="W5" s="152">
        <f t="shared" si="1"/>
        <v>44865</v>
      </c>
      <c r="X5" s="152">
        <f t="shared" si="1"/>
        <v>44895</v>
      </c>
      <c r="Y5" s="152">
        <f t="shared" si="1"/>
        <v>44926</v>
      </c>
      <c r="Z5" s="152">
        <f t="shared" si="1"/>
        <v>44957</v>
      </c>
      <c r="AA5" s="152">
        <f t="shared" si="1"/>
        <v>44985</v>
      </c>
      <c r="AB5" s="152">
        <f t="shared" ref="AB5" si="2">EOMONTH(AA5,1)</f>
        <v>45016</v>
      </c>
      <c r="AC5" s="152">
        <f t="shared" ref="AC5" si="3">EOMONTH(AB5,1)</f>
        <v>45046</v>
      </c>
      <c r="AD5" s="25"/>
      <c r="AE5" s="25"/>
      <c r="AF5" s="25"/>
      <c r="AG5" s="25"/>
      <c r="AH5" s="25"/>
      <c r="AI5" s="25"/>
      <c r="AJ5" s="25"/>
      <c r="AK5" s="25"/>
      <c r="AL5" s="25"/>
      <c r="AM5" s="25"/>
      <c r="AN5" s="25"/>
      <c r="AO5" s="25"/>
      <c r="AP5" s="25"/>
    </row>
    <row r="6" spans="2:42" s="71" customFormat="1" ht="25" customHeight="1" x14ac:dyDescent="0.3">
      <c r="B6" s="340" t="s">
        <v>173</v>
      </c>
      <c r="C6" s="340"/>
      <c r="D6" s="153">
        <f>'Project Infor'!C28</f>
        <v>0</v>
      </c>
      <c r="E6" s="154">
        <f>D6+SUMIF('Cost Overview'!$T$16:$T$35,(YEAR(E$5)&amp;MONTH(E$5)),'Cost Overview'!$F$16:$F$35)</f>
        <v>0</v>
      </c>
      <c r="F6" s="154">
        <f>E6+SUMIF('Cost Overview'!$T$16:$T$35,(YEAR(F$5)&amp;MONTH(F$5)),'Cost Overview'!$F$16:$F$35)</f>
        <v>0</v>
      </c>
      <c r="G6" s="154">
        <f>F6+SUMIF('Cost Overview'!$T$16:$T$35,(YEAR(G$5)&amp;MONTH(G$5)),'Cost Overview'!$F$16:$F$35)</f>
        <v>0</v>
      </c>
      <c r="H6" s="154">
        <f>G6+SUMIF('Cost Overview'!$T$16:$T$35,(YEAR(H$5)&amp;MONTH(H$5)),'Cost Overview'!$F$16:$F$35)</f>
        <v>0</v>
      </c>
      <c r="I6" s="154">
        <f>H6+SUMIF('Cost Overview'!$T$16:$T$35,(YEAR(I$5)&amp;MONTH(I$5)),'Cost Overview'!$F$16:$F$35)</f>
        <v>0</v>
      </c>
      <c r="J6" s="154">
        <f>I6+SUMIF('Cost Overview'!$T$16:$T$35,(YEAR(J$5)&amp;MONTH(J$5)),'Cost Overview'!$F$16:$F$35)</f>
        <v>0</v>
      </c>
      <c r="K6" s="154">
        <f>J6+SUMIF('Cost Overview'!$T$16:$T$35,(YEAR(K$5)&amp;MONTH(K$5)),'Cost Overview'!$F$16:$F$35)</f>
        <v>0</v>
      </c>
      <c r="L6" s="154">
        <f>K6+SUMIF('Cost Overview'!$T$16:$T$35,(YEAR(L$5)&amp;MONTH(L$5)),'Cost Overview'!$F$16:$F$35)</f>
        <v>0</v>
      </c>
      <c r="M6" s="154">
        <f>L6+SUMIF('Cost Overview'!$T$16:$T$35,(YEAR(M$5)&amp;MONTH(M$5)),'Cost Overview'!$F$16:$F$35)</f>
        <v>0</v>
      </c>
      <c r="N6" s="154">
        <f>M6+SUMIF('Cost Overview'!$T$16:$T$35,(YEAR(N$5)&amp;MONTH(N$5)),'Cost Overview'!$F$16:$F$35)</f>
        <v>0</v>
      </c>
      <c r="O6" s="154">
        <f>N6+SUMIF('Cost Overview'!$T$16:$T$35,(YEAR(O$5)&amp;MONTH(O$5)),'Cost Overview'!$F$16:$F$35)</f>
        <v>0</v>
      </c>
      <c r="P6" s="154">
        <f>O6+SUMIF('Cost Overview'!$T$16:$T$35,(YEAR(P$5)&amp;MONTH(P$5)),'Cost Overview'!$F$16:$F$35)</f>
        <v>0</v>
      </c>
      <c r="Q6" s="154">
        <f>P6+SUMIF('Cost Overview'!$T$16:$T$35,(YEAR(Q$5)&amp;MONTH(Q$5)),'Cost Overview'!$F$16:$F$35)</f>
        <v>0</v>
      </c>
      <c r="R6" s="154">
        <f>Q6+SUMIF('Cost Overview'!$T$16:$T$35,(YEAR(R$5)&amp;MONTH(R$5)),'Cost Overview'!$F$16:$F$35)</f>
        <v>0</v>
      </c>
      <c r="S6" s="154">
        <f>R6+SUMIF('Cost Overview'!$T$16:$T$35,(YEAR(S$5)&amp;MONTH(S$5)),'Cost Overview'!$F$16:$F$35)</f>
        <v>0</v>
      </c>
      <c r="T6" s="154">
        <f>S6+SUMIF('Cost Overview'!$T$16:$T$35,(YEAR(T$5)&amp;MONTH(T$5)),'Cost Overview'!$F$16:$F$35)</f>
        <v>0</v>
      </c>
      <c r="U6" s="154">
        <f>T6+SUMIF('Cost Overview'!$T$16:$T$35,(YEAR(U$5)&amp;MONTH(U$5)),'Cost Overview'!$F$16:$F$35)</f>
        <v>0</v>
      </c>
      <c r="V6" s="154">
        <f>U6+SUMIF('Cost Overview'!$T$16:$T$35,(YEAR(V$5)&amp;MONTH(V$5)),'Cost Overview'!$F$16:$F$35)</f>
        <v>0</v>
      </c>
      <c r="W6" s="154">
        <f>V6+SUMIF('Cost Overview'!$T$16:$T$35,(YEAR(W$5)&amp;MONTH(W$5)),'Cost Overview'!$F$16:$F$35)</f>
        <v>0</v>
      </c>
      <c r="X6" s="154">
        <f>W6+SUMIF('Cost Overview'!$T$16:$T$35,(YEAR(X$5)&amp;MONTH(X$5)),'Cost Overview'!$F$16:$F$35)</f>
        <v>0</v>
      </c>
      <c r="Y6" s="154">
        <f>X6+SUMIF('Cost Overview'!$T$16:$T$35,(YEAR(Y$5)&amp;MONTH(Y$5)),'Cost Overview'!$F$16:$F$35)</f>
        <v>0</v>
      </c>
      <c r="Z6" s="154">
        <f>Y6+SUMIF('Cost Overview'!$T$16:$T$35,(YEAR(Z$5)&amp;MONTH(Z$5)),'Cost Overview'!$F$16:$F$35)</f>
        <v>0</v>
      </c>
      <c r="AA6" s="154">
        <f>Z6+SUMIF('Cost Overview'!$T$16:$T$35,(YEAR(AA$5)&amp;MONTH(AA$5)),'Cost Overview'!$F$16:$F$35)</f>
        <v>0</v>
      </c>
      <c r="AB6" s="154">
        <f>AA6+SUMIF('Cost Overview'!$T$16:$T$35,(YEAR(AB$5)&amp;MONTH(AB$5)),'Cost Overview'!$F$16:$F$35)</f>
        <v>0</v>
      </c>
      <c r="AC6" s="154">
        <f>AB6+SUMIF('Cost Overview'!$T$16:$T$35,(YEAR(AC$5)&amp;MONTH(AC$5)),'Cost Overview'!$F$16:$F$35)</f>
        <v>0</v>
      </c>
      <c r="AD6" s="25"/>
      <c r="AE6" s="25"/>
      <c r="AF6" s="25"/>
      <c r="AG6" s="25"/>
      <c r="AH6" s="25"/>
      <c r="AI6" s="25"/>
      <c r="AJ6" s="25"/>
      <c r="AK6" s="25"/>
      <c r="AL6" s="25"/>
      <c r="AM6" s="25"/>
      <c r="AN6" s="25"/>
      <c r="AO6" s="25"/>
      <c r="AP6" s="25"/>
    </row>
    <row r="7" spans="2:42" s="71" customFormat="1" ht="25" hidden="1" customHeight="1" outlineLevel="1" x14ac:dyDescent="0.3">
      <c r="B7" s="338" t="s">
        <v>62</v>
      </c>
      <c r="C7" s="338"/>
      <c r="D7" s="155">
        <f>'Project Infor'!C29</f>
        <v>0</v>
      </c>
      <c r="E7" s="156">
        <f>D7+SUMIF('Cost Overview'!$T$16:$T$35,(YEAR(E$5)&amp;MONTH(E$5)),'Cost Overview'!$H$16:$H$35)</f>
        <v>0</v>
      </c>
      <c r="F7" s="156">
        <f>E7+SUMIF('Cost Overview'!$T$16:$T$35,(YEAR(F$5)&amp;MONTH(F$5)),'Cost Overview'!$H$16:$H$35)</f>
        <v>0</v>
      </c>
      <c r="G7" s="156">
        <f>F7+SUMIF('Cost Overview'!$T$16:$T$35,(YEAR(G$5)&amp;MONTH(G$5)),'Cost Overview'!$H$16:$H$35)</f>
        <v>0</v>
      </c>
      <c r="H7" s="156">
        <f>G7+SUMIF('Cost Overview'!$T$16:$T$35,(YEAR(H$5)&amp;MONTH(H$5)),'Cost Overview'!$H$16:$H$35)</f>
        <v>0</v>
      </c>
      <c r="I7" s="156">
        <f>H7+SUMIF('Cost Overview'!$T$16:$T$35,(YEAR(I$5)&amp;MONTH(I$5)),'Cost Overview'!$H$16:$H$35)</f>
        <v>0</v>
      </c>
      <c r="J7" s="156">
        <f>I7+SUMIF('Cost Overview'!$T$16:$T$35,(YEAR(J$5)&amp;MONTH(J$5)),'Cost Overview'!$H$16:$H$35)</f>
        <v>0</v>
      </c>
      <c r="K7" s="156">
        <f>J7+SUMIF('Cost Overview'!$T$16:$T$35,(YEAR(K$5)&amp;MONTH(K$5)),'Cost Overview'!$H$16:$H$35)</f>
        <v>0</v>
      </c>
      <c r="L7" s="156">
        <f>K7+SUMIF('Cost Overview'!$T$16:$T$35,(YEAR(L$5)&amp;MONTH(L$5)),'Cost Overview'!$H$16:$H$35)</f>
        <v>0</v>
      </c>
      <c r="M7" s="156">
        <f>L7+SUMIF('Cost Overview'!$T$16:$T$35,(YEAR(M$5)&amp;MONTH(M$5)),'Cost Overview'!$H$16:$H$35)</f>
        <v>0</v>
      </c>
      <c r="N7" s="156">
        <f>M7+SUMIF('Cost Overview'!$T$16:$T$35,(YEAR(N$5)&amp;MONTH(N$5)),'Cost Overview'!$H$16:$H$35)</f>
        <v>0</v>
      </c>
      <c r="O7" s="156">
        <f>N7+SUMIF('Cost Overview'!$T$16:$T$35,(YEAR(O$5)&amp;MONTH(O$5)),'Cost Overview'!$H$16:$H$35)</f>
        <v>0</v>
      </c>
      <c r="P7" s="156">
        <f>O7+SUMIF('Cost Overview'!$T$16:$T$35,(YEAR(P$5)&amp;MONTH(P$5)),'Cost Overview'!$H$16:$H$35)</f>
        <v>0</v>
      </c>
      <c r="Q7" s="156">
        <f>P7+SUMIF('Cost Overview'!$T$16:$T$35,(YEAR(Q$5)&amp;MONTH(Q$5)),'Cost Overview'!$H$16:$H$35)</f>
        <v>0</v>
      </c>
      <c r="R7" s="156">
        <f>Q7+SUMIF('Cost Overview'!$T$16:$T$35,(YEAR(R$5)&amp;MONTH(R$5)),'Cost Overview'!$H$16:$H$35)</f>
        <v>0</v>
      </c>
      <c r="S7" s="156">
        <f>R7+SUMIF('Cost Overview'!$T$16:$T$35,(YEAR(S$5)&amp;MONTH(S$5)),'Cost Overview'!$H$16:$H$35)</f>
        <v>0</v>
      </c>
      <c r="T7" s="156">
        <f>S7+SUMIF('Cost Overview'!$T$16:$T$35,(YEAR(T$5)&amp;MONTH(T$5)),'Cost Overview'!$H$16:$H$35)</f>
        <v>0</v>
      </c>
      <c r="U7" s="156">
        <f>T7+SUMIF('Cost Overview'!$T$16:$T$35,(YEAR(U$5)&amp;MONTH(U$5)),'Cost Overview'!$H$16:$H$35)</f>
        <v>0</v>
      </c>
      <c r="V7" s="156">
        <f>U7+SUMIF('Cost Overview'!$T$16:$T$35,(YEAR(V$5)&amp;MONTH(V$5)),'Cost Overview'!$H$16:$H$35)</f>
        <v>0</v>
      </c>
      <c r="W7" s="156">
        <f>V7+SUMIF('Cost Overview'!$T$16:$T$35,(YEAR(W$5)&amp;MONTH(W$5)),'Cost Overview'!$H$16:$H$35)</f>
        <v>0</v>
      </c>
      <c r="X7" s="156">
        <f>W7+SUMIF('Cost Overview'!$T$16:$T$35,(YEAR(X$5)&amp;MONTH(X$5)),'Cost Overview'!$H$16:$H$35)</f>
        <v>0</v>
      </c>
      <c r="Y7" s="156">
        <f>X7+SUMIF('Cost Overview'!$T$16:$T$35,(YEAR(Y$5)&amp;MONTH(Y$5)),'Cost Overview'!$H$16:$H$35)</f>
        <v>0</v>
      </c>
      <c r="Z7" s="156">
        <f>Y7+SUMIF('Cost Overview'!$T$16:$T$35,(YEAR(Z$5)&amp;MONTH(Z$5)),'Cost Overview'!$H$16:$H$35)</f>
        <v>0</v>
      </c>
      <c r="AA7" s="156">
        <f>Z7+SUMIF('Cost Overview'!$T$16:$T$35,(YEAR(AA$5)&amp;MONTH(AA$5)),'Cost Overview'!$H$16:$H$35)</f>
        <v>0</v>
      </c>
      <c r="AB7" s="156">
        <f>AA7+SUMIF('Cost Overview'!$T$16:$T$35,(YEAR(AB$5)&amp;MONTH(AB$5)),'Cost Overview'!$H$16:$H$35)</f>
        <v>0</v>
      </c>
      <c r="AC7" s="156">
        <f>AB7+SUMIF('Cost Overview'!$T$16:$T$35,(YEAR(AC$5)&amp;MONTH(AC$5)),'Cost Overview'!$H$16:$H$35)</f>
        <v>0</v>
      </c>
      <c r="AE7" s="25"/>
      <c r="AF7" s="25"/>
      <c r="AG7" s="25"/>
      <c r="AH7" s="25"/>
      <c r="AI7" s="25"/>
      <c r="AJ7" s="25"/>
      <c r="AK7" s="25"/>
      <c r="AL7" s="25"/>
      <c r="AM7" s="25"/>
      <c r="AN7" s="25"/>
      <c r="AO7" s="25"/>
      <c r="AP7" s="25"/>
    </row>
    <row r="8" spans="2:42" s="71" customFormat="1" ht="25" hidden="1" customHeight="1" outlineLevel="1" x14ac:dyDescent="0.3">
      <c r="B8" s="338" t="s">
        <v>174</v>
      </c>
      <c r="C8" s="338"/>
      <c r="D8" s="155">
        <f>'Project Infor'!C30</f>
        <v>0</v>
      </c>
      <c r="E8" s="156">
        <f>D8+SUMIF('Cost Overview'!$T$16:$T$35,(YEAR(E$5)&amp;MONTH(E$5)),'Cost Overview'!$G$16:$G$35)</f>
        <v>0</v>
      </c>
      <c r="F8" s="156">
        <f>E8+SUMIF('Cost Overview'!$T$16:$T$35,(YEAR(F$5)&amp;MONTH(F$5)),'Cost Overview'!$G$16:$G$35)</f>
        <v>0</v>
      </c>
      <c r="G8" s="156">
        <f>F8+SUMIF('Cost Overview'!$T$16:$T$35,(YEAR(G$5)&amp;MONTH(G$5)),'Cost Overview'!$G$16:$G$35)</f>
        <v>0</v>
      </c>
      <c r="H8" s="156">
        <f>G8+SUMIF('Cost Overview'!$T$16:$T$35,(YEAR(H$5)&amp;MONTH(H$5)),'Cost Overview'!$G$16:$G$35)</f>
        <v>0</v>
      </c>
      <c r="I8" s="156">
        <f>H8+SUMIF('Cost Overview'!$T$16:$T$35,(YEAR(I$5)&amp;MONTH(I$5)),'Cost Overview'!$G$16:$G$35)</f>
        <v>0</v>
      </c>
      <c r="J8" s="156">
        <f>I8+SUMIF('Cost Overview'!$T$16:$T$35,(YEAR(J$5)&amp;MONTH(J$5)),'Cost Overview'!$G$16:$G$35)</f>
        <v>0</v>
      </c>
      <c r="K8" s="156">
        <f>J8+SUMIF('Cost Overview'!$T$16:$T$35,(YEAR(K$5)&amp;MONTH(K$5)),'Cost Overview'!$G$16:$G$35)</f>
        <v>0</v>
      </c>
      <c r="L8" s="156">
        <f>K8+SUMIF('Cost Overview'!$T$16:$T$35,(YEAR(L$5)&amp;MONTH(L$5)),'Cost Overview'!$G$16:$G$35)</f>
        <v>0</v>
      </c>
      <c r="M8" s="156">
        <f>L8+SUMIF('Cost Overview'!$T$16:$T$35,(YEAR(M$5)&amp;MONTH(M$5)),'Cost Overview'!$G$16:$G$35)</f>
        <v>0</v>
      </c>
      <c r="N8" s="156">
        <f>M8+SUMIF('Cost Overview'!$T$16:$T$35,(YEAR(N$5)&amp;MONTH(N$5)),'Cost Overview'!$G$16:$G$35)</f>
        <v>0</v>
      </c>
      <c r="O8" s="156">
        <f>N8+SUMIF('Cost Overview'!$T$16:$T$35,(YEAR(O$5)&amp;MONTH(O$5)),'Cost Overview'!$G$16:$G$35)</f>
        <v>0</v>
      </c>
      <c r="P8" s="156">
        <f>O8+SUMIF('Cost Overview'!$T$16:$T$35,(YEAR(P$5)&amp;MONTH(P$5)),'Cost Overview'!$G$16:$G$35)</f>
        <v>0</v>
      </c>
      <c r="Q8" s="156">
        <f>P8+SUMIF('Cost Overview'!$T$16:$T$35,(YEAR(Q$5)&amp;MONTH(Q$5)),'Cost Overview'!$G$16:$G$35)</f>
        <v>0</v>
      </c>
      <c r="R8" s="156">
        <f>Q8+SUMIF('Cost Overview'!$T$16:$T$35,(YEAR(R$5)&amp;MONTH(R$5)),'Cost Overview'!$G$16:$G$35)</f>
        <v>0</v>
      </c>
      <c r="S8" s="156">
        <f>R8+SUMIF('Cost Overview'!$T$16:$T$35,(YEAR(S$5)&amp;MONTH(S$5)),'Cost Overview'!$G$16:$G$35)</f>
        <v>0</v>
      </c>
      <c r="T8" s="156">
        <f>S8+SUMIF('Cost Overview'!$T$16:$T$35,(YEAR(T$5)&amp;MONTH(T$5)),'Cost Overview'!$G$16:$G$35)</f>
        <v>0</v>
      </c>
      <c r="U8" s="156">
        <f>T8+SUMIF('Cost Overview'!$T$16:$T$35,(YEAR(U$5)&amp;MONTH(U$5)),'Cost Overview'!$G$16:$G$35)</f>
        <v>0</v>
      </c>
      <c r="V8" s="156">
        <f>U8+SUMIF('Cost Overview'!$T$16:$T$35,(YEAR(V$5)&amp;MONTH(V$5)),'Cost Overview'!$G$16:$G$35)</f>
        <v>0</v>
      </c>
      <c r="W8" s="156">
        <f>V8+SUMIF('Cost Overview'!$T$16:$T$35,(YEAR(W$5)&amp;MONTH(W$5)),'Cost Overview'!$G$16:$G$35)</f>
        <v>0</v>
      </c>
      <c r="X8" s="156">
        <f>W8+SUMIF('Cost Overview'!$T$16:$T$35,(YEAR(X$5)&amp;MONTH(X$5)),'Cost Overview'!$G$16:$G$35)</f>
        <v>0</v>
      </c>
      <c r="Y8" s="156">
        <f>X8+SUMIF('Cost Overview'!$T$16:$T$35,(YEAR(Y$5)&amp;MONTH(Y$5)),'Cost Overview'!$G$16:$G$35)</f>
        <v>0</v>
      </c>
      <c r="Z8" s="156">
        <f>Y8+SUMIF('Cost Overview'!$T$16:$T$35,(YEAR(Z$5)&amp;MONTH(Z$5)),'Cost Overview'!$G$16:$G$35)</f>
        <v>0</v>
      </c>
      <c r="AA8" s="156">
        <f>Z8+SUMIF('Cost Overview'!$T$16:$T$35,(YEAR(AA$5)&amp;MONTH(AA$5)),'Cost Overview'!$G$16:$G$35)</f>
        <v>0</v>
      </c>
      <c r="AB8" s="156">
        <f>AA8+SUMIF('Cost Overview'!$T$16:$T$35,(YEAR(AB$5)&amp;MONTH(AB$5)),'Cost Overview'!$G$16:$G$35)</f>
        <v>0</v>
      </c>
      <c r="AC8" s="156">
        <f>AB8+SUMIF('Cost Overview'!$T$16:$T$35,(YEAR(AC$5)&amp;MONTH(AC$5)),'Cost Overview'!$G$16:$G$35)</f>
        <v>0</v>
      </c>
      <c r="AE8" s="25"/>
      <c r="AF8" s="25"/>
      <c r="AG8" s="25"/>
      <c r="AH8" s="25"/>
      <c r="AI8" s="25"/>
      <c r="AJ8" s="25"/>
      <c r="AK8" s="25"/>
      <c r="AL8" s="25"/>
      <c r="AM8" s="25"/>
      <c r="AN8" s="25"/>
      <c r="AO8" s="25"/>
      <c r="AP8" s="25"/>
    </row>
    <row r="9" spans="2:42" s="71" customFormat="1" ht="25" hidden="1" customHeight="1" outlineLevel="1" x14ac:dyDescent="0.3">
      <c r="B9" s="338" t="s">
        <v>175</v>
      </c>
      <c r="C9" s="338"/>
      <c r="D9" s="155">
        <f>'Project Infor'!C31</f>
        <v>0</v>
      </c>
      <c r="E9" s="156">
        <f>D9+SUMIF('Cost Overview'!$T$16:$T$35,(YEAR(E$5)&amp;MONTH(E$5)),'Cost Overview'!$I$16:$I$35)</f>
        <v>0</v>
      </c>
      <c r="F9" s="156">
        <f>E9+SUMIF('Cost Overview'!$T$16:$T$35,(YEAR(F$5)&amp;MONTH(F$5)),'Cost Overview'!$I$16:$I$35)</f>
        <v>0</v>
      </c>
      <c r="G9" s="156">
        <f>F9+SUMIF('Cost Overview'!$T$16:$T$35,(YEAR(G$5)&amp;MONTH(G$5)),'Cost Overview'!$I$16:$I$35)</f>
        <v>0</v>
      </c>
      <c r="H9" s="156">
        <f>G9+SUMIF('Cost Overview'!$T$16:$T$35,(YEAR(H$5)&amp;MONTH(H$5)),'Cost Overview'!$I$16:$I$35)</f>
        <v>0</v>
      </c>
      <c r="I9" s="156">
        <f>H9+SUMIF('Cost Overview'!$T$16:$T$35,(YEAR(I$5)&amp;MONTH(I$5)),'Cost Overview'!$I$16:$I$35)</f>
        <v>0</v>
      </c>
      <c r="J9" s="156">
        <f>I9+SUMIF('Cost Overview'!$T$16:$T$35,(YEAR(J$5)&amp;MONTH(J$5)),'Cost Overview'!$I$16:$I$35)</f>
        <v>0</v>
      </c>
      <c r="K9" s="156">
        <f>J9+SUMIF('Cost Overview'!$T$16:$T$35,(YEAR(K$5)&amp;MONTH(K$5)),'Cost Overview'!$I$16:$I$35)</f>
        <v>0</v>
      </c>
      <c r="L9" s="156">
        <f>K9+SUMIF('Cost Overview'!$T$16:$T$35,(YEAR(L$5)&amp;MONTH(L$5)),'Cost Overview'!$I$16:$I$35)</f>
        <v>0</v>
      </c>
      <c r="M9" s="156">
        <f>L9+SUMIF('Cost Overview'!$T$16:$T$35,(YEAR(M$5)&amp;MONTH(M$5)),'Cost Overview'!$I$16:$I$35)</f>
        <v>0</v>
      </c>
      <c r="N9" s="156">
        <f>M9+SUMIF('Cost Overview'!$T$16:$T$35,(YEAR(N$5)&amp;MONTH(N$5)),'Cost Overview'!$I$16:$I$35)</f>
        <v>0</v>
      </c>
      <c r="O9" s="156">
        <f>N9+SUMIF('Cost Overview'!$T$16:$T$35,(YEAR(O$5)&amp;MONTH(O$5)),'Cost Overview'!$I$16:$I$35)</f>
        <v>0</v>
      </c>
      <c r="P9" s="156">
        <f>O9+SUMIF('Cost Overview'!$T$16:$T$35,(YEAR(P$5)&amp;MONTH(P$5)),'Cost Overview'!$I$16:$I$35)</f>
        <v>0</v>
      </c>
      <c r="Q9" s="156">
        <f>P9+SUMIF('Cost Overview'!$T$16:$T$35,(YEAR(Q$5)&amp;MONTH(Q$5)),'Cost Overview'!$I$16:$I$35)</f>
        <v>0</v>
      </c>
      <c r="R9" s="156">
        <f>Q9+SUMIF('Cost Overview'!$T$16:$T$35,(YEAR(R$5)&amp;MONTH(R$5)),'Cost Overview'!$I$16:$I$35)</f>
        <v>0</v>
      </c>
      <c r="S9" s="156">
        <f>R9+SUMIF('Cost Overview'!$T$16:$T$35,(YEAR(S$5)&amp;MONTH(S$5)),'Cost Overview'!$I$16:$I$35)</f>
        <v>0</v>
      </c>
      <c r="T9" s="156">
        <f>S9+SUMIF('Cost Overview'!$T$16:$T$35,(YEAR(T$5)&amp;MONTH(T$5)),'Cost Overview'!$I$16:$I$35)</f>
        <v>0</v>
      </c>
      <c r="U9" s="156">
        <f>T9+SUMIF('Cost Overview'!$T$16:$T$35,(YEAR(U$5)&amp;MONTH(U$5)),'Cost Overview'!$I$16:$I$35)</f>
        <v>0</v>
      </c>
      <c r="V9" s="156">
        <f>U9+SUMIF('Cost Overview'!$T$16:$T$35,(YEAR(V$5)&amp;MONTH(V$5)),'Cost Overview'!$I$16:$I$35)</f>
        <v>0</v>
      </c>
      <c r="W9" s="156">
        <f>V9+SUMIF('Cost Overview'!$T$16:$T$35,(YEAR(W$5)&amp;MONTH(W$5)),'Cost Overview'!$I$16:$I$35)</f>
        <v>0</v>
      </c>
      <c r="X9" s="156">
        <f>W9+SUMIF('Cost Overview'!$T$16:$T$35,(YEAR(X$5)&amp;MONTH(X$5)),'Cost Overview'!$I$16:$I$35)</f>
        <v>0</v>
      </c>
      <c r="Y9" s="156">
        <f>X9+SUMIF('Cost Overview'!$T$16:$T$35,(YEAR(Y$5)&amp;MONTH(Y$5)),'Cost Overview'!$I$16:$I$35)</f>
        <v>0</v>
      </c>
      <c r="Z9" s="156">
        <f>Y9+SUMIF('Cost Overview'!$T$16:$T$35,(YEAR(Z$5)&amp;MONTH(Z$5)),'Cost Overview'!$I$16:$I$35)</f>
        <v>0</v>
      </c>
      <c r="AA9" s="156">
        <f>Z9+SUMIF('Cost Overview'!$T$16:$T$35,(YEAR(AA$5)&amp;MONTH(AA$5)),'Cost Overview'!$I$16:$I$35)</f>
        <v>0</v>
      </c>
      <c r="AB9" s="156">
        <f>AA9+SUMIF('Cost Overview'!$T$16:$T$35,(YEAR(AB$5)&amp;MONTH(AB$5)),'Cost Overview'!$I$16:$I$35)</f>
        <v>0</v>
      </c>
      <c r="AC9" s="156">
        <f>AB9+SUMIF('Cost Overview'!$T$16:$T$35,(YEAR(AC$5)&amp;MONTH(AC$5)),'Cost Overview'!$I$16:$I$35)</f>
        <v>0</v>
      </c>
      <c r="AE9" s="25"/>
      <c r="AF9" s="25"/>
      <c r="AG9" s="25"/>
      <c r="AH9" s="25"/>
      <c r="AI9" s="25"/>
      <c r="AJ9" s="25"/>
      <c r="AK9" s="25"/>
      <c r="AL9" s="25"/>
      <c r="AM9" s="25"/>
      <c r="AN9" s="25"/>
      <c r="AO9" s="25"/>
      <c r="AP9" s="25"/>
    </row>
    <row r="10" spans="2:42" s="71" customFormat="1" ht="25" hidden="1" customHeight="1" outlineLevel="1" x14ac:dyDescent="0.3">
      <c r="B10" s="338" t="s">
        <v>176</v>
      </c>
      <c r="C10" s="338"/>
      <c r="D10" s="155">
        <f>'Project Infor'!C32</f>
        <v>0</v>
      </c>
      <c r="E10" s="156">
        <f>D10+SUMIF('Cost Overview'!$T$16:$T$35,(YEAR(E$5)&amp;MONTH(E$5)),'Cost Overview'!$J$16:$J$35)</f>
        <v>0</v>
      </c>
      <c r="F10" s="156">
        <f>E10+SUMIF('Cost Overview'!$T$16:$T$35,(YEAR(F$5)&amp;MONTH(F$5)),'Cost Overview'!$J$16:$J$35)</f>
        <v>0</v>
      </c>
      <c r="G10" s="156">
        <f>F10+SUMIF('Cost Overview'!$T$16:$T$35,(YEAR(G$5)&amp;MONTH(G$5)),'Cost Overview'!$J$16:$J$35)</f>
        <v>0</v>
      </c>
      <c r="H10" s="156">
        <f>G10+SUMIF('Cost Overview'!$T$16:$T$35,(YEAR(H$5)&amp;MONTH(H$5)),'Cost Overview'!$J$16:$J$35)</f>
        <v>0</v>
      </c>
      <c r="I10" s="156">
        <f>H10+SUMIF('Cost Overview'!$T$16:$T$35,(YEAR(I$5)&amp;MONTH(I$5)),'Cost Overview'!$J$16:$J$35)</f>
        <v>0</v>
      </c>
      <c r="J10" s="156">
        <f>I10+SUMIF('Cost Overview'!$T$16:$T$35,(YEAR(J$5)&amp;MONTH(J$5)),'Cost Overview'!$J$16:$J$35)</f>
        <v>0</v>
      </c>
      <c r="K10" s="156">
        <f>J10+SUMIF('Cost Overview'!$T$16:$T$35,(YEAR(K$5)&amp;MONTH(K$5)),'Cost Overview'!$J$16:$J$35)</f>
        <v>0</v>
      </c>
      <c r="L10" s="156">
        <f>K10+SUMIF('Cost Overview'!$T$16:$T$35,(YEAR(L$5)&amp;MONTH(L$5)),'Cost Overview'!$J$16:$J$35)</f>
        <v>0</v>
      </c>
      <c r="M10" s="156">
        <f>L10+SUMIF('Cost Overview'!$T$16:$T$35,(YEAR(M$5)&amp;MONTH(M$5)),'Cost Overview'!$J$16:$J$35)</f>
        <v>0</v>
      </c>
      <c r="N10" s="156">
        <f>M10+SUMIF('Cost Overview'!$T$16:$T$35,(YEAR(N$5)&amp;MONTH(N$5)),'Cost Overview'!$J$16:$J$35)</f>
        <v>0</v>
      </c>
      <c r="O10" s="156">
        <f>N10+SUMIF('Cost Overview'!$T$16:$T$35,(YEAR(O$5)&amp;MONTH(O$5)),'Cost Overview'!$J$16:$J$35)</f>
        <v>0</v>
      </c>
      <c r="P10" s="156">
        <f>O10+SUMIF('Cost Overview'!$T$16:$T$35,(YEAR(P$5)&amp;MONTH(P$5)),'Cost Overview'!$J$16:$J$35)</f>
        <v>0</v>
      </c>
      <c r="Q10" s="156">
        <f>P10+SUMIF('Cost Overview'!$T$16:$T$35,(YEAR(Q$5)&amp;MONTH(Q$5)),'Cost Overview'!$J$16:$J$35)</f>
        <v>0</v>
      </c>
      <c r="R10" s="156">
        <f>Q10+SUMIF('Cost Overview'!$T$16:$T$35,(YEAR(R$5)&amp;MONTH(R$5)),'Cost Overview'!$J$16:$J$35)</f>
        <v>0</v>
      </c>
      <c r="S10" s="156">
        <f>R10+SUMIF('Cost Overview'!$T$16:$T$35,(YEAR(S$5)&amp;MONTH(S$5)),'Cost Overview'!$J$16:$J$35)</f>
        <v>0</v>
      </c>
      <c r="T10" s="156">
        <f>S10+SUMIF('Cost Overview'!$T$16:$T$35,(YEAR(T$5)&amp;MONTH(T$5)),'Cost Overview'!$J$16:$J$35)</f>
        <v>0</v>
      </c>
      <c r="U10" s="156">
        <f>T10+SUMIF('Cost Overview'!$T$16:$T$35,(YEAR(U$5)&amp;MONTH(U$5)),'Cost Overview'!$J$16:$J$35)</f>
        <v>0</v>
      </c>
      <c r="V10" s="156">
        <f>U10+SUMIF('Cost Overview'!$T$16:$T$35,(YEAR(V$5)&amp;MONTH(V$5)),'Cost Overview'!$J$16:$J$35)</f>
        <v>0</v>
      </c>
      <c r="W10" s="156">
        <f>V10+SUMIF('Cost Overview'!$T$16:$T$35,(YEAR(W$5)&amp;MONTH(W$5)),'Cost Overview'!$J$16:$J$35)</f>
        <v>0</v>
      </c>
      <c r="X10" s="156">
        <f>W10+SUMIF('Cost Overview'!$T$16:$T$35,(YEAR(X$5)&amp;MONTH(X$5)),'Cost Overview'!$J$16:$J$35)</f>
        <v>0</v>
      </c>
      <c r="Y10" s="156">
        <f>X10+SUMIF('Cost Overview'!$T$16:$T$35,(YEAR(Y$5)&amp;MONTH(Y$5)),'Cost Overview'!$J$16:$J$35)</f>
        <v>0</v>
      </c>
      <c r="Z10" s="156">
        <f>Y10+SUMIF('Cost Overview'!$T$16:$T$35,(YEAR(Z$5)&amp;MONTH(Z$5)),'Cost Overview'!$J$16:$J$35)</f>
        <v>0</v>
      </c>
      <c r="AA10" s="156">
        <f>Z10+SUMIF('Cost Overview'!$T$16:$T$35,(YEAR(AA$5)&amp;MONTH(AA$5)),'Cost Overview'!$J$16:$J$35)</f>
        <v>0</v>
      </c>
      <c r="AB10" s="156">
        <f>AA10+SUMIF('Cost Overview'!$T$16:$T$35,(YEAR(AB$5)&amp;MONTH(AB$5)),'Cost Overview'!$J$16:$J$35)</f>
        <v>0</v>
      </c>
      <c r="AC10" s="156">
        <f>AB10+SUMIF('Cost Overview'!$T$16:$T$35,(YEAR(AC$5)&amp;MONTH(AC$5)),'Cost Overview'!$J$16:$J$35)</f>
        <v>0</v>
      </c>
      <c r="AE10" s="25"/>
      <c r="AF10" s="25"/>
      <c r="AG10" s="25"/>
      <c r="AH10" s="25"/>
      <c r="AI10" s="25"/>
      <c r="AJ10" s="25"/>
      <c r="AK10" s="25"/>
      <c r="AL10" s="25"/>
      <c r="AM10" s="25"/>
      <c r="AN10" s="25"/>
      <c r="AO10" s="25"/>
      <c r="AP10" s="25"/>
    </row>
    <row r="11" spans="2:42" s="71" customFormat="1" ht="25" hidden="1" customHeight="1" outlineLevel="1" x14ac:dyDescent="0.3">
      <c r="B11" s="338" t="s">
        <v>177</v>
      </c>
      <c r="C11" s="338"/>
      <c r="D11" s="155">
        <f>'Project Infor'!C33</f>
        <v>0</v>
      </c>
      <c r="E11" s="156">
        <f>D11+SUMIF('Cost Overview'!$T$16:$T$35,(YEAR(E$5)&amp;MONTH(E$5)),'Cost Overview'!$K$16:$K$35)</f>
        <v>0</v>
      </c>
      <c r="F11" s="156">
        <f>E11+SUMIF('Cost Overview'!$T$16:$T$35,(YEAR(F$5)&amp;MONTH(F$5)),'Cost Overview'!$K$16:$K$35)</f>
        <v>0</v>
      </c>
      <c r="G11" s="156">
        <f>F11+SUMIF('Cost Overview'!$T$16:$T$35,(YEAR(G$5)&amp;MONTH(G$5)),'Cost Overview'!$K$16:$K$35)</f>
        <v>0</v>
      </c>
      <c r="H11" s="156">
        <f>G11+SUMIF('Cost Overview'!$T$16:$T$35,(YEAR(H$5)&amp;MONTH(H$5)),'Cost Overview'!$K$16:$K$35)</f>
        <v>0</v>
      </c>
      <c r="I11" s="156">
        <f>H11+SUMIF('Cost Overview'!$T$16:$T$35,(YEAR(I$5)&amp;MONTH(I$5)),'Cost Overview'!$K$16:$K$35)</f>
        <v>0</v>
      </c>
      <c r="J11" s="156">
        <f>I11+SUMIF('Cost Overview'!$T$16:$T$35,(YEAR(J$5)&amp;MONTH(J$5)),'Cost Overview'!$K$16:$K$35)</f>
        <v>0</v>
      </c>
      <c r="K11" s="156">
        <f>J11+SUMIF('Cost Overview'!$T$16:$T$35,(YEAR(K$5)&amp;MONTH(K$5)),'Cost Overview'!$K$16:$K$35)</f>
        <v>0</v>
      </c>
      <c r="L11" s="156">
        <f>K11+SUMIF('Cost Overview'!$T$16:$T$35,(YEAR(L$5)&amp;MONTH(L$5)),'Cost Overview'!$K$16:$K$35)</f>
        <v>0</v>
      </c>
      <c r="M11" s="156">
        <f>L11+SUMIF('Cost Overview'!$T$16:$T$35,(YEAR(M$5)&amp;MONTH(M$5)),'Cost Overview'!$K$16:$K$35)</f>
        <v>0</v>
      </c>
      <c r="N11" s="156">
        <f>M11+SUMIF('Cost Overview'!$T$16:$T$35,(YEAR(N$5)&amp;MONTH(N$5)),'Cost Overview'!$K$16:$K$35)</f>
        <v>0</v>
      </c>
      <c r="O11" s="156">
        <f>N11+SUMIF('Cost Overview'!$T$16:$T$35,(YEAR(O$5)&amp;MONTH(O$5)),'Cost Overview'!$K$16:$K$35)</f>
        <v>0</v>
      </c>
      <c r="P11" s="156">
        <f>O11+SUMIF('Cost Overview'!$T$16:$T$35,(YEAR(P$5)&amp;MONTH(P$5)),'Cost Overview'!$K$16:$K$35)</f>
        <v>0</v>
      </c>
      <c r="Q11" s="156">
        <f>P11+SUMIF('Cost Overview'!$T$16:$T$35,(YEAR(Q$5)&amp;MONTH(Q$5)),'Cost Overview'!$K$16:$K$35)</f>
        <v>0</v>
      </c>
      <c r="R11" s="156">
        <f>Q11+SUMIF('Cost Overview'!$T$16:$T$35,(YEAR(R$5)&amp;MONTH(R$5)),'Cost Overview'!$K$16:$K$35)</f>
        <v>0</v>
      </c>
      <c r="S11" s="156">
        <f>R11+SUMIF('Cost Overview'!$T$16:$T$35,(YEAR(S$5)&amp;MONTH(S$5)),'Cost Overview'!$K$16:$K$35)</f>
        <v>0</v>
      </c>
      <c r="T11" s="156">
        <f>S11+SUMIF('Cost Overview'!$T$16:$T$35,(YEAR(T$5)&amp;MONTH(T$5)),'Cost Overview'!$K$16:$K$35)</f>
        <v>0</v>
      </c>
      <c r="U11" s="156">
        <f>T11+SUMIF('Cost Overview'!$T$16:$T$35,(YEAR(U$5)&amp;MONTH(U$5)),'Cost Overview'!$K$16:$K$35)</f>
        <v>0</v>
      </c>
      <c r="V11" s="156">
        <f>U11+SUMIF('Cost Overview'!$T$16:$T$35,(YEAR(V$5)&amp;MONTH(V$5)),'Cost Overview'!$K$16:$K$35)</f>
        <v>0</v>
      </c>
      <c r="W11" s="156">
        <f>V11+SUMIF('Cost Overview'!$T$16:$T$35,(YEAR(W$5)&amp;MONTH(W$5)),'Cost Overview'!$K$16:$K$35)</f>
        <v>0</v>
      </c>
      <c r="X11" s="156">
        <f>W11+SUMIF('Cost Overview'!$T$16:$T$35,(YEAR(X$5)&amp;MONTH(X$5)),'Cost Overview'!$K$16:$K$35)</f>
        <v>0</v>
      </c>
      <c r="Y11" s="156">
        <f>X11+SUMIF('Cost Overview'!$T$16:$T$35,(YEAR(Y$5)&amp;MONTH(Y$5)),'Cost Overview'!$K$16:$K$35)</f>
        <v>0</v>
      </c>
      <c r="Z11" s="156">
        <f>Y11+SUMIF('Cost Overview'!$T$16:$T$35,(YEAR(Z$5)&amp;MONTH(Z$5)),'Cost Overview'!$K$16:$K$35)</f>
        <v>0</v>
      </c>
      <c r="AA11" s="156">
        <f>Z11+SUMIF('Cost Overview'!$T$16:$T$35,(YEAR(AA$5)&amp;MONTH(AA$5)),'Cost Overview'!$K$16:$K$35)</f>
        <v>0</v>
      </c>
      <c r="AB11" s="156">
        <f>AA11+SUMIF('Cost Overview'!$T$16:$T$35,(YEAR(AB$5)&amp;MONTH(AB$5)),'Cost Overview'!$K$16:$K$35)</f>
        <v>0</v>
      </c>
      <c r="AC11" s="156">
        <f>AB11+SUMIF('Cost Overview'!$T$16:$T$35,(YEAR(AC$5)&amp;MONTH(AC$5)),'Cost Overview'!$K$16:$K$35)</f>
        <v>0</v>
      </c>
    </row>
    <row r="12" spans="2:42" s="71" customFormat="1" ht="25" hidden="1" customHeight="1" outlineLevel="1" x14ac:dyDescent="0.3">
      <c r="B12" s="338" t="s">
        <v>178</v>
      </c>
      <c r="C12" s="338"/>
      <c r="D12" s="155">
        <f>'Project Infor'!C34</f>
        <v>0</v>
      </c>
      <c r="E12" s="156">
        <f>D12+SUMIF('Cost Overview'!$T$16:$T$35,(YEAR(E$5)&amp;MONTH(E$5)),'Cost Overview'!$L$16:$L$35)</f>
        <v>0</v>
      </c>
      <c r="F12" s="156">
        <f>E12+SUMIF('Cost Overview'!$T$16:$T$35,(YEAR(F$5)&amp;MONTH(F$5)),'Cost Overview'!$L$16:$L$35)</f>
        <v>0</v>
      </c>
      <c r="G12" s="156">
        <f>F12+SUMIF('Cost Overview'!$T$16:$T$35,(YEAR(G$5)&amp;MONTH(G$5)),'Cost Overview'!$L$16:$L$35)</f>
        <v>0</v>
      </c>
      <c r="H12" s="156">
        <f>G12+SUMIF('Cost Overview'!$T$16:$T$35,(YEAR(H$5)&amp;MONTH(H$5)),'Cost Overview'!$L$16:$L$35)</f>
        <v>0</v>
      </c>
      <c r="I12" s="156">
        <f>H12+SUMIF('Cost Overview'!$T$16:$T$35,(YEAR(I$5)&amp;MONTH(I$5)),'Cost Overview'!$L$16:$L$35)</f>
        <v>0</v>
      </c>
      <c r="J12" s="156">
        <f>I12+SUMIF('Cost Overview'!$T$16:$T$35,(YEAR(J$5)&amp;MONTH(J$5)),'Cost Overview'!$L$16:$L$35)</f>
        <v>0</v>
      </c>
      <c r="K12" s="156">
        <f>J12+SUMIF('Cost Overview'!$T$16:$T$35,(YEAR(K$5)&amp;MONTH(K$5)),'Cost Overview'!$L$16:$L$35)</f>
        <v>0</v>
      </c>
      <c r="L12" s="156">
        <f>K12+SUMIF('Cost Overview'!$T$16:$T$35,(YEAR(L$5)&amp;MONTH(L$5)),'Cost Overview'!$L$16:$L$35)</f>
        <v>0</v>
      </c>
      <c r="M12" s="156">
        <f>L12+SUMIF('Cost Overview'!$T$16:$T$35,(YEAR(M$5)&amp;MONTH(M$5)),'Cost Overview'!$L$16:$L$35)</f>
        <v>0</v>
      </c>
      <c r="N12" s="156">
        <f>M12+SUMIF('Cost Overview'!$T$16:$T$35,(YEAR(N$5)&amp;MONTH(N$5)),'Cost Overview'!$L$16:$L$35)</f>
        <v>0</v>
      </c>
      <c r="O12" s="156">
        <f>N12+SUMIF('Cost Overview'!$T$16:$T$35,(YEAR(O$5)&amp;MONTH(O$5)),'Cost Overview'!$L$16:$L$35)</f>
        <v>0</v>
      </c>
      <c r="P12" s="156">
        <f>O12+SUMIF('Cost Overview'!$T$16:$T$35,(YEAR(P$5)&amp;MONTH(P$5)),'Cost Overview'!$L$16:$L$35)</f>
        <v>0</v>
      </c>
      <c r="Q12" s="156">
        <f>P12+SUMIF('Cost Overview'!$T$16:$T$35,(YEAR(Q$5)&amp;MONTH(Q$5)),'Cost Overview'!$L$16:$L$35)</f>
        <v>0</v>
      </c>
      <c r="R12" s="156">
        <f>Q12+SUMIF('Cost Overview'!$T$16:$T$35,(YEAR(R$5)&amp;MONTH(R$5)),'Cost Overview'!$L$16:$L$35)</f>
        <v>0</v>
      </c>
      <c r="S12" s="156">
        <f>R12+SUMIF('Cost Overview'!$T$16:$T$35,(YEAR(S$5)&amp;MONTH(S$5)),'Cost Overview'!$L$16:$L$35)</f>
        <v>0</v>
      </c>
      <c r="T12" s="156">
        <f>S12+SUMIF('Cost Overview'!$T$16:$T$35,(YEAR(T$5)&amp;MONTH(T$5)),'Cost Overview'!$L$16:$L$35)</f>
        <v>0</v>
      </c>
      <c r="U12" s="156">
        <f>T12+SUMIF('Cost Overview'!$T$16:$T$35,(YEAR(U$5)&amp;MONTH(U$5)),'Cost Overview'!$L$16:$L$35)</f>
        <v>0</v>
      </c>
      <c r="V12" s="156">
        <f>U12+SUMIF('Cost Overview'!$T$16:$T$35,(YEAR(V$5)&amp;MONTH(V$5)),'Cost Overview'!$L$16:$L$35)</f>
        <v>0</v>
      </c>
      <c r="W12" s="156">
        <f>V12+SUMIF('Cost Overview'!$T$16:$T$35,(YEAR(W$5)&amp;MONTH(W$5)),'Cost Overview'!$L$16:$L$35)</f>
        <v>0</v>
      </c>
      <c r="X12" s="156">
        <f>W12+SUMIF('Cost Overview'!$T$16:$T$35,(YEAR(X$5)&amp;MONTH(X$5)),'Cost Overview'!$L$16:$L$35)</f>
        <v>0</v>
      </c>
      <c r="Y12" s="156">
        <f>X12+SUMIF('Cost Overview'!$T$16:$T$35,(YEAR(Y$5)&amp;MONTH(Y$5)),'Cost Overview'!$L$16:$L$35)</f>
        <v>0</v>
      </c>
      <c r="Z12" s="156">
        <f>Y12+SUMIF('Cost Overview'!$T$16:$T$35,(YEAR(Z$5)&amp;MONTH(Z$5)),'Cost Overview'!$L$16:$L$35)</f>
        <v>0</v>
      </c>
      <c r="AA12" s="156">
        <f>Z12+SUMIF('Cost Overview'!$T$16:$T$35,(YEAR(AA$5)&amp;MONTH(AA$5)),'Cost Overview'!$L$16:$L$35)</f>
        <v>0</v>
      </c>
      <c r="AB12" s="156">
        <f>AA12+SUMIF('Cost Overview'!$T$16:$T$35,(YEAR(AB$5)&amp;MONTH(AB$5)),'Cost Overview'!$L$16:$L$35)</f>
        <v>0</v>
      </c>
      <c r="AC12" s="156">
        <f>AB12+SUMIF('Cost Overview'!$T$16:$T$35,(YEAR(AC$5)&amp;MONTH(AC$5)),'Cost Overview'!$L$16:$L$35)</f>
        <v>0</v>
      </c>
    </row>
    <row r="13" spans="2:42" s="71" customFormat="1" ht="25" customHeight="1" collapsed="1" x14ac:dyDescent="0.3">
      <c r="B13" s="338" t="s">
        <v>67</v>
      </c>
      <c r="C13" s="338"/>
      <c r="D13" s="155">
        <f>SUM(D8:D12)</f>
        <v>0</v>
      </c>
      <c r="E13" s="155">
        <f t="shared" ref="E13:N13" si="4">SUM(E8:E12)</f>
        <v>0</v>
      </c>
      <c r="F13" s="155">
        <f t="shared" si="4"/>
        <v>0</v>
      </c>
      <c r="G13" s="155">
        <f t="shared" si="4"/>
        <v>0</v>
      </c>
      <c r="H13" s="155">
        <f t="shared" si="4"/>
        <v>0</v>
      </c>
      <c r="I13" s="155">
        <f t="shared" si="4"/>
        <v>0</v>
      </c>
      <c r="J13" s="155">
        <f t="shared" si="4"/>
        <v>0</v>
      </c>
      <c r="K13" s="155">
        <f t="shared" si="4"/>
        <v>0</v>
      </c>
      <c r="L13" s="155">
        <f>SUM(L8:L12)</f>
        <v>0</v>
      </c>
      <c r="M13" s="155">
        <f t="shared" si="4"/>
        <v>0</v>
      </c>
      <c r="N13" s="155">
        <f t="shared" si="4"/>
        <v>0</v>
      </c>
      <c r="O13" s="155">
        <f t="shared" ref="O13" si="5">SUM(O8:O12)</f>
        <v>0</v>
      </c>
      <c r="P13" s="155">
        <f t="shared" ref="P13" si="6">SUM(P8:P12)</f>
        <v>0</v>
      </c>
      <c r="Q13" s="155">
        <f t="shared" ref="Q13" si="7">SUM(Q8:Q12)</f>
        <v>0</v>
      </c>
      <c r="R13" s="155">
        <f t="shared" ref="R13" si="8">SUM(R8:R12)</f>
        <v>0</v>
      </c>
      <c r="S13" s="155">
        <f t="shared" ref="S13" si="9">SUM(S8:S12)</f>
        <v>0</v>
      </c>
      <c r="T13" s="155">
        <f t="shared" ref="T13" si="10">SUM(T8:T12)</f>
        <v>0</v>
      </c>
      <c r="U13" s="155">
        <f t="shared" ref="U13" si="11">SUM(U8:U12)</f>
        <v>0</v>
      </c>
      <c r="V13" s="155">
        <f t="shared" ref="V13" si="12">SUM(V8:V12)</f>
        <v>0</v>
      </c>
      <c r="W13" s="155">
        <f t="shared" ref="W13" si="13">SUM(W8:W12)</f>
        <v>0</v>
      </c>
      <c r="X13" s="155">
        <f t="shared" ref="X13" si="14">SUM(X8:X12)</f>
        <v>0</v>
      </c>
      <c r="Y13" s="155">
        <f t="shared" ref="Y13" si="15">SUM(Y8:Y12)</f>
        <v>0</v>
      </c>
      <c r="Z13" s="155">
        <f t="shared" ref="Z13" si="16">SUM(Z8:Z12)</f>
        <v>0</v>
      </c>
      <c r="AA13" s="155">
        <f t="shared" ref="AA13:AB13" si="17">SUM(AA8:AA12)</f>
        <v>0</v>
      </c>
      <c r="AB13" s="155">
        <f t="shared" si="17"/>
        <v>0</v>
      </c>
      <c r="AC13" s="155">
        <f>SUM(AC8:AC12)</f>
        <v>0</v>
      </c>
    </row>
    <row r="14" spans="2:42" s="71" customFormat="1" ht="25" customHeight="1" x14ac:dyDescent="0.3">
      <c r="B14" s="336" t="s">
        <v>179</v>
      </c>
      <c r="C14" s="336"/>
      <c r="D14" s="157">
        <f>D6-D13</f>
        <v>0</v>
      </c>
      <c r="E14" s="157">
        <f t="shared" ref="E14:N14" si="18">E6-E13</f>
        <v>0</v>
      </c>
      <c r="F14" s="157">
        <f t="shared" si="18"/>
        <v>0</v>
      </c>
      <c r="G14" s="157">
        <f t="shared" si="18"/>
        <v>0</v>
      </c>
      <c r="H14" s="157">
        <f t="shared" si="18"/>
        <v>0</v>
      </c>
      <c r="I14" s="157">
        <f t="shared" si="18"/>
        <v>0</v>
      </c>
      <c r="J14" s="157">
        <f t="shared" si="18"/>
        <v>0</v>
      </c>
      <c r="K14" s="157">
        <f t="shared" si="18"/>
        <v>0</v>
      </c>
      <c r="L14" s="157">
        <f t="shared" si="18"/>
        <v>0</v>
      </c>
      <c r="M14" s="157">
        <f t="shared" si="18"/>
        <v>0</v>
      </c>
      <c r="N14" s="157">
        <f t="shared" si="18"/>
        <v>0</v>
      </c>
      <c r="O14" s="157">
        <f t="shared" ref="O14" si="19">O6-O13</f>
        <v>0</v>
      </c>
      <c r="P14" s="157">
        <f t="shared" ref="P14" si="20">P6-P13</f>
        <v>0</v>
      </c>
      <c r="Q14" s="157">
        <f t="shared" ref="Q14" si="21">Q6-Q13</f>
        <v>0</v>
      </c>
      <c r="R14" s="157">
        <f t="shared" ref="R14" si="22">R6-R13</f>
        <v>0</v>
      </c>
      <c r="S14" s="157">
        <f t="shared" ref="S14" si="23">S6-S13</f>
        <v>0</v>
      </c>
      <c r="T14" s="157">
        <f t="shared" ref="T14" si="24">T6-T13</f>
        <v>0</v>
      </c>
      <c r="U14" s="157">
        <f t="shared" ref="U14" si="25">U6-U13</f>
        <v>0</v>
      </c>
      <c r="V14" s="157">
        <f t="shared" ref="V14" si="26">V6-V13</f>
        <v>0</v>
      </c>
      <c r="W14" s="157">
        <f t="shared" ref="W14" si="27">W6-W13</f>
        <v>0</v>
      </c>
      <c r="X14" s="157">
        <f t="shared" ref="X14" si="28">X6-X13</f>
        <v>0</v>
      </c>
      <c r="Y14" s="157">
        <f t="shared" ref="Y14" si="29">Y6-Y13</f>
        <v>0</v>
      </c>
      <c r="Z14" s="157">
        <f t="shared" ref="Z14" si="30">Z6-Z13</f>
        <v>0</v>
      </c>
      <c r="AA14" s="157">
        <f>AA6-AA13</f>
        <v>0</v>
      </c>
      <c r="AB14" s="157">
        <f>AB6-AB13</f>
        <v>0</v>
      </c>
      <c r="AC14" s="158">
        <f>AC6-AC13</f>
        <v>0</v>
      </c>
    </row>
    <row r="15" spans="2:42" s="71" customFormat="1" ht="25" customHeight="1" x14ac:dyDescent="0.3">
      <c r="B15" s="336" t="s">
        <v>180</v>
      </c>
      <c r="C15" s="336"/>
      <c r="D15" s="159">
        <f>IF(D6=0,0,(D6-D13)/D6)</f>
        <v>0</v>
      </c>
      <c r="E15" s="159">
        <f>IF(E6=0,0,(E6-E13)/E6)</f>
        <v>0</v>
      </c>
      <c r="F15" s="159">
        <f t="shared" ref="F15:N15" si="31">IF(F6=0,0,(F6-F13)/F6)</f>
        <v>0</v>
      </c>
      <c r="G15" s="159">
        <f t="shared" si="31"/>
        <v>0</v>
      </c>
      <c r="H15" s="159">
        <f t="shared" si="31"/>
        <v>0</v>
      </c>
      <c r="I15" s="159">
        <f t="shared" si="31"/>
        <v>0</v>
      </c>
      <c r="J15" s="159">
        <f t="shared" si="31"/>
        <v>0</v>
      </c>
      <c r="K15" s="159">
        <f t="shared" si="31"/>
        <v>0</v>
      </c>
      <c r="L15" s="159">
        <f>IF(L6=0,0,(L6-L13)/L6)</f>
        <v>0</v>
      </c>
      <c r="M15" s="159">
        <f t="shared" si="31"/>
        <v>0</v>
      </c>
      <c r="N15" s="159">
        <f t="shared" si="31"/>
        <v>0</v>
      </c>
      <c r="O15" s="159">
        <f t="shared" ref="O15:Z15" si="32">IF(O6=0,0,(O6-O13)/O6)</f>
        <v>0</v>
      </c>
      <c r="P15" s="159">
        <f t="shared" si="32"/>
        <v>0</v>
      </c>
      <c r="Q15" s="159">
        <f t="shared" si="32"/>
        <v>0</v>
      </c>
      <c r="R15" s="159">
        <f t="shared" si="32"/>
        <v>0</v>
      </c>
      <c r="S15" s="159">
        <f t="shared" si="32"/>
        <v>0</v>
      </c>
      <c r="T15" s="159">
        <f t="shared" si="32"/>
        <v>0</v>
      </c>
      <c r="U15" s="159">
        <f t="shared" si="32"/>
        <v>0</v>
      </c>
      <c r="V15" s="159">
        <f t="shared" si="32"/>
        <v>0</v>
      </c>
      <c r="W15" s="159">
        <f t="shared" si="32"/>
        <v>0</v>
      </c>
      <c r="X15" s="159">
        <f t="shared" si="32"/>
        <v>0</v>
      </c>
      <c r="Y15" s="159">
        <f t="shared" si="32"/>
        <v>0</v>
      </c>
      <c r="Z15" s="159">
        <f t="shared" si="32"/>
        <v>0</v>
      </c>
      <c r="AA15" s="159">
        <f>IF(AA6=0,0,(AA6-AA13)/AA6)</f>
        <v>0</v>
      </c>
      <c r="AB15" s="159">
        <f>IF(AB6=0,0,(AB6-AB13)/AB6)</f>
        <v>0</v>
      </c>
      <c r="AC15" s="159">
        <f>IF(AC6=0,0,(AC6-AC13)/AC6)</f>
        <v>0</v>
      </c>
    </row>
    <row r="16" spans="2:42" ht="20.149999999999999" customHeight="1" x14ac:dyDescent="0.3">
      <c r="B16" s="28"/>
      <c r="C16" s="28"/>
      <c r="D16" s="111"/>
      <c r="E16" s="28"/>
    </row>
    <row r="17" spans="2:42" s="90" customFormat="1" ht="25" customHeight="1" x14ac:dyDescent="0.3">
      <c r="B17" s="335" t="s">
        <v>181</v>
      </c>
      <c r="C17" s="335"/>
      <c r="D17" s="160"/>
      <c r="E17" s="161">
        <f>'Project Infor'!C8</f>
        <v>44287</v>
      </c>
      <c r="F17" s="161">
        <f t="shared" ref="F17" si="33">EOMONTH(E17,1)</f>
        <v>44347</v>
      </c>
      <c r="G17" s="161">
        <f t="shared" ref="G17" si="34">EOMONTH(F17,1)</f>
        <v>44377</v>
      </c>
      <c r="H17" s="161">
        <f t="shared" ref="H17" si="35">EOMONTH(G17,1)</f>
        <v>44408</v>
      </c>
      <c r="I17" s="161">
        <f t="shared" ref="I17" si="36">EOMONTH(H17,1)</f>
        <v>44439</v>
      </c>
      <c r="J17" s="161">
        <f t="shared" ref="J17" si="37">EOMONTH(I17,1)</f>
        <v>44469</v>
      </c>
      <c r="K17" s="161">
        <f t="shared" ref="K17" si="38">EOMONTH(J17,1)</f>
        <v>44500</v>
      </c>
      <c r="L17" s="161">
        <f t="shared" ref="L17" si="39">EOMONTH(K17,1)</f>
        <v>44530</v>
      </c>
      <c r="M17" s="161">
        <f t="shared" ref="M17" si="40">EOMONTH(L17,1)</f>
        <v>44561</v>
      </c>
      <c r="N17" s="161">
        <f t="shared" ref="N17" si="41">EOMONTH(M17,1)</f>
        <v>44592</v>
      </c>
      <c r="O17" s="161">
        <f t="shared" ref="O17" si="42">EOMONTH(N17,1)</f>
        <v>44620</v>
      </c>
      <c r="P17" s="161">
        <f t="shared" ref="P17" si="43">EOMONTH(O17,1)</f>
        <v>44651</v>
      </c>
      <c r="Q17" s="161">
        <f t="shared" ref="Q17" si="44">EOMONTH(P17,1)</f>
        <v>44681</v>
      </c>
      <c r="R17" s="161">
        <f t="shared" ref="R17" si="45">EOMONTH(Q17,1)</f>
        <v>44712</v>
      </c>
      <c r="S17" s="161">
        <f t="shared" ref="S17" si="46">EOMONTH(R17,1)</f>
        <v>44742</v>
      </c>
      <c r="T17" s="161">
        <f t="shared" ref="T17" si="47">EOMONTH(S17,1)</f>
        <v>44773</v>
      </c>
      <c r="U17" s="161">
        <f t="shared" ref="U17" si="48">EOMONTH(T17,1)</f>
        <v>44804</v>
      </c>
      <c r="V17" s="161">
        <f t="shared" ref="V17" si="49">EOMONTH(U17,1)</f>
        <v>44834</v>
      </c>
      <c r="W17" s="161">
        <f t="shared" ref="W17" si="50">EOMONTH(V17,1)</f>
        <v>44865</v>
      </c>
      <c r="X17" s="161">
        <f t="shared" ref="X17" si="51">EOMONTH(W17,1)</f>
        <v>44895</v>
      </c>
      <c r="Y17" s="161">
        <f t="shared" ref="Y17" si="52">EOMONTH(X17,1)</f>
        <v>44926</v>
      </c>
      <c r="Z17" s="161">
        <f t="shared" ref="Z17" si="53">EOMONTH(Y17,1)</f>
        <v>44957</v>
      </c>
      <c r="AA17" s="161">
        <f t="shared" ref="AA17" si="54">EOMONTH(Z17,1)</f>
        <v>44985</v>
      </c>
      <c r="AB17" s="161">
        <f t="shared" ref="AB17" si="55">EOMONTH(AA17,1)</f>
        <v>45016</v>
      </c>
      <c r="AC17" s="161">
        <f t="shared" ref="AC17" si="56">EOMONTH(AB17,1)</f>
        <v>45046</v>
      </c>
      <c r="AD17" s="25"/>
      <c r="AE17" s="25"/>
      <c r="AF17" s="25"/>
      <c r="AG17" s="25"/>
      <c r="AH17" s="25"/>
      <c r="AI17" s="25"/>
      <c r="AJ17" s="25"/>
      <c r="AK17" s="25"/>
      <c r="AL17" s="25"/>
      <c r="AM17" s="25"/>
      <c r="AN17" s="25"/>
      <c r="AO17" s="25"/>
      <c r="AP17" s="25"/>
    </row>
    <row r="18" spans="2:42" s="71" customFormat="1" ht="25" customHeight="1" x14ac:dyDescent="0.3">
      <c r="B18" s="340" t="s">
        <v>182</v>
      </c>
      <c r="C18" s="340"/>
      <c r="D18" s="154"/>
      <c r="E18" s="154">
        <f>'Cost Planning'!H44+'Cost Planning'!H62+'Cost Planning'!H78</f>
        <v>0</v>
      </c>
      <c r="F18" s="154">
        <f>'Cost Planning'!I44+'Cost Planning'!I62+'Cost Planning'!I78</f>
        <v>0</v>
      </c>
      <c r="G18" s="154">
        <f>'Cost Planning'!J44+'Cost Planning'!J62+'Cost Planning'!J78</f>
        <v>0</v>
      </c>
      <c r="H18" s="154">
        <f>'Cost Planning'!K44+'Cost Planning'!K62+'Cost Planning'!K78</f>
        <v>0</v>
      </c>
      <c r="I18" s="154">
        <f>'Cost Planning'!L44+'Cost Planning'!L62+'Cost Planning'!L78</f>
        <v>0</v>
      </c>
      <c r="J18" s="154">
        <f>'Cost Planning'!M44+'Cost Planning'!M62+'Cost Planning'!M78</f>
        <v>0</v>
      </c>
      <c r="K18" s="154">
        <f>'Cost Planning'!N44+'Cost Planning'!N62+'Cost Planning'!N78</f>
        <v>0</v>
      </c>
      <c r="L18" s="154">
        <f>'Cost Planning'!O44+'Cost Planning'!O62+'Cost Planning'!O78</f>
        <v>0</v>
      </c>
      <c r="M18" s="154">
        <f>'Cost Planning'!P44+'Cost Planning'!P62+'Cost Planning'!P78</f>
        <v>0</v>
      </c>
      <c r="N18" s="154">
        <f>'Cost Planning'!Q44+'Cost Planning'!Q62+'Cost Planning'!Q78</f>
        <v>0</v>
      </c>
      <c r="O18" s="154">
        <f>'Cost Planning'!R44+'Cost Planning'!R62+'Cost Planning'!R78</f>
        <v>0</v>
      </c>
      <c r="P18" s="154">
        <f>'Cost Planning'!S44+'Cost Planning'!S62+'Cost Planning'!S78</f>
        <v>0</v>
      </c>
      <c r="Q18" s="154">
        <f>'Cost Planning'!T44+'Cost Planning'!T62+'Cost Planning'!T78</f>
        <v>0</v>
      </c>
      <c r="R18" s="154">
        <f>'Cost Planning'!U44+'Cost Planning'!U62+'Cost Planning'!U78</f>
        <v>0</v>
      </c>
      <c r="S18" s="154">
        <f>'Cost Planning'!V44+'Cost Planning'!V62+'Cost Planning'!V78</f>
        <v>0</v>
      </c>
      <c r="T18" s="154">
        <f>'Cost Planning'!W44+'Cost Planning'!W62+'Cost Planning'!W78</f>
        <v>0</v>
      </c>
      <c r="U18" s="154">
        <f>'Cost Planning'!X44+'Cost Planning'!X62+'Cost Planning'!X78</f>
        <v>0</v>
      </c>
      <c r="V18" s="154">
        <f>'Cost Planning'!Y44+'Cost Planning'!Y62+'Cost Planning'!Y78</f>
        <v>0</v>
      </c>
      <c r="W18" s="154">
        <f>'Cost Planning'!Z44+'Cost Planning'!Z62+'Cost Planning'!Z78</f>
        <v>0</v>
      </c>
      <c r="X18" s="154">
        <f>'Cost Planning'!AA44+'Cost Planning'!AA62+'Cost Planning'!AA78</f>
        <v>0</v>
      </c>
      <c r="Y18" s="154">
        <f>'Cost Planning'!AB44+'Cost Planning'!AB62+'Cost Planning'!AB78</f>
        <v>0</v>
      </c>
      <c r="Z18" s="154">
        <f>'Cost Planning'!AC44+'Cost Planning'!AC62+'Cost Planning'!AC78</f>
        <v>0</v>
      </c>
      <c r="AA18" s="154">
        <f>'Cost Planning'!AD44+'Cost Planning'!AD62+'Cost Planning'!AD78</f>
        <v>0</v>
      </c>
      <c r="AB18" s="154">
        <f>'Cost Planning'!AE44+'Cost Planning'!AE62+'Cost Planning'!AE78</f>
        <v>0</v>
      </c>
      <c r="AC18" s="154">
        <f>'Cost Planning'!AF44+'Cost Planning'!AF62+'Cost Planning'!AF78</f>
        <v>0</v>
      </c>
      <c r="AD18" s="25"/>
      <c r="AE18" s="25"/>
      <c r="AF18" s="25"/>
      <c r="AG18" s="25"/>
      <c r="AH18" s="25"/>
      <c r="AI18" s="25"/>
      <c r="AJ18" s="25"/>
      <c r="AK18" s="25"/>
      <c r="AL18" s="25"/>
      <c r="AM18" s="25"/>
      <c r="AN18" s="25"/>
      <c r="AO18" s="25"/>
      <c r="AP18" s="25"/>
    </row>
    <row r="19" spans="2:42" s="71" customFormat="1" ht="25" customHeight="1" outlineLevel="1" x14ac:dyDescent="0.3">
      <c r="B19" s="338" t="s">
        <v>62</v>
      </c>
      <c r="C19" s="338"/>
      <c r="D19" s="156"/>
      <c r="E19" s="156">
        <f t="shared" ref="E19:E24" si="57">E31-D31</f>
        <v>0</v>
      </c>
      <c r="F19" s="156">
        <f t="shared" ref="F19:Z19" si="58">F31-E31</f>
        <v>0</v>
      </c>
      <c r="G19" s="156">
        <f t="shared" si="58"/>
        <v>0</v>
      </c>
      <c r="H19" s="156">
        <f t="shared" si="58"/>
        <v>0</v>
      </c>
      <c r="I19" s="156">
        <f t="shared" si="58"/>
        <v>0</v>
      </c>
      <c r="J19" s="156">
        <f t="shared" si="58"/>
        <v>0</v>
      </c>
      <c r="K19" s="156">
        <f t="shared" si="58"/>
        <v>0</v>
      </c>
      <c r="L19" s="156">
        <f t="shared" si="58"/>
        <v>0</v>
      </c>
      <c r="M19" s="156">
        <f t="shared" si="58"/>
        <v>0</v>
      </c>
      <c r="N19" s="156">
        <f t="shared" si="58"/>
        <v>0</v>
      </c>
      <c r="O19" s="156">
        <f t="shared" si="58"/>
        <v>0</v>
      </c>
      <c r="P19" s="156">
        <f t="shared" si="58"/>
        <v>0</v>
      </c>
      <c r="Q19" s="156">
        <f t="shared" si="58"/>
        <v>0</v>
      </c>
      <c r="R19" s="156">
        <f t="shared" si="58"/>
        <v>0</v>
      </c>
      <c r="S19" s="156">
        <f t="shared" si="58"/>
        <v>0</v>
      </c>
      <c r="T19" s="156">
        <f t="shared" si="58"/>
        <v>0</v>
      </c>
      <c r="U19" s="156">
        <f t="shared" si="58"/>
        <v>0</v>
      </c>
      <c r="V19" s="156">
        <f t="shared" si="58"/>
        <v>0</v>
      </c>
      <c r="W19" s="156">
        <f t="shared" si="58"/>
        <v>0</v>
      </c>
      <c r="X19" s="156">
        <f t="shared" si="58"/>
        <v>0</v>
      </c>
      <c r="Y19" s="156">
        <f t="shared" si="58"/>
        <v>0</v>
      </c>
      <c r="Z19" s="156">
        <f t="shared" si="58"/>
        <v>0</v>
      </c>
      <c r="AA19" s="156">
        <f>AA31-Z31</f>
        <v>0</v>
      </c>
      <c r="AB19" s="156">
        <f t="shared" ref="AB19:AC24" si="59">AB31-AA31</f>
        <v>0</v>
      </c>
      <c r="AC19" s="156">
        <f t="shared" si="59"/>
        <v>0</v>
      </c>
      <c r="AE19" s="25"/>
      <c r="AF19" s="25"/>
      <c r="AG19" s="25"/>
      <c r="AH19" s="25"/>
      <c r="AI19" s="25"/>
      <c r="AJ19" s="25"/>
      <c r="AK19" s="25"/>
      <c r="AL19" s="25"/>
      <c r="AM19" s="25"/>
      <c r="AN19" s="25"/>
      <c r="AO19" s="25"/>
      <c r="AP19" s="25"/>
    </row>
    <row r="20" spans="2:42" s="71" customFormat="1" ht="25" customHeight="1" outlineLevel="1" x14ac:dyDescent="0.3">
      <c r="B20" s="338" t="s">
        <v>174</v>
      </c>
      <c r="C20" s="338"/>
      <c r="D20" s="156"/>
      <c r="E20" s="156">
        <f t="shared" si="57"/>
        <v>0</v>
      </c>
      <c r="F20" s="156">
        <f t="shared" ref="F20:AA20" si="60">F32-E32</f>
        <v>0</v>
      </c>
      <c r="G20" s="156">
        <f t="shared" si="60"/>
        <v>0</v>
      </c>
      <c r="H20" s="156">
        <f t="shared" si="60"/>
        <v>0</v>
      </c>
      <c r="I20" s="156">
        <f t="shared" si="60"/>
        <v>0</v>
      </c>
      <c r="J20" s="156">
        <f t="shared" si="60"/>
        <v>0</v>
      </c>
      <c r="K20" s="156">
        <f t="shared" si="60"/>
        <v>0</v>
      </c>
      <c r="L20" s="156">
        <f t="shared" si="60"/>
        <v>0</v>
      </c>
      <c r="M20" s="156">
        <f t="shared" si="60"/>
        <v>0</v>
      </c>
      <c r="N20" s="156">
        <f>N32-M32</f>
        <v>0</v>
      </c>
      <c r="O20" s="156">
        <f t="shared" si="60"/>
        <v>0</v>
      </c>
      <c r="P20" s="156">
        <f t="shared" si="60"/>
        <v>0</v>
      </c>
      <c r="Q20" s="156">
        <f t="shared" si="60"/>
        <v>0</v>
      </c>
      <c r="R20" s="156">
        <f t="shared" si="60"/>
        <v>0</v>
      </c>
      <c r="S20" s="156">
        <f t="shared" si="60"/>
        <v>0</v>
      </c>
      <c r="T20" s="156">
        <f t="shared" si="60"/>
        <v>0</v>
      </c>
      <c r="U20" s="156">
        <f t="shared" si="60"/>
        <v>0</v>
      </c>
      <c r="V20" s="156">
        <f t="shared" si="60"/>
        <v>0</v>
      </c>
      <c r="W20" s="156">
        <f t="shared" si="60"/>
        <v>0</v>
      </c>
      <c r="X20" s="156">
        <f t="shared" si="60"/>
        <v>0</v>
      </c>
      <c r="Y20" s="156">
        <f t="shared" si="60"/>
        <v>0</v>
      </c>
      <c r="Z20" s="156">
        <f t="shared" si="60"/>
        <v>0</v>
      </c>
      <c r="AA20" s="156">
        <f t="shared" si="60"/>
        <v>0</v>
      </c>
      <c r="AB20" s="156">
        <f t="shared" si="59"/>
        <v>0</v>
      </c>
      <c r="AC20" s="156">
        <f t="shared" si="59"/>
        <v>0</v>
      </c>
      <c r="AE20" s="25"/>
      <c r="AF20" s="25"/>
      <c r="AG20" s="25"/>
      <c r="AH20" s="25"/>
      <c r="AI20" s="25"/>
      <c r="AJ20" s="25"/>
      <c r="AK20" s="25"/>
      <c r="AL20" s="25"/>
      <c r="AM20" s="25"/>
      <c r="AN20" s="25"/>
      <c r="AO20" s="25"/>
      <c r="AP20" s="25"/>
    </row>
    <row r="21" spans="2:42" s="71" customFormat="1" ht="25" customHeight="1" outlineLevel="1" x14ac:dyDescent="0.3">
      <c r="B21" s="338" t="s">
        <v>175</v>
      </c>
      <c r="C21" s="338"/>
      <c r="D21" s="156"/>
      <c r="E21" s="156">
        <f t="shared" si="57"/>
        <v>0</v>
      </c>
      <c r="F21" s="156">
        <f t="shared" ref="F21:AA21" si="61">F33-E33</f>
        <v>0</v>
      </c>
      <c r="G21" s="156">
        <f t="shared" si="61"/>
        <v>0</v>
      </c>
      <c r="H21" s="156">
        <f t="shared" si="61"/>
        <v>0</v>
      </c>
      <c r="I21" s="156">
        <f t="shared" si="61"/>
        <v>0</v>
      </c>
      <c r="J21" s="156">
        <f t="shared" si="61"/>
        <v>0</v>
      </c>
      <c r="K21" s="156">
        <f t="shared" si="61"/>
        <v>0</v>
      </c>
      <c r="L21" s="156">
        <f t="shared" si="61"/>
        <v>0</v>
      </c>
      <c r="M21" s="156">
        <f t="shared" si="61"/>
        <v>0</v>
      </c>
      <c r="N21" s="156">
        <f t="shared" si="61"/>
        <v>0</v>
      </c>
      <c r="O21" s="156">
        <f t="shared" si="61"/>
        <v>0</v>
      </c>
      <c r="P21" s="156">
        <f t="shared" si="61"/>
        <v>0</v>
      </c>
      <c r="Q21" s="156">
        <f t="shared" si="61"/>
        <v>0</v>
      </c>
      <c r="R21" s="156">
        <f t="shared" si="61"/>
        <v>0</v>
      </c>
      <c r="S21" s="156">
        <f t="shared" si="61"/>
        <v>0</v>
      </c>
      <c r="T21" s="156">
        <f t="shared" si="61"/>
        <v>0</v>
      </c>
      <c r="U21" s="156">
        <f t="shared" si="61"/>
        <v>0</v>
      </c>
      <c r="V21" s="156">
        <f t="shared" si="61"/>
        <v>0</v>
      </c>
      <c r="W21" s="156">
        <f t="shared" si="61"/>
        <v>0</v>
      </c>
      <c r="X21" s="156">
        <f t="shared" si="61"/>
        <v>0</v>
      </c>
      <c r="Y21" s="156">
        <f t="shared" si="61"/>
        <v>0</v>
      </c>
      <c r="Z21" s="156">
        <f t="shared" si="61"/>
        <v>0</v>
      </c>
      <c r="AA21" s="156">
        <f t="shared" si="61"/>
        <v>0</v>
      </c>
      <c r="AB21" s="156">
        <f t="shared" si="59"/>
        <v>0</v>
      </c>
      <c r="AC21" s="156">
        <f t="shared" si="59"/>
        <v>0</v>
      </c>
      <c r="AE21" s="25"/>
      <c r="AF21" s="25"/>
      <c r="AG21" s="25"/>
      <c r="AH21" s="25"/>
      <c r="AI21" s="25"/>
      <c r="AJ21" s="25"/>
      <c r="AK21" s="25"/>
      <c r="AL21" s="25"/>
      <c r="AM21" s="25"/>
      <c r="AN21" s="25"/>
      <c r="AO21" s="25"/>
      <c r="AP21" s="25"/>
    </row>
    <row r="22" spans="2:42" s="71" customFormat="1" ht="25" customHeight="1" outlineLevel="1" x14ac:dyDescent="0.3">
      <c r="B22" s="338" t="s">
        <v>176</v>
      </c>
      <c r="C22" s="338"/>
      <c r="D22" s="156"/>
      <c r="E22" s="156">
        <f t="shared" si="57"/>
        <v>0</v>
      </c>
      <c r="F22" s="156">
        <f t="shared" ref="F22:AA22" si="62">F34-E34</f>
        <v>0</v>
      </c>
      <c r="G22" s="156">
        <f t="shared" si="62"/>
        <v>0</v>
      </c>
      <c r="H22" s="156">
        <f t="shared" si="62"/>
        <v>0</v>
      </c>
      <c r="I22" s="156">
        <f t="shared" si="62"/>
        <v>0</v>
      </c>
      <c r="J22" s="156">
        <f t="shared" si="62"/>
        <v>0</v>
      </c>
      <c r="K22" s="156">
        <f t="shared" si="62"/>
        <v>0</v>
      </c>
      <c r="L22" s="156">
        <f t="shared" si="62"/>
        <v>0</v>
      </c>
      <c r="M22" s="156">
        <f t="shared" si="62"/>
        <v>0</v>
      </c>
      <c r="N22" s="156">
        <f t="shared" si="62"/>
        <v>0</v>
      </c>
      <c r="O22" s="156">
        <f t="shared" si="62"/>
        <v>0</v>
      </c>
      <c r="P22" s="156">
        <f t="shared" si="62"/>
        <v>0</v>
      </c>
      <c r="Q22" s="156">
        <f t="shared" si="62"/>
        <v>0</v>
      </c>
      <c r="R22" s="156">
        <f t="shared" si="62"/>
        <v>0</v>
      </c>
      <c r="S22" s="156">
        <f t="shared" si="62"/>
        <v>0</v>
      </c>
      <c r="T22" s="156">
        <f t="shared" si="62"/>
        <v>0</v>
      </c>
      <c r="U22" s="156">
        <f t="shared" si="62"/>
        <v>0</v>
      </c>
      <c r="V22" s="156">
        <f t="shared" si="62"/>
        <v>0</v>
      </c>
      <c r="W22" s="156">
        <f t="shared" si="62"/>
        <v>0</v>
      </c>
      <c r="X22" s="156">
        <f t="shared" si="62"/>
        <v>0</v>
      </c>
      <c r="Y22" s="156">
        <f t="shared" si="62"/>
        <v>0</v>
      </c>
      <c r="Z22" s="156">
        <f t="shared" si="62"/>
        <v>0</v>
      </c>
      <c r="AA22" s="156">
        <f t="shared" si="62"/>
        <v>0</v>
      </c>
      <c r="AB22" s="156">
        <f t="shared" si="59"/>
        <v>0</v>
      </c>
      <c r="AC22" s="156">
        <f t="shared" si="59"/>
        <v>0</v>
      </c>
      <c r="AE22" s="25"/>
      <c r="AF22" s="25"/>
      <c r="AG22" s="25"/>
      <c r="AH22" s="25"/>
      <c r="AI22" s="25"/>
      <c r="AJ22" s="25"/>
      <c r="AK22" s="25"/>
      <c r="AL22" s="25"/>
      <c r="AM22" s="25"/>
      <c r="AN22" s="25"/>
      <c r="AO22" s="25"/>
      <c r="AP22" s="25"/>
    </row>
    <row r="23" spans="2:42" s="71" customFormat="1" ht="25" customHeight="1" outlineLevel="1" x14ac:dyDescent="0.3">
      <c r="B23" s="338" t="s">
        <v>177</v>
      </c>
      <c r="C23" s="338"/>
      <c r="D23" s="156"/>
      <c r="E23" s="156">
        <f t="shared" si="57"/>
        <v>0</v>
      </c>
      <c r="F23" s="156">
        <f t="shared" ref="F23:AA23" si="63">F35-E35</f>
        <v>0</v>
      </c>
      <c r="G23" s="156">
        <f t="shared" si="63"/>
        <v>0</v>
      </c>
      <c r="H23" s="156">
        <f t="shared" si="63"/>
        <v>0</v>
      </c>
      <c r="I23" s="156">
        <f t="shared" si="63"/>
        <v>0</v>
      </c>
      <c r="J23" s="156">
        <f t="shared" si="63"/>
        <v>0</v>
      </c>
      <c r="K23" s="156">
        <f t="shared" si="63"/>
        <v>0</v>
      </c>
      <c r="L23" s="156">
        <f t="shared" si="63"/>
        <v>0</v>
      </c>
      <c r="M23" s="156">
        <f t="shared" si="63"/>
        <v>0</v>
      </c>
      <c r="N23" s="156">
        <f t="shared" si="63"/>
        <v>0</v>
      </c>
      <c r="O23" s="156">
        <f t="shared" si="63"/>
        <v>0</v>
      </c>
      <c r="P23" s="156">
        <f t="shared" si="63"/>
        <v>0</v>
      </c>
      <c r="Q23" s="156">
        <f t="shared" si="63"/>
        <v>0</v>
      </c>
      <c r="R23" s="156">
        <f t="shared" si="63"/>
        <v>0</v>
      </c>
      <c r="S23" s="156">
        <f t="shared" si="63"/>
        <v>0</v>
      </c>
      <c r="T23" s="156">
        <f t="shared" si="63"/>
        <v>0</v>
      </c>
      <c r="U23" s="156">
        <f t="shared" si="63"/>
        <v>0</v>
      </c>
      <c r="V23" s="156">
        <f t="shared" si="63"/>
        <v>0</v>
      </c>
      <c r="W23" s="156">
        <f t="shared" si="63"/>
        <v>0</v>
      </c>
      <c r="X23" s="156">
        <f t="shared" si="63"/>
        <v>0</v>
      </c>
      <c r="Y23" s="156">
        <f t="shared" si="63"/>
        <v>0</v>
      </c>
      <c r="Z23" s="156">
        <f t="shared" si="63"/>
        <v>0</v>
      </c>
      <c r="AA23" s="156">
        <f t="shared" si="63"/>
        <v>0</v>
      </c>
      <c r="AB23" s="156">
        <f t="shared" si="59"/>
        <v>0</v>
      </c>
      <c r="AC23" s="156">
        <f t="shared" si="59"/>
        <v>0</v>
      </c>
    </row>
    <row r="24" spans="2:42" s="71" customFormat="1" ht="25" customHeight="1" outlineLevel="1" x14ac:dyDescent="0.3">
      <c r="B24" s="338" t="s">
        <v>178</v>
      </c>
      <c r="C24" s="338"/>
      <c r="D24" s="156"/>
      <c r="E24" s="156">
        <f t="shared" si="57"/>
        <v>1000</v>
      </c>
      <c r="F24" s="156">
        <f t="shared" ref="F24:AA24" si="64">F36-E36</f>
        <v>0</v>
      </c>
      <c r="G24" s="156">
        <f t="shared" si="64"/>
        <v>0</v>
      </c>
      <c r="H24" s="156">
        <f t="shared" si="64"/>
        <v>0</v>
      </c>
      <c r="I24" s="156">
        <f t="shared" si="64"/>
        <v>0</v>
      </c>
      <c r="J24" s="156">
        <f t="shared" si="64"/>
        <v>0</v>
      </c>
      <c r="K24" s="156">
        <f t="shared" si="64"/>
        <v>0</v>
      </c>
      <c r="L24" s="156">
        <f t="shared" si="64"/>
        <v>0</v>
      </c>
      <c r="M24" s="156">
        <f t="shared" si="64"/>
        <v>0</v>
      </c>
      <c r="N24" s="156">
        <f t="shared" si="64"/>
        <v>0</v>
      </c>
      <c r="O24" s="156">
        <f t="shared" si="64"/>
        <v>0</v>
      </c>
      <c r="P24" s="156">
        <f t="shared" si="64"/>
        <v>0</v>
      </c>
      <c r="Q24" s="156">
        <f t="shared" si="64"/>
        <v>0</v>
      </c>
      <c r="R24" s="156">
        <f t="shared" si="64"/>
        <v>0</v>
      </c>
      <c r="S24" s="156">
        <f t="shared" si="64"/>
        <v>0</v>
      </c>
      <c r="T24" s="156">
        <f t="shared" si="64"/>
        <v>0</v>
      </c>
      <c r="U24" s="156">
        <f t="shared" si="64"/>
        <v>0</v>
      </c>
      <c r="V24" s="156">
        <f t="shared" si="64"/>
        <v>0</v>
      </c>
      <c r="W24" s="156">
        <f t="shared" si="64"/>
        <v>0</v>
      </c>
      <c r="X24" s="156">
        <f t="shared" si="64"/>
        <v>0</v>
      </c>
      <c r="Y24" s="156">
        <f t="shared" si="64"/>
        <v>0</v>
      </c>
      <c r="Z24" s="156">
        <f t="shared" si="64"/>
        <v>0</v>
      </c>
      <c r="AA24" s="156">
        <f t="shared" si="64"/>
        <v>0</v>
      </c>
      <c r="AB24" s="156">
        <f t="shared" si="59"/>
        <v>0</v>
      </c>
      <c r="AC24" s="156">
        <f t="shared" si="59"/>
        <v>0</v>
      </c>
    </row>
    <row r="25" spans="2:42" s="71" customFormat="1" ht="25" customHeight="1" x14ac:dyDescent="0.3">
      <c r="B25" s="338" t="s">
        <v>67</v>
      </c>
      <c r="C25" s="338"/>
      <c r="D25" s="155"/>
      <c r="E25" s="155">
        <f>SUM(E20:E24)</f>
        <v>1000</v>
      </c>
      <c r="F25" s="155">
        <f t="shared" ref="F25:AA25" si="65">SUM(F20:F24)</f>
        <v>0</v>
      </c>
      <c r="G25" s="155">
        <f t="shared" si="65"/>
        <v>0</v>
      </c>
      <c r="H25" s="155">
        <f t="shared" si="65"/>
        <v>0</v>
      </c>
      <c r="I25" s="155">
        <f t="shared" si="65"/>
        <v>0</v>
      </c>
      <c r="J25" s="155">
        <f t="shared" si="65"/>
        <v>0</v>
      </c>
      <c r="K25" s="155">
        <f t="shared" si="65"/>
        <v>0</v>
      </c>
      <c r="L25" s="155">
        <f t="shared" si="65"/>
        <v>0</v>
      </c>
      <c r="M25" s="155">
        <f t="shared" si="65"/>
        <v>0</v>
      </c>
      <c r="N25" s="155">
        <f t="shared" si="65"/>
        <v>0</v>
      </c>
      <c r="O25" s="155">
        <f t="shared" si="65"/>
        <v>0</v>
      </c>
      <c r="P25" s="155">
        <f t="shared" si="65"/>
        <v>0</v>
      </c>
      <c r="Q25" s="155">
        <f t="shared" si="65"/>
        <v>0</v>
      </c>
      <c r="R25" s="155">
        <f t="shared" si="65"/>
        <v>0</v>
      </c>
      <c r="S25" s="155">
        <f t="shared" si="65"/>
        <v>0</v>
      </c>
      <c r="T25" s="155">
        <f t="shared" si="65"/>
        <v>0</v>
      </c>
      <c r="U25" s="155">
        <f t="shared" si="65"/>
        <v>0</v>
      </c>
      <c r="V25" s="155">
        <f t="shared" si="65"/>
        <v>0</v>
      </c>
      <c r="W25" s="155">
        <f t="shared" si="65"/>
        <v>0</v>
      </c>
      <c r="X25" s="155">
        <f t="shared" si="65"/>
        <v>0</v>
      </c>
      <c r="Y25" s="155">
        <f t="shared" si="65"/>
        <v>0</v>
      </c>
      <c r="Z25" s="155">
        <f t="shared" si="65"/>
        <v>0</v>
      </c>
      <c r="AA25" s="155">
        <f t="shared" si="65"/>
        <v>0</v>
      </c>
      <c r="AB25" s="155">
        <f>SUM(AB20:AB24)</f>
        <v>0</v>
      </c>
      <c r="AC25" s="155">
        <f>SUM(AC20:AC24)</f>
        <v>0</v>
      </c>
    </row>
    <row r="26" spans="2:42" s="71" customFormat="1" ht="25" customHeight="1" x14ac:dyDescent="0.3">
      <c r="B26" s="337" t="s">
        <v>179</v>
      </c>
      <c r="C26" s="337"/>
      <c r="D26" s="157"/>
      <c r="E26" s="157">
        <f>E18-E25</f>
        <v>-1000</v>
      </c>
      <c r="F26" s="162">
        <f t="shared" ref="F26:Z26" si="66">F18-F25</f>
        <v>0</v>
      </c>
      <c r="G26" s="162">
        <f t="shared" si="66"/>
        <v>0</v>
      </c>
      <c r="H26" s="162">
        <f t="shared" si="66"/>
        <v>0</v>
      </c>
      <c r="I26" s="162">
        <f t="shared" si="66"/>
        <v>0</v>
      </c>
      <c r="J26" s="162">
        <f t="shared" si="66"/>
        <v>0</v>
      </c>
      <c r="K26" s="162">
        <f t="shared" si="66"/>
        <v>0</v>
      </c>
      <c r="L26" s="162">
        <f t="shared" si="66"/>
        <v>0</v>
      </c>
      <c r="M26" s="162">
        <f t="shared" si="66"/>
        <v>0</v>
      </c>
      <c r="N26" s="162">
        <f t="shared" si="66"/>
        <v>0</v>
      </c>
      <c r="O26" s="162">
        <f t="shared" si="66"/>
        <v>0</v>
      </c>
      <c r="P26" s="162">
        <f t="shared" si="66"/>
        <v>0</v>
      </c>
      <c r="Q26" s="162">
        <f t="shared" si="66"/>
        <v>0</v>
      </c>
      <c r="R26" s="162">
        <f t="shared" si="66"/>
        <v>0</v>
      </c>
      <c r="S26" s="162">
        <f t="shared" si="66"/>
        <v>0</v>
      </c>
      <c r="T26" s="162">
        <f t="shared" si="66"/>
        <v>0</v>
      </c>
      <c r="U26" s="162">
        <f t="shared" si="66"/>
        <v>0</v>
      </c>
      <c r="V26" s="157">
        <f t="shared" si="66"/>
        <v>0</v>
      </c>
      <c r="W26" s="157">
        <f t="shared" si="66"/>
        <v>0</v>
      </c>
      <c r="X26" s="157">
        <f t="shared" si="66"/>
        <v>0</v>
      </c>
      <c r="Y26" s="157">
        <f t="shared" si="66"/>
        <v>0</v>
      </c>
      <c r="Z26" s="157">
        <f t="shared" si="66"/>
        <v>0</v>
      </c>
      <c r="AA26" s="157">
        <f>AA18-AA25</f>
        <v>0</v>
      </c>
      <c r="AB26" s="157">
        <f>AB18-AB25</f>
        <v>0</v>
      </c>
      <c r="AC26" s="157">
        <f>AC18-AC25</f>
        <v>0</v>
      </c>
    </row>
    <row r="27" spans="2:42" s="71" customFormat="1" ht="25" customHeight="1" x14ac:dyDescent="0.3">
      <c r="B27" s="337" t="s">
        <v>180</v>
      </c>
      <c r="C27" s="337"/>
      <c r="D27" s="159"/>
      <c r="E27" s="159">
        <f>IF(E18=0,0,(E18-SUM(E20,E21,E22,E23,E24))/E18)</f>
        <v>0</v>
      </c>
      <c r="F27" s="159">
        <f t="shared" ref="F27:Z27" si="67">IF(F18=0,0,(F18-SUM(F20,F21,F22,F23,F24))/F18)</f>
        <v>0</v>
      </c>
      <c r="G27" s="159">
        <f t="shared" si="67"/>
        <v>0</v>
      </c>
      <c r="H27" s="159">
        <f t="shared" si="67"/>
        <v>0</v>
      </c>
      <c r="I27" s="159">
        <f t="shared" si="67"/>
        <v>0</v>
      </c>
      <c r="J27" s="159">
        <f t="shared" si="67"/>
        <v>0</v>
      </c>
      <c r="K27" s="159">
        <f t="shared" si="67"/>
        <v>0</v>
      </c>
      <c r="L27" s="159">
        <f t="shared" si="67"/>
        <v>0</v>
      </c>
      <c r="M27" s="159">
        <f t="shared" si="67"/>
        <v>0</v>
      </c>
      <c r="N27" s="159">
        <f t="shared" si="67"/>
        <v>0</v>
      </c>
      <c r="O27" s="159">
        <f t="shared" si="67"/>
        <v>0</v>
      </c>
      <c r="P27" s="159">
        <f t="shared" si="67"/>
        <v>0</v>
      </c>
      <c r="Q27" s="159">
        <f t="shared" si="67"/>
        <v>0</v>
      </c>
      <c r="R27" s="159">
        <f t="shared" si="67"/>
        <v>0</v>
      </c>
      <c r="S27" s="159">
        <f t="shared" si="67"/>
        <v>0</v>
      </c>
      <c r="T27" s="159">
        <f t="shared" si="67"/>
        <v>0</v>
      </c>
      <c r="U27" s="159">
        <f t="shared" si="67"/>
        <v>0</v>
      </c>
      <c r="V27" s="159">
        <f t="shared" si="67"/>
        <v>0</v>
      </c>
      <c r="W27" s="159">
        <f t="shared" si="67"/>
        <v>0</v>
      </c>
      <c r="X27" s="159">
        <f t="shared" si="67"/>
        <v>0</v>
      </c>
      <c r="Y27" s="159">
        <f t="shared" si="67"/>
        <v>0</v>
      </c>
      <c r="Z27" s="159">
        <f t="shared" si="67"/>
        <v>0</v>
      </c>
      <c r="AA27" s="159">
        <f>IF(AA18=0,0,(AA18-SUM(AA20,AA21,AA22,AA23,AA24))/AA18)</f>
        <v>0</v>
      </c>
      <c r="AB27" s="159">
        <f>IF(AB18=0,0,(AB18-SUM(AB20,AB21,AB22,AB23,AB24))/AB18)</f>
        <v>0</v>
      </c>
      <c r="AC27" s="159">
        <f>IF(AC18=0,0,(AC18-SUM(AC20,AC21,AC22,AC23,AC24))/AC18)</f>
        <v>0</v>
      </c>
    </row>
    <row r="28" spans="2:42" ht="20.149999999999999" customHeight="1" x14ac:dyDescent="0.3">
      <c r="B28" s="28"/>
      <c r="C28" s="28"/>
      <c r="D28" s="28"/>
      <c r="E28" s="28"/>
    </row>
    <row r="29" spans="2:42" s="90" customFormat="1" ht="25" customHeight="1" x14ac:dyDescent="0.3">
      <c r="B29" s="335" t="s">
        <v>183</v>
      </c>
      <c r="C29" s="335"/>
      <c r="D29" s="149" t="s">
        <v>184</v>
      </c>
      <c r="E29" s="161">
        <f>'Project Infor'!C8</f>
        <v>44287</v>
      </c>
      <c r="F29" s="161">
        <f t="shared" ref="F29" si="68">EOMONTH(E29,1)</f>
        <v>44347</v>
      </c>
      <c r="G29" s="161">
        <f t="shared" ref="G29" si="69">EOMONTH(F29,1)</f>
        <v>44377</v>
      </c>
      <c r="H29" s="161">
        <f t="shared" ref="H29" si="70">EOMONTH(G29,1)</f>
        <v>44408</v>
      </c>
      <c r="I29" s="161">
        <f t="shared" ref="I29" si="71">EOMONTH(H29,1)</f>
        <v>44439</v>
      </c>
      <c r="J29" s="161">
        <f t="shared" ref="J29" si="72">EOMONTH(I29,1)</f>
        <v>44469</v>
      </c>
      <c r="K29" s="161">
        <f t="shared" ref="K29" si="73">EOMONTH(J29,1)</f>
        <v>44500</v>
      </c>
      <c r="L29" s="161">
        <f t="shared" ref="L29" si="74">EOMONTH(K29,1)</f>
        <v>44530</v>
      </c>
      <c r="M29" s="161">
        <f t="shared" ref="M29" si="75">EOMONTH(L29,1)</f>
        <v>44561</v>
      </c>
      <c r="N29" s="161">
        <f t="shared" ref="N29" si="76">EOMONTH(M29,1)</f>
        <v>44592</v>
      </c>
      <c r="O29" s="161">
        <f t="shared" ref="O29" si="77">EOMONTH(N29,1)</f>
        <v>44620</v>
      </c>
      <c r="P29" s="161">
        <f t="shared" ref="P29" si="78">EOMONTH(O29,1)</f>
        <v>44651</v>
      </c>
      <c r="Q29" s="161">
        <f t="shared" ref="Q29" si="79">EOMONTH(P29,1)</f>
        <v>44681</v>
      </c>
      <c r="R29" s="161">
        <f t="shared" ref="R29" si="80">EOMONTH(Q29,1)</f>
        <v>44712</v>
      </c>
      <c r="S29" s="161">
        <f t="shared" ref="S29" si="81">EOMONTH(R29,1)</f>
        <v>44742</v>
      </c>
      <c r="T29" s="161">
        <f t="shared" ref="T29" si="82">EOMONTH(S29,1)</f>
        <v>44773</v>
      </c>
      <c r="U29" s="161">
        <f t="shared" ref="U29" si="83">EOMONTH(T29,1)</f>
        <v>44804</v>
      </c>
      <c r="V29" s="161">
        <f t="shared" ref="V29" si="84">EOMONTH(U29,1)</f>
        <v>44834</v>
      </c>
      <c r="W29" s="161">
        <f t="shared" ref="W29" si="85">EOMONTH(V29,1)</f>
        <v>44865</v>
      </c>
      <c r="X29" s="161">
        <f t="shared" ref="X29" si="86">EOMONTH(W29,1)</f>
        <v>44895</v>
      </c>
      <c r="Y29" s="161">
        <f t="shared" ref="Y29" si="87">EOMONTH(X29,1)</f>
        <v>44926</v>
      </c>
      <c r="Z29" s="161">
        <f t="shared" ref="Z29" si="88">EOMONTH(Y29,1)</f>
        <v>44957</v>
      </c>
      <c r="AA29" s="161">
        <f t="shared" ref="AA29" si="89">EOMONTH(Z29,1)</f>
        <v>44985</v>
      </c>
      <c r="AB29" s="161">
        <f t="shared" ref="AB29" si="90">EOMONTH(AA29,1)</f>
        <v>45016</v>
      </c>
      <c r="AC29" s="161">
        <f t="shared" ref="AC29" si="91">EOMONTH(AB29,1)</f>
        <v>45046</v>
      </c>
      <c r="AD29" s="25"/>
      <c r="AE29" s="25"/>
      <c r="AF29" s="25"/>
      <c r="AG29" s="25"/>
      <c r="AH29" s="25"/>
      <c r="AI29" s="25"/>
      <c r="AJ29" s="25"/>
      <c r="AK29" s="25"/>
      <c r="AL29" s="25"/>
      <c r="AM29" s="25"/>
      <c r="AN29" s="25"/>
      <c r="AO29" s="25"/>
      <c r="AP29" s="25"/>
    </row>
    <row r="30" spans="2:42" s="71" customFormat="1" ht="25" customHeight="1" x14ac:dyDescent="0.3">
      <c r="B30" s="340" t="s">
        <v>185</v>
      </c>
      <c r="C30" s="340"/>
      <c r="D30" s="154">
        <f>'Project Infor'!C45</f>
        <v>0</v>
      </c>
      <c r="E30" s="154">
        <f t="shared" ref="E30:AC30" ca="1" si="92">IF(E40,E40,D30+E18)</f>
        <v>0</v>
      </c>
      <c r="F30" s="154">
        <f t="shared" ca="1" si="92"/>
        <v>0</v>
      </c>
      <c r="G30" s="154">
        <f t="shared" ca="1" si="92"/>
        <v>0</v>
      </c>
      <c r="H30" s="154">
        <f t="shared" ca="1" si="92"/>
        <v>0</v>
      </c>
      <c r="I30" s="154">
        <f t="shared" ca="1" si="92"/>
        <v>0</v>
      </c>
      <c r="J30" s="154">
        <f t="shared" ca="1" si="92"/>
        <v>0</v>
      </c>
      <c r="K30" s="154">
        <f t="shared" ca="1" si="92"/>
        <v>0</v>
      </c>
      <c r="L30" s="154">
        <f t="shared" ca="1" si="92"/>
        <v>0</v>
      </c>
      <c r="M30" s="154">
        <f t="shared" ca="1" si="92"/>
        <v>0</v>
      </c>
      <c r="N30" s="154">
        <f t="shared" ca="1" si="92"/>
        <v>0</v>
      </c>
      <c r="O30" s="154">
        <f t="shared" ca="1" si="92"/>
        <v>0</v>
      </c>
      <c r="P30" s="154">
        <f t="shared" ca="1" si="92"/>
        <v>0</v>
      </c>
      <c r="Q30" s="154">
        <f t="shared" ca="1" si="92"/>
        <v>0</v>
      </c>
      <c r="R30" s="154">
        <f t="shared" ca="1" si="92"/>
        <v>0</v>
      </c>
      <c r="S30" s="154">
        <f t="shared" ca="1" si="92"/>
        <v>0</v>
      </c>
      <c r="T30" s="154">
        <f t="shared" ca="1" si="92"/>
        <v>0</v>
      </c>
      <c r="U30" s="154">
        <f t="shared" ca="1" si="92"/>
        <v>0</v>
      </c>
      <c r="V30" s="154">
        <f t="shared" ca="1" si="92"/>
        <v>0</v>
      </c>
      <c r="W30" s="154">
        <f t="shared" ca="1" si="92"/>
        <v>0</v>
      </c>
      <c r="X30" s="154">
        <f t="shared" ca="1" si="92"/>
        <v>0</v>
      </c>
      <c r="Y30" s="154">
        <f t="shared" ca="1" si="92"/>
        <v>0</v>
      </c>
      <c r="Z30" s="154">
        <f t="shared" ca="1" si="92"/>
        <v>0</v>
      </c>
      <c r="AA30" s="154">
        <f t="shared" ca="1" si="92"/>
        <v>0</v>
      </c>
      <c r="AB30" s="154">
        <f t="shared" ca="1" si="92"/>
        <v>0</v>
      </c>
      <c r="AC30" s="154">
        <f t="shared" ca="1" si="92"/>
        <v>0</v>
      </c>
      <c r="AD30" s="25"/>
      <c r="AE30" s="25"/>
      <c r="AF30" s="25"/>
      <c r="AG30" s="25"/>
      <c r="AH30" s="25"/>
      <c r="AI30" s="25"/>
      <c r="AJ30" s="25"/>
      <c r="AK30" s="25"/>
      <c r="AL30" s="25"/>
      <c r="AM30" s="25"/>
      <c r="AN30" s="25"/>
      <c r="AO30" s="25"/>
      <c r="AP30" s="25"/>
    </row>
    <row r="31" spans="2:42" s="71" customFormat="1" ht="25" hidden="1" customHeight="1" outlineLevel="1" x14ac:dyDescent="0.3">
      <c r="B31" s="338" t="s">
        <v>62</v>
      </c>
      <c r="C31" s="338"/>
      <c r="D31" s="163">
        <f>'Project Infor'!C46</f>
        <v>0</v>
      </c>
      <c r="E31" s="163">
        <f>D31+LOOKUP(E$5,'Cost Planning'!$H$8:$AF$8,'Cost Planning'!$H$9:$AF$9)</f>
        <v>0</v>
      </c>
      <c r="F31" s="163">
        <f>E31+LOOKUP(F$5,'Cost Planning'!$H$8:$AF$8,'Cost Planning'!$H$9:$AF$9)</f>
        <v>0</v>
      </c>
      <c r="G31" s="163">
        <f>F31+LOOKUP(G$5,'Cost Planning'!$H$8:$AF$8,'Cost Planning'!$H$9:$AF$9)</f>
        <v>0</v>
      </c>
      <c r="H31" s="163">
        <f>G31+LOOKUP(H$5,'Cost Planning'!$H$8:$AF$8,'Cost Planning'!$H$9:$AF$9)</f>
        <v>0</v>
      </c>
      <c r="I31" s="163">
        <f>H31+LOOKUP(I$5,'Cost Planning'!$H$8:$AF$8,'Cost Planning'!$H$9:$AF$9)</f>
        <v>0</v>
      </c>
      <c r="J31" s="163">
        <f>I31+LOOKUP(J$5,'Cost Planning'!$H$8:$AF$8,'Cost Planning'!$H$9:$AF$9)</f>
        <v>0</v>
      </c>
      <c r="K31" s="163">
        <f>J31+LOOKUP(K$5,'Cost Planning'!$H$8:$AF$8,'Cost Planning'!$H$9:$AF$9)</f>
        <v>0</v>
      </c>
      <c r="L31" s="163">
        <f>K31+LOOKUP(L$5,'Cost Planning'!$H$8:$AF$8,'Cost Planning'!$H$9:$AF$9)</f>
        <v>0</v>
      </c>
      <c r="M31" s="163">
        <f>L31+LOOKUP(M$5,'Cost Planning'!$H$8:$AF$8,'Cost Planning'!$H$9:$AF$9)</f>
        <v>0</v>
      </c>
      <c r="N31" s="163">
        <f>M31+LOOKUP(N$5,'Cost Planning'!$H$8:$AF$8,'Cost Planning'!$H$9:$AF$9)</f>
        <v>0</v>
      </c>
      <c r="O31" s="163">
        <f>N31+LOOKUP(O$5,'Cost Planning'!$H$8:$AF$8,'Cost Planning'!$H$9:$AF$9)</f>
        <v>0</v>
      </c>
      <c r="P31" s="163">
        <f>O31+LOOKUP(P$5,'Cost Planning'!$H$8:$AF$8,'Cost Planning'!$H$9:$AF$9)</f>
        <v>0</v>
      </c>
      <c r="Q31" s="163">
        <f>P31+LOOKUP(Q$5,'Cost Planning'!$H$8:$AF$8,'Cost Planning'!$H$9:$AF$9)</f>
        <v>0</v>
      </c>
      <c r="R31" s="163">
        <f>Q31+LOOKUP(R$5,'Cost Planning'!$H$8:$AF$8,'Cost Planning'!$H$9:$AF$9)</f>
        <v>0</v>
      </c>
      <c r="S31" s="163">
        <f>R31+LOOKUP(S$5,'Cost Planning'!$H$8:$AF$8,'Cost Planning'!$H$9:$AF$9)</f>
        <v>0</v>
      </c>
      <c r="T31" s="163">
        <f>S31+LOOKUP(T$5,'Cost Planning'!$H$8:$AF$8,'Cost Planning'!$H$9:$AF$9)</f>
        <v>0</v>
      </c>
      <c r="U31" s="163">
        <f>T31+LOOKUP(U$5,'Cost Planning'!$H$8:$AF$8,'Cost Planning'!$H$9:$AF$9)</f>
        <v>0</v>
      </c>
      <c r="V31" s="163">
        <f>U31+LOOKUP(V$5,'Cost Planning'!$H$8:$AF$8,'Cost Planning'!$H$9:$AF$9)</f>
        <v>0</v>
      </c>
      <c r="W31" s="163">
        <f>V31+LOOKUP(W$5,'Cost Planning'!$H$8:$AF$8,'Cost Planning'!$H$9:$AF$9)</f>
        <v>0</v>
      </c>
      <c r="X31" s="163">
        <f>W31+LOOKUP(X$5,'Cost Planning'!$H$8:$AF$8,'Cost Planning'!$H$9:$AF$9)</f>
        <v>0</v>
      </c>
      <c r="Y31" s="163">
        <f>X31+LOOKUP(Y$5,'Cost Planning'!$H$8:$AF$8,'Cost Planning'!$H$9:$AF$9)</f>
        <v>0</v>
      </c>
      <c r="Z31" s="163">
        <f>Y31+LOOKUP(Z$5,'Cost Planning'!$H$8:$AF$8,'Cost Planning'!$H$9:$AF$9)</f>
        <v>0</v>
      </c>
      <c r="AA31" s="163">
        <f>Z31+LOOKUP(AA$5,'Cost Planning'!$H$8:$AF$8,'Cost Planning'!$H$9:$AF$9)</f>
        <v>0</v>
      </c>
      <c r="AB31" s="163">
        <f>AA31+LOOKUP(AB$5,'Cost Planning'!$H$8:$AF$8,'Cost Planning'!$H$9:$AF$9)</f>
        <v>0</v>
      </c>
      <c r="AC31" s="163">
        <f>AB31+LOOKUP(AC$5,'Cost Planning'!$H$8:$AF$8,'Cost Planning'!$H$9:$AF$9)</f>
        <v>0</v>
      </c>
      <c r="AE31" s="25"/>
      <c r="AF31" s="25"/>
      <c r="AG31" s="25"/>
      <c r="AH31" s="25"/>
      <c r="AI31" s="25"/>
      <c r="AJ31" s="25"/>
      <c r="AK31" s="25"/>
      <c r="AL31" s="25"/>
      <c r="AM31" s="25"/>
      <c r="AN31" s="25"/>
      <c r="AO31" s="25"/>
      <c r="AP31" s="25"/>
    </row>
    <row r="32" spans="2:42" s="71" customFormat="1" ht="25" hidden="1" customHeight="1" outlineLevel="1" x14ac:dyDescent="0.3">
      <c r="B32" s="338" t="s">
        <v>186</v>
      </c>
      <c r="C32" s="338"/>
      <c r="D32" s="163">
        <f>'Project Infor'!C47</f>
        <v>0</v>
      </c>
      <c r="E32" s="163">
        <f>D32+LOOKUP(E$5,'Cost Planning'!$H$8:$AF$8,'Cost Planning'!$H$40:$AF$40)+LOOKUP(E$5,'Cost Planning'!$H$8:$AF$8,'Cost Planning'!$H$41:$AF$41)</f>
        <v>0</v>
      </c>
      <c r="F32" s="163">
        <f>E32+LOOKUP(F$5,'Cost Planning'!$H$8:$AF$8,'Cost Planning'!$H$40:$AF$40)+LOOKUP(F$5,'Cost Planning'!$H$8:$AF$8,'Cost Planning'!$H$41:$AF$41)</f>
        <v>0</v>
      </c>
      <c r="G32" s="163">
        <f>F32+LOOKUP(G$5,'Cost Planning'!$H$8:$AF$8,'Cost Planning'!$H$40:$AF$40)+LOOKUP(G$5,'Cost Planning'!$H$8:$AF$8,'Cost Planning'!$H$41:$AF$41)</f>
        <v>0</v>
      </c>
      <c r="H32" s="163">
        <f>G32+LOOKUP(H$5,'Cost Planning'!$H$8:$AF$8,'Cost Planning'!$H$40:$AF$40)+LOOKUP(H$5,'Cost Planning'!$H$8:$AF$8,'Cost Planning'!$H$41:$AF$41)</f>
        <v>0</v>
      </c>
      <c r="I32" s="163">
        <f>H32+LOOKUP(I$5,'Cost Planning'!$H$8:$AF$8,'Cost Planning'!$H$40:$AF$40)+LOOKUP(I$5,'Cost Planning'!$H$8:$AF$8,'Cost Planning'!$H$41:$AF$41)</f>
        <v>0</v>
      </c>
      <c r="J32" s="163">
        <f>I32+LOOKUP(J$5,'Cost Planning'!$H$8:$AF$8,'Cost Planning'!$H$40:$AF$40)+LOOKUP(J$5,'Cost Planning'!$H$8:$AF$8,'Cost Planning'!$H$41:$AF$41)</f>
        <v>0</v>
      </c>
      <c r="K32" s="163">
        <f>J32+LOOKUP(K$5,'Cost Planning'!$H$8:$AF$8,'Cost Planning'!$H$40:$AF$40)+LOOKUP(K$5,'Cost Planning'!$H$8:$AF$8,'Cost Planning'!$H$41:$AF$41)</f>
        <v>0</v>
      </c>
      <c r="L32" s="163">
        <f>K32+LOOKUP(L$5,'Cost Planning'!$H$8:$AF$8,'Cost Planning'!$H$40:$AF$40)+LOOKUP(L$5,'Cost Planning'!$H$8:$AF$8,'Cost Planning'!$H$41:$AF$41)</f>
        <v>0</v>
      </c>
      <c r="M32" s="163">
        <f>L32+LOOKUP(M$5,'Cost Planning'!$H$8:$AF$8,'Cost Planning'!$H$40:$AF$40)+LOOKUP(M$5,'Cost Planning'!$H$8:$AF$8,'Cost Planning'!$H$41:$AF$41)</f>
        <v>0</v>
      </c>
      <c r="N32" s="163">
        <f>M32+LOOKUP(N$5,'Cost Planning'!$H$8:$AF$8,'Cost Planning'!$H$40:$AF$40)+LOOKUP(N$5,'Cost Planning'!$H$8:$AF$8,'Cost Planning'!$H$41:$AF$41)</f>
        <v>0</v>
      </c>
      <c r="O32" s="163">
        <f>N32+LOOKUP(O$5,'Cost Planning'!$H$8:$AF$8,'Cost Planning'!$H$40:$AF$40)+LOOKUP(O$5,'Cost Planning'!$H$8:$AF$8,'Cost Planning'!$H$41:$AF$41)</f>
        <v>0</v>
      </c>
      <c r="P32" s="163">
        <f>O32+LOOKUP(P$5,'Cost Planning'!$H$8:$AF$8,'Cost Planning'!$H$40:$AF$40)+LOOKUP(P$5,'Cost Planning'!$H$8:$AF$8,'Cost Planning'!$H$41:$AF$41)</f>
        <v>0</v>
      </c>
      <c r="Q32" s="163">
        <f>P32+LOOKUP(Q$5,'Cost Planning'!$H$8:$AF$8,'Cost Planning'!$H$40:$AF$40)+LOOKUP(Q$5,'Cost Planning'!$H$8:$AF$8,'Cost Planning'!$H$41:$AF$41)</f>
        <v>0</v>
      </c>
      <c r="R32" s="163">
        <f>Q32+LOOKUP(R$5,'Cost Planning'!$H$8:$AF$8,'Cost Planning'!$H$40:$AF$40)+LOOKUP(R$5,'Cost Planning'!$H$8:$AF$8,'Cost Planning'!$H$41:$AF$41)</f>
        <v>0</v>
      </c>
      <c r="S32" s="163">
        <f>R32+LOOKUP(S$5,'Cost Planning'!$H$8:$AF$8,'Cost Planning'!$H$40:$AF$40)+LOOKUP(S$5,'Cost Planning'!$H$8:$AF$8,'Cost Planning'!$H$41:$AF$41)</f>
        <v>0</v>
      </c>
      <c r="T32" s="163">
        <f>S32+LOOKUP(T$5,'Cost Planning'!$H$8:$AF$8,'Cost Planning'!$H$40:$AF$40)+LOOKUP(T$5,'Cost Planning'!$H$8:$AF$8,'Cost Planning'!$H$41:$AF$41)</f>
        <v>0</v>
      </c>
      <c r="U32" s="163">
        <f>T32+LOOKUP(U$5,'Cost Planning'!$H$8:$AF$8,'Cost Planning'!$H$40:$AF$40)+LOOKUP(U$5,'Cost Planning'!$H$8:$AF$8,'Cost Planning'!$H$41:$AF$41)</f>
        <v>0</v>
      </c>
      <c r="V32" s="163">
        <f>U32+LOOKUP(V$5,'Cost Planning'!$H$8:$AF$8,'Cost Planning'!$H$40:$AF$40)+LOOKUP(V$5,'Cost Planning'!$H$8:$AF$8,'Cost Planning'!$H$41:$AF$41)</f>
        <v>0</v>
      </c>
      <c r="W32" s="163">
        <f>V32+LOOKUP(W$5,'Cost Planning'!$H$8:$AF$8,'Cost Planning'!$H$40:$AF$40)+LOOKUP(W$5,'Cost Planning'!$H$8:$AF$8,'Cost Planning'!$H$41:$AF$41)</f>
        <v>0</v>
      </c>
      <c r="X32" s="163">
        <f>W32+LOOKUP(X$5,'Cost Planning'!$H$8:$AF$8,'Cost Planning'!$H$40:$AF$40)+LOOKUP(X$5,'Cost Planning'!$H$8:$AF$8,'Cost Planning'!$H$41:$AF$41)</f>
        <v>0</v>
      </c>
      <c r="Y32" s="163">
        <f>X32+LOOKUP(Y$5,'Cost Planning'!$H$8:$AF$8,'Cost Planning'!$H$40:$AF$40)+LOOKUP(Y$5,'Cost Planning'!$H$8:$AF$8,'Cost Planning'!$H$41:$AF$41)</f>
        <v>0</v>
      </c>
      <c r="Z32" s="163">
        <f>Y32+LOOKUP(Z$5,'Cost Planning'!$H$8:$AF$8,'Cost Planning'!$H$40:$AF$40)+LOOKUP(Z$5,'Cost Planning'!$H$8:$AF$8,'Cost Planning'!$H$41:$AF$41)</f>
        <v>0</v>
      </c>
      <c r="AA32" s="163">
        <f>Z32+LOOKUP(AA$5,'Cost Planning'!$H$8:$AF$8,'Cost Planning'!$H$40:$AF$40)+LOOKUP(AA$5,'Cost Planning'!$H$8:$AF$8,'Cost Planning'!$H$41:$AF$41)</f>
        <v>0</v>
      </c>
      <c r="AB32" s="163">
        <f>AA32+LOOKUP(AB$5,'Cost Planning'!$H$8:$AF$8,'Cost Planning'!$H$40:$AF$40)+LOOKUP(AB$5,'Cost Planning'!$H$8:$AF$8,'Cost Planning'!$H$41:$AF$41)</f>
        <v>0</v>
      </c>
      <c r="AC32" s="163">
        <f>AB32+LOOKUP(AC$5,'Cost Planning'!$H$8:$AF$8,'Cost Planning'!$H$40:$AF$40)+LOOKUP(AC$5,'Cost Planning'!$H$8:$AF$8,'Cost Planning'!$H$41:$AF$41)</f>
        <v>0</v>
      </c>
      <c r="AE32" s="25"/>
      <c r="AF32" s="25"/>
      <c r="AG32" s="25"/>
      <c r="AH32" s="25"/>
      <c r="AI32" s="25"/>
      <c r="AJ32" s="25"/>
      <c r="AK32" s="25"/>
      <c r="AL32" s="25"/>
      <c r="AM32" s="25"/>
      <c r="AN32" s="25"/>
      <c r="AO32" s="25"/>
      <c r="AP32" s="25"/>
    </row>
    <row r="33" spans="2:42" s="71" customFormat="1" ht="25" hidden="1" customHeight="1" outlineLevel="1" x14ac:dyDescent="0.3">
      <c r="B33" s="338" t="s">
        <v>175</v>
      </c>
      <c r="C33" s="338"/>
      <c r="D33" s="163"/>
      <c r="E33" s="163">
        <f>D33+LOOKUP(E$5,'Cost Planning'!$H$8:$AF$8,'Cost Planning'!$H$47:$AF$47)</f>
        <v>0</v>
      </c>
      <c r="F33" s="163">
        <f>E33+LOOKUP(F$5,'Cost Planning'!$H$8:$AF$8,'Cost Planning'!$H$47:$AF$47)</f>
        <v>0</v>
      </c>
      <c r="G33" s="163">
        <f>F33+LOOKUP(G$5,'Cost Planning'!$H$8:$AF$8,'Cost Planning'!$H$47:$AF$47)</f>
        <v>0</v>
      </c>
      <c r="H33" s="163">
        <f>G33+LOOKUP(H$5,'Cost Planning'!$H$8:$AF$8,'Cost Planning'!$H$47:$AF$47)</f>
        <v>0</v>
      </c>
      <c r="I33" s="163">
        <f>H33+LOOKUP(I$5,'Cost Planning'!$H$8:$AF$8,'Cost Planning'!$H$47:$AF$47)</f>
        <v>0</v>
      </c>
      <c r="J33" s="163">
        <f>I33+LOOKUP(J$5,'Cost Planning'!$H$8:$AF$8,'Cost Planning'!$H$47:$AF$47)</f>
        <v>0</v>
      </c>
      <c r="K33" s="163">
        <f>J33+LOOKUP(K$5,'Cost Planning'!$H$8:$AF$8,'Cost Planning'!$H$47:$AF$47)</f>
        <v>0</v>
      </c>
      <c r="L33" s="163">
        <f>K33+LOOKUP(L$5,'Cost Planning'!$H$8:$AF$8,'Cost Planning'!$H$47:$AF$47)</f>
        <v>0</v>
      </c>
      <c r="M33" s="163">
        <f>L33+LOOKUP(M$5,'Cost Planning'!$H$8:$AF$8,'Cost Planning'!$H$47:$AF$47)</f>
        <v>0</v>
      </c>
      <c r="N33" s="163">
        <f>M33+LOOKUP(N$5,'Cost Planning'!$H$8:$AF$8,'Cost Planning'!$H$47:$AF$47)</f>
        <v>0</v>
      </c>
      <c r="O33" s="163">
        <f>N33+LOOKUP(O$5,'Cost Planning'!$H$8:$AF$8,'Cost Planning'!$H$47:$AF$47)</f>
        <v>0</v>
      </c>
      <c r="P33" s="163">
        <f>O33+LOOKUP(P$5,'Cost Planning'!$H$8:$AF$8,'Cost Planning'!$H$47:$AF$47)</f>
        <v>0</v>
      </c>
      <c r="Q33" s="163">
        <f>P33+LOOKUP(Q$5,'Cost Planning'!$H$8:$AF$8,'Cost Planning'!$H$47:$AF$47)</f>
        <v>0</v>
      </c>
      <c r="R33" s="163">
        <f>Q33+LOOKUP(R$5,'Cost Planning'!$H$8:$AF$8,'Cost Planning'!$H$47:$AF$47)</f>
        <v>0</v>
      </c>
      <c r="S33" s="163">
        <f>R33+LOOKUP(S$5,'Cost Planning'!$H$8:$AF$8,'Cost Planning'!$H$47:$AF$47)</f>
        <v>0</v>
      </c>
      <c r="T33" s="163">
        <f>S33+LOOKUP(T$5,'Cost Planning'!$H$8:$AF$8,'Cost Planning'!$H$47:$AF$47)</f>
        <v>0</v>
      </c>
      <c r="U33" s="163">
        <f>T33+LOOKUP(U$5,'Cost Planning'!$H$8:$AF$8,'Cost Planning'!$H$47:$AF$47)</f>
        <v>0</v>
      </c>
      <c r="V33" s="163">
        <f>U33+LOOKUP(V$5,'Cost Planning'!$H$8:$AF$8,'Cost Planning'!$H$47:$AF$47)</f>
        <v>0</v>
      </c>
      <c r="W33" s="163">
        <f>V33+LOOKUP(W$5,'Cost Planning'!$H$8:$AF$8,'Cost Planning'!$H$47:$AF$47)</f>
        <v>0</v>
      </c>
      <c r="X33" s="163">
        <f>W33+LOOKUP(X$5,'Cost Planning'!$H$8:$AF$8,'Cost Planning'!$H$47:$AF$47)</f>
        <v>0</v>
      </c>
      <c r="Y33" s="163">
        <f>X33+LOOKUP(Y$5,'Cost Planning'!$H$8:$AF$8,'Cost Planning'!$H$47:$AF$47)</f>
        <v>0</v>
      </c>
      <c r="Z33" s="163">
        <f>Y33+LOOKUP(Z$5,'Cost Planning'!$H$8:$AF$8,'Cost Planning'!$H$47:$AF$47)</f>
        <v>0</v>
      </c>
      <c r="AA33" s="163">
        <f>Z33+LOOKUP(AA$5,'Cost Planning'!$H$8:$AF$8,'Cost Planning'!$H$47:$AF$47)</f>
        <v>0</v>
      </c>
      <c r="AB33" s="163">
        <f>AA33+LOOKUP(AB$5,'Cost Planning'!$H$8:$AF$8,'Cost Planning'!$H$47:$AF$47)</f>
        <v>0</v>
      </c>
      <c r="AC33" s="163">
        <f>AB33+LOOKUP(AC$5,'Cost Planning'!$H$8:$AF$8,'Cost Planning'!$H$47:$AF$47)</f>
        <v>0</v>
      </c>
      <c r="AE33" s="25"/>
      <c r="AF33" s="25"/>
      <c r="AG33" s="25"/>
      <c r="AH33" s="25"/>
      <c r="AI33" s="25"/>
      <c r="AJ33" s="25"/>
      <c r="AK33" s="25"/>
      <c r="AL33" s="25"/>
      <c r="AM33" s="25"/>
      <c r="AN33" s="25"/>
      <c r="AO33" s="25"/>
      <c r="AP33" s="25"/>
    </row>
    <row r="34" spans="2:42" s="71" customFormat="1" ht="25" hidden="1" customHeight="1" outlineLevel="1" x14ac:dyDescent="0.3">
      <c r="B34" s="338" t="s">
        <v>176</v>
      </c>
      <c r="C34" s="338"/>
      <c r="D34" s="163"/>
      <c r="E34" s="163">
        <f>D34+LOOKUP(E$5,'Cost Planning'!$H$8:$AF$8,'Cost Planning'!$H$48:$AF$48)</f>
        <v>0</v>
      </c>
      <c r="F34" s="163">
        <f>E34+LOOKUP(F$5,'Cost Planning'!$H$8:$AF$8,'Cost Planning'!$H$48:$AF$48)</f>
        <v>0</v>
      </c>
      <c r="G34" s="163">
        <f>F34+LOOKUP(G$5,'Cost Planning'!$H$8:$AF$8,'Cost Planning'!$H$48:$AF$48)</f>
        <v>0</v>
      </c>
      <c r="H34" s="163">
        <f>G34+LOOKUP(H$5,'Cost Planning'!$H$8:$AF$8,'Cost Planning'!$H$48:$AF$48)</f>
        <v>0</v>
      </c>
      <c r="I34" s="163">
        <f>H34+LOOKUP(I$5,'Cost Planning'!$H$8:$AF$8,'Cost Planning'!$H$48:$AF$48)</f>
        <v>0</v>
      </c>
      <c r="J34" s="163">
        <f>I34+LOOKUP(J$5,'Cost Planning'!$H$8:$AF$8,'Cost Planning'!$H$48:$AF$48)</f>
        <v>0</v>
      </c>
      <c r="K34" s="163">
        <f>J34+LOOKUP(K$5,'Cost Planning'!$H$8:$AF$8,'Cost Planning'!$H$48:$AF$48)</f>
        <v>0</v>
      </c>
      <c r="L34" s="163">
        <f>K34+LOOKUP(L$5,'Cost Planning'!$H$8:$AF$8,'Cost Planning'!$H$48:$AF$48)</f>
        <v>0</v>
      </c>
      <c r="M34" s="163">
        <f>L34+LOOKUP(M$5,'Cost Planning'!$H$8:$AF$8,'Cost Planning'!$H$48:$AF$48)</f>
        <v>0</v>
      </c>
      <c r="N34" s="163">
        <f>M34+LOOKUP(N$5,'Cost Planning'!$H$8:$AF$8,'Cost Planning'!$H$48:$AF$48)</f>
        <v>0</v>
      </c>
      <c r="O34" s="163">
        <f>N34+LOOKUP(O$5,'Cost Planning'!$H$8:$AF$8,'Cost Planning'!$H$48:$AF$48)</f>
        <v>0</v>
      </c>
      <c r="P34" s="163">
        <f>O34+LOOKUP(P$5,'Cost Planning'!$H$8:$AF$8,'Cost Planning'!$H$48:$AF$48)</f>
        <v>0</v>
      </c>
      <c r="Q34" s="163">
        <f>P34+LOOKUP(Q$5,'Cost Planning'!$H$8:$AF$8,'Cost Planning'!$H$48:$AF$48)</f>
        <v>0</v>
      </c>
      <c r="R34" s="163">
        <f>Q34+LOOKUP(R$5,'Cost Planning'!$H$8:$AF$8,'Cost Planning'!$H$48:$AF$48)</f>
        <v>0</v>
      </c>
      <c r="S34" s="163">
        <f>R34+LOOKUP(S$5,'Cost Planning'!$H$8:$AF$8,'Cost Planning'!$H$48:$AF$48)</f>
        <v>0</v>
      </c>
      <c r="T34" s="163">
        <f>S34+LOOKUP(T$5,'Cost Planning'!$H$8:$AF$8,'Cost Planning'!$H$48:$AF$48)</f>
        <v>0</v>
      </c>
      <c r="U34" s="163">
        <f>T34+LOOKUP(U$5,'Cost Planning'!$H$8:$AF$8,'Cost Planning'!$H$48:$AF$48)</f>
        <v>0</v>
      </c>
      <c r="V34" s="163">
        <f>U34+LOOKUP(V$5,'Cost Planning'!$H$8:$AF$8,'Cost Planning'!$H$48:$AF$48)</f>
        <v>0</v>
      </c>
      <c r="W34" s="163">
        <f>V34+LOOKUP(W$5,'Cost Planning'!$H$8:$AF$8,'Cost Planning'!$H$48:$AF$48)</f>
        <v>0</v>
      </c>
      <c r="X34" s="163">
        <f>W34+LOOKUP(X$5,'Cost Planning'!$H$8:$AF$8,'Cost Planning'!$H$48:$AF$48)</f>
        <v>0</v>
      </c>
      <c r="Y34" s="163">
        <f>X34+LOOKUP(Y$5,'Cost Planning'!$H$8:$AF$8,'Cost Planning'!$H$48:$AF$48)</f>
        <v>0</v>
      </c>
      <c r="Z34" s="163">
        <f>Y34+LOOKUP(Z$5,'Cost Planning'!$H$8:$AF$8,'Cost Planning'!$H$48:$AF$48)</f>
        <v>0</v>
      </c>
      <c r="AA34" s="163">
        <f>Z34+LOOKUP(AA$5,'Cost Planning'!$H$8:$AF$8,'Cost Planning'!$H$48:$AF$48)</f>
        <v>0</v>
      </c>
      <c r="AB34" s="163">
        <f>AA34+LOOKUP(AB$5,'Cost Planning'!$H$8:$AF$8,'Cost Planning'!$H$48:$AF$48)</f>
        <v>0</v>
      </c>
      <c r="AC34" s="163">
        <f>AB34+LOOKUP(AC$5,'Cost Planning'!$H$8:$AF$8,'Cost Planning'!$H$48:$AF$48)</f>
        <v>0</v>
      </c>
      <c r="AE34" s="25"/>
      <c r="AF34" s="25"/>
      <c r="AG34" s="25"/>
      <c r="AH34" s="25"/>
      <c r="AI34" s="25"/>
      <c r="AJ34" s="25"/>
      <c r="AK34" s="25"/>
      <c r="AL34" s="25"/>
      <c r="AM34" s="25"/>
      <c r="AN34" s="25"/>
      <c r="AO34" s="25"/>
      <c r="AP34" s="25"/>
    </row>
    <row r="35" spans="2:42" s="71" customFormat="1" ht="25" hidden="1" customHeight="1" outlineLevel="1" x14ac:dyDescent="0.3">
      <c r="B35" s="338" t="s">
        <v>177</v>
      </c>
      <c r="C35" s="338"/>
      <c r="D35" s="163">
        <f>'Project Infor'!C48</f>
        <v>0</v>
      </c>
      <c r="E35" s="163">
        <f>D35+LOOKUP(E$5,'Cost Planning'!$H$8:$AF$8,'Cost Planning'!$H$61:$AF$61)</f>
        <v>0</v>
      </c>
      <c r="F35" s="163">
        <f>E35+LOOKUP(F$5,'Cost Planning'!$H$8:$AF$8,'Cost Planning'!$H$61:$AF$61)</f>
        <v>0</v>
      </c>
      <c r="G35" s="163">
        <f>F35+LOOKUP(G$5,'Cost Planning'!$H$8:$AF$8,'Cost Planning'!$H$61:$AF$61)</f>
        <v>0</v>
      </c>
      <c r="H35" s="163">
        <f>G35+LOOKUP(H$5,'Cost Planning'!$H$8:$AF$8,'Cost Planning'!$H$61:$AF$61)</f>
        <v>0</v>
      </c>
      <c r="I35" s="163">
        <f>H35+LOOKUP(I$5,'Cost Planning'!$H$8:$AF$8,'Cost Planning'!$H$61:$AF$61)</f>
        <v>0</v>
      </c>
      <c r="J35" s="163">
        <f>I35+LOOKUP(J$5,'Cost Planning'!$H$8:$AF$8,'Cost Planning'!$H$61:$AF$61)</f>
        <v>0</v>
      </c>
      <c r="K35" s="163">
        <f>J35+LOOKUP(K$5,'Cost Planning'!$H$8:$AF$8,'Cost Planning'!$H$61:$AF$61)</f>
        <v>0</v>
      </c>
      <c r="L35" s="163">
        <f>K35+LOOKUP(L$5,'Cost Planning'!$H$8:$AF$8,'Cost Planning'!$H$61:$AF$61)</f>
        <v>0</v>
      </c>
      <c r="M35" s="163">
        <f>L35+LOOKUP(M$5,'Cost Planning'!$H$8:$AF$8,'Cost Planning'!$H$61:$AF$61)</f>
        <v>0</v>
      </c>
      <c r="N35" s="163">
        <f>M35+LOOKUP(N$5,'Cost Planning'!$H$8:$AF$8,'Cost Planning'!$H$61:$AF$61)</f>
        <v>0</v>
      </c>
      <c r="O35" s="163">
        <f>N35+LOOKUP(O$5,'Cost Planning'!$H$8:$AF$8,'Cost Planning'!$H$61:$AF$61)</f>
        <v>0</v>
      </c>
      <c r="P35" s="163">
        <f>O35+LOOKUP(P$5,'Cost Planning'!$H$8:$AF$8,'Cost Planning'!$H$61:$AF$61)</f>
        <v>0</v>
      </c>
      <c r="Q35" s="163">
        <f>P35+LOOKUP(Q$5,'Cost Planning'!$H$8:$AF$8,'Cost Planning'!$H$61:$AF$61)</f>
        <v>0</v>
      </c>
      <c r="R35" s="163">
        <f>Q35+LOOKUP(R$5,'Cost Planning'!$H$8:$AF$8,'Cost Planning'!$H$61:$AF$61)</f>
        <v>0</v>
      </c>
      <c r="S35" s="163">
        <f>R35+LOOKUP(S$5,'Cost Planning'!$H$8:$AF$8,'Cost Planning'!$H$61:$AF$61)</f>
        <v>0</v>
      </c>
      <c r="T35" s="163">
        <f>S35+LOOKUP(T$5,'Cost Planning'!$H$8:$AF$8,'Cost Planning'!$H$61:$AF$61)</f>
        <v>0</v>
      </c>
      <c r="U35" s="163">
        <f>T35+LOOKUP(U$5,'Cost Planning'!$H$8:$AF$8,'Cost Planning'!$H$61:$AF$61)</f>
        <v>0</v>
      </c>
      <c r="V35" s="163">
        <f>U35+LOOKUP(V$5,'Cost Planning'!$H$8:$AF$8,'Cost Planning'!$H$61:$AF$61)</f>
        <v>0</v>
      </c>
      <c r="W35" s="163">
        <f>V35+LOOKUP(W$5,'Cost Planning'!$H$8:$AF$8,'Cost Planning'!$H$61:$AF$61)</f>
        <v>0</v>
      </c>
      <c r="X35" s="163">
        <f>W35+LOOKUP(X$5,'Cost Planning'!$H$8:$AF$8,'Cost Planning'!$H$61:$AF$61)</f>
        <v>0</v>
      </c>
      <c r="Y35" s="163">
        <f>X35+LOOKUP(Y$5,'Cost Planning'!$H$8:$AF$8,'Cost Planning'!$H$61:$AF$61)</f>
        <v>0</v>
      </c>
      <c r="Z35" s="163">
        <f>Y35+LOOKUP(Z$5,'Cost Planning'!$H$8:$AF$8,'Cost Planning'!$H$61:$AF$61)</f>
        <v>0</v>
      </c>
      <c r="AA35" s="163">
        <f>Z35+LOOKUP(AA$5,'Cost Planning'!$H$8:$AF$8,'Cost Planning'!$H$61:$AF$61)</f>
        <v>0</v>
      </c>
      <c r="AB35" s="163">
        <f>AA35+LOOKUP(AB$5,'Cost Planning'!$H$8:$AF$8,'Cost Planning'!$H$61:$AF$61)</f>
        <v>0</v>
      </c>
      <c r="AC35" s="163">
        <f>AB35+LOOKUP(AC$5,'Cost Planning'!$H$8:$AF$8,'Cost Planning'!$H$61:$AF$61)</f>
        <v>0</v>
      </c>
    </row>
    <row r="36" spans="2:42" s="71" customFormat="1" ht="25" hidden="1" customHeight="1" outlineLevel="1" x14ac:dyDescent="0.3">
      <c r="B36" s="338" t="s">
        <v>178</v>
      </c>
      <c r="C36" s="338"/>
      <c r="D36" s="163">
        <f>'Project Infor'!C49</f>
        <v>0</v>
      </c>
      <c r="E36" s="163">
        <f>D36+LOOKUP(E$5,'Cost Planning'!$H$8:$AF$8,'Cost Planning'!$H$77:$AF$77)</f>
        <v>1000</v>
      </c>
      <c r="F36" s="163">
        <f>E36+LOOKUP(F$5,'Cost Planning'!$H$8:$AF$8,'Cost Planning'!$H$77:$AF$77)</f>
        <v>1000</v>
      </c>
      <c r="G36" s="163">
        <f>F36+LOOKUP(G$5,'Cost Planning'!$H$8:$AF$8,'Cost Planning'!$H$77:$AF$77)</f>
        <v>1000</v>
      </c>
      <c r="H36" s="163">
        <f>G36+LOOKUP(H$5,'Cost Planning'!$H$8:$AF$8,'Cost Planning'!$H$77:$AF$77)</f>
        <v>1000</v>
      </c>
      <c r="I36" s="163">
        <f>H36+LOOKUP(I$5,'Cost Planning'!$H$8:$AF$8,'Cost Planning'!$H$77:$AF$77)</f>
        <v>1000</v>
      </c>
      <c r="J36" s="163">
        <f>I36+LOOKUP(J$5,'Cost Planning'!$H$8:$AF$8,'Cost Planning'!$H$77:$AF$77)</f>
        <v>1000</v>
      </c>
      <c r="K36" s="163">
        <f>J36+LOOKUP(K$5,'Cost Planning'!$H$8:$AF$8,'Cost Planning'!$H$77:$AF$77)</f>
        <v>1000</v>
      </c>
      <c r="L36" s="163">
        <f>K36+LOOKUP(L$5,'Cost Planning'!$H$8:$AF$8,'Cost Planning'!$H$77:$AF$77)</f>
        <v>1000</v>
      </c>
      <c r="M36" s="163">
        <f>L36+LOOKUP(M$5,'Cost Planning'!$H$8:$AF$8,'Cost Planning'!$H$77:$AF$77)</f>
        <v>1000</v>
      </c>
      <c r="N36" s="163">
        <f>M36+LOOKUP(N$5,'Cost Planning'!$H$8:$AF$8,'Cost Planning'!$H$77:$AF$77)</f>
        <v>1000</v>
      </c>
      <c r="O36" s="163">
        <f>N36+LOOKUP(O$5,'Cost Planning'!$H$8:$AF$8,'Cost Planning'!$H$77:$AF$77)</f>
        <v>1000</v>
      </c>
      <c r="P36" s="163">
        <f>O36+LOOKUP(P$5,'Cost Planning'!$H$8:$AF$8,'Cost Planning'!$H$77:$AF$77)</f>
        <v>1000</v>
      </c>
      <c r="Q36" s="163">
        <f>P36+LOOKUP(Q$5,'Cost Planning'!$H$8:$AF$8,'Cost Planning'!$H$77:$AF$77)</f>
        <v>1000</v>
      </c>
      <c r="R36" s="163">
        <f>Q36+LOOKUP(R$5,'Cost Planning'!$H$8:$AF$8,'Cost Planning'!$H$77:$AF$77)</f>
        <v>1000</v>
      </c>
      <c r="S36" s="163">
        <f>R36+LOOKUP(S$5,'Cost Planning'!$H$8:$AF$8,'Cost Planning'!$H$77:$AF$77)</f>
        <v>1000</v>
      </c>
      <c r="T36" s="163">
        <f>S36+LOOKUP(T$5,'Cost Planning'!$H$8:$AF$8,'Cost Planning'!$H$77:$AF$77)</f>
        <v>1000</v>
      </c>
      <c r="U36" s="163">
        <f>T36+LOOKUP(U$5,'Cost Planning'!$H$8:$AF$8,'Cost Planning'!$H$77:$AF$77)</f>
        <v>1000</v>
      </c>
      <c r="V36" s="163">
        <f>U36+LOOKUP(V$5,'Cost Planning'!$H$8:$AF$8,'Cost Planning'!$H$77:$AF$77)</f>
        <v>1000</v>
      </c>
      <c r="W36" s="163">
        <f>V36+LOOKUP(W$5,'Cost Planning'!$H$8:$AF$8,'Cost Planning'!$H$77:$AF$77)</f>
        <v>1000</v>
      </c>
      <c r="X36" s="163">
        <f>W36+LOOKUP(X$5,'Cost Planning'!$H$8:$AF$8,'Cost Planning'!$H$77:$AF$77)</f>
        <v>1000</v>
      </c>
      <c r="Y36" s="163">
        <f>X36+LOOKUP(Y$5,'Cost Planning'!$H$8:$AF$8,'Cost Planning'!$H$77:$AF$77)</f>
        <v>1000</v>
      </c>
      <c r="Z36" s="163">
        <f>Y36+LOOKUP(Z$5,'Cost Planning'!$H$8:$AF$8,'Cost Planning'!$H$77:$AF$77)</f>
        <v>1000</v>
      </c>
      <c r="AA36" s="163">
        <f>Z36+LOOKUP(AA$5,'Cost Planning'!$H$8:$AF$8,'Cost Planning'!$H$77:$AF$77)</f>
        <v>1000</v>
      </c>
      <c r="AB36" s="163">
        <f>AA36+LOOKUP(AB$5,'Cost Planning'!$H$8:$AF$8,'Cost Planning'!$H$77:$AF$77)</f>
        <v>1000</v>
      </c>
      <c r="AC36" s="163">
        <f>AB36+LOOKUP(AC$5,'Cost Planning'!$H$8:$AF$8,'Cost Planning'!$H$77:$AF$77)</f>
        <v>1000</v>
      </c>
    </row>
    <row r="37" spans="2:42" s="71" customFormat="1" ht="25" customHeight="1" collapsed="1" x14ac:dyDescent="0.3">
      <c r="B37" s="338" t="s">
        <v>67</v>
      </c>
      <c r="C37" s="338"/>
      <c r="D37" s="155">
        <f>SUM(D32:D36)</f>
        <v>0</v>
      </c>
      <c r="E37" s="155">
        <f>SUM(E32:E36)</f>
        <v>1000</v>
      </c>
      <c r="F37" s="163">
        <f t="shared" ref="F37:AC37" si="93">SUM(F32:F36)</f>
        <v>1000</v>
      </c>
      <c r="G37" s="163">
        <f t="shared" si="93"/>
        <v>1000</v>
      </c>
      <c r="H37" s="163">
        <f t="shared" si="93"/>
        <v>1000</v>
      </c>
      <c r="I37" s="163">
        <f t="shared" si="93"/>
        <v>1000</v>
      </c>
      <c r="J37" s="163">
        <f t="shared" si="93"/>
        <v>1000</v>
      </c>
      <c r="K37" s="163">
        <f t="shared" si="93"/>
        <v>1000</v>
      </c>
      <c r="L37" s="163">
        <f t="shared" si="93"/>
        <v>1000</v>
      </c>
      <c r="M37" s="163">
        <f t="shared" si="93"/>
        <v>1000</v>
      </c>
      <c r="N37" s="163">
        <f t="shared" si="93"/>
        <v>1000</v>
      </c>
      <c r="O37" s="163">
        <f t="shared" si="93"/>
        <v>1000</v>
      </c>
      <c r="P37" s="163">
        <f t="shared" si="93"/>
        <v>1000</v>
      </c>
      <c r="Q37" s="163">
        <f t="shared" si="93"/>
        <v>1000</v>
      </c>
      <c r="R37" s="163">
        <f t="shared" si="93"/>
        <v>1000</v>
      </c>
      <c r="S37" s="163">
        <f t="shared" si="93"/>
        <v>1000</v>
      </c>
      <c r="T37" s="163">
        <f t="shared" si="93"/>
        <v>1000</v>
      </c>
      <c r="U37" s="163">
        <f t="shared" si="93"/>
        <v>1000</v>
      </c>
      <c r="V37" s="163">
        <f t="shared" si="93"/>
        <v>1000</v>
      </c>
      <c r="W37" s="163">
        <f t="shared" si="93"/>
        <v>1000</v>
      </c>
      <c r="X37" s="163">
        <f t="shared" si="93"/>
        <v>1000</v>
      </c>
      <c r="Y37" s="163">
        <f t="shared" si="93"/>
        <v>1000</v>
      </c>
      <c r="Z37" s="163">
        <f t="shared" si="93"/>
        <v>1000</v>
      </c>
      <c r="AA37" s="163">
        <f t="shared" si="93"/>
        <v>1000</v>
      </c>
      <c r="AB37" s="163">
        <f t="shared" si="93"/>
        <v>1000</v>
      </c>
      <c r="AC37" s="163">
        <f t="shared" si="93"/>
        <v>1000</v>
      </c>
    </row>
    <row r="38" spans="2:42" s="71" customFormat="1" ht="25" customHeight="1" x14ac:dyDescent="0.3">
      <c r="B38" s="336" t="s">
        <v>187</v>
      </c>
      <c r="C38" s="336"/>
      <c r="D38" s="164">
        <f>D30-D32-D33-D34-D35-D36</f>
        <v>0</v>
      </c>
      <c r="E38" s="164">
        <f ca="1">E30-E32-E33-E34-E35-E36</f>
        <v>-1000</v>
      </c>
      <c r="F38" s="164">
        <f t="shared" ref="F38:Z38" ca="1" si="94">F30-F32-F33-F34-F35-F36</f>
        <v>-1000</v>
      </c>
      <c r="G38" s="164">
        <f t="shared" ca="1" si="94"/>
        <v>-1000</v>
      </c>
      <c r="H38" s="164">
        <f t="shared" ca="1" si="94"/>
        <v>-1000</v>
      </c>
      <c r="I38" s="164">
        <f t="shared" ca="1" si="94"/>
        <v>-1000</v>
      </c>
      <c r="J38" s="164">
        <f t="shared" ca="1" si="94"/>
        <v>-1000</v>
      </c>
      <c r="K38" s="164">
        <f t="shared" ca="1" si="94"/>
        <v>-1000</v>
      </c>
      <c r="L38" s="164">
        <f t="shared" ca="1" si="94"/>
        <v>-1000</v>
      </c>
      <c r="M38" s="164">
        <f t="shared" ca="1" si="94"/>
        <v>-1000</v>
      </c>
      <c r="N38" s="164">
        <f t="shared" ca="1" si="94"/>
        <v>-1000</v>
      </c>
      <c r="O38" s="164">
        <f t="shared" ca="1" si="94"/>
        <v>-1000</v>
      </c>
      <c r="P38" s="164">
        <f t="shared" ca="1" si="94"/>
        <v>-1000</v>
      </c>
      <c r="Q38" s="164">
        <f t="shared" ca="1" si="94"/>
        <v>-1000</v>
      </c>
      <c r="R38" s="164">
        <f t="shared" ca="1" si="94"/>
        <v>-1000</v>
      </c>
      <c r="S38" s="164">
        <f t="shared" ca="1" si="94"/>
        <v>-1000</v>
      </c>
      <c r="T38" s="164">
        <f t="shared" ca="1" si="94"/>
        <v>-1000</v>
      </c>
      <c r="U38" s="164">
        <f t="shared" ca="1" si="94"/>
        <v>-1000</v>
      </c>
      <c r="V38" s="164">
        <f t="shared" ca="1" si="94"/>
        <v>-1000</v>
      </c>
      <c r="W38" s="164">
        <f t="shared" ca="1" si="94"/>
        <v>-1000</v>
      </c>
      <c r="X38" s="164">
        <f t="shared" ca="1" si="94"/>
        <v>-1000</v>
      </c>
      <c r="Y38" s="164">
        <f t="shared" ca="1" si="94"/>
        <v>-1000</v>
      </c>
      <c r="Z38" s="164">
        <f t="shared" ca="1" si="94"/>
        <v>-1000</v>
      </c>
      <c r="AA38" s="164">
        <f ca="1">AA30-AA32-AA33-AA34-AA35-AA36</f>
        <v>-1000</v>
      </c>
      <c r="AB38" s="164">
        <f ca="1">AB30-AB32-AB33-AB34-AB35-AB36</f>
        <v>-1000</v>
      </c>
      <c r="AC38" s="164">
        <f ca="1">AC30-AC32-AC33-AC34-AC35-AC36</f>
        <v>-1000</v>
      </c>
    </row>
    <row r="39" spans="2:42" x14ac:dyDescent="0.3">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spans="2:42" s="71" customFormat="1" ht="25" customHeight="1" x14ac:dyDescent="0.3">
      <c r="B40" s="339" t="s">
        <v>188</v>
      </c>
      <c r="C40" s="339"/>
      <c r="D40" s="166"/>
      <c r="E40" s="184" t="b">
        <f t="shared" ref="E40:AC40" ca="1" si="95">IF(OFFSET(E4,0,1)="Fin",E6)</f>
        <v>0</v>
      </c>
      <c r="F40" s="184" t="b">
        <f t="shared" ca="1" si="95"/>
        <v>0</v>
      </c>
      <c r="G40" s="184" t="b">
        <f t="shared" ca="1" si="95"/>
        <v>0</v>
      </c>
      <c r="H40" s="184" t="b">
        <f t="shared" ca="1" si="95"/>
        <v>0</v>
      </c>
      <c r="I40" s="184" t="b">
        <f t="shared" ca="1" si="95"/>
        <v>0</v>
      </c>
      <c r="J40" s="184" t="b">
        <f t="shared" ca="1" si="95"/>
        <v>0</v>
      </c>
      <c r="K40" s="184" t="b">
        <f t="shared" ca="1" si="95"/>
        <v>0</v>
      </c>
      <c r="L40" s="184" t="b">
        <f t="shared" ca="1" si="95"/>
        <v>0</v>
      </c>
      <c r="M40" s="184">
        <f t="shared" ca="1" si="95"/>
        <v>0</v>
      </c>
      <c r="N40" s="184">
        <f t="shared" ca="1" si="95"/>
        <v>0</v>
      </c>
      <c r="O40" s="184">
        <f t="shared" ca="1" si="95"/>
        <v>0</v>
      </c>
      <c r="P40" s="184">
        <f t="shared" ca="1" si="95"/>
        <v>0</v>
      </c>
      <c r="Q40" s="184">
        <f t="shared" ca="1" si="95"/>
        <v>0</v>
      </c>
      <c r="R40" s="184">
        <f t="shared" ca="1" si="95"/>
        <v>0</v>
      </c>
      <c r="S40" s="184">
        <f t="shared" ca="1" si="95"/>
        <v>0</v>
      </c>
      <c r="T40" s="184">
        <f t="shared" ca="1" si="95"/>
        <v>0</v>
      </c>
      <c r="U40" s="184">
        <f t="shared" ca="1" si="95"/>
        <v>0</v>
      </c>
      <c r="V40" s="184">
        <f t="shared" ca="1" si="95"/>
        <v>0</v>
      </c>
      <c r="W40" s="184">
        <f t="shared" ca="1" si="95"/>
        <v>0</v>
      </c>
      <c r="X40" s="184">
        <f t="shared" ca="1" si="95"/>
        <v>0</v>
      </c>
      <c r="Y40" s="184">
        <f t="shared" ca="1" si="95"/>
        <v>0</v>
      </c>
      <c r="Z40" s="184">
        <f t="shared" ca="1" si="95"/>
        <v>0</v>
      </c>
      <c r="AA40" s="184">
        <f t="shared" ca="1" si="95"/>
        <v>0</v>
      </c>
      <c r="AB40" s="184">
        <f t="shared" ca="1" si="95"/>
        <v>0</v>
      </c>
      <c r="AC40" s="184" t="b">
        <f t="shared" ca="1" si="95"/>
        <v>0</v>
      </c>
      <c r="AE40" s="25"/>
      <c r="AF40" s="25"/>
      <c r="AG40" s="25"/>
      <c r="AH40" s="25"/>
      <c r="AI40" s="25"/>
      <c r="AJ40" s="25"/>
      <c r="AK40" s="25"/>
      <c r="AL40" s="25"/>
      <c r="AM40" s="25"/>
      <c r="AN40" s="25"/>
      <c r="AO40" s="25"/>
      <c r="AP40" s="25"/>
    </row>
    <row r="41" spans="2:42" x14ac:dyDescent="0.3">
      <c r="B41" s="167"/>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spans="2:42" s="71" customFormat="1" ht="25" customHeight="1" x14ac:dyDescent="0.3">
      <c r="B42" s="339" t="s">
        <v>189</v>
      </c>
      <c r="C42" s="339"/>
      <c r="D42" s="166">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E42" s="25"/>
      <c r="AF42" s="25"/>
      <c r="AG42" s="25"/>
      <c r="AH42" s="25"/>
      <c r="AI42" s="25"/>
      <c r="AJ42" s="25"/>
      <c r="AK42" s="25"/>
      <c r="AL42" s="25"/>
      <c r="AM42" s="25"/>
      <c r="AN42" s="25"/>
      <c r="AO42" s="25"/>
      <c r="AP42" s="25"/>
    </row>
    <row r="43" spans="2:42" s="71" customFormat="1" ht="25" customHeight="1" x14ac:dyDescent="0.3">
      <c r="B43" s="337" t="s">
        <v>190</v>
      </c>
      <c r="C43" s="337"/>
      <c r="D43" s="157">
        <f>D42</f>
        <v>0</v>
      </c>
      <c r="E43" s="157">
        <f>E42+D43</f>
        <v>0</v>
      </c>
      <c r="F43" s="157">
        <f>F42+E43</f>
        <v>0</v>
      </c>
      <c r="G43" s="157">
        <f t="shared" ref="G43:Z43" si="96">G42+F43</f>
        <v>0</v>
      </c>
      <c r="H43" s="157">
        <f t="shared" si="96"/>
        <v>0</v>
      </c>
      <c r="I43" s="157">
        <f t="shared" si="96"/>
        <v>0</v>
      </c>
      <c r="J43" s="157">
        <f t="shared" si="96"/>
        <v>0</v>
      </c>
      <c r="K43" s="157">
        <f t="shared" si="96"/>
        <v>0</v>
      </c>
      <c r="L43" s="157">
        <f t="shared" si="96"/>
        <v>0</v>
      </c>
      <c r="M43" s="157">
        <f t="shared" si="96"/>
        <v>0</v>
      </c>
      <c r="N43" s="157">
        <f>N42+M43</f>
        <v>0</v>
      </c>
      <c r="O43" s="157">
        <f t="shared" si="96"/>
        <v>0</v>
      </c>
      <c r="P43" s="157">
        <f t="shared" si="96"/>
        <v>0</v>
      </c>
      <c r="Q43" s="157">
        <f t="shared" si="96"/>
        <v>0</v>
      </c>
      <c r="R43" s="157">
        <f t="shared" si="96"/>
        <v>0</v>
      </c>
      <c r="S43" s="157">
        <f t="shared" si="96"/>
        <v>0</v>
      </c>
      <c r="T43" s="157">
        <f t="shared" si="96"/>
        <v>0</v>
      </c>
      <c r="U43" s="157">
        <f t="shared" si="96"/>
        <v>0</v>
      </c>
      <c r="V43" s="157">
        <f t="shared" si="96"/>
        <v>0</v>
      </c>
      <c r="W43" s="157">
        <f t="shared" si="96"/>
        <v>0</v>
      </c>
      <c r="X43" s="157">
        <f t="shared" si="96"/>
        <v>0</v>
      </c>
      <c r="Y43" s="157">
        <f t="shared" si="96"/>
        <v>0</v>
      </c>
      <c r="Z43" s="157">
        <f t="shared" si="96"/>
        <v>0</v>
      </c>
      <c r="AA43" s="157">
        <f>AA42+Z43</f>
        <v>0</v>
      </c>
      <c r="AB43" s="157">
        <f t="shared" ref="AB43:AC43" si="97">AB42+AA43</f>
        <v>0</v>
      </c>
      <c r="AC43" s="157">
        <f t="shared" si="97"/>
        <v>0</v>
      </c>
    </row>
    <row r="44" spans="2:42" s="71" customFormat="1" ht="25" customHeight="1" x14ac:dyDescent="0.3">
      <c r="B44" s="337" t="s">
        <v>191</v>
      </c>
      <c r="C44" s="337"/>
      <c r="D44" s="165"/>
      <c r="E44" s="165">
        <f t="shared" ref="E44:Z44" ca="1" si="98">E43-E30</f>
        <v>0</v>
      </c>
      <c r="F44" s="165">
        <f t="shared" ca="1" si="98"/>
        <v>0</v>
      </c>
      <c r="G44" s="165">
        <f t="shared" ca="1" si="98"/>
        <v>0</v>
      </c>
      <c r="H44" s="165">
        <f t="shared" ca="1" si="98"/>
        <v>0</v>
      </c>
      <c r="I44" s="165">
        <f t="shared" ca="1" si="98"/>
        <v>0</v>
      </c>
      <c r="J44" s="165">
        <f t="shared" ca="1" si="98"/>
        <v>0</v>
      </c>
      <c r="K44" s="165">
        <f t="shared" ca="1" si="98"/>
        <v>0</v>
      </c>
      <c r="L44" s="165">
        <f t="shared" ca="1" si="98"/>
        <v>0</v>
      </c>
      <c r="M44" s="165">
        <f t="shared" ca="1" si="98"/>
        <v>0</v>
      </c>
      <c r="N44" s="165">
        <f t="shared" ca="1" si="98"/>
        <v>0</v>
      </c>
      <c r="O44" s="165">
        <f t="shared" ca="1" si="98"/>
        <v>0</v>
      </c>
      <c r="P44" s="165">
        <f t="shared" ca="1" si="98"/>
        <v>0</v>
      </c>
      <c r="Q44" s="165">
        <f t="shared" ca="1" si="98"/>
        <v>0</v>
      </c>
      <c r="R44" s="165">
        <f t="shared" ca="1" si="98"/>
        <v>0</v>
      </c>
      <c r="S44" s="165">
        <f t="shared" ca="1" si="98"/>
        <v>0</v>
      </c>
      <c r="T44" s="165">
        <f t="shared" ca="1" si="98"/>
        <v>0</v>
      </c>
      <c r="U44" s="165">
        <f t="shared" ca="1" si="98"/>
        <v>0</v>
      </c>
      <c r="V44" s="165">
        <f t="shared" ca="1" si="98"/>
        <v>0</v>
      </c>
      <c r="W44" s="165">
        <f t="shared" ca="1" si="98"/>
        <v>0</v>
      </c>
      <c r="X44" s="165">
        <f t="shared" ca="1" si="98"/>
        <v>0</v>
      </c>
      <c r="Y44" s="165">
        <f t="shared" ca="1" si="98"/>
        <v>0</v>
      </c>
      <c r="Z44" s="165">
        <f t="shared" ca="1" si="98"/>
        <v>0</v>
      </c>
      <c r="AA44" s="165">
        <f ca="1">AA43-AA30</f>
        <v>0</v>
      </c>
      <c r="AB44" s="165">
        <f ca="1">AB43-AB30</f>
        <v>0</v>
      </c>
      <c r="AC44" s="165">
        <f ca="1">AC43-AC30</f>
        <v>0</v>
      </c>
      <c r="AE44" s="25"/>
      <c r="AF44" s="25"/>
      <c r="AG44" s="25"/>
      <c r="AH44" s="25"/>
      <c r="AI44" s="25"/>
      <c r="AJ44" s="25"/>
      <c r="AK44" s="25"/>
      <c r="AL44" s="25"/>
      <c r="AM44" s="25"/>
      <c r="AN44" s="25"/>
      <c r="AO44" s="25"/>
      <c r="AP44" s="25"/>
    </row>
    <row r="45" spans="2:42" x14ac:dyDescent="0.3">
      <c r="B45" s="167"/>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spans="2:42" x14ac:dyDescent="0.3">
      <c r="E46" s="28"/>
      <c r="F46" s="28"/>
      <c r="G46" s="28"/>
      <c r="H46" s="28"/>
      <c r="I46" s="28"/>
      <c r="J46" s="28"/>
      <c r="K46" s="28"/>
      <c r="L46" s="28"/>
      <c r="M46" s="168"/>
      <c r="N46" s="28"/>
    </row>
  </sheetData>
  <sheetProtection algorithmName="SHA-512" hashValue="7R9Xn95HwiA1GU8hrBAa23/BrncaLC13vzTL3KL2cMG4r4DAUNcnpz+c1acO+OFYG8FEfx0ZigLVC/LzTuEHAA==" saltValue="5a2K/oWQW4Rn3AkUX3OsrA==" spinCount="100000" sheet="1" objects="1" scenarios="1" pivotTables="0"/>
  <mergeCells count="37">
    <mergeCell ref="I2:L2"/>
    <mergeCell ref="B5:C5"/>
    <mergeCell ref="B6:C6"/>
    <mergeCell ref="B7:C7"/>
    <mergeCell ref="B8:C8"/>
    <mergeCell ref="B9:C9"/>
    <mergeCell ref="B10:C10"/>
    <mergeCell ref="B11:C11"/>
    <mergeCell ref="B12:C12"/>
    <mergeCell ref="B13:C13"/>
    <mergeCell ref="B14:C14"/>
    <mergeCell ref="B15:C15"/>
    <mergeCell ref="B44:C44"/>
    <mergeCell ref="B17:C17"/>
    <mergeCell ref="B18:C18"/>
    <mergeCell ref="B19:C19"/>
    <mergeCell ref="B20:C20"/>
    <mergeCell ref="B21:C21"/>
    <mergeCell ref="B22:C22"/>
    <mergeCell ref="B23:C23"/>
    <mergeCell ref="B24:C24"/>
    <mergeCell ref="B25:C25"/>
    <mergeCell ref="B26:C26"/>
    <mergeCell ref="B27:C27"/>
    <mergeCell ref="B42:C42"/>
    <mergeCell ref="B30:C30"/>
    <mergeCell ref="B38:C38"/>
    <mergeCell ref="B43:C43"/>
    <mergeCell ref="B29:C29"/>
    <mergeCell ref="B31:C31"/>
    <mergeCell ref="B32:C32"/>
    <mergeCell ref="B40:C40"/>
    <mergeCell ref="B33:C33"/>
    <mergeCell ref="B34:C34"/>
    <mergeCell ref="B35:C35"/>
    <mergeCell ref="B36:C36"/>
    <mergeCell ref="B37:C37"/>
  </mergeCells>
  <conditionalFormatting sqref="E4">
    <cfRule type="expression" dxfId="311" priority="388">
      <formula>$E$4="Fin"</formula>
    </cfRule>
    <cfRule type="expression" dxfId="310" priority="389">
      <formula>$E$4="Prev"</formula>
    </cfRule>
    <cfRule type="expression" dxfId="309" priority="390">
      <formula>$E$4="Real"</formula>
    </cfRule>
  </conditionalFormatting>
  <conditionalFormatting sqref="E6 E30">
    <cfRule type="expression" dxfId="308" priority="34">
      <formula>E6&lt;E30</formula>
    </cfRule>
  </conditionalFormatting>
  <conditionalFormatting sqref="E40">
    <cfRule type="expression" dxfId="307" priority="103">
      <formula>$E$40=FALSE</formula>
    </cfRule>
  </conditionalFormatting>
  <conditionalFormatting sqref="F4">
    <cfRule type="expression" dxfId="306" priority="393">
      <formula>$F$4="Real"</formula>
    </cfRule>
    <cfRule type="expression" dxfId="305" priority="392">
      <formula>$F$4="Prev"</formula>
    </cfRule>
    <cfRule type="expression" dxfId="304" priority="391">
      <formula>$F$4="Fin"</formula>
    </cfRule>
  </conditionalFormatting>
  <conditionalFormatting sqref="F6 F30">
    <cfRule type="expression" dxfId="303" priority="25">
      <formula>$F$6&lt;$F$30</formula>
    </cfRule>
  </conditionalFormatting>
  <conditionalFormatting sqref="F6">
    <cfRule type="expression" dxfId="302" priority="115">
      <formula>$F$4="Fin"</formula>
    </cfRule>
  </conditionalFormatting>
  <conditionalFormatting sqref="F7:F13">
    <cfRule type="expression" dxfId="301" priority="114">
      <formula>$F$4="Fin"</formula>
    </cfRule>
  </conditionalFormatting>
  <conditionalFormatting sqref="F14:F15 F38 F43:F44">
    <cfRule type="expression" dxfId="300" priority="113">
      <formula>$F$4="Fin"</formula>
    </cfRule>
  </conditionalFormatting>
  <conditionalFormatting sqref="F18">
    <cfRule type="expression" dxfId="299" priority="112">
      <formula>$F$4="Fin"</formula>
    </cfRule>
  </conditionalFormatting>
  <conditionalFormatting sqref="F19:F25">
    <cfRule type="expression" dxfId="298" priority="111">
      <formula>$F$4="Fin"</formula>
    </cfRule>
  </conditionalFormatting>
  <conditionalFormatting sqref="F26:F27">
    <cfRule type="expression" dxfId="297" priority="110">
      <formula>$F$4="Fin"</formula>
    </cfRule>
  </conditionalFormatting>
  <conditionalFormatting sqref="F30">
    <cfRule type="expression" dxfId="296" priority="29">
      <formula>$F$4="Fin"</formula>
    </cfRule>
  </conditionalFormatting>
  <conditionalFormatting sqref="F31:F37">
    <cfRule type="expression" dxfId="295" priority="108">
      <formula>$F$4="Fin"</formula>
    </cfRule>
  </conditionalFormatting>
  <conditionalFormatting sqref="F40">
    <cfRule type="expression" dxfId="294" priority="106">
      <formula>$F$4="Fin"</formula>
    </cfRule>
    <cfRule type="expression" dxfId="293" priority="105">
      <formula>$F$40=FALSE</formula>
    </cfRule>
  </conditionalFormatting>
  <conditionalFormatting sqref="G4">
    <cfRule type="expression" dxfId="292" priority="395">
      <formula>$G$4="Prev"</formula>
    </cfRule>
    <cfRule type="expression" dxfId="291" priority="394">
      <formula>$G$4="Fin"</formula>
    </cfRule>
    <cfRule type="expression" dxfId="290" priority="396">
      <formula>$G$4="Real"</formula>
    </cfRule>
  </conditionalFormatting>
  <conditionalFormatting sqref="G6 G30">
    <cfRule type="expression" dxfId="289" priority="24">
      <formula>$G$6&lt;$G$30</formula>
    </cfRule>
  </conditionalFormatting>
  <conditionalFormatting sqref="G6">
    <cfRule type="expression" dxfId="288" priority="126">
      <formula>$G$4="Fin"</formula>
    </cfRule>
  </conditionalFormatting>
  <conditionalFormatting sqref="G7:G13">
    <cfRule type="expression" dxfId="287" priority="125">
      <formula>$G$4="Fin"</formula>
    </cfRule>
  </conditionalFormatting>
  <conditionalFormatting sqref="G14:G15 G38 G43:G44">
    <cfRule type="expression" dxfId="286" priority="124">
      <formula>$G$4="Fin"</formula>
    </cfRule>
  </conditionalFormatting>
  <conditionalFormatting sqref="G18">
    <cfRule type="expression" dxfId="285" priority="123">
      <formula>$G$4="Fin"</formula>
    </cfRule>
  </conditionalFormatting>
  <conditionalFormatting sqref="G19:G25">
    <cfRule type="expression" dxfId="284" priority="122">
      <formula>$G$4="Fin"</formula>
    </cfRule>
  </conditionalFormatting>
  <conditionalFormatting sqref="G26:G27">
    <cfRule type="expression" dxfId="283" priority="121">
      <formula>$G$4="Fin"</formula>
    </cfRule>
  </conditionalFormatting>
  <conditionalFormatting sqref="G30">
    <cfRule type="expression" dxfId="282" priority="28">
      <formula>$G$4="Fin"</formula>
    </cfRule>
  </conditionalFormatting>
  <conditionalFormatting sqref="G31:G37">
    <cfRule type="expression" dxfId="281" priority="119">
      <formula>$G$4="Fin"</formula>
    </cfRule>
  </conditionalFormatting>
  <conditionalFormatting sqref="G40">
    <cfRule type="expression" dxfId="280" priority="116">
      <formula>$G$40=FALSE</formula>
    </cfRule>
    <cfRule type="expression" dxfId="279" priority="117">
      <formula>$G$4="Fin"</formula>
    </cfRule>
  </conditionalFormatting>
  <conditionalFormatting sqref="H4">
    <cfRule type="expression" dxfId="278" priority="399">
      <formula>$H$4="Real"</formula>
    </cfRule>
    <cfRule type="expression" dxfId="277" priority="397">
      <formula>$H$4="Fin"</formula>
    </cfRule>
    <cfRule type="expression" dxfId="276" priority="398">
      <formula>$H$4="Prev"</formula>
    </cfRule>
  </conditionalFormatting>
  <conditionalFormatting sqref="H6 H30">
    <cfRule type="expression" dxfId="275" priority="21">
      <formula>$H$6&lt;$H$30</formula>
    </cfRule>
  </conditionalFormatting>
  <conditionalFormatting sqref="H6">
    <cfRule type="expression" dxfId="274" priority="137">
      <formula>$H$4="Fin"</formula>
    </cfRule>
  </conditionalFormatting>
  <conditionalFormatting sqref="H7:H13">
    <cfRule type="expression" dxfId="273" priority="136">
      <formula>$H$4="Fin"</formula>
    </cfRule>
  </conditionalFormatting>
  <conditionalFormatting sqref="H14:H15 H38 H43:H44">
    <cfRule type="expression" dxfId="272" priority="135">
      <formula>$H$4="Fin"</formula>
    </cfRule>
  </conditionalFormatting>
  <conditionalFormatting sqref="H18">
    <cfRule type="expression" dxfId="271" priority="134">
      <formula>$H$4="Fin"</formula>
    </cfRule>
  </conditionalFormatting>
  <conditionalFormatting sqref="H19:H25">
    <cfRule type="expression" dxfId="270" priority="133">
      <formula>$H$4="Fin"</formula>
    </cfRule>
  </conditionalFormatting>
  <conditionalFormatting sqref="H26:H27">
    <cfRule type="expression" dxfId="269" priority="132">
      <formula>$H$4="Fin"</formula>
    </cfRule>
  </conditionalFormatting>
  <conditionalFormatting sqref="H30">
    <cfRule type="expression" dxfId="268" priority="27">
      <formula>$H$4="Fin"</formula>
    </cfRule>
  </conditionalFormatting>
  <conditionalFormatting sqref="H31:H37">
    <cfRule type="expression" dxfId="267" priority="130">
      <formula>$H$4="Fin"</formula>
    </cfRule>
  </conditionalFormatting>
  <conditionalFormatting sqref="H40">
    <cfRule type="expression" dxfId="266" priority="127">
      <formula>$H$40=FALSE</formula>
    </cfRule>
    <cfRule type="expression" dxfId="265" priority="128">
      <formula>$H$4="Fin"</formula>
    </cfRule>
  </conditionalFormatting>
  <conditionalFormatting sqref="I4">
    <cfRule type="expression" dxfId="264" priority="402">
      <formula>$I$4="Real"</formula>
    </cfRule>
    <cfRule type="expression" dxfId="263" priority="401">
      <formula>$I$4="Prev"</formula>
    </cfRule>
    <cfRule type="expression" dxfId="262" priority="400">
      <formula>$I$4="Fin"</formula>
    </cfRule>
  </conditionalFormatting>
  <conditionalFormatting sqref="I6 I30">
    <cfRule type="expression" dxfId="261" priority="22">
      <formula>$I$6&lt;$I$30</formula>
    </cfRule>
  </conditionalFormatting>
  <conditionalFormatting sqref="I6">
    <cfRule type="expression" dxfId="260" priority="148">
      <formula>$I$4="Fin"</formula>
    </cfRule>
  </conditionalFormatting>
  <conditionalFormatting sqref="I7:I13">
    <cfRule type="expression" dxfId="259" priority="147">
      <formula>$I$4="Fin"</formula>
    </cfRule>
  </conditionalFormatting>
  <conditionalFormatting sqref="I14:I15 I38 I43:I44">
    <cfRule type="expression" dxfId="258" priority="146">
      <formula>$I$4="Fin"</formula>
    </cfRule>
  </conditionalFormatting>
  <conditionalFormatting sqref="I18">
    <cfRule type="expression" dxfId="257" priority="145">
      <formula>$I$4="Fin"</formula>
    </cfRule>
  </conditionalFormatting>
  <conditionalFormatting sqref="I19:I25">
    <cfRule type="expression" dxfId="256" priority="144">
      <formula>$I$4="Fin"</formula>
    </cfRule>
  </conditionalFormatting>
  <conditionalFormatting sqref="I26:I27">
    <cfRule type="expression" dxfId="255" priority="143">
      <formula>$I$4="Fin"</formula>
    </cfRule>
  </conditionalFormatting>
  <conditionalFormatting sqref="I30">
    <cfRule type="expression" dxfId="254" priority="26">
      <formula>$I$4="Fin"</formula>
    </cfRule>
  </conditionalFormatting>
  <conditionalFormatting sqref="I31:I37">
    <cfRule type="expression" dxfId="253" priority="141">
      <formula>$I$4="Fin"</formula>
    </cfRule>
  </conditionalFormatting>
  <conditionalFormatting sqref="I40">
    <cfRule type="expression" dxfId="252" priority="138">
      <formula>$I$40=FALSE</formula>
    </cfRule>
    <cfRule type="expression" dxfId="251" priority="139">
      <formula>$I$4="Fin"</formula>
    </cfRule>
  </conditionalFormatting>
  <conditionalFormatting sqref="I2:M2">
    <cfRule type="expression" dxfId="250" priority="37">
      <formula>$M$2=0</formula>
    </cfRule>
  </conditionalFormatting>
  <conditionalFormatting sqref="J4">
    <cfRule type="expression" dxfId="249" priority="387">
      <formula>$J$4="Real"</formula>
    </cfRule>
    <cfRule type="expression" dxfId="248" priority="386">
      <formula>$J$4="Prev"</formula>
    </cfRule>
    <cfRule type="expression" dxfId="247" priority="385">
      <formula>$J$4="Fin"</formula>
    </cfRule>
  </conditionalFormatting>
  <conditionalFormatting sqref="J6 J30">
    <cfRule type="expression" dxfId="246" priority="20">
      <formula>$J$6&lt;$J$30</formula>
    </cfRule>
  </conditionalFormatting>
  <conditionalFormatting sqref="J6">
    <cfRule type="expression" dxfId="245" priority="159">
      <formula>$J$4="Fin"</formula>
    </cfRule>
  </conditionalFormatting>
  <conditionalFormatting sqref="J7:J13">
    <cfRule type="expression" dxfId="244" priority="158">
      <formula>$J$4="Fin"</formula>
    </cfRule>
  </conditionalFormatting>
  <conditionalFormatting sqref="J14:J15 J38 J43:J44">
    <cfRule type="expression" dxfId="243" priority="157">
      <formula>$J$4="Fin"</formula>
    </cfRule>
  </conditionalFormatting>
  <conditionalFormatting sqref="J18">
    <cfRule type="expression" dxfId="242" priority="156">
      <formula>$J$4="Fin"</formula>
    </cfRule>
  </conditionalFormatting>
  <conditionalFormatting sqref="J19:J25">
    <cfRule type="expression" dxfId="241" priority="155">
      <formula>$J$4="Fin"</formula>
    </cfRule>
  </conditionalFormatting>
  <conditionalFormatting sqref="J26:J27">
    <cfRule type="expression" dxfId="240" priority="154">
      <formula>$J$4="Fin"</formula>
    </cfRule>
  </conditionalFormatting>
  <conditionalFormatting sqref="J30">
    <cfRule type="expression" dxfId="239" priority="153">
      <formula>$J$4="Fin"</formula>
    </cfRule>
  </conditionalFormatting>
  <conditionalFormatting sqref="J31:J37">
    <cfRule type="expression" dxfId="238" priority="152">
      <formula>$J$4="Fin"</formula>
    </cfRule>
  </conditionalFormatting>
  <conditionalFormatting sqref="J40">
    <cfRule type="expression" dxfId="237" priority="150">
      <formula>$J$4="Fin"</formula>
    </cfRule>
    <cfRule type="expression" dxfId="236" priority="149">
      <formula>$J$40=FALSE</formula>
    </cfRule>
  </conditionalFormatting>
  <conditionalFormatting sqref="K4">
    <cfRule type="expression" dxfId="235" priority="382">
      <formula>$K$4="Fin"</formula>
    </cfRule>
    <cfRule type="expression" dxfId="234" priority="383">
      <formula>$K$4="Prev"</formula>
    </cfRule>
    <cfRule type="expression" dxfId="233" priority="384">
      <formula>$K$4="Real"</formula>
    </cfRule>
  </conditionalFormatting>
  <conditionalFormatting sqref="K6 K30">
    <cfRule type="expression" dxfId="232" priority="19">
      <formula>$K$6&lt;$K$30</formula>
    </cfRule>
  </conditionalFormatting>
  <conditionalFormatting sqref="K6">
    <cfRule type="expression" dxfId="231" priority="170">
      <formula>$K$4="Fin"</formula>
    </cfRule>
  </conditionalFormatting>
  <conditionalFormatting sqref="K7:K13">
    <cfRule type="expression" dxfId="230" priority="169">
      <formula>$K$4="Fin"</formula>
    </cfRule>
  </conditionalFormatting>
  <conditionalFormatting sqref="K14:K15 K38 K43:K44">
    <cfRule type="expression" dxfId="229" priority="168">
      <formula>$K$4="Fin"</formula>
    </cfRule>
  </conditionalFormatting>
  <conditionalFormatting sqref="K18">
    <cfRule type="expression" dxfId="228" priority="167">
      <formula>$K$4="Fin"</formula>
    </cfRule>
  </conditionalFormatting>
  <conditionalFormatting sqref="K19:K25">
    <cfRule type="expression" dxfId="227" priority="166">
      <formula>$K$4="Fin"</formula>
    </cfRule>
  </conditionalFormatting>
  <conditionalFormatting sqref="K26:K27">
    <cfRule type="expression" dxfId="226" priority="165">
      <formula>$K$4="Fin"</formula>
    </cfRule>
  </conditionalFormatting>
  <conditionalFormatting sqref="K30">
    <cfRule type="expression" dxfId="225" priority="164">
      <formula>$K$4="Fin"</formula>
    </cfRule>
  </conditionalFormatting>
  <conditionalFormatting sqref="K31:K37">
    <cfRule type="expression" dxfId="224" priority="163">
      <formula>$K$4="Fin"</formula>
    </cfRule>
  </conditionalFormatting>
  <conditionalFormatting sqref="K40">
    <cfRule type="expression" dxfId="223" priority="160">
      <formula>$K$40=FALSE</formula>
    </cfRule>
    <cfRule type="expression" dxfId="222" priority="161">
      <formula>$K$4="Fin"</formula>
    </cfRule>
  </conditionalFormatting>
  <conditionalFormatting sqref="L4">
    <cfRule type="expression" dxfId="221" priority="381">
      <formula>$L$4="Real"</formula>
    </cfRule>
    <cfRule type="expression" dxfId="220" priority="380">
      <formula>$L$4="Prev"</formula>
    </cfRule>
    <cfRule type="expression" dxfId="219" priority="379">
      <formula>$L$4="Fin"</formula>
    </cfRule>
  </conditionalFormatting>
  <conditionalFormatting sqref="L6 L30">
    <cfRule type="expression" dxfId="218" priority="18">
      <formula>$L$6&lt;$L$30</formula>
    </cfRule>
  </conditionalFormatting>
  <conditionalFormatting sqref="L6">
    <cfRule type="expression" dxfId="217" priority="181">
      <formula>$L$4="Fin"</formula>
    </cfRule>
  </conditionalFormatting>
  <conditionalFormatting sqref="L7:L13">
    <cfRule type="expression" dxfId="216" priority="180">
      <formula>$L$4="Fin"</formula>
    </cfRule>
  </conditionalFormatting>
  <conditionalFormatting sqref="L14:L15 L38 L43:L44">
    <cfRule type="expression" dxfId="215" priority="179">
      <formula>$L$4="Fin"</formula>
    </cfRule>
  </conditionalFormatting>
  <conditionalFormatting sqref="L18">
    <cfRule type="expression" dxfId="214" priority="178">
      <formula>$L$4="Fin"</formula>
    </cfRule>
  </conditionalFormatting>
  <conditionalFormatting sqref="L19:L25">
    <cfRule type="expression" dxfId="213" priority="177">
      <formula>$L$4="Fin"</formula>
    </cfRule>
  </conditionalFormatting>
  <conditionalFormatting sqref="L26:L27">
    <cfRule type="expression" dxfId="212" priority="176">
      <formula>$L$4="Fin"</formula>
    </cfRule>
  </conditionalFormatting>
  <conditionalFormatting sqref="L30">
    <cfRule type="expression" dxfId="211" priority="175">
      <formula>$L$4="Fin"</formula>
    </cfRule>
  </conditionalFormatting>
  <conditionalFormatting sqref="L31:L37">
    <cfRule type="expression" dxfId="210" priority="174">
      <formula>$L$4="Fin"</formula>
    </cfRule>
  </conditionalFormatting>
  <conditionalFormatting sqref="L40">
    <cfRule type="expression" dxfId="209" priority="172">
      <formula>$L$4="Fin"</formula>
    </cfRule>
    <cfRule type="expression" dxfId="208" priority="171">
      <formula>$L$40=FALSE</formula>
    </cfRule>
  </conditionalFormatting>
  <conditionalFormatting sqref="M4">
    <cfRule type="expression" dxfId="207" priority="378">
      <formula>$M$4="Real"</formula>
    </cfRule>
    <cfRule type="expression" dxfId="206" priority="377">
      <formula>$M$4="Prev"</formula>
    </cfRule>
    <cfRule type="expression" dxfId="205" priority="376">
      <formula>$M$4="Fin"</formula>
    </cfRule>
  </conditionalFormatting>
  <conditionalFormatting sqref="M6 M30">
    <cfRule type="expression" dxfId="204" priority="17">
      <formula>$M$6&lt;$M$30</formula>
    </cfRule>
  </conditionalFormatting>
  <conditionalFormatting sqref="M6">
    <cfRule type="expression" dxfId="203" priority="192">
      <formula>$M$4="Fin"</formula>
    </cfRule>
  </conditionalFormatting>
  <conditionalFormatting sqref="M7:M13">
    <cfRule type="expression" dxfId="202" priority="191">
      <formula>$M$4="Fin"</formula>
    </cfRule>
  </conditionalFormatting>
  <conditionalFormatting sqref="M14:M15 M38 M43:M44">
    <cfRule type="expression" dxfId="201" priority="190">
      <formula>$M$4="Fin"</formula>
    </cfRule>
  </conditionalFormatting>
  <conditionalFormatting sqref="M18">
    <cfRule type="expression" dxfId="200" priority="189">
      <formula>$M$4="Fin"</formula>
    </cfRule>
  </conditionalFormatting>
  <conditionalFormatting sqref="M19:M25">
    <cfRule type="expression" dxfId="199" priority="188">
      <formula>$M$4="Fin"</formula>
    </cfRule>
  </conditionalFormatting>
  <conditionalFormatting sqref="M26:M27">
    <cfRule type="expression" dxfId="198" priority="187">
      <formula>$M$4="Fin"</formula>
    </cfRule>
  </conditionalFormatting>
  <conditionalFormatting sqref="M30">
    <cfRule type="expression" dxfId="197" priority="186">
      <formula>$M$4="Fin"</formula>
    </cfRule>
  </conditionalFormatting>
  <conditionalFormatting sqref="M31:M37">
    <cfRule type="expression" dxfId="196" priority="185">
      <formula>$M$4="Fin"</formula>
    </cfRule>
  </conditionalFormatting>
  <conditionalFormatting sqref="M40">
    <cfRule type="expression" dxfId="195" priority="183">
      <formula>$M$4="Fin"</formula>
    </cfRule>
    <cfRule type="expression" dxfId="194" priority="182">
      <formula>$M$40=FALSE</formula>
    </cfRule>
  </conditionalFormatting>
  <conditionalFormatting sqref="N4">
    <cfRule type="expression" dxfId="193" priority="373">
      <formula>$N$4="Fin"</formula>
    </cfRule>
    <cfRule type="expression" dxfId="192" priority="374">
      <formula>$N$4="Prev"</formula>
    </cfRule>
    <cfRule type="expression" dxfId="191" priority="375">
      <formula>$N$4="Real"</formula>
    </cfRule>
  </conditionalFormatting>
  <conditionalFormatting sqref="N6 N30">
    <cfRule type="expression" dxfId="190" priority="16">
      <formula>$N$6&lt;$N$30</formula>
    </cfRule>
  </conditionalFormatting>
  <conditionalFormatting sqref="N6">
    <cfRule type="expression" dxfId="189" priority="203">
      <formula>$N$4="Fin"</formula>
    </cfRule>
  </conditionalFormatting>
  <conditionalFormatting sqref="N7:N13">
    <cfRule type="expression" dxfId="188" priority="202">
      <formula>$N$4="Fin"</formula>
    </cfRule>
  </conditionalFormatting>
  <conditionalFormatting sqref="N14:N15 N38 N43:N44">
    <cfRule type="expression" dxfId="187" priority="201">
      <formula>$N$4="Fin"</formula>
    </cfRule>
  </conditionalFormatting>
  <conditionalFormatting sqref="N18">
    <cfRule type="expression" dxfId="186" priority="200">
      <formula>$N$4="Fin"</formula>
    </cfRule>
  </conditionalFormatting>
  <conditionalFormatting sqref="N19:N25">
    <cfRule type="expression" dxfId="185" priority="199">
      <formula>$N$4="Fin"</formula>
    </cfRule>
  </conditionalFormatting>
  <conditionalFormatting sqref="N26:N27">
    <cfRule type="expression" dxfId="184" priority="198">
      <formula>$N$4="Fin"</formula>
    </cfRule>
  </conditionalFormatting>
  <conditionalFormatting sqref="N30">
    <cfRule type="expression" dxfId="183" priority="197">
      <formula>$N$4="Fin"</formula>
    </cfRule>
  </conditionalFormatting>
  <conditionalFormatting sqref="N31:N37">
    <cfRule type="expression" dxfId="182" priority="196">
      <formula>$N$4="Fin"</formula>
    </cfRule>
  </conditionalFormatting>
  <conditionalFormatting sqref="N40">
    <cfRule type="expression" dxfId="181" priority="194">
      <formula>$N$4="Fin"</formula>
    </cfRule>
    <cfRule type="expression" dxfId="180" priority="193">
      <formula>$N$40=FALSE</formula>
    </cfRule>
  </conditionalFormatting>
  <conditionalFormatting sqref="O4">
    <cfRule type="expression" dxfId="179" priority="370">
      <formula>$O$4="Fin"</formula>
    </cfRule>
    <cfRule type="expression" dxfId="178" priority="371">
      <formula>$O$4="Prev"</formula>
    </cfRule>
    <cfRule type="expression" dxfId="177" priority="372">
      <formula>$O$4="Real"</formula>
    </cfRule>
  </conditionalFormatting>
  <conditionalFormatting sqref="O6 O30">
    <cfRule type="expression" dxfId="176" priority="15">
      <formula>$O$6&lt;$O$30</formula>
    </cfRule>
  </conditionalFormatting>
  <conditionalFormatting sqref="O6">
    <cfRule type="expression" dxfId="175" priority="214">
      <formula>$O$4="Fin"</formula>
    </cfRule>
  </conditionalFormatting>
  <conditionalFormatting sqref="O7:O13">
    <cfRule type="expression" dxfId="174" priority="213">
      <formula>$O$4="Fin"</formula>
    </cfRule>
  </conditionalFormatting>
  <conditionalFormatting sqref="O14:O15 O38 O43:O44">
    <cfRule type="expression" dxfId="173" priority="212">
      <formula>$O$4="Fin"</formula>
    </cfRule>
  </conditionalFormatting>
  <conditionalFormatting sqref="O18">
    <cfRule type="expression" dxfId="172" priority="211">
      <formula>$O$4="Fin"</formula>
    </cfRule>
  </conditionalFormatting>
  <conditionalFormatting sqref="O19:O25">
    <cfRule type="expression" dxfId="171" priority="210">
      <formula>$O$4="Fin"</formula>
    </cfRule>
  </conditionalFormatting>
  <conditionalFormatting sqref="O26:O27">
    <cfRule type="expression" dxfId="170" priority="209">
      <formula>$O$4="Fin"</formula>
    </cfRule>
  </conditionalFormatting>
  <conditionalFormatting sqref="O30">
    <cfRule type="expression" dxfId="169" priority="208">
      <formula>$O$4="Fin"</formula>
    </cfRule>
  </conditionalFormatting>
  <conditionalFormatting sqref="O31:O37">
    <cfRule type="expression" dxfId="168" priority="207">
      <formula>$O$4="Fin"</formula>
    </cfRule>
  </conditionalFormatting>
  <conditionalFormatting sqref="O40">
    <cfRule type="expression" dxfId="167" priority="205">
      <formula>$O$4="Fin"</formula>
    </cfRule>
    <cfRule type="expression" dxfId="166" priority="204">
      <formula>$O$40=FALSE</formula>
    </cfRule>
  </conditionalFormatting>
  <conditionalFormatting sqref="P4">
    <cfRule type="expression" dxfId="165" priority="367">
      <formula>$P$4="Fin"</formula>
    </cfRule>
    <cfRule type="expression" dxfId="164" priority="368">
      <formula>$P$4="Prev"</formula>
    </cfRule>
    <cfRule type="expression" dxfId="163" priority="369">
      <formula>$P$4="Real"</formula>
    </cfRule>
  </conditionalFormatting>
  <conditionalFormatting sqref="P6 P30">
    <cfRule type="expression" dxfId="162" priority="14">
      <formula>$P$6&lt;$P$30</formula>
    </cfRule>
  </conditionalFormatting>
  <conditionalFormatting sqref="P6">
    <cfRule type="expression" dxfId="161" priority="225">
      <formula>$P$4="Fin"</formula>
    </cfRule>
  </conditionalFormatting>
  <conditionalFormatting sqref="P7:P13">
    <cfRule type="expression" dxfId="160" priority="224">
      <formula>$P$4="Fin"</formula>
    </cfRule>
  </conditionalFormatting>
  <conditionalFormatting sqref="P14:P15 P38 P43:P44">
    <cfRule type="expression" dxfId="159" priority="223">
      <formula>$P$4="Fin"</formula>
    </cfRule>
  </conditionalFormatting>
  <conditionalFormatting sqref="P18">
    <cfRule type="expression" dxfId="158" priority="222">
      <formula>$P$4="Fin"</formula>
    </cfRule>
  </conditionalFormatting>
  <conditionalFormatting sqref="P19:P25 Q24">
    <cfRule type="expression" dxfId="157" priority="221">
      <formula>$P$4="Fin"</formula>
    </cfRule>
  </conditionalFormatting>
  <conditionalFormatting sqref="P26:P27">
    <cfRule type="expression" dxfId="156" priority="220">
      <formula>$P$4="Fin"</formula>
    </cfRule>
  </conditionalFormatting>
  <conditionalFormatting sqref="P30">
    <cfRule type="expression" dxfId="155" priority="219">
      <formula>$P$4="Fin"</formula>
    </cfRule>
  </conditionalFormatting>
  <conditionalFormatting sqref="P31:P37">
    <cfRule type="expression" dxfId="154" priority="218">
      <formula>$P$4="Fin"</formula>
    </cfRule>
  </conditionalFormatting>
  <conditionalFormatting sqref="P40">
    <cfRule type="expression" dxfId="153" priority="215">
      <formula>$P$40=FALSE</formula>
    </cfRule>
    <cfRule type="expression" dxfId="152" priority="216">
      <formula>$P$4="Fin"</formula>
    </cfRule>
  </conditionalFormatting>
  <conditionalFormatting sqref="Q4">
    <cfRule type="expression" dxfId="151" priority="366">
      <formula>$Q$4="Real"</formula>
    </cfRule>
    <cfRule type="expression" dxfId="150" priority="364">
      <formula>$Q$4="Fin"</formula>
    </cfRule>
    <cfRule type="expression" dxfId="149" priority="365">
      <formula>$Q$4="Prev"</formula>
    </cfRule>
  </conditionalFormatting>
  <conditionalFormatting sqref="Q6 Q30">
    <cfRule type="expression" dxfId="148" priority="13">
      <formula>$Q$6&lt;$Q$30</formula>
    </cfRule>
  </conditionalFormatting>
  <conditionalFormatting sqref="Q6">
    <cfRule type="expression" dxfId="147" priority="236">
      <formula>$Q$4="Fin"</formula>
    </cfRule>
  </conditionalFormatting>
  <conditionalFormatting sqref="Q7:Q13">
    <cfRule type="expression" dxfId="146" priority="235">
      <formula>$Q$4="Fin"</formula>
    </cfRule>
  </conditionalFormatting>
  <conditionalFormatting sqref="Q14:Q15 Q38 Q43:Q44">
    <cfRule type="expression" dxfId="145" priority="234">
      <formula>$Q$4="Fin"</formula>
    </cfRule>
  </conditionalFormatting>
  <conditionalFormatting sqref="Q18">
    <cfRule type="expression" dxfId="144" priority="233">
      <formula>$Q$4="Fin"</formula>
    </cfRule>
  </conditionalFormatting>
  <conditionalFormatting sqref="Q19:Q23 Q25">
    <cfRule type="expression" dxfId="143" priority="232">
      <formula>$Q$4="Fin"</formula>
    </cfRule>
  </conditionalFormatting>
  <conditionalFormatting sqref="Q26:Q27">
    <cfRule type="expression" dxfId="142" priority="231">
      <formula>$Q$4="Fin"</formula>
    </cfRule>
  </conditionalFormatting>
  <conditionalFormatting sqref="Q30">
    <cfRule type="expression" dxfId="141" priority="230">
      <formula>$Q$4="Fin"</formula>
    </cfRule>
  </conditionalFormatting>
  <conditionalFormatting sqref="Q31:Q37">
    <cfRule type="expression" dxfId="140" priority="229">
      <formula>$Q$4="Fin"</formula>
    </cfRule>
  </conditionalFormatting>
  <conditionalFormatting sqref="Q40">
    <cfRule type="expression" dxfId="139" priority="227">
      <formula>$Q$4="Fin"</formula>
    </cfRule>
    <cfRule type="expression" dxfId="138" priority="226">
      <formula>$Q$40=FALSE</formula>
    </cfRule>
  </conditionalFormatting>
  <conditionalFormatting sqref="R4">
    <cfRule type="expression" dxfId="137" priority="361">
      <formula>$R$4="Fin"</formula>
    </cfRule>
    <cfRule type="expression" dxfId="136" priority="363">
      <formula>$R$4="Real"</formula>
    </cfRule>
    <cfRule type="expression" dxfId="135" priority="362">
      <formula>$R$4="Prev"</formula>
    </cfRule>
  </conditionalFormatting>
  <conditionalFormatting sqref="R6 R30">
    <cfRule type="expression" dxfId="134" priority="12">
      <formula>$R$6&lt;$R$30</formula>
    </cfRule>
  </conditionalFormatting>
  <conditionalFormatting sqref="R6">
    <cfRule type="expression" dxfId="133" priority="257">
      <formula>$R$4="Fin"</formula>
    </cfRule>
  </conditionalFormatting>
  <conditionalFormatting sqref="R7:R13">
    <cfRule type="expression" dxfId="132" priority="256">
      <formula>$R$4="Fin"</formula>
    </cfRule>
  </conditionalFormatting>
  <conditionalFormatting sqref="R14:R15 R38 R43:R44">
    <cfRule type="expression" dxfId="131" priority="255">
      <formula>$R$4="Fin"</formula>
    </cfRule>
  </conditionalFormatting>
  <conditionalFormatting sqref="R18">
    <cfRule type="expression" dxfId="130" priority="254">
      <formula>$R$4="Fin"</formula>
    </cfRule>
  </conditionalFormatting>
  <conditionalFormatting sqref="R19:R25">
    <cfRule type="expression" dxfId="129" priority="253">
      <formula>$R$4="Fin"</formula>
    </cfRule>
  </conditionalFormatting>
  <conditionalFormatting sqref="R26:R27">
    <cfRule type="expression" dxfId="128" priority="252">
      <formula>$R$4="Fin"</formula>
    </cfRule>
  </conditionalFormatting>
  <conditionalFormatting sqref="R30">
    <cfRule type="expression" dxfId="127" priority="251">
      <formula>$R$4="Fin"</formula>
    </cfRule>
  </conditionalFormatting>
  <conditionalFormatting sqref="R31:R37">
    <cfRule type="expression" dxfId="126" priority="250">
      <formula>$R$4="Fin"</formula>
    </cfRule>
  </conditionalFormatting>
  <conditionalFormatting sqref="R40">
    <cfRule type="expression" dxfId="125" priority="248">
      <formula>$R$4="Fin"</formula>
    </cfRule>
    <cfRule type="expression" dxfId="124" priority="237">
      <formula>$R$40=FALSE</formula>
    </cfRule>
  </conditionalFormatting>
  <conditionalFormatting sqref="S4">
    <cfRule type="expression" dxfId="123" priority="360">
      <formula>$S$4="Real"</formula>
    </cfRule>
    <cfRule type="expression" dxfId="122" priority="359">
      <formula>$S$4="Prev"</formula>
    </cfRule>
    <cfRule type="expression" dxfId="121" priority="358">
      <formula>$S$4="Fin"</formula>
    </cfRule>
  </conditionalFormatting>
  <conditionalFormatting sqref="S6 S30">
    <cfRule type="expression" dxfId="120" priority="11">
      <formula>$S$6&lt;$S$30</formula>
    </cfRule>
  </conditionalFormatting>
  <conditionalFormatting sqref="S6">
    <cfRule type="expression" dxfId="119" priority="267">
      <formula>$S$4="Fin"</formula>
    </cfRule>
  </conditionalFormatting>
  <conditionalFormatting sqref="S7:S13">
    <cfRule type="expression" dxfId="118" priority="266">
      <formula>$S$4="Fin"</formula>
    </cfRule>
  </conditionalFormatting>
  <conditionalFormatting sqref="S14:S15 S38 S43:S44">
    <cfRule type="expression" dxfId="117" priority="265">
      <formula>$S$4="Fin"</formula>
    </cfRule>
  </conditionalFormatting>
  <conditionalFormatting sqref="S18">
    <cfRule type="expression" dxfId="116" priority="264">
      <formula>$S$4="Fin"</formula>
    </cfRule>
  </conditionalFormatting>
  <conditionalFormatting sqref="S19:S25">
    <cfRule type="expression" dxfId="115" priority="263">
      <formula>$S$4="Fin"</formula>
    </cfRule>
  </conditionalFormatting>
  <conditionalFormatting sqref="S26:S27">
    <cfRule type="expression" dxfId="114" priority="262">
      <formula>$S$4="Fin"</formula>
    </cfRule>
  </conditionalFormatting>
  <conditionalFormatting sqref="S30">
    <cfRule type="expression" dxfId="113" priority="261">
      <formula>$S$4="Fin"</formula>
    </cfRule>
  </conditionalFormatting>
  <conditionalFormatting sqref="S31:S37">
    <cfRule type="expression" dxfId="112" priority="260">
      <formula>$S$4="Fin"</formula>
    </cfRule>
  </conditionalFormatting>
  <conditionalFormatting sqref="S40">
    <cfRule type="expression" dxfId="111" priority="258">
      <formula>$S$4="Fin"</formula>
    </cfRule>
    <cfRule type="expression" dxfId="110" priority="238">
      <formula>$S$40=FALSE</formula>
    </cfRule>
  </conditionalFormatting>
  <conditionalFormatting sqref="T4">
    <cfRule type="expression" dxfId="109" priority="357">
      <formula>$T$4="Real"</formula>
    </cfRule>
    <cfRule type="expression" dxfId="108" priority="356">
      <formula>$T$4="Prev"</formula>
    </cfRule>
    <cfRule type="expression" dxfId="107" priority="355">
      <formula>$T$4="Fin"</formula>
    </cfRule>
  </conditionalFormatting>
  <conditionalFormatting sqref="T6 T30">
    <cfRule type="expression" dxfId="106" priority="10">
      <formula>$T$6&lt;$T$30</formula>
    </cfRule>
  </conditionalFormatting>
  <conditionalFormatting sqref="T6">
    <cfRule type="expression" dxfId="105" priority="277">
      <formula>$T$4="Fin"</formula>
    </cfRule>
  </conditionalFormatting>
  <conditionalFormatting sqref="T7:T13">
    <cfRule type="expression" dxfId="104" priority="276">
      <formula>$T$4="Fin"</formula>
    </cfRule>
  </conditionalFormatting>
  <conditionalFormatting sqref="T14:T15 T38 T43:T44">
    <cfRule type="expression" dxfId="103" priority="275">
      <formula>$T$4="Fin"</formula>
    </cfRule>
  </conditionalFormatting>
  <conditionalFormatting sqref="T18">
    <cfRule type="expression" dxfId="102" priority="274">
      <formula>$T$4="Fin"</formula>
    </cfRule>
  </conditionalFormatting>
  <conditionalFormatting sqref="T19:T25">
    <cfRule type="expression" dxfId="101" priority="273">
      <formula>$T$4="Fin"</formula>
    </cfRule>
  </conditionalFormatting>
  <conditionalFormatting sqref="T26:T27">
    <cfRule type="expression" dxfId="100" priority="272">
      <formula>$T$4="Fin"</formula>
    </cfRule>
  </conditionalFormatting>
  <conditionalFormatting sqref="T30">
    <cfRule type="expression" dxfId="99" priority="271">
      <formula>$T$4="Fin"</formula>
    </cfRule>
  </conditionalFormatting>
  <conditionalFormatting sqref="T31:T37">
    <cfRule type="expression" dxfId="98" priority="270">
      <formula>$T$4="Fin"</formula>
    </cfRule>
  </conditionalFormatting>
  <conditionalFormatting sqref="T40">
    <cfRule type="expression" dxfId="97" priority="268">
      <formula>$T$4="Fin"</formula>
    </cfRule>
    <cfRule type="expression" dxfId="96" priority="239">
      <formula>$T$40=FALSE</formula>
    </cfRule>
  </conditionalFormatting>
  <conditionalFormatting sqref="U4">
    <cfRule type="expression" dxfId="95" priority="354">
      <formula>$U$4="Real"</formula>
    </cfRule>
    <cfRule type="expression" dxfId="94" priority="352">
      <formula>$U$4="Fin"</formula>
    </cfRule>
    <cfRule type="expression" dxfId="93" priority="353">
      <formula>$U$4="Prev"</formula>
    </cfRule>
  </conditionalFormatting>
  <conditionalFormatting sqref="U6 U30">
    <cfRule type="expression" dxfId="92" priority="9">
      <formula>$U$6&lt;$U$30</formula>
    </cfRule>
  </conditionalFormatting>
  <conditionalFormatting sqref="U6">
    <cfRule type="expression" dxfId="91" priority="287">
      <formula>$U$4="Fin"</formula>
    </cfRule>
  </conditionalFormatting>
  <conditionalFormatting sqref="U7:U13">
    <cfRule type="expression" dxfId="90" priority="286">
      <formula>$U$4="Fin"</formula>
    </cfRule>
  </conditionalFormatting>
  <conditionalFormatting sqref="U14:U15 U38 U43:U44">
    <cfRule type="expression" dxfId="89" priority="285">
      <formula>$U$4="Fin"</formula>
    </cfRule>
  </conditionalFormatting>
  <conditionalFormatting sqref="U18">
    <cfRule type="expression" dxfId="88" priority="284">
      <formula>$U$4="Fin"</formula>
    </cfRule>
  </conditionalFormatting>
  <conditionalFormatting sqref="U19:U25">
    <cfRule type="expression" dxfId="87" priority="283">
      <formula>$U$4="Fin"</formula>
    </cfRule>
  </conditionalFormatting>
  <conditionalFormatting sqref="U26:U27">
    <cfRule type="expression" dxfId="86" priority="282">
      <formula>$U$4="Fin"</formula>
    </cfRule>
  </conditionalFormatting>
  <conditionalFormatting sqref="U30">
    <cfRule type="expression" dxfId="85" priority="281">
      <formula>$U$4="Fin"</formula>
    </cfRule>
  </conditionalFormatting>
  <conditionalFormatting sqref="U31:U37">
    <cfRule type="expression" dxfId="84" priority="280">
      <formula>$U$4="Fin"</formula>
    </cfRule>
  </conditionalFormatting>
  <conditionalFormatting sqref="U40">
    <cfRule type="expression" dxfId="83" priority="240">
      <formula>$U$40=FALSE</formula>
    </cfRule>
    <cfRule type="expression" dxfId="82" priority="278">
      <formula>$U$4="Fin"</formula>
    </cfRule>
  </conditionalFormatting>
  <conditionalFormatting sqref="V4">
    <cfRule type="expression" dxfId="81" priority="349">
      <formula>$V$4="Fin"</formula>
    </cfRule>
    <cfRule type="expression" dxfId="80" priority="351">
      <formula>$V$4="Real"</formula>
    </cfRule>
    <cfRule type="expression" dxfId="79" priority="350">
      <formula>$V$4="Prev"</formula>
    </cfRule>
  </conditionalFormatting>
  <conditionalFormatting sqref="V6 V30">
    <cfRule type="expression" dxfId="78" priority="7">
      <formula>$V$6&lt;$V$30</formula>
    </cfRule>
  </conditionalFormatting>
  <conditionalFormatting sqref="V6">
    <cfRule type="expression" dxfId="77" priority="297">
      <formula>$V$4="Fin"</formula>
    </cfRule>
  </conditionalFormatting>
  <conditionalFormatting sqref="V7:V13">
    <cfRule type="expression" dxfId="76" priority="296">
      <formula>$V$4="Fin"</formula>
    </cfRule>
  </conditionalFormatting>
  <conditionalFormatting sqref="V14:V15 V38 V43:V44">
    <cfRule type="expression" dxfId="75" priority="295">
      <formula>$V$4="Fin"</formula>
    </cfRule>
  </conditionalFormatting>
  <conditionalFormatting sqref="V18">
    <cfRule type="expression" dxfId="74" priority="294">
      <formula>$V$4="Fin"</formula>
    </cfRule>
  </conditionalFormatting>
  <conditionalFormatting sqref="V19:V25">
    <cfRule type="expression" dxfId="73" priority="293">
      <formula>$V$4="Fin"</formula>
    </cfRule>
  </conditionalFormatting>
  <conditionalFormatting sqref="V26:V27">
    <cfRule type="expression" dxfId="72" priority="292">
      <formula>$V$4="Fin"</formula>
    </cfRule>
  </conditionalFormatting>
  <conditionalFormatting sqref="V30">
    <cfRule type="expression" dxfId="71" priority="291">
      <formula>$V$4="Fin"</formula>
    </cfRule>
  </conditionalFormatting>
  <conditionalFormatting sqref="V31:V37">
    <cfRule type="expression" dxfId="70" priority="290">
      <formula>$V$4="Fin"</formula>
    </cfRule>
  </conditionalFormatting>
  <conditionalFormatting sqref="V40">
    <cfRule type="expression" dxfId="69" priority="288">
      <formula>$V$4="Fin"</formula>
    </cfRule>
    <cfRule type="expression" dxfId="68" priority="241">
      <formula>$V$40=FALSE</formula>
    </cfRule>
  </conditionalFormatting>
  <conditionalFormatting sqref="W4">
    <cfRule type="expression" dxfId="67" priority="348">
      <formula>$W$4="Real"</formula>
    </cfRule>
    <cfRule type="expression" dxfId="66" priority="347">
      <formula>$W$4="Prev"</formula>
    </cfRule>
    <cfRule type="expression" dxfId="65" priority="346">
      <formula>$W$4="Fin"</formula>
    </cfRule>
  </conditionalFormatting>
  <conditionalFormatting sqref="W6 W30 W18">
    <cfRule type="expression" dxfId="64" priority="306">
      <formula>$W$4="Fin"</formula>
    </cfRule>
  </conditionalFormatting>
  <conditionalFormatting sqref="W6 W30">
    <cfRule type="expression" dxfId="63" priority="8">
      <formula>$W$6&lt;$W$30</formula>
    </cfRule>
  </conditionalFormatting>
  <conditionalFormatting sqref="W7:W13 W19:W25 W31:W37">
    <cfRule type="expression" dxfId="62" priority="303">
      <formula>$W$4="Fin"</formula>
    </cfRule>
  </conditionalFormatting>
  <conditionalFormatting sqref="W14:W15 W26:W27 W38 W43:W44">
    <cfRule type="expression" dxfId="61" priority="304">
      <formula>$W$4="Fin"</formula>
    </cfRule>
  </conditionalFormatting>
  <conditionalFormatting sqref="W40">
    <cfRule type="expression" dxfId="60" priority="302">
      <formula>$W$4="Fin"</formula>
    </cfRule>
    <cfRule type="expression" dxfId="59" priority="242">
      <formula>$W$40=FALSE</formula>
    </cfRule>
  </conditionalFormatting>
  <conditionalFormatting sqref="X4">
    <cfRule type="expression" dxfId="58" priority="343">
      <formula>$X$4="Fin"</formula>
    </cfRule>
    <cfRule type="expression" dxfId="57" priority="344">
      <formula>$X$4="Prev"</formula>
    </cfRule>
    <cfRule type="expression" dxfId="56" priority="345">
      <formula>$X$4="Real"</formula>
    </cfRule>
  </conditionalFormatting>
  <conditionalFormatting sqref="X6 X30 X18">
    <cfRule type="expression" dxfId="55" priority="309">
      <formula>$X$4="Fin"</formula>
    </cfRule>
  </conditionalFormatting>
  <conditionalFormatting sqref="X6 X30">
    <cfRule type="expression" dxfId="54" priority="6">
      <formula>$X$6&lt;$X$30</formula>
    </cfRule>
  </conditionalFormatting>
  <conditionalFormatting sqref="X7:X13 X19:X25 X31:X37">
    <cfRule type="expression" dxfId="53" priority="308">
      <formula>$X$4="Fin"</formula>
    </cfRule>
  </conditionalFormatting>
  <conditionalFormatting sqref="X14:X15 X26:X27 X38 X43:X44">
    <cfRule type="expression" dxfId="52" priority="307">
      <formula>$X$4="Fin"</formula>
    </cfRule>
  </conditionalFormatting>
  <conditionalFormatting sqref="X40">
    <cfRule type="expression" dxfId="51" priority="300">
      <formula>$X$4="Fin"</formula>
    </cfRule>
    <cfRule type="expression" dxfId="50" priority="243">
      <formula>$X$40=FALSE</formula>
    </cfRule>
  </conditionalFormatting>
  <conditionalFormatting sqref="Y4">
    <cfRule type="expression" dxfId="49" priority="342">
      <formula>$Y$4="Real"</formula>
    </cfRule>
    <cfRule type="expression" dxfId="48" priority="340">
      <formula>$Y$4="Fin"</formula>
    </cfRule>
    <cfRule type="expression" dxfId="47" priority="341">
      <formula>$Y$4="Prev"</formula>
    </cfRule>
  </conditionalFormatting>
  <conditionalFormatting sqref="Y6 Y30 Y18">
    <cfRule type="expression" dxfId="46" priority="316">
      <formula>$Y$4="Fin"</formula>
    </cfRule>
  </conditionalFormatting>
  <conditionalFormatting sqref="Y6 Y30">
    <cfRule type="expression" dxfId="45" priority="5">
      <formula>$Y$6&lt;$Y$30</formula>
    </cfRule>
  </conditionalFormatting>
  <conditionalFormatting sqref="Y7:Y13 Y19:Y25 Y31:Y37">
    <cfRule type="expression" dxfId="44" priority="311">
      <formula>$Y$4="Fin"</formula>
    </cfRule>
  </conditionalFormatting>
  <conditionalFormatting sqref="Y14:Y15 Y26:Y27 Y38 Y43:Y44">
    <cfRule type="expression" dxfId="43" priority="313">
      <formula>$Y$4="Fin"</formula>
    </cfRule>
  </conditionalFormatting>
  <conditionalFormatting sqref="Y40">
    <cfRule type="expression" dxfId="42" priority="310">
      <formula>$Y$4="Fin"</formula>
    </cfRule>
    <cfRule type="expression" dxfId="41" priority="244">
      <formula>$Y$40=FALSE</formula>
    </cfRule>
  </conditionalFormatting>
  <conditionalFormatting sqref="Z4">
    <cfRule type="expression" dxfId="40" priority="337">
      <formula>$Z$4="Fin"</formula>
    </cfRule>
    <cfRule type="expression" dxfId="39" priority="338">
      <formula>$Z$4="Prev"</formula>
    </cfRule>
    <cfRule type="expression" dxfId="38" priority="339">
      <formula>$Z$4="Real"</formula>
    </cfRule>
  </conditionalFormatting>
  <conditionalFormatting sqref="Z6 Z30 Z18">
    <cfRule type="expression" dxfId="37" priority="323">
      <formula>$Z$4="Fin"</formula>
    </cfRule>
  </conditionalFormatting>
  <conditionalFormatting sqref="Z6 Z30">
    <cfRule type="expression" dxfId="36" priority="4">
      <formula>$Z$6&lt;$Z$30</formula>
    </cfRule>
  </conditionalFormatting>
  <conditionalFormatting sqref="Z7:Z13 Z19:Z25 Z31:Z37">
    <cfRule type="expression" dxfId="35" priority="322">
      <formula>$Z$4="Fin"</formula>
    </cfRule>
  </conditionalFormatting>
  <conditionalFormatting sqref="Z14:Z15 Z26:Z27 Z38 Z43:Z44">
    <cfRule type="expression" dxfId="34" priority="320">
      <formula>$Z$4="Fin"</formula>
    </cfRule>
  </conditionalFormatting>
  <conditionalFormatting sqref="Z40">
    <cfRule type="expression" dxfId="33" priority="317">
      <formula>$Z$4="Fin"</formula>
    </cfRule>
    <cfRule type="expression" dxfId="32" priority="245">
      <formula>$Z$40=FALSE</formula>
    </cfRule>
  </conditionalFormatting>
  <conditionalFormatting sqref="AA4">
    <cfRule type="expression" dxfId="31" priority="336">
      <formula>$AA$4="Real"</formula>
    </cfRule>
    <cfRule type="expression" dxfId="30" priority="334">
      <formula>$AA$4="Fin"</formula>
    </cfRule>
    <cfRule type="expression" dxfId="29" priority="335">
      <formula>$AA$4="Prev"</formula>
    </cfRule>
  </conditionalFormatting>
  <conditionalFormatting sqref="AA6 AA30 AA18">
    <cfRule type="expression" dxfId="28" priority="40">
      <formula>$AA$4="Fin"</formula>
    </cfRule>
  </conditionalFormatting>
  <conditionalFormatting sqref="AA6 AA30">
    <cfRule type="expression" dxfId="27" priority="3">
      <formula>$AA$6&lt;$AA$30</formula>
    </cfRule>
  </conditionalFormatting>
  <conditionalFormatting sqref="AA7:AA13 AA19:AA25 AA31:AA37">
    <cfRule type="expression" dxfId="26" priority="325">
      <formula>$AA$4="Fin"</formula>
    </cfRule>
  </conditionalFormatting>
  <conditionalFormatting sqref="AA14:AA15 AA26:AA27 AA38 AA43:AA44">
    <cfRule type="expression" dxfId="25" priority="324">
      <formula>$AA$4="Fin"</formula>
    </cfRule>
  </conditionalFormatting>
  <conditionalFormatting sqref="AA40">
    <cfRule type="expression" dxfId="24" priority="52">
      <formula>$AA$4="Fin"</formula>
    </cfRule>
    <cfRule type="expression" dxfId="23" priority="51">
      <formula>$AA$40=FALSE</formula>
    </cfRule>
  </conditionalFormatting>
  <conditionalFormatting sqref="AB4">
    <cfRule type="expression" dxfId="22" priority="48">
      <formula>$AB$4="Fin"</formula>
    </cfRule>
    <cfRule type="expression" dxfId="21" priority="46">
      <formula>$AB$4="Real"</formula>
    </cfRule>
    <cfRule type="expression" dxfId="20" priority="47">
      <formula>$AB$4="Prev"</formula>
    </cfRule>
  </conditionalFormatting>
  <conditionalFormatting sqref="AB6 AB30 AB18">
    <cfRule type="expression" dxfId="19" priority="327">
      <formula>$AB$4="Fin"</formula>
    </cfRule>
  </conditionalFormatting>
  <conditionalFormatting sqref="AB6 AB30">
    <cfRule type="expression" dxfId="18" priority="2">
      <formula>$AB$6&lt;$AB$30</formula>
    </cfRule>
  </conditionalFormatting>
  <conditionalFormatting sqref="AB7:AB13 AB19:AB25 AB31:AB37">
    <cfRule type="expression" dxfId="17" priority="49">
      <formula>$AB$4="Fin"</formula>
    </cfRule>
  </conditionalFormatting>
  <conditionalFormatting sqref="AB14:AB15 AB26:AB27 AB38 AB43:AB44">
    <cfRule type="expression" dxfId="16" priority="39">
      <formula>$AB$4="Fin"</formula>
    </cfRule>
  </conditionalFormatting>
  <conditionalFormatting sqref="AB40">
    <cfRule type="expression" dxfId="15" priority="42">
      <formula>$AB$4="Fin"</formula>
    </cfRule>
    <cfRule type="expression" dxfId="14" priority="41">
      <formula>$AB$40=FALSE</formula>
    </cfRule>
  </conditionalFormatting>
  <conditionalFormatting sqref="AC4">
    <cfRule type="expression" dxfId="13" priority="44">
      <formula>$AC$4="Prev"</formula>
    </cfRule>
    <cfRule type="expression" dxfId="12" priority="43">
      <formula>$AC$4="Fin"</formula>
    </cfRule>
    <cfRule type="expression" dxfId="11" priority="45">
      <formula>$AC$4="Real"</formula>
    </cfRule>
  </conditionalFormatting>
  <conditionalFormatting sqref="AC6 AC30 AC18">
    <cfRule type="expression" dxfId="10" priority="330">
      <formula>$AC$4="Fin"</formula>
    </cfRule>
  </conditionalFormatting>
  <conditionalFormatting sqref="AC6 AC30">
    <cfRule type="expression" dxfId="9" priority="1">
      <formula>$AC$6&lt;$AC$30</formula>
    </cfRule>
  </conditionalFormatting>
  <conditionalFormatting sqref="AC7:AC13 AC19:AC25 AC31:AC37">
    <cfRule type="expression" dxfId="8" priority="329">
      <formula>$AC$4="Fin"</formula>
    </cfRule>
  </conditionalFormatting>
  <conditionalFormatting sqref="AC14:AC15 AC26:AC27 AC38 AC43:AC44">
    <cfRule type="expression" dxfId="7" priority="38">
      <formula>$AC$4="Fin"</formula>
    </cfRule>
  </conditionalFormatting>
  <conditionalFormatting sqref="AC40">
    <cfRule type="expression" dxfId="6" priority="319">
      <formula>$AC$4="Fin"</formula>
    </cfRule>
    <cfRule type="expression" dxfId="5" priority="247">
      <formula>$AC$40=FALSE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D11" sqref="D11"/>
    </sheetView>
  </sheetViews>
  <sheetFormatPr baseColWidth="10" defaultColWidth="9.1796875" defaultRowHeight="13.5" x14ac:dyDescent="0.3"/>
  <cols>
    <col min="1" max="1" width="2.1796875" style="25" customWidth="1"/>
    <col min="2" max="2" width="25" style="25" customWidth="1"/>
    <col min="3" max="3" width="42.81640625" style="25" customWidth="1"/>
    <col min="4" max="4" width="20.7265625" style="25" customWidth="1"/>
    <col min="5" max="7" width="25.7265625" style="25" customWidth="1"/>
    <col min="8" max="8" width="20.7265625" style="25" customWidth="1"/>
    <col min="9" max="12" width="25.7265625" style="25" customWidth="1"/>
    <col min="13" max="13" width="19.26953125" style="25" bestFit="1" customWidth="1"/>
    <col min="14" max="14" width="12.26953125" style="25" bestFit="1" customWidth="1"/>
    <col min="15" max="15" width="26.81640625" style="25" customWidth="1"/>
    <col min="16" max="16384" width="9.1796875" style="25"/>
  </cols>
  <sheetData>
    <row r="2" spans="2:16" ht="21" customHeight="1" x14ac:dyDescent="0.3">
      <c r="B2" s="221" t="s">
        <v>5</v>
      </c>
      <c r="C2" s="222" t="str">
        <f>'Project Infor'!C10</f>
        <v>ZEZ-AT00001-1001</v>
      </c>
      <c r="D2" s="221" t="str">
        <f>'Project Infor'!C11</f>
        <v>Asistencia técnica para desarrollo Java/.Net/…</v>
      </c>
      <c r="E2" s="223"/>
      <c r="F2" s="223"/>
      <c r="G2" s="221"/>
      <c r="H2" s="221"/>
      <c r="I2" s="221"/>
      <c r="J2" s="221"/>
    </row>
    <row r="3" spans="2:16" ht="9" customHeight="1" x14ac:dyDescent="0.3">
      <c r="C3" s="26"/>
      <c r="D3" s="26"/>
    </row>
    <row r="4" spans="2:16" ht="15" customHeight="1" x14ac:dyDescent="0.3">
      <c r="C4" s="27"/>
      <c r="D4" s="28"/>
      <c r="E4" s="28"/>
      <c r="F4" s="28"/>
      <c r="G4" s="28"/>
      <c r="H4" s="28"/>
      <c r="I4" s="28"/>
      <c r="J4" s="28"/>
      <c r="K4" s="28"/>
      <c r="L4" s="28"/>
      <c r="M4" s="28"/>
      <c r="N4" s="28"/>
      <c r="O4" s="28"/>
      <c r="P4" s="28"/>
    </row>
    <row r="5" spans="2:16" s="90" customFormat="1" ht="37" customHeight="1" x14ac:dyDescent="0.3">
      <c r="B5" s="169"/>
      <c r="C5" s="209"/>
      <c r="D5" s="210" t="s">
        <v>60</v>
      </c>
      <c r="E5" s="211" t="s">
        <v>61</v>
      </c>
      <c r="F5" s="212" t="s">
        <v>62</v>
      </c>
      <c r="G5" s="211" t="s">
        <v>63</v>
      </c>
      <c r="H5" s="211" t="s">
        <v>64</v>
      </c>
      <c r="I5" s="211" t="s">
        <v>65</v>
      </c>
      <c r="J5" s="211" t="s">
        <v>66</v>
      </c>
      <c r="K5" s="211" t="s">
        <v>67</v>
      </c>
      <c r="L5" s="210" t="s">
        <v>192</v>
      </c>
      <c r="M5" s="213" t="s">
        <v>193</v>
      </c>
      <c r="N5" s="213" t="s">
        <v>69</v>
      </c>
      <c r="O5" s="92"/>
      <c r="P5" s="92"/>
    </row>
    <row r="6" spans="2:16" s="93" customFormat="1" ht="36.75" customHeight="1" x14ac:dyDescent="0.3">
      <c r="B6" s="310" t="s">
        <v>194</v>
      </c>
      <c r="C6" s="311"/>
      <c r="D6" s="207">
        <f>'Cost Overview'!F12</f>
        <v>0</v>
      </c>
      <c r="E6" s="207">
        <f>'Cost Overview'!G12</f>
        <v>0</v>
      </c>
      <c r="F6" s="207">
        <f>'Cost Overview'!H12</f>
        <v>0</v>
      </c>
      <c r="G6" s="207">
        <f>'Cost Overview'!I12</f>
        <v>0</v>
      </c>
      <c r="H6" s="207">
        <f>'Cost Overview'!J12</f>
        <v>0</v>
      </c>
      <c r="I6" s="207">
        <f>'Cost Overview'!K12</f>
        <v>0</v>
      </c>
      <c r="J6" s="207">
        <f>'Cost Overview'!L12</f>
        <v>0</v>
      </c>
      <c r="K6" s="207">
        <f>SUM(E6,G6,H6,I6,J6)</f>
        <v>0</v>
      </c>
      <c r="L6" s="207">
        <f>D6-K6</f>
        <v>0</v>
      </c>
      <c r="M6" s="208">
        <f>IF(D6=0,0,(D6-E6-H6-I6-G6-J6)/D6)</f>
        <v>0</v>
      </c>
      <c r="N6" s="208">
        <f>IF(D6=0,0,(D6-E6/UTILIZACION-G6/UTILIZACION-H6/UTILIZACION-I6-J6)/D6)</f>
        <v>0</v>
      </c>
      <c r="O6" s="28"/>
      <c r="P6" s="26"/>
    </row>
    <row r="7" spans="2:16" s="93" customFormat="1" ht="36.75" customHeight="1" x14ac:dyDescent="0.3">
      <c r="B7" s="312" t="s">
        <v>195</v>
      </c>
      <c r="C7" s="312"/>
      <c r="D7" s="214">
        <f>'Cost Overview'!F8</f>
        <v>0</v>
      </c>
      <c r="E7" s="214">
        <f>'Cost Overview'!G8</f>
        <v>0</v>
      </c>
      <c r="F7" s="214">
        <f>'Cost Overview'!H8</f>
        <v>0</v>
      </c>
      <c r="G7" s="214">
        <f>'Cost Overview'!I8</f>
        <v>0</v>
      </c>
      <c r="H7" s="214">
        <f>'Cost Overview'!J8</f>
        <v>0</v>
      </c>
      <c r="I7" s="214">
        <f>'Cost Overview'!K8</f>
        <v>0</v>
      </c>
      <c r="J7" s="214">
        <f>'Cost Overview'!L8</f>
        <v>0</v>
      </c>
      <c r="K7" s="214">
        <f>SUM(E7,G7,H7,I7,J7)</f>
        <v>0</v>
      </c>
      <c r="L7" s="214">
        <f>D7-K7</f>
        <v>0</v>
      </c>
      <c r="M7" s="215">
        <f>IF(D7=0,0,(D7-E7-H7-I7-G7-J7)/D7)</f>
        <v>0</v>
      </c>
      <c r="N7" s="215">
        <f>IF(D7=0,0,(D7-E7/UTILIZACION-G7/UTILIZACION-H7/UTILIZACION-I7-J7)/D7)</f>
        <v>0</v>
      </c>
      <c r="O7" s="28"/>
      <c r="P7" s="26"/>
    </row>
    <row r="8" spans="2:16" s="93" customFormat="1" ht="36.75" customHeight="1" x14ac:dyDescent="0.3">
      <c r="B8" s="312" t="s">
        <v>196</v>
      </c>
      <c r="C8" s="312"/>
      <c r="D8" s="214">
        <f>D7</f>
        <v>0</v>
      </c>
      <c r="E8" s="214">
        <f>SUM('Cost Planning'!F40:AF41)</f>
        <v>0</v>
      </c>
      <c r="F8" s="214">
        <f>SUM('Cost Planning'!F9:AF9)</f>
        <v>0</v>
      </c>
      <c r="G8" s="214">
        <f>SUM('Cost Planning'!H47:AF47)</f>
        <v>0</v>
      </c>
      <c r="H8" s="214">
        <f>SUM('Cost Planning'!H48:AF48)</f>
        <v>0</v>
      </c>
      <c r="I8" s="214">
        <f>SUM('Cost Planning'!F61:AF61)</f>
        <v>0</v>
      </c>
      <c r="J8" s="214">
        <f>SUM('Cost Planning'!F77:AF77)</f>
        <v>1000</v>
      </c>
      <c r="K8" s="214">
        <f>SUM(E8,G8,H8,I8,J8)</f>
        <v>1000</v>
      </c>
      <c r="L8" s="214">
        <f>D8-K8</f>
        <v>-1000</v>
      </c>
      <c r="M8" s="215">
        <f>IF(D8=0,0,(D8-E8-H8-I8-G8-J8)/D8)</f>
        <v>0</v>
      </c>
      <c r="N8" s="215">
        <f>IF(D8=0,0,(D8-E8/UTILIZACION-G8/UTILIZACION-H8/UTILIZACION-I8-J8)/D8)</f>
        <v>0</v>
      </c>
      <c r="O8" s="28"/>
      <c r="P8" s="26"/>
    </row>
    <row r="9" spans="2:16" ht="20.149999999999999" customHeight="1" x14ac:dyDescent="0.3">
      <c r="B9" s="313" t="s">
        <v>197</v>
      </c>
      <c r="C9" s="313"/>
      <c r="D9" s="216">
        <f>IF(D8=0,1,(D8-D7)/D8)</f>
        <v>1</v>
      </c>
      <c r="E9" s="216">
        <f t="shared" ref="E9:L9" si="0">IF(E8=0,1,(E8-E7)/E8)</f>
        <v>1</v>
      </c>
      <c r="F9" s="216">
        <f t="shared" si="0"/>
        <v>1</v>
      </c>
      <c r="G9" s="216">
        <f t="shared" si="0"/>
        <v>1</v>
      </c>
      <c r="H9" s="216">
        <f t="shared" si="0"/>
        <v>1</v>
      </c>
      <c r="I9" s="216">
        <f t="shared" si="0"/>
        <v>1</v>
      </c>
      <c r="J9" s="216">
        <f t="shared" si="0"/>
        <v>1</v>
      </c>
      <c r="K9" s="216">
        <f t="shared" si="0"/>
        <v>1</v>
      </c>
      <c r="L9" s="216">
        <f t="shared" si="0"/>
        <v>1</v>
      </c>
      <c r="M9" s="217">
        <f>M8-M7</f>
        <v>0</v>
      </c>
      <c r="N9" s="305"/>
      <c r="O9" s="28"/>
      <c r="P9" s="28"/>
    </row>
    <row r="10" spans="2:16" ht="18" customHeight="1" x14ac:dyDescent="0.3">
      <c r="B10" s="218"/>
      <c r="C10" s="218"/>
      <c r="D10" s="219"/>
      <c r="E10" s="219"/>
      <c r="F10" s="219"/>
      <c r="G10" s="219"/>
      <c r="H10" s="219"/>
      <c r="I10" s="219"/>
      <c r="J10" s="219"/>
      <c r="K10" s="219"/>
      <c r="L10" s="219"/>
      <c r="M10" s="220"/>
      <c r="N10" s="218"/>
      <c r="O10" s="28"/>
      <c r="P10" s="28"/>
    </row>
    <row r="11" spans="2:16" s="93" customFormat="1" ht="36.75" customHeight="1" x14ac:dyDescent="0.3">
      <c r="B11" s="311" t="s">
        <v>198</v>
      </c>
      <c r="C11" s="311"/>
      <c r="D11" s="207">
        <f>SUMIF('Monthly View'!$E$4:$AC$4,"Real",'Monthly View'!$E$18:$AC$18)+'Project Infor'!C45</f>
        <v>0</v>
      </c>
      <c r="E11" s="207">
        <f>SUMIF('Monthly View'!$E$4:$AC$4,"Real",'Monthly View'!$E$20:$AC$20)+'Project Infor'!C47</f>
        <v>0</v>
      </c>
      <c r="F11" s="207">
        <f>SUMIF('Monthly View'!$E$4:$AC$4,"Real",'Monthly View'!$E$19:$AC$19)+'Project Infor'!C46</f>
        <v>0</v>
      </c>
      <c r="G11" s="207">
        <f>SUMIF('Monthly View'!$E$4:$AC$4,"Real",'Monthly View'!$E$21:$AC$21)</f>
        <v>0</v>
      </c>
      <c r="H11" s="207">
        <f>SUMIF('Monthly View'!$E$4:$AC$4,"Real",'Monthly View'!$E$22:$AC$22)</f>
        <v>0</v>
      </c>
      <c r="I11" s="207">
        <f>SUMIF('Monthly View'!$E$4:$AC$4,"Real",'Monthly View'!$E$23:$AC$23)+'Project Infor'!C48</f>
        <v>0</v>
      </c>
      <c r="J11" s="207">
        <f>SUMIF('Monthly View'!$E$4:$AC$4,"Real",'Monthly View'!$E$24:$AC$24)+'Project Infor'!C49</f>
        <v>1000</v>
      </c>
      <c r="K11" s="207">
        <f>SUM(E11,G11,H11,I11,J11)</f>
        <v>1000</v>
      </c>
      <c r="L11" s="207">
        <f>D11-K11</f>
        <v>-1000</v>
      </c>
      <c r="M11" s="208">
        <f>IF(D11=0,0,(D11-E11-H11-I11-G11-J11)/D11)</f>
        <v>0</v>
      </c>
      <c r="N11" s="206">
        <f>IF(D11=0,0,(D11-E11/UTILIZACION-G11/UTILIZACION-H11/UTILIZACION-I11-J11)/D11)</f>
        <v>0</v>
      </c>
      <c r="O11" s="28"/>
      <c r="P11" s="26"/>
    </row>
    <row r="12" spans="2:16" ht="20.149999999999999" customHeight="1" x14ac:dyDescent="0.3">
      <c r="B12" s="309" t="s">
        <v>199</v>
      </c>
      <c r="C12" s="309"/>
      <c r="D12" s="170">
        <f>IF(D11=0,1,(D11/D8))</f>
        <v>1</v>
      </c>
      <c r="E12" s="170">
        <f>IF(E11=0,1,(E11/E8))</f>
        <v>1</v>
      </c>
      <c r="F12" s="170">
        <f>IF(F11=0,1,(F11/F8))</f>
        <v>1</v>
      </c>
      <c r="G12" s="170"/>
      <c r="H12" s="170"/>
      <c r="I12" s="170"/>
      <c r="J12" s="170"/>
      <c r="K12" s="170"/>
      <c r="L12" s="170"/>
      <c r="M12" s="171"/>
      <c r="N12" s="172"/>
      <c r="O12" s="28"/>
      <c r="P12" s="28"/>
    </row>
    <row r="14" spans="2:16" ht="31.5" customHeight="1" x14ac:dyDescent="0.3">
      <c r="B14" s="314" t="s">
        <v>170</v>
      </c>
      <c r="C14" s="314"/>
      <c r="D14" s="314"/>
      <c r="E14" s="314"/>
      <c r="F14" s="173">
        <f>'Cost Planning'!N5</f>
        <v>0</v>
      </c>
    </row>
    <row r="17" spans="2:16" ht="20.149999999999999" customHeight="1" x14ac:dyDescent="0.3">
      <c r="B17" s="69" t="s">
        <v>200</v>
      </c>
      <c r="C17" s="69"/>
      <c r="D17" s="69"/>
      <c r="E17" s="28"/>
      <c r="F17" s="28"/>
      <c r="G17" s="28"/>
      <c r="H17" s="28"/>
      <c r="I17" s="28"/>
      <c r="J17" s="28"/>
      <c r="K17" s="28"/>
      <c r="L17" s="28"/>
      <c r="M17" s="28"/>
      <c r="N17" s="28"/>
      <c r="O17" s="28"/>
      <c r="P17" s="28"/>
    </row>
    <row r="18" spans="2:16" ht="285.75" customHeight="1" x14ac:dyDescent="0.3">
      <c r="B18" s="306" t="s">
        <v>87</v>
      </c>
      <c r="C18" s="307"/>
      <c r="D18" s="307"/>
      <c r="E18" s="307"/>
      <c r="F18" s="307"/>
      <c r="G18" s="307"/>
      <c r="H18" s="307"/>
      <c r="I18" s="307"/>
      <c r="J18" s="308"/>
      <c r="K18" s="28"/>
      <c r="L18" s="28"/>
      <c r="M18" s="28"/>
      <c r="N18" s="28"/>
      <c r="O18" s="28"/>
      <c r="P18" s="28"/>
    </row>
  </sheetData>
  <sheetProtection algorithmName="SHA-512" hashValue="wvIneyBsJjCQCDK9PPf9m4P+JwI91EMXFeon3keAElD0+Hy/+0csRoTPdgc+b2k+OaLrn0+YKXk5Zhi7pUEx8w==" saltValue="BAik4lCEnvireFDhfbwauQ==" spinCount="100000" sheet="1" objects="1" scenarios="1"/>
  <mergeCells count="8">
    <mergeCell ref="B18:J18"/>
    <mergeCell ref="B12:C12"/>
    <mergeCell ref="B6:C6"/>
    <mergeCell ref="B7:C7"/>
    <mergeCell ref="B8:C8"/>
    <mergeCell ref="B11:C11"/>
    <mergeCell ref="B9:C9"/>
    <mergeCell ref="B14:E14"/>
  </mergeCells>
  <conditionalFormatting sqref="B14:F14">
    <cfRule type="expression" dxfId="4" priority="1">
      <formula>$F$14=0</formula>
    </cfRule>
  </conditionalFormatting>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zoomScale="60" zoomScaleNormal="60" workbookViewId="0">
      <selection activeCell="B40" sqref="B40"/>
    </sheetView>
  </sheetViews>
  <sheetFormatPr baseColWidth="10" defaultColWidth="11.453125" defaultRowHeight="13.5" x14ac:dyDescent="0.25"/>
  <cols>
    <col min="1" max="1" width="3.26953125" style="97" customWidth="1"/>
    <col min="2" max="2" width="195.7265625" style="97" customWidth="1"/>
    <col min="3" max="16384" width="11.453125" style="97"/>
  </cols>
  <sheetData>
    <row r="1" spans="2:4" ht="19.5" customHeight="1" x14ac:dyDescent="0.25"/>
    <row r="2" spans="2:4" ht="27.75" customHeight="1" x14ac:dyDescent="0.25">
      <c r="B2" s="341" t="s">
        <v>201</v>
      </c>
      <c r="C2" s="341"/>
      <c r="D2" s="341"/>
    </row>
    <row r="3" spans="2:4" ht="19.5" customHeight="1" x14ac:dyDescent="0.25"/>
    <row r="4" spans="2:4" ht="24" customHeight="1" x14ac:dyDescent="0.25">
      <c r="B4" s="179" t="s">
        <v>202</v>
      </c>
    </row>
    <row r="5" spans="2:4" ht="24" customHeight="1" x14ac:dyDescent="0.25">
      <c r="B5" s="180" t="s">
        <v>203</v>
      </c>
    </row>
    <row r="6" spans="2:4" ht="24" customHeight="1" x14ac:dyDescent="0.25">
      <c r="B6" s="180" t="s">
        <v>204</v>
      </c>
    </row>
    <row r="7" spans="2:4" ht="45" customHeight="1" x14ac:dyDescent="0.25">
      <c r="B7" s="180" t="s">
        <v>205</v>
      </c>
    </row>
    <row r="8" spans="2:4" ht="30" customHeight="1" x14ac:dyDescent="0.25">
      <c r="B8" s="180" t="s">
        <v>206</v>
      </c>
    </row>
    <row r="9" spans="2:4" ht="25" customHeight="1" x14ac:dyDescent="0.25">
      <c r="B9" s="180" t="s">
        <v>207</v>
      </c>
    </row>
    <row r="10" spans="2:4" ht="24" customHeight="1" x14ac:dyDescent="0.25">
      <c r="B10" s="181"/>
    </row>
    <row r="11" spans="2:4" ht="24" customHeight="1" x14ac:dyDescent="0.25">
      <c r="B11" s="179" t="s">
        <v>208</v>
      </c>
    </row>
    <row r="12" spans="2:4" ht="24" customHeight="1" x14ac:dyDescent="0.25">
      <c r="B12" s="180" t="s">
        <v>209</v>
      </c>
    </row>
    <row r="13" spans="2:4" ht="24" customHeight="1" x14ac:dyDescent="0.25">
      <c r="B13" s="180" t="s">
        <v>210</v>
      </c>
    </row>
    <row r="14" spans="2:4" ht="69" customHeight="1" x14ac:dyDescent="0.25">
      <c r="B14" s="180" t="s">
        <v>211</v>
      </c>
    </row>
    <row r="15" spans="2:4" ht="54" customHeight="1" x14ac:dyDescent="0.25">
      <c r="B15" s="180" t="s">
        <v>212</v>
      </c>
    </row>
    <row r="16" spans="2:4" ht="62.25" customHeight="1" x14ac:dyDescent="0.25">
      <c r="B16" s="180" t="s">
        <v>213</v>
      </c>
    </row>
    <row r="17" spans="2:2" ht="54.75" customHeight="1" x14ac:dyDescent="0.25">
      <c r="B17" s="180" t="s">
        <v>214</v>
      </c>
    </row>
    <row r="18" spans="2:2" ht="51.75" customHeight="1" x14ac:dyDescent="0.25">
      <c r="B18" s="180" t="s">
        <v>215</v>
      </c>
    </row>
    <row r="19" spans="2:2" ht="24" customHeight="1" x14ac:dyDescent="0.25"/>
    <row r="20" spans="2:2" ht="24" customHeight="1" x14ac:dyDescent="0.25">
      <c r="B20" s="179" t="s">
        <v>216</v>
      </c>
    </row>
    <row r="21" spans="2:2" ht="41.25" customHeight="1" x14ac:dyDescent="0.25">
      <c r="B21" s="180" t="s">
        <v>217</v>
      </c>
    </row>
    <row r="22" spans="2:2" ht="24" customHeight="1" x14ac:dyDescent="0.25">
      <c r="B22" s="180" t="s">
        <v>218</v>
      </c>
    </row>
    <row r="23" spans="2:2" ht="36" customHeight="1" x14ac:dyDescent="0.25">
      <c r="B23" s="180" t="s">
        <v>219</v>
      </c>
    </row>
    <row r="24" spans="2:2" ht="125.25" customHeight="1" x14ac:dyDescent="0.25">
      <c r="B24" s="180" t="s">
        <v>220</v>
      </c>
    </row>
    <row r="25" spans="2:2" ht="42.75" customHeight="1" x14ac:dyDescent="0.25">
      <c r="B25" s="180" t="s">
        <v>221</v>
      </c>
    </row>
  </sheetData>
  <sheetProtection algorithmName="SHA-512" hashValue="N/vFNiYyPGAWWW7bZiqzuOI6l8zSHBro5PBXpBojYRg31AZ0WCqBv7rCvpVwtHySzrE2dlnxxOFyiygBUUd5RA==" saltValue="pJCtdHaIRgiKgrmFwP80zg==" spinCount="100000" sheet="1" objects="1" scenarios="1"/>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70" zoomScaleNormal="70" workbookViewId="0">
      <selection activeCell="K5" sqref="F5:K5"/>
    </sheetView>
  </sheetViews>
  <sheetFormatPr baseColWidth="10" defaultColWidth="9.1796875" defaultRowHeight="13.5" x14ac:dyDescent="0.3"/>
  <cols>
    <col min="1" max="1" width="2.1796875" style="245" customWidth="1"/>
    <col min="2" max="2" width="20.453125" style="245" customWidth="1"/>
    <col min="3" max="3" width="25.26953125" style="245" customWidth="1"/>
    <col min="4" max="4" width="23.7265625" style="245" customWidth="1"/>
    <col min="5" max="5" width="71.453125" style="245" customWidth="1"/>
    <col min="6" max="6" width="20.7265625" style="245" customWidth="1"/>
    <col min="7" max="7" width="10.7265625" style="245" customWidth="1"/>
    <col min="8" max="8" width="20.81640625" style="245" customWidth="1"/>
    <col min="9" max="9" width="24.1796875" style="245" customWidth="1"/>
    <col min="10" max="11" width="28.453125" style="245" customWidth="1"/>
    <col min="12" max="12" width="28" style="245" customWidth="1"/>
    <col min="13" max="13" width="16.7265625" style="245" customWidth="1"/>
    <col min="14" max="14" width="33.81640625" style="245" customWidth="1"/>
    <col min="15" max="15" width="28.81640625" style="245" bestFit="1" customWidth="1"/>
    <col min="16" max="16" width="11.7265625" style="245" customWidth="1"/>
    <col min="17" max="17" width="3.453125" style="245" customWidth="1"/>
    <col min="18" max="18" width="9.1796875" style="245" customWidth="1"/>
    <col min="19" max="19" width="14.26953125" style="245" customWidth="1"/>
    <col min="20" max="20" width="11.81640625" style="245" customWidth="1"/>
    <col min="21" max="23" width="9.1796875" style="245" customWidth="1"/>
    <col min="24" max="16384" width="9.1796875" style="245"/>
  </cols>
  <sheetData>
    <row r="2" spans="2:24" ht="21" customHeight="1" x14ac:dyDescent="0.3">
      <c r="B2" s="246" t="s">
        <v>5</v>
      </c>
      <c r="C2" s="247" t="str">
        <f>'Project Infor'!C10</f>
        <v>ZEZ-AT00001-1001</v>
      </c>
      <c r="D2" s="246" t="str">
        <f>'Project Infor'!C11</f>
        <v>Asistencia técnica para desarrollo Java/.Net/…</v>
      </c>
      <c r="E2" s="248"/>
      <c r="F2" s="248"/>
      <c r="G2" s="248"/>
      <c r="H2" s="248"/>
    </row>
    <row r="3" spans="2:24" ht="9" customHeight="1" x14ac:dyDescent="0.3">
      <c r="D3" s="249"/>
      <c r="E3" s="249"/>
      <c r="F3" s="249"/>
      <c r="G3" s="249"/>
    </row>
    <row r="4" spans="2:24" ht="15" customHeight="1" thickBot="1" x14ac:dyDescent="0.35">
      <c r="D4" s="250"/>
      <c r="E4" s="251"/>
      <c r="F4" s="252"/>
      <c r="G4" s="252"/>
      <c r="H4" s="252"/>
      <c r="I4" s="252"/>
      <c r="J4" s="252"/>
      <c r="K4" s="252"/>
      <c r="N4" s="252"/>
      <c r="O4" s="252"/>
      <c r="P4" s="252"/>
      <c r="Q4" s="252"/>
    </row>
    <row r="5" spans="2:24" ht="37" customHeight="1" thickBot="1" x14ac:dyDescent="0.35">
      <c r="B5" s="253" t="s">
        <v>222</v>
      </c>
      <c r="C5" s="253"/>
      <c r="D5" s="253"/>
      <c r="E5" s="254">
        <f>'Cost Overview'!F8</f>
        <v>0</v>
      </c>
      <c r="F5" s="343" t="s">
        <v>223</v>
      </c>
      <c r="G5" s="343"/>
      <c r="H5" s="343"/>
      <c r="I5" s="343"/>
      <c r="J5" s="255">
        <f>E5-F41</f>
        <v>0</v>
      </c>
      <c r="K5" s="255"/>
      <c r="N5" s="256"/>
      <c r="O5" s="256"/>
      <c r="P5" s="256"/>
      <c r="Q5" s="252"/>
    </row>
    <row r="6" spans="2:24" ht="20.149999999999999" customHeight="1" x14ac:dyDescent="0.3">
      <c r="D6" s="250"/>
      <c r="E6" s="252"/>
      <c r="F6" s="252"/>
      <c r="G6" s="252"/>
      <c r="H6" s="252"/>
      <c r="I6" s="252"/>
      <c r="J6" s="252"/>
      <c r="K6" s="252"/>
      <c r="L6" s="250"/>
      <c r="M6" s="252"/>
      <c r="N6" s="252"/>
      <c r="O6" s="252"/>
      <c r="P6" s="252"/>
      <c r="Q6" s="252"/>
    </row>
    <row r="7" spans="2:24" s="257" customFormat="1" ht="31.5" customHeight="1" x14ac:dyDescent="0.3">
      <c r="B7" s="241" t="s">
        <v>224</v>
      </c>
      <c r="C7" s="241" t="s">
        <v>225</v>
      </c>
      <c r="D7" s="241" t="s">
        <v>226</v>
      </c>
      <c r="E7" s="241" t="s">
        <v>227</v>
      </c>
      <c r="F7" s="242" t="s">
        <v>228</v>
      </c>
      <c r="G7" s="242" t="s">
        <v>229</v>
      </c>
      <c r="H7" s="241" t="s">
        <v>230</v>
      </c>
      <c r="I7" s="241" t="s">
        <v>231</v>
      </c>
      <c r="J7" s="241" t="s">
        <v>232</v>
      </c>
      <c r="K7" s="241" t="s">
        <v>233</v>
      </c>
      <c r="L7" s="241" t="s">
        <v>234</v>
      </c>
      <c r="M7" s="242" t="s">
        <v>235</v>
      </c>
      <c r="N7" s="242" t="s">
        <v>236</v>
      </c>
      <c r="O7" s="242" t="s">
        <v>237</v>
      </c>
      <c r="P7" s="242" t="s">
        <v>238</v>
      </c>
      <c r="Q7" s="252"/>
      <c r="R7" s="245"/>
      <c r="S7" s="245"/>
      <c r="T7" s="245"/>
      <c r="U7" s="245"/>
      <c r="V7" s="245"/>
      <c r="W7" s="245"/>
      <c r="X7" s="245"/>
    </row>
    <row r="8" spans="2:24" s="258" customFormat="1" ht="20.149999999999999" customHeight="1" x14ac:dyDescent="0.3">
      <c r="B8" s="204"/>
      <c r="C8" s="231"/>
      <c r="D8" s="4" t="str">
        <f t="shared" ref="D8:D40" si="0">IF(C8=0," ","Z2")</f>
        <v xml:space="preserve"> </v>
      </c>
      <c r="E8" s="4"/>
      <c r="F8" s="5"/>
      <c r="G8" s="5"/>
      <c r="H8" s="12"/>
      <c r="I8" s="5" t="str">
        <f>IF(F8=0," ",F8+F8*H8)</f>
        <v xml:space="preserve"> </v>
      </c>
      <c r="J8" s="13"/>
      <c r="K8" s="13"/>
      <c r="L8" s="5"/>
      <c r="M8" s="59"/>
      <c r="N8" s="5"/>
      <c r="O8" s="5"/>
      <c r="P8" s="5"/>
      <c r="Q8" s="252"/>
      <c r="R8" s="245"/>
      <c r="S8" s="245"/>
      <c r="T8" s="245"/>
      <c r="U8" s="245"/>
      <c r="V8" s="245"/>
      <c r="W8" s="245"/>
      <c r="X8" s="245"/>
    </row>
    <row r="9" spans="2:24" s="258" customFormat="1" ht="20.149999999999999" customHeight="1" x14ac:dyDescent="0.3">
      <c r="B9" s="204"/>
      <c r="C9" s="59"/>
      <c r="D9" s="4" t="str">
        <f t="shared" si="0"/>
        <v xml:space="preserve"> </v>
      </c>
      <c r="E9" s="4"/>
      <c r="F9" s="5"/>
      <c r="G9" s="5"/>
      <c r="H9" s="12"/>
      <c r="I9" s="5" t="str">
        <f t="shared" ref="I9:I40" si="1">IF(F9=0," ",F9+F9*H9)</f>
        <v xml:space="preserve"> </v>
      </c>
      <c r="J9" s="13"/>
      <c r="K9" s="13"/>
      <c r="L9" s="5"/>
      <c r="M9" s="59"/>
      <c r="N9" s="5"/>
      <c r="O9" s="5"/>
      <c r="P9" s="5"/>
      <c r="Q9" s="252"/>
      <c r="R9" s="245"/>
      <c r="S9" s="245"/>
      <c r="T9" s="245"/>
      <c r="U9" s="245"/>
      <c r="V9" s="245"/>
      <c r="W9" s="245"/>
      <c r="X9" s="245"/>
    </row>
    <row r="10" spans="2:24" s="258" customFormat="1" ht="20.149999999999999" customHeight="1" x14ac:dyDescent="0.3">
      <c r="B10" s="204"/>
      <c r="C10" s="59"/>
      <c r="D10" s="4" t="str">
        <f t="shared" si="0"/>
        <v xml:space="preserve"> </v>
      </c>
      <c r="E10" s="4"/>
      <c r="F10" s="5"/>
      <c r="G10" s="5"/>
      <c r="H10" s="12"/>
      <c r="I10" s="5" t="str">
        <f t="shared" si="1"/>
        <v xml:space="preserve"> </v>
      </c>
      <c r="J10" s="13"/>
      <c r="K10" s="13"/>
      <c r="L10" s="5"/>
      <c r="M10" s="59"/>
      <c r="N10" s="5"/>
      <c r="O10" s="5"/>
      <c r="P10" s="5"/>
      <c r="Q10" s="252"/>
      <c r="R10" s="245"/>
      <c r="S10" s="245"/>
      <c r="T10" s="245"/>
      <c r="U10" s="245"/>
      <c r="V10" s="245"/>
      <c r="W10" s="245"/>
      <c r="X10" s="245"/>
    </row>
    <row r="11" spans="2:24" s="258" customFormat="1" ht="20.149999999999999" customHeight="1" x14ac:dyDescent="0.3">
      <c r="B11" s="204"/>
      <c r="C11" s="59"/>
      <c r="D11" s="4" t="str">
        <f t="shared" si="0"/>
        <v xml:space="preserve"> </v>
      </c>
      <c r="E11" s="4"/>
      <c r="F11" s="5"/>
      <c r="G11" s="5"/>
      <c r="H11" s="12"/>
      <c r="I11" s="5" t="str">
        <f t="shared" si="1"/>
        <v xml:space="preserve"> </v>
      </c>
      <c r="J11" s="13"/>
      <c r="K11" s="13"/>
      <c r="L11" s="5"/>
      <c r="M11" s="59"/>
      <c r="N11" s="5"/>
      <c r="O11" s="5"/>
      <c r="P11" s="5"/>
      <c r="Q11" s="252"/>
      <c r="R11" s="245"/>
      <c r="S11" s="245"/>
      <c r="T11" s="245"/>
      <c r="U11" s="245"/>
      <c r="V11" s="245"/>
      <c r="W11" s="245"/>
      <c r="X11" s="245"/>
    </row>
    <row r="12" spans="2:24" s="258" customFormat="1" ht="20.149999999999999" customHeight="1" x14ac:dyDescent="0.3">
      <c r="B12" s="204"/>
      <c r="C12" s="59"/>
      <c r="D12" s="4" t="str">
        <f t="shared" si="0"/>
        <v xml:space="preserve"> </v>
      </c>
      <c r="E12" s="4"/>
      <c r="F12" s="5"/>
      <c r="G12" s="5"/>
      <c r="H12" s="12"/>
      <c r="I12" s="5" t="str">
        <f t="shared" si="1"/>
        <v xml:space="preserve"> </v>
      </c>
      <c r="J12" s="13"/>
      <c r="K12" s="13"/>
      <c r="L12" s="5"/>
      <c r="M12" s="59"/>
      <c r="N12" s="5"/>
      <c r="O12" s="5"/>
      <c r="P12" s="5"/>
      <c r="Q12" s="252"/>
      <c r="R12" s="245"/>
      <c r="S12" s="245"/>
      <c r="T12" s="245"/>
      <c r="U12" s="245"/>
      <c r="V12" s="245"/>
      <c r="W12" s="245"/>
      <c r="X12" s="245"/>
    </row>
    <row r="13" spans="2:24" s="258" customFormat="1" ht="20.149999999999999" customHeight="1" x14ac:dyDescent="0.3">
      <c r="B13" s="204"/>
      <c r="C13" s="59"/>
      <c r="D13" s="4" t="str">
        <f t="shared" si="0"/>
        <v xml:space="preserve"> </v>
      </c>
      <c r="E13" s="4"/>
      <c r="F13" s="5"/>
      <c r="G13" s="5"/>
      <c r="H13" s="12"/>
      <c r="I13" s="5" t="str">
        <f t="shared" si="1"/>
        <v xml:space="preserve"> </v>
      </c>
      <c r="J13" s="13"/>
      <c r="K13" s="13"/>
      <c r="L13" s="5"/>
      <c r="M13" s="59"/>
      <c r="N13" s="5"/>
      <c r="O13" s="5"/>
      <c r="P13" s="5"/>
      <c r="Q13" s="252"/>
      <c r="R13" s="245"/>
      <c r="S13" s="245"/>
      <c r="T13" s="245"/>
      <c r="U13" s="245"/>
      <c r="V13" s="245"/>
      <c r="W13" s="245"/>
      <c r="X13" s="245"/>
    </row>
    <row r="14" spans="2:24" s="258" customFormat="1" ht="20.149999999999999" customHeight="1" x14ac:dyDescent="0.3">
      <c r="B14" s="204"/>
      <c r="C14" s="59"/>
      <c r="D14" s="4" t="str">
        <f t="shared" si="0"/>
        <v xml:space="preserve"> </v>
      </c>
      <c r="E14" s="4"/>
      <c r="F14" s="5"/>
      <c r="G14" s="5"/>
      <c r="H14" s="12"/>
      <c r="I14" s="5" t="str">
        <f t="shared" si="1"/>
        <v xml:space="preserve"> </v>
      </c>
      <c r="J14" s="13"/>
      <c r="K14" s="13"/>
      <c r="L14" s="5"/>
      <c r="M14" s="59"/>
      <c r="N14" s="5"/>
      <c r="O14" s="5"/>
      <c r="P14" s="5"/>
      <c r="Q14" s="252"/>
      <c r="R14" s="245"/>
      <c r="S14" s="245"/>
      <c r="T14" s="245"/>
      <c r="U14" s="245"/>
      <c r="V14" s="245"/>
      <c r="W14" s="245"/>
      <c r="X14" s="245"/>
    </row>
    <row r="15" spans="2:24" s="258" customFormat="1" ht="20.149999999999999" customHeight="1" x14ac:dyDescent="0.3">
      <c r="B15" s="204"/>
      <c r="C15" s="59"/>
      <c r="D15" s="4" t="str">
        <f t="shared" si="0"/>
        <v xml:space="preserve"> </v>
      </c>
      <c r="E15" s="4"/>
      <c r="F15" s="5"/>
      <c r="G15" s="5"/>
      <c r="H15" s="12"/>
      <c r="I15" s="5" t="str">
        <f t="shared" si="1"/>
        <v xml:space="preserve"> </v>
      </c>
      <c r="J15" s="13"/>
      <c r="K15" s="13"/>
      <c r="L15" s="5"/>
      <c r="M15" s="59"/>
      <c r="N15" s="5"/>
      <c r="O15" s="5"/>
      <c r="P15" s="5"/>
      <c r="Q15" s="252"/>
      <c r="R15" s="245"/>
      <c r="S15" s="245"/>
      <c r="T15" s="245"/>
      <c r="U15" s="245"/>
      <c r="V15" s="245"/>
      <c r="W15" s="245"/>
      <c r="X15" s="245"/>
    </row>
    <row r="16" spans="2:24" s="258" customFormat="1" ht="20.149999999999999" customHeight="1" x14ac:dyDescent="0.3">
      <c r="B16" s="204"/>
      <c r="C16" s="59"/>
      <c r="D16" s="4" t="str">
        <f t="shared" si="0"/>
        <v xml:space="preserve"> </v>
      </c>
      <c r="E16" s="4"/>
      <c r="F16" s="5"/>
      <c r="G16" s="5"/>
      <c r="H16" s="12"/>
      <c r="I16" s="5" t="str">
        <f t="shared" si="1"/>
        <v xml:space="preserve"> </v>
      </c>
      <c r="J16" s="13"/>
      <c r="K16" s="13"/>
      <c r="L16" s="5"/>
      <c r="M16" s="59"/>
      <c r="N16" s="5"/>
      <c r="O16" s="5"/>
      <c r="P16" s="5"/>
      <c r="Q16" s="252"/>
      <c r="R16" s="245"/>
      <c r="S16" s="245"/>
      <c r="T16" s="245"/>
      <c r="U16" s="245"/>
      <c r="V16" s="245"/>
      <c r="W16" s="245"/>
      <c r="X16" s="245"/>
    </row>
    <row r="17" spans="2:24" s="258" customFormat="1" ht="20.149999999999999" customHeight="1" x14ac:dyDescent="0.3">
      <c r="B17" s="204"/>
      <c r="C17" s="59"/>
      <c r="D17" s="4" t="str">
        <f t="shared" si="0"/>
        <v xml:space="preserve"> </v>
      </c>
      <c r="E17" s="4"/>
      <c r="F17" s="5"/>
      <c r="G17" s="5"/>
      <c r="H17" s="12"/>
      <c r="I17" s="5" t="str">
        <f t="shared" si="1"/>
        <v xml:space="preserve"> </v>
      </c>
      <c r="J17" s="13"/>
      <c r="K17" s="13"/>
      <c r="L17" s="5"/>
      <c r="M17" s="59"/>
      <c r="N17" s="5"/>
      <c r="O17" s="5"/>
      <c r="P17" s="5"/>
      <c r="Q17" s="252"/>
      <c r="R17" s="245"/>
      <c r="S17" s="245"/>
      <c r="T17" s="245"/>
      <c r="U17" s="245"/>
      <c r="V17" s="245"/>
      <c r="W17" s="245"/>
      <c r="X17" s="245"/>
    </row>
    <row r="18" spans="2:24" s="258" customFormat="1" ht="20.149999999999999" customHeight="1" x14ac:dyDescent="0.3">
      <c r="B18" s="204"/>
      <c r="C18" s="59"/>
      <c r="D18" s="4" t="str">
        <f t="shared" si="0"/>
        <v xml:space="preserve"> </v>
      </c>
      <c r="E18" s="4"/>
      <c r="F18" s="5"/>
      <c r="G18" s="5"/>
      <c r="H18" s="12"/>
      <c r="I18" s="5" t="str">
        <f t="shared" si="1"/>
        <v xml:space="preserve"> </v>
      </c>
      <c r="J18" s="13"/>
      <c r="K18" s="13"/>
      <c r="L18" s="5"/>
      <c r="M18" s="59"/>
      <c r="N18" s="5"/>
      <c r="O18" s="5"/>
      <c r="P18" s="5"/>
      <c r="Q18" s="252"/>
      <c r="R18" s="245"/>
      <c r="S18" s="245"/>
      <c r="T18" s="245"/>
      <c r="U18" s="245"/>
      <c r="V18" s="245"/>
      <c r="W18" s="245"/>
      <c r="X18" s="245"/>
    </row>
    <row r="19" spans="2:24" s="258" customFormat="1" ht="20.149999999999999" customHeight="1" x14ac:dyDescent="0.3">
      <c r="B19" s="204"/>
      <c r="C19" s="59"/>
      <c r="D19" s="4" t="str">
        <f t="shared" si="0"/>
        <v xml:space="preserve"> </v>
      </c>
      <c r="E19" s="4"/>
      <c r="F19" s="5"/>
      <c r="G19" s="5"/>
      <c r="H19" s="12"/>
      <c r="I19" s="5" t="str">
        <f t="shared" si="1"/>
        <v xml:space="preserve"> </v>
      </c>
      <c r="J19" s="13"/>
      <c r="K19" s="13"/>
      <c r="L19" s="5"/>
      <c r="M19" s="59"/>
      <c r="N19" s="5"/>
      <c r="O19" s="5"/>
      <c r="P19" s="5"/>
      <c r="Q19" s="252"/>
      <c r="R19" s="245"/>
      <c r="S19" s="245"/>
      <c r="T19" s="245"/>
      <c r="U19" s="245"/>
      <c r="V19" s="245"/>
      <c r="W19" s="245"/>
      <c r="X19" s="245"/>
    </row>
    <row r="20" spans="2:24" s="258" customFormat="1" ht="20.149999999999999" customHeight="1" x14ac:dyDescent="0.3">
      <c r="B20" s="204"/>
      <c r="C20" s="59"/>
      <c r="D20" s="4" t="str">
        <f t="shared" si="0"/>
        <v xml:space="preserve"> </v>
      </c>
      <c r="E20" s="4"/>
      <c r="F20" s="5"/>
      <c r="G20" s="5"/>
      <c r="H20" s="12"/>
      <c r="I20" s="5" t="str">
        <f t="shared" si="1"/>
        <v xml:space="preserve"> </v>
      </c>
      <c r="J20" s="13"/>
      <c r="K20" s="13"/>
      <c r="L20" s="5"/>
      <c r="M20" s="59"/>
      <c r="N20" s="5"/>
      <c r="O20" s="5"/>
      <c r="P20" s="5"/>
      <c r="Q20" s="252"/>
      <c r="R20" s="245"/>
      <c r="S20" s="245"/>
      <c r="T20" s="245"/>
      <c r="U20" s="245"/>
      <c r="V20" s="245"/>
      <c r="W20" s="245"/>
      <c r="X20" s="245"/>
    </row>
    <row r="21" spans="2:24" s="258" customFormat="1" ht="20.149999999999999" customHeight="1" x14ac:dyDescent="0.3">
      <c r="B21" s="205"/>
      <c r="C21" s="199"/>
      <c r="D21" s="200" t="str">
        <f t="shared" si="0"/>
        <v xml:space="preserve"> </v>
      </c>
      <c r="E21" s="200"/>
      <c r="F21" s="201"/>
      <c r="G21" s="201"/>
      <c r="H21" s="202"/>
      <c r="I21" s="201" t="str">
        <f t="shared" si="1"/>
        <v xml:space="preserve"> </v>
      </c>
      <c r="J21" s="203"/>
      <c r="K21" s="203"/>
      <c r="L21" s="201"/>
      <c r="M21" s="199"/>
      <c r="N21" s="201"/>
      <c r="O21" s="201"/>
      <c r="P21" s="201"/>
      <c r="Q21" s="252"/>
      <c r="R21" s="245"/>
      <c r="S21" s="245"/>
      <c r="T21" s="245"/>
      <c r="U21" s="245"/>
      <c r="V21" s="245"/>
      <c r="W21" s="245"/>
      <c r="X21" s="245"/>
    </row>
    <row r="22" spans="2:24" s="258" customFormat="1" ht="20.149999999999999" customHeight="1" x14ac:dyDescent="0.3">
      <c r="B22" s="204"/>
      <c r="C22" s="59"/>
      <c r="D22" s="4" t="str">
        <f t="shared" si="0"/>
        <v xml:space="preserve"> </v>
      </c>
      <c r="E22" s="4"/>
      <c r="F22" s="5"/>
      <c r="G22" s="5"/>
      <c r="H22" s="12"/>
      <c r="I22" s="5" t="str">
        <f t="shared" si="1"/>
        <v xml:space="preserve"> </v>
      </c>
      <c r="J22" s="13"/>
      <c r="K22" s="13"/>
      <c r="L22" s="5"/>
      <c r="M22" s="59"/>
      <c r="N22" s="5"/>
      <c r="O22" s="5"/>
      <c r="P22" s="5"/>
      <c r="Q22" s="252"/>
      <c r="R22" s="245"/>
      <c r="S22" s="245"/>
      <c r="T22" s="245"/>
      <c r="U22" s="245"/>
      <c r="V22" s="245"/>
      <c r="W22" s="245"/>
      <c r="X22" s="245"/>
    </row>
    <row r="23" spans="2:24" s="258" customFormat="1" ht="20.149999999999999" customHeight="1" x14ac:dyDescent="0.3">
      <c r="B23" s="204"/>
      <c r="C23" s="59"/>
      <c r="D23" s="4" t="str">
        <f t="shared" si="0"/>
        <v xml:space="preserve"> </v>
      </c>
      <c r="E23" s="4"/>
      <c r="F23" s="5"/>
      <c r="G23" s="5"/>
      <c r="H23" s="12"/>
      <c r="I23" s="5" t="str">
        <f t="shared" si="1"/>
        <v xml:space="preserve"> </v>
      </c>
      <c r="J23" s="13"/>
      <c r="K23" s="13"/>
      <c r="L23" s="5"/>
      <c r="M23" s="59"/>
      <c r="N23" s="5"/>
      <c r="O23" s="5"/>
      <c r="P23" s="5"/>
      <c r="Q23" s="252"/>
      <c r="R23" s="245"/>
      <c r="S23" s="245"/>
      <c r="T23" s="245"/>
      <c r="U23" s="245"/>
      <c r="V23" s="245"/>
      <c r="W23" s="245"/>
      <c r="X23" s="245"/>
    </row>
    <row r="24" spans="2:24" s="258" customFormat="1" ht="20.149999999999999" customHeight="1" x14ac:dyDescent="0.3">
      <c r="B24" s="204"/>
      <c r="C24" s="59"/>
      <c r="D24" s="4" t="str">
        <f t="shared" si="0"/>
        <v xml:space="preserve"> </v>
      </c>
      <c r="E24" s="4"/>
      <c r="F24" s="5"/>
      <c r="G24" s="5"/>
      <c r="H24" s="12"/>
      <c r="I24" s="5" t="str">
        <f t="shared" si="1"/>
        <v xml:space="preserve"> </v>
      </c>
      <c r="J24" s="13"/>
      <c r="K24" s="13"/>
      <c r="L24" s="5"/>
      <c r="M24" s="59"/>
      <c r="N24" s="5"/>
      <c r="O24" s="5"/>
      <c r="P24" s="5"/>
      <c r="Q24" s="252"/>
      <c r="R24" s="245"/>
      <c r="S24" s="245"/>
      <c r="T24" s="245"/>
      <c r="U24" s="245"/>
      <c r="V24" s="245"/>
      <c r="W24" s="245"/>
      <c r="X24" s="245"/>
    </row>
    <row r="25" spans="2:24" s="258" customFormat="1" ht="20.149999999999999" customHeight="1" x14ac:dyDescent="0.3">
      <c r="B25" s="204"/>
      <c r="C25" s="59"/>
      <c r="D25" s="4" t="str">
        <f t="shared" si="0"/>
        <v xml:space="preserve"> </v>
      </c>
      <c r="E25" s="4"/>
      <c r="F25" s="5"/>
      <c r="G25" s="5"/>
      <c r="H25" s="12"/>
      <c r="I25" s="5" t="str">
        <f t="shared" si="1"/>
        <v xml:space="preserve"> </v>
      </c>
      <c r="J25" s="13"/>
      <c r="K25" s="13"/>
      <c r="L25" s="5"/>
      <c r="M25" s="59"/>
      <c r="N25" s="5"/>
      <c r="O25" s="5"/>
      <c r="P25" s="5"/>
      <c r="Q25" s="252"/>
      <c r="R25" s="245"/>
      <c r="S25" s="245"/>
      <c r="T25" s="245"/>
      <c r="U25" s="245"/>
      <c r="V25" s="245"/>
      <c r="W25" s="245"/>
      <c r="X25" s="245"/>
    </row>
    <row r="26" spans="2:24" s="258" customFormat="1" ht="20.149999999999999" customHeight="1" x14ac:dyDescent="0.3">
      <c r="B26" s="204"/>
      <c r="C26" s="59"/>
      <c r="D26" s="4" t="str">
        <f t="shared" si="0"/>
        <v xml:space="preserve"> </v>
      </c>
      <c r="E26" s="4"/>
      <c r="F26" s="5"/>
      <c r="G26" s="5"/>
      <c r="H26" s="12"/>
      <c r="I26" s="5" t="str">
        <f t="shared" si="1"/>
        <v xml:space="preserve"> </v>
      </c>
      <c r="J26" s="13"/>
      <c r="K26" s="13"/>
      <c r="L26" s="5"/>
      <c r="M26" s="59"/>
      <c r="N26" s="5"/>
      <c r="O26" s="5"/>
      <c r="P26" s="5"/>
      <c r="Q26" s="252"/>
      <c r="R26" s="245"/>
      <c r="S26" s="245"/>
      <c r="T26" s="245"/>
      <c r="U26" s="245"/>
      <c r="V26" s="245"/>
      <c r="W26" s="245"/>
      <c r="X26" s="245"/>
    </row>
    <row r="27" spans="2:24" s="258" customFormat="1" ht="20.149999999999999" customHeight="1" x14ac:dyDescent="0.3">
      <c r="B27" s="204"/>
      <c r="C27" s="59"/>
      <c r="D27" s="4" t="str">
        <f t="shared" si="0"/>
        <v xml:space="preserve"> </v>
      </c>
      <c r="E27" s="4"/>
      <c r="F27" s="5"/>
      <c r="G27" s="5"/>
      <c r="H27" s="12"/>
      <c r="I27" s="5" t="str">
        <f t="shared" si="1"/>
        <v xml:space="preserve"> </v>
      </c>
      <c r="J27" s="13"/>
      <c r="K27" s="13"/>
      <c r="L27" s="5"/>
      <c r="M27" s="59"/>
      <c r="N27" s="5"/>
      <c r="O27" s="5"/>
      <c r="P27" s="5"/>
      <c r="Q27" s="252"/>
      <c r="R27" s="245"/>
      <c r="S27" s="245"/>
      <c r="T27" s="245"/>
      <c r="U27" s="245"/>
      <c r="V27" s="245"/>
      <c r="W27" s="245"/>
      <c r="X27" s="245"/>
    </row>
    <row r="28" spans="2:24" s="258" customFormat="1" ht="20.149999999999999" customHeight="1" x14ac:dyDescent="0.3">
      <c r="B28" s="204"/>
      <c r="C28" s="59"/>
      <c r="D28" s="4" t="str">
        <f t="shared" si="0"/>
        <v xml:space="preserve"> </v>
      </c>
      <c r="E28" s="4"/>
      <c r="F28" s="5"/>
      <c r="G28" s="5"/>
      <c r="H28" s="12"/>
      <c r="I28" s="5" t="str">
        <f t="shared" si="1"/>
        <v xml:space="preserve"> </v>
      </c>
      <c r="J28" s="13"/>
      <c r="K28" s="13"/>
      <c r="L28" s="5"/>
      <c r="M28" s="59"/>
      <c r="N28" s="5"/>
      <c r="O28" s="5"/>
      <c r="P28" s="5"/>
      <c r="Q28" s="252"/>
      <c r="R28" s="245"/>
      <c r="S28" s="245"/>
      <c r="T28" s="245"/>
      <c r="U28" s="245"/>
      <c r="V28" s="245"/>
      <c r="W28" s="245"/>
      <c r="X28" s="245"/>
    </row>
    <row r="29" spans="2:24" s="258" customFormat="1" ht="20.149999999999999" customHeight="1" x14ac:dyDescent="0.3">
      <c r="B29" s="204"/>
      <c r="C29" s="59"/>
      <c r="D29" s="4" t="str">
        <f t="shared" si="0"/>
        <v xml:space="preserve"> </v>
      </c>
      <c r="E29" s="4"/>
      <c r="F29" s="5"/>
      <c r="G29" s="5"/>
      <c r="H29" s="12"/>
      <c r="I29" s="5" t="str">
        <f t="shared" si="1"/>
        <v xml:space="preserve"> </v>
      </c>
      <c r="J29" s="13"/>
      <c r="K29" s="13"/>
      <c r="L29" s="5"/>
      <c r="M29" s="59"/>
      <c r="N29" s="5"/>
      <c r="O29" s="5"/>
      <c r="P29" s="5"/>
      <c r="Q29" s="252"/>
      <c r="R29" s="245"/>
      <c r="S29" s="245"/>
      <c r="T29" s="245"/>
      <c r="U29" s="245"/>
      <c r="V29" s="245"/>
      <c r="W29" s="245"/>
      <c r="X29" s="245"/>
    </row>
    <row r="30" spans="2:24" s="258" customFormat="1" ht="20.149999999999999" customHeight="1" x14ac:dyDescent="0.3">
      <c r="B30" s="204"/>
      <c r="C30" s="59"/>
      <c r="D30" s="4" t="str">
        <f t="shared" si="0"/>
        <v xml:space="preserve"> </v>
      </c>
      <c r="E30" s="4"/>
      <c r="F30" s="5"/>
      <c r="G30" s="5"/>
      <c r="H30" s="12"/>
      <c r="I30" s="5" t="str">
        <f t="shared" si="1"/>
        <v xml:space="preserve"> </v>
      </c>
      <c r="J30" s="13"/>
      <c r="K30" s="13"/>
      <c r="L30" s="5"/>
      <c r="M30" s="59"/>
      <c r="N30" s="5"/>
      <c r="O30" s="5"/>
      <c r="P30" s="5"/>
      <c r="Q30" s="252"/>
      <c r="R30" s="245"/>
      <c r="S30" s="245"/>
      <c r="T30" s="245"/>
      <c r="U30" s="245"/>
      <c r="V30" s="245"/>
      <c r="W30" s="245"/>
      <c r="X30" s="245"/>
    </row>
    <row r="31" spans="2:24" s="258" customFormat="1" ht="20.149999999999999" customHeight="1" x14ac:dyDescent="0.3">
      <c r="B31" s="204"/>
      <c r="C31" s="59"/>
      <c r="D31" s="4" t="str">
        <f t="shared" si="0"/>
        <v xml:space="preserve"> </v>
      </c>
      <c r="E31" s="4"/>
      <c r="F31" s="5"/>
      <c r="G31" s="5"/>
      <c r="H31" s="12"/>
      <c r="I31" s="5" t="str">
        <f t="shared" si="1"/>
        <v xml:space="preserve"> </v>
      </c>
      <c r="J31" s="13"/>
      <c r="K31" s="13"/>
      <c r="L31" s="5"/>
      <c r="M31" s="59"/>
      <c r="N31" s="5"/>
      <c r="O31" s="5"/>
      <c r="P31" s="5"/>
      <c r="Q31" s="252"/>
      <c r="R31" s="245"/>
      <c r="S31" s="245"/>
      <c r="T31" s="245"/>
      <c r="U31" s="245"/>
      <c r="V31" s="245"/>
      <c r="W31" s="245"/>
      <c r="X31" s="245"/>
    </row>
    <row r="32" spans="2:24" s="258" customFormat="1" ht="20.149999999999999" customHeight="1" x14ac:dyDescent="0.3">
      <c r="B32" s="204"/>
      <c r="C32" s="59"/>
      <c r="D32" s="4" t="str">
        <f t="shared" si="0"/>
        <v xml:space="preserve"> </v>
      </c>
      <c r="E32" s="4"/>
      <c r="F32" s="5"/>
      <c r="G32" s="5"/>
      <c r="H32" s="12"/>
      <c r="I32" s="5" t="str">
        <f t="shared" si="1"/>
        <v xml:space="preserve"> </v>
      </c>
      <c r="J32" s="13"/>
      <c r="K32" s="13"/>
      <c r="L32" s="5"/>
      <c r="M32" s="59"/>
      <c r="N32" s="5"/>
      <c r="O32" s="5"/>
      <c r="P32" s="5"/>
      <c r="Q32" s="252"/>
      <c r="R32" s="245"/>
      <c r="S32" s="245"/>
      <c r="T32" s="245"/>
      <c r="U32" s="245"/>
      <c r="V32" s="245"/>
      <c r="W32" s="245"/>
      <c r="X32" s="245"/>
    </row>
    <row r="33" spans="2:24" s="258" customFormat="1" ht="20.149999999999999" customHeight="1" x14ac:dyDescent="0.3">
      <c r="B33" s="204"/>
      <c r="C33" s="59"/>
      <c r="D33" s="4" t="str">
        <f t="shared" si="0"/>
        <v xml:space="preserve"> </v>
      </c>
      <c r="E33" s="4"/>
      <c r="F33" s="5"/>
      <c r="G33" s="5"/>
      <c r="H33" s="12"/>
      <c r="I33" s="5" t="str">
        <f t="shared" si="1"/>
        <v xml:space="preserve"> </v>
      </c>
      <c r="J33" s="13"/>
      <c r="K33" s="13"/>
      <c r="L33" s="5"/>
      <c r="M33" s="59"/>
      <c r="N33" s="5"/>
      <c r="O33" s="5"/>
      <c r="P33" s="5"/>
      <c r="Q33" s="252"/>
      <c r="R33" s="245"/>
      <c r="S33" s="245"/>
      <c r="T33" s="245"/>
      <c r="U33" s="245"/>
      <c r="V33" s="245"/>
      <c r="W33" s="245"/>
      <c r="X33" s="245"/>
    </row>
    <row r="34" spans="2:24" s="258" customFormat="1" ht="20.149999999999999" customHeight="1" x14ac:dyDescent="0.3">
      <c r="B34" s="204"/>
      <c r="C34" s="59"/>
      <c r="D34" s="4" t="str">
        <f t="shared" si="0"/>
        <v xml:space="preserve"> </v>
      </c>
      <c r="E34" s="4"/>
      <c r="F34" s="5"/>
      <c r="G34" s="5"/>
      <c r="H34" s="12"/>
      <c r="I34" s="5" t="str">
        <f t="shared" si="1"/>
        <v xml:space="preserve"> </v>
      </c>
      <c r="J34" s="13"/>
      <c r="K34" s="13"/>
      <c r="L34" s="5"/>
      <c r="M34" s="59"/>
      <c r="N34" s="5"/>
      <c r="O34" s="5"/>
      <c r="P34" s="5"/>
      <c r="Q34" s="252"/>
      <c r="R34" s="245"/>
      <c r="S34" s="245"/>
      <c r="T34" s="245"/>
      <c r="U34" s="245"/>
      <c r="V34" s="245"/>
      <c r="W34" s="245"/>
      <c r="X34" s="245"/>
    </row>
    <row r="35" spans="2:24" s="258" customFormat="1" ht="20.149999999999999" customHeight="1" x14ac:dyDescent="0.3">
      <c r="B35" s="204"/>
      <c r="C35" s="59"/>
      <c r="D35" s="4" t="str">
        <f t="shared" si="0"/>
        <v xml:space="preserve"> </v>
      </c>
      <c r="E35" s="4"/>
      <c r="F35" s="5"/>
      <c r="G35" s="5"/>
      <c r="H35" s="12"/>
      <c r="I35" s="5" t="str">
        <f t="shared" si="1"/>
        <v xml:space="preserve"> </v>
      </c>
      <c r="J35" s="13"/>
      <c r="K35" s="13"/>
      <c r="L35" s="5"/>
      <c r="M35" s="59"/>
      <c r="N35" s="5"/>
      <c r="O35" s="5"/>
      <c r="P35" s="5"/>
      <c r="Q35" s="252"/>
      <c r="R35" s="245"/>
      <c r="S35" s="245"/>
      <c r="T35" s="245"/>
      <c r="U35" s="245"/>
      <c r="V35" s="245"/>
      <c r="W35" s="245"/>
      <c r="X35" s="245"/>
    </row>
    <row r="36" spans="2:24" s="258" customFormat="1" ht="20.149999999999999" customHeight="1" x14ac:dyDescent="0.3">
      <c r="B36" s="204"/>
      <c r="C36" s="59"/>
      <c r="D36" s="4" t="str">
        <f t="shared" si="0"/>
        <v xml:space="preserve"> </v>
      </c>
      <c r="E36" s="4"/>
      <c r="F36" s="5"/>
      <c r="G36" s="5"/>
      <c r="H36" s="12"/>
      <c r="I36" s="5" t="str">
        <f t="shared" si="1"/>
        <v xml:space="preserve"> </v>
      </c>
      <c r="J36" s="13"/>
      <c r="K36" s="13"/>
      <c r="L36" s="5"/>
      <c r="M36" s="59"/>
      <c r="N36" s="5"/>
      <c r="O36" s="5"/>
      <c r="P36" s="5"/>
      <c r="Q36" s="252"/>
      <c r="R36" s="245"/>
      <c r="S36" s="245"/>
      <c r="T36" s="245"/>
      <c r="U36" s="245"/>
      <c r="V36" s="245"/>
      <c r="W36" s="245"/>
      <c r="X36" s="245"/>
    </row>
    <row r="37" spans="2:24" s="258" customFormat="1" ht="20.149999999999999" customHeight="1" x14ac:dyDescent="0.3">
      <c r="B37" s="204"/>
      <c r="C37" s="59"/>
      <c r="D37" s="4" t="str">
        <f>IF(C37=0," ","Z2")</f>
        <v xml:space="preserve"> </v>
      </c>
      <c r="E37" s="4"/>
      <c r="F37" s="5"/>
      <c r="G37" s="5"/>
      <c r="H37" s="12"/>
      <c r="I37" s="5" t="str">
        <f t="shared" si="1"/>
        <v xml:space="preserve"> </v>
      </c>
      <c r="J37" s="13"/>
      <c r="K37" s="13"/>
      <c r="L37" s="5"/>
      <c r="M37" s="59"/>
      <c r="N37" s="5"/>
      <c r="O37" s="5"/>
      <c r="P37" s="5"/>
      <c r="Q37" s="252"/>
      <c r="R37" s="245"/>
      <c r="S37" s="245"/>
      <c r="T37" s="245"/>
      <c r="U37" s="245"/>
      <c r="V37" s="245"/>
      <c r="W37" s="245"/>
      <c r="X37" s="245"/>
    </row>
    <row r="38" spans="2:24" s="258" customFormat="1" ht="20.149999999999999" customHeight="1" x14ac:dyDescent="0.3">
      <c r="B38" s="205"/>
      <c r="C38" s="199"/>
      <c r="D38" s="200" t="str">
        <f t="shared" si="0"/>
        <v xml:space="preserve"> </v>
      </c>
      <c r="E38" s="200"/>
      <c r="F38" s="201"/>
      <c r="G38" s="201"/>
      <c r="H38" s="202"/>
      <c r="I38" s="201" t="str">
        <f t="shared" si="1"/>
        <v xml:space="preserve"> </v>
      </c>
      <c r="J38" s="203"/>
      <c r="K38" s="203"/>
      <c r="L38" s="201"/>
      <c r="M38" s="199"/>
      <c r="N38" s="201"/>
      <c r="O38" s="201"/>
      <c r="P38" s="201"/>
      <c r="Q38" s="252"/>
      <c r="R38" s="245"/>
      <c r="S38" s="245"/>
      <c r="T38" s="245"/>
      <c r="U38" s="245"/>
      <c r="V38" s="245"/>
      <c r="W38" s="245"/>
      <c r="X38" s="245"/>
    </row>
    <row r="39" spans="2:24" s="258" customFormat="1" ht="20.149999999999999" customHeight="1" x14ac:dyDescent="0.3">
      <c r="B39" s="204"/>
      <c r="C39" s="59"/>
      <c r="D39" s="4" t="str">
        <f t="shared" si="0"/>
        <v xml:space="preserve"> </v>
      </c>
      <c r="E39" s="4"/>
      <c r="F39" s="5"/>
      <c r="G39" s="5"/>
      <c r="H39" s="12"/>
      <c r="I39" s="5" t="str">
        <f t="shared" si="1"/>
        <v xml:space="preserve"> </v>
      </c>
      <c r="J39" s="13"/>
      <c r="K39" s="13"/>
      <c r="L39" s="5"/>
      <c r="M39" s="59"/>
      <c r="N39" s="5"/>
      <c r="O39" s="5"/>
      <c r="P39" s="5"/>
      <c r="Q39" s="252"/>
      <c r="R39" s="245"/>
      <c r="S39" s="245"/>
      <c r="T39" s="245"/>
      <c r="U39" s="245"/>
      <c r="V39" s="245"/>
      <c r="W39" s="245"/>
      <c r="X39" s="245"/>
    </row>
    <row r="40" spans="2:24" s="258" customFormat="1" ht="20.149999999999999" customHeight="1" x14ac:dyDescent="0.3">
      <c r="B40" s="198"/>
      <c r="C40" s="226"/>
      <c r="D40" s="227" t="str">
        <f t="shared" si="0"/>
        <v xml:space="preserve"> </v>
      </c>
      <c r="E40" s="227"/>
      <c r="F40" s="228"/>
      <c r="G40" s="228"/>
      <c r="H40" s="229"/>
      <c r="I40" s="228" t="str">
        <f t="shared" si="1"/>
        <v xml:space="preserve"> </v>
      </c>
      <c r="J40" s="230"/>
      <c r="K40" s="230"/>
      <c r="L40" s="228"/>
      <c r="M40" s="226"/>
      <c r="N40" s="228"/>
      <c r="O40" s="228"/>
      <c r="P40" s="228"/>
      <c r="Q40" s="252"/>
      <c r="R40" s="245"/>
      <c r="S40" s="245"/>
      <c r="T40" s="245"/>
      <c r="U40" s="245"/>
      <c r="V40" s="245"/>
      <c r="W40" s="245"/>
      <c r="X40" s="245"/>
    </row>
    <row r="41" spans="2:24" s="259" customFormat="1" ht="20.149999999999999" customHeight="1" x14ac:dyDescent="0.3">
      <c r="B41" s="342" t="s">
        <v>239</v>
      </c>
      <c r="C41" s="342"/>
      <c r="D41" s="342"/>
      <c r="E41" s="342"/>
      <c r="F41" s="260">
        <f>SUM(F8:F40)</f>
        <v>0</v>
      </c>
      <c r="G41" s="260"/>
      <c r="H41" s="260"/>
      <c r="I41" s="260">
        <f>SUM(I8:I40)</f>
        <v>0</v>
      </c>
      <c r="J41" s="261"/>
      <c r="K41" s="261"/>
      <c r="L41" s="261"/>
      <c r="M41" s="261"/>
      <c r="N41" s="260"/>
      <c r="O41" s="260"/>
      <c r="P41" s="260"/>
      <c r="Q41" s="249"/>
      <c r="R41" s="245"/>
      <c r="S41" s="245"/>
      <c r="T41" s="245"/>
      <c r="U41" s="245"/>
      <c r="V41" s="245"/>
      <c r="W41" s="245"/>
      <c r="X41" s="245"/>
    </row>
    <row r="42" spans="2:24" ht="20.149999999999999" customHeight="1" x14ac:dyDescent="0.3">
      <c r="D42" s="250"/>
      <c r="E42" s="252"/>
      <c r="F42" s="252"/>
      <c r="G42" s="252"/>
      <c r="H42" s="252"/>
      <c r="I42" s="252"/>
      <c r="J42" s="252"/>
      <c r="K42" s="252"/>
      <c r="L42" s="250"/>
      <c r="M42" s="252"/>
      <c r="N42" s="252"/>
      <c r="O42" s="252"/>
      <c r="P42" s="252"/>
      <c r="Q42" s="252"/>
    </row>
    <row r="43" spans="2:24" s="262" customFormat="1" ht="20.149999999999999" customHeight="1" x14ac:dyDescent="0.35">
      <c r="D43" s="263"/>
      <c r="E43" s="263"/>
      <c r="F43" s="263"/>
      <c r="G43" s="263"/>
      <c r="H43" s="263"/>
      <c r="I43" s="263"/>
      <c r="J43" s="263"/>
      <c r="K43" s="263"/>
      <c r="L43" s="263"/>
      <c r="M43" s="263"/>
      <c r="N43" s="263"/>
      <c r="O43" s="263"/>
      <c r="P43" s="263"/>
      <c r="Q43" s="263"/>
      <c r="R43" s="245"/>
      <c r="S43" s="245"/>
      <c r="T43" s="245"/>
      <c r="U43" s="245"/>
      <c r="V43" s="245"/>
      <c r="W43" s="245"/>
      <c r="X43" s="245"/>
    </row>
    <row r="44" spans="2:24" s="262" customFormat="1" ht="20.149999999999999" customHeight="1" x14ac:dyDescent="0.35">
      <c r="D44" s="263"/>
      <c r="E44" s="263"/>
      <c r="F44" s="263"/>
      <c r="G44" s="263"/>
      <c r="H44" s="263"/>
      <c r="I44" s="263"/>
      <c r="J44" s="263"/>
      <c r="K44" s="263"/>
      <c r="L44" s="263"/>
      <c r="M44" s="263"/>
      <c r="N44" s="263"/>
      <c r="O44" s="263"/>
      <c r="P44" s="263"/>
      <c r="Q44" s="263"/>
      <c r="R44" s="245"/>
      <c r="S44" s="245"/>
      <c r="T44" s="245"/>
      <c r="U44" s="245"/>
      <c r="V44" s="245"/>
      <c r="W44" s="245"/>
    </row>
    <row r="45" spans="2:24" s="262" customFormat="1" ht="20.149999999999999" customHeight="1" x14ac:dyDescent="0.35">
      <c r="D45" s="263"/>
      <c r="E45" s="263"/>
      <c r="F45" s="263"/>
      <c r="G45" s="263"/>
      <c r="H45" s="263"/>
      <c r="I45" s="263"/>
      <c r="J45" s="263"/>
      <c r="K45" s="263"/>
      <c r="L45" s="263"/>
      <c r="M45" s="263"/>
      <c r="N45" s="263"/>
      <c r="O45" s="263"/>
      <c r="P45" s="263"/>
      <c r="Q45" s="263"/>
      <c r="R45" s="245"/>
      <c r="S45" s="245"/>
      <c r="T45" s="245"/>
      <c r="U45" s="245"/>
      <c r="V45" s="245"/>
      <c r="W45" s="245"/>
    </row>
    <row r="46" spans="2:24" s="262" customFormat="1" ht="20.149999999999999" customHeight="1" x14ac:dyDescent="0.35">
      <c r="D46" s="263"/>
      <c r="E46" s="263"/>
      <c r="F46" s="263"/>
      <c r="G46" s="263"/>
      <c r="H46" s="263"/>
      <c r="I46" s="263"/>
      <c r="J46" s="263"/>
      <c r="K46" s="263"/>
      <c r="L46" s="263"/>
      <c r="M46" s="263"/>
      <c r="N46" s="263"/>
      <c r="O46" s="263"/>
      <c r="P46" s="263"/>
      <c r="Q46" s="263"/>
      <c r="R46" s="245"/>
      <c r="S46" s="245"/>
      <c r="T46" s="245"/>
      <c r="U46" s="245"/>
      <c r="V46" s="245"/>
      <c r="W46" s="245"/>
    </row>
    <row r="47" spans="2:24" ht="20.149999999999999" customHeight="1" x14ac:dyDescent="0.3">
      <c r="D47" s="252"/>
      <c r="E47" s="252"/>
      <c r="F47" s="252"/>
      <c r="G47" s="252"/>
      <c r="H47" s="252"/>
      <c r="I47" s="252"/>
      <c r="J47" s="252"/>
      <c r="K47" s="252"/>
      <c r="L47" s="252"/>
      <c r="M47" s="252"/>
      <c r="N47" s="252"/>
      <c r="O47" s="252"/>
      <c r="P47" s="252"/>
      <c r="Q47" s="252"/>
    </row>
    <row r="48" spans="2:24" ht="20.149999999999999" customHeight="1" x14ac:dyDescent="0.3"/>
    <row r="50" spans="2:19" ht="20.149999999999999" customHeight="1" x14ac:dyDescent="0.3">
      <c r="B50" s="16" t="s">
        <v>240</v>
      </c>
      <c r="C50" s="16"/>
      <c r="D50" s="16"/>
      <c r="E50" s="252"/>
      <c r="F50" s="252"/>
      <c r="G50" s="252"/>
      <c r="H50" s="252"/>
      <c r="I50" s="252"/>
      <c r="J50" s="252"/>
      <c r="K50" s="252"/>
      <c r="L50" s="16"/>
      <c r="M50" s="252"/>
      <c r="N50" s="252"/>
      <c r="O50" s="252"/>
      <c r="P50" s="252"/>
      <c r="Q50" s="252"/>
      <c r="R50" s="252"/>
      <c r="S50" s="252"/>
    </row>
    <row r="51" spans="2:19" ht="285.75" customHeight="1" x14ac:dyDescent="0.3">
      <c r="B51" s="306" t="s">
        <v>87</v>
      </c>
      <c r="C51" s="307"/>
      <c r="D51" s="307"/>
      <c r="E51" s="307"/>
      <c r="F51" s="307"/>
      <c r="G51" s="307"/>
      <c r="H51" s="307"/>
      <c r="I51" s="307"/>
      <c r="J51" s="308"/>
      <c r="K51" s="264"/>
      <c r="L51" s="264"/>
      <c r="M51" s="264"/>
      <c r="N51" s="252"/>
      <c r="O51" s="252"/>
      <c r="P51" s="252"/>
      <c r="Q51" s="252"/>
      <c r="R51" s="252"/>
      <c r="S51" s="252"/>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70" zoomScaleNormal="70" workbookViewId="0">
      <selection activeCell="C5" sqref="C5"/>
    </sheetView>
  </sheetViews>
  <sheetFormatPr baseColWidth="10" defaultColWidth="9.1796875" defaultRowHeight="13.5" x14ac:dyDescent="0.3"/>
  <cols>
    <col min="1" max="1" width="2.1796875" style="25" customWidth="1"/>
    <col min="2" max="2" width="20.453125" style="25" customWidth="1"/>
    <col min="3" max="3" width="23.453125" style="25" bestFit="1" customWidth="1"/>
    <col min="4" max="28" width="17.7265625" style="25" customWidth="1"/>
    <col min="29" max="16384" width="9.1796875" style="25"/>
  </cols>
  <sheetData>
    <row r="2" spans="2:40" ht="21" customHeight="1" x14ac:dyDescent="0.3">
      <c r="B2" s="221" t="s">
        <v>5</v>
      </c>
      <c r="C2" s="222" t="str">
        <f>'Project Infor'!C10</f>
        <v>ZEZ-AT00001-1001</v>
      </c>
      <c r="D2" s="221" t="str">
        <f>'Project Infor'!C11</f>
        <v>Asistencia técnica para desarrollo Java/.Net/…</v>
      </c>
      <c r="E2" s="223"/>
      <c r="F2" s="223"/>
      <c r="G2" s="223"/>
      <c r="H2" s="223"/>
      <c r="I2" s="223"/>
      <c r="J2" s="223"/>
    </row>
    <row r="3" spans="2:40" ht="21" customHeight="1" x14ac:dyDescent="0.3"/>
    <row r="4" spans="2:40" s="90" customFormat="1" ht="25" customHeight="1" x14ac:dyDescent="0.3">
      <c r="B4" s="149" t="s">
        <v>241</v>
      </c>
      <c r="C4" s="150">
        <v>44197</v>
      </c>
      <c r="D4" s="150">
        <f t="shared" ref="D4:N4" si="0">EOMONTH(C4,1)</f>
        <v>44255</v>
      </c>
      <c r="E4" s="150">
        <f t="shared" si="0"/>
        <v>44286</v>
      </c>
      <c r="F4" s="150">
        <f t="shared" si="0"/>
        <v>44316</v>
      </c>
      <c r="G4" s="150">
        <f t="shared" si="0"/>
        <v>44347</v>
      </c>
      <c r="H4" s="150">
        <f t="shared" si="0"/>
        <v>44377</v>
      </c>
      <c r="I4" s="150">
        <f t="shared" si="0"/>
        <v>44408</v>
      </c>
      <c r="J4" s="150">
        <f t="shared" si="0"/>
        <v>44439</v>
      </c>
      <c r="K4" s="150">
        <f t="shared" si="0"/>
        <v>44469</v>
      </c>
      <c r="L4" s="150">
        <f t="shared" si="0"/>
        <v>44500</v>
      </c>
      <c r="M4" s="150">
        <f t="shared" si="0"/>
        <v>44530</v>
      </c>
      <c r="N4" s="150">
        <f t="shared" si="0"/>
        <v>44561</v>
      </c>
      <c r="O4" s="150">
        <f t="shared" ref="O4" si="1">EOMONTH(N4,1)</f>
        <v>44592</v>
      </c>
      <c r="P4" s="150">
        <f t="shared" ref="P4" si="2">EOMONTH(O4,1)</f>
        <v>44620</v>
      </c>
      <c r="Q4" s="150">
        <f t="shared" ref="Q4" si="3">EOMONTH(P4,1)</f>
        <v>44651</v>
      </c>
      <c r="R4" s="150">
        <f t="shared" ref="R4" si="4">EOMONTH(Q4,1)</f>
        <v>44681</v>
      </c>
      <c r="S4" s="150">
        <f t="shared" ref="S4" si="5">EOMONTH(R4,1)</f>
        <v>44712</v>
      </c>
      <c r="T4" s="150">
        <f t="shared" ref="T4" si="6">EOMONTH(S4,1)</f>
        <v>44742</v>
      </c>
      <c r="U4" s="150">
        <f t="shared" ref="U4" si="7">EOMONTH(T4,1)</f>
        <v>44773</v>
      </c>
      <c r="V4" s="150">
        <f t="shared" ref="V4" si="8">EOMONTH(U4,1)</f>
        <v>44804</v>
      </c>
      <c r="W4" s="150">
        <f t="shared" ref="W4" si="9">EOMONTH(V4,1)</f>
        <v>44834</v>
      </c>
      <c r="X4" s="150">
        <f t="shared" ref="X4" si="10">EOMONTH(W4,1)</f>
        <v>44865</v>
      </c>
      <c r="Y4" s="150">
        <f t="shared" ref="Y4" si="11">EOMONTH(X4,1)</f>
        <v>44895</v>
      </c>
      <c r="Z4" s="150">
        <f t="shared" ref="Z4" si="12">EOMONTH(Y4,1)</f>
        <v>44926</v>
      </c>
      <c r="AC4" s="25"/>
      <c r="AD4" s="25"/>
      <c r="AE4" s="25"/>
      <c r="AF4" s="25"/>
      <c r="AG4" s="25"/>
      <c r="AH4" s="25"/>
      <c r="AI4" s="25"/>
      <c r="AJ4" s="25"/>
      <c r="AK4" s="25"/>
      <c r="AL4" s="25"/>
      <c r="AM4" s="25"/>
      <c r="AN4" s="25"/>
    </row>
    <row r="5" spans="2:40" s="71" customFormat="1" ht="25" customHeight="1" x14ac:dyDescent="0.3">
      <c r="B5" s="196">
        <v>44197</v>
      </c>
      <c r="C5" s="197"/>
      <c r="D5" s="197"/>
      <c r="E5" s="197"/>
      <c r="F5" s="197"/>
      <c r="G5" s="197"/>
      <c r="H5" s="197"/>
      <c r="I5" s="197"/>
      <c r="J5" s="197"/>
      <c r="K5" s="197"/>
      <c r="L5" s="197"/>
      <c r="M5" s="197"/>
      <c r="N5" s="197"/>
      <c r="O5" s="197"/>
      <c r="P5" s="197"/>
      <c r="Q5" s="197"/>
      <c r="R5" s="197"/>
      <c r="S5" s="197"/>
      <c r="T5" s="197"/>
      <c r="U5" s="197"/>
      <c r="V5" s="197"/>
      <c r="W5" s="197"/>
      <c r="X5" s="197"/>
      <c r="Y5" s="197"/>
      <c r="Z5" s="197"/>
      <c r="AC5" s="25"/>
      <c r="AD5" s="25"/>
      <c r="AE5" s="25"/>
      <c r="AF5" s="25"/>
      <c r="AG5" s="25"/>
      <c r="AH5" s="25"/>
      <c r="AI5" s="25"/>
      <c r="AJ5" s="25"/>
      <c r="AK5" s="25"/>
      <c r="AL5" s="25"/>
      <c r="AM5" s="25"/>
      <c r="AN5" s="25"/>
    </row>
    <row r="6" spans="2:40" s="71" customFormat="1" ht="25" customHeight="1" x14ac:dyDescent="0.3">
      <c r="B6" s="196">
        <f>EOMONTH(B5,1)</f>
        <v>44255</v>
      </c>
      <c r="C6" s="197"/>
      <c r="D6" s="197"/>
      <c r="E6" s="197"/>
      <c r="F6" s="197"/>
      <c r="G6" s="197"/>
      <c r="H6" s="197"/>
      <c r="I6" s="197"/>
      <c r="J6" s="197"/>
      <c r="K6" s="197"/>
      <c r="L6" s="197"/>
      <c r="M6" s="197"/>
      <c r="N6" s="197"/>
      <c r="O6" s="197"/>
      <c r="P6" s="197"/>
      <c r="Q6" s="197"/>
      <c r="R6" s="197"/>
      <c r="S6" s="197"/>
      <c r="T6" s="197"/>
      <c r="U6" s="197"/>
      <c r="V6" s="197"/>
      <c r="W6" s="197"/>
      <c r="X6" s="197"/>
      <c r="Y6" s="197"/>
      <c r="Z6" s="197"/>
      <c r="AC6" s="25"/>
      <c r="AD6" s="25"/>
      <c r="AE6" s="25"/>
      <c r="AF6" s="25"/>
      <c r="AG6" s="25"/>
      <c r="AH6" s="25"/>
      <c r="AI6" s="25"/>
      <c r="AJ6" s="25"/>
      <c r="AK6" s="25"/>
      <c r="AL6" s="25"/>
      <c r="AM6" s="25"/>
      <c r="AN6" s="25"/>
    </row>
    <row r="7" spans="2:40" s="71" customFormat="1" ht="25" customHeight="1" x14ac:dyDescent="0.3">
      <c r="B7" s="196">
        <f t="shared" ref="B7:B16" si="13">EOMONTH(B6,1)</f>
        <v>44286</v>
      </c>
      <c r="C7" s="197"/>
      <c r="D7" s="197"/>
      <c r="E7" s="197"/>
      <c r="F7" s="197"/>
      <c r="G7" s="197"/>
      <c r="H7" s="197"/>
      <c r="I7" s="197"/>
      <c r="J7" s="197"/>
      <c r="K7" s="197"/>
      <c r="L7" s="197"/>
      <c r="M7" s="197"/>
      <c r="N7" s="197"/>
      <c r="O7" s="197"/>
      <c r="P7" s="197"/>
      <c r="Q7" s="197"/>
      <c r="R7" s="197"/>
      <c r="S7" s="197"/>
      <c r="T7" s="197"/>
      <c r="U7" s="197"/>
      <c r="V7" s="197"/>
      <c r="W7" s="197"/>
      <c r="X7" s="197"/>
      <c r="Y7" s="197"/>
      <c r="Z7" s="197"/>
      <c r="AC7" s="25"/>
      <c r="AD7" s="25"/>
      <c r="AE7" s="25"/>
      <c r="AF7" s="25"/>
      <c r="AG7" s="25"/>
      <c r="AH7" s="25"/>
      <c r="AI7" s="25"/>
      <c r="AJ7" s="25"/>
      <c r="AK7" s="25"/>
      <c r="AL7" s="25"/>
      <c r="AM7" s="25"/>
      <c r="AN7" s="25"/>
    </row>
    <row r="8" spans="2:40" s="71" customFormat="1" ht="25" customHeight="1" x14ac:dyDescent="0.3">
      <c r="B8" s="196">
        <f t="shared" si="13"/>
        <v>44316</v>
      </c>
      <c r="C8" s="197"/>
      <c r="D8" s="197"/>
      <c r="E8" s="197"/>
      <c r="F8" s="197"/>
      <c r="G8" s="197"/>
      <c r="H8" s="197"/>
      <c r="I8" s="197"/>
      <c r="J8" s="197"/>
      <c r="K8" s="197"/>
      <c r="L8" s="197"/>
      <c r="M8" s="197"/>
      <c r="N8" s="197"/>
      <c r="O8" s="197"/>
      <c r="P8" s="197"/>
      <c r="Q8" s="197"/>
      <c r="R8" s="197"/>
      <c r="S8" s="197"/>
      <c r="T8" s="197"/>
      <c r="U8" s="197"/>
      <c r="V8" s="197"/>
      <c r="W8" s="197"/>
      <c r="X8" s="197"/>
      <c r="Y8" s="197"/>
      <c r="Z8" s="197"/>
      <c r="AC8" s="25"/>
      <c r="AD8" s="25"/>
      <c r="AE8" s="25"/>
      <c r="AF8" s="25"/>
      <c r="AG8" s="25"/>
      <c r="AH8" s="25"/>
      <c r="AI8" s="25"/>
      <c r="AJ8" s="25"/>
      <c r="AK8" s="25"/>
      <c r="AL8" s="25"/>
      <c r="AM8" s="25"/>
      <c r="AN8" s="25"/>
    </row>
    <row r="9" spans="2:40" ht="25" customHeight="1" x14ac:dyDescent="0.3">
      <c r="B9" s="196">
        <f t="shared" si="13"/>
        <v>44347</v>
      </c>
      <c r="C9" s="197"/>
      <c r="D9" s="197"/>
      <c r="E9" s="197"/>
      <c r="F9" s="197"/>
      <c r="G9" s="197"/>
      <c r="H9" s="197"/>
      <c r="I9" s="197"/>
      <c r="J9" s="197"/>
      <c r="K9" s="197"/>
      <c r="L9" s="197"/>
      <c r="M9" s="197"/>
      <c r="N9" s="197"/>
      <c r="O9" s="197"/>
      <c r="P9" s="197"/>
      <c r="Q9" s="197"/>
      <c r="R9" s="197"/>
      <c r="S9" s="197"/>
      <c r="T9" s="197"/>
      <c r="U9" s="197"/>
      <c r="V9" s="197"/>
      <c r="W9" s="197"/>
      <c r="X9" s="197"/>
      <c r="Y9" s="197"/>
      <c r="Z9" s="197"/>
    </row>
    <row r="10" spans="2:40" ht="25" customHeight="1" x14ac:dyDescent="0.3">
      <c r="B10" s="196">
        <f t="shared" si="13"/>
        <v>44377</v>
      </c>
      <c r="C10" s="197"/>
      <c r="D10" s="197"/>
      <c r="E10" s="197"/>
      <c r="F10" s="197"/>
      <c r="G10" s="197"/>
      <c r="H10" s="197"/>
      <c r="I10" s="197"/>
      <c r="J10" s="197"/>
      <c r="K10" s="197"/>
      <c r="L10" s="197"/>
      <c r="M10" s="197"/>
      <c r="N10" s="197"/>
      <c r="O10" s="197"/>
      <c r="P10" s="197"/>
      <c r="Q10" s="197"/>
      <c r="R10" s="197"/>
      <c r="S10" s="197"/>
      <c r="T10" s="197"/>
      <c r="U10" s="197"/>
      <c r="V10" s="197"/>
      <c r="W10" s="197"/>
      <c r="X10" s="197"/>
      <c r="Y10" s="197"/>
      <c r="Z10" s="197"/>
    </row>
    <row r="11" spans="2:40" ht="25" customHeight="1" x14ac:dyDescent="0.3">
      <c r="B11" s="196">
        <f t="shared" si="13"/>
        <v>44408</v>
      </c>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row>
    <row r="12" spans="2:40" ht="25" customHeight="1" x14ac:dyDescent="0.3">
      <c r="B12" s="196">
        <f t="shared" si="13"/>
        <v>44439</v>
      </c>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row>
    <row r="13" spans="2:40" s="71" customFormat="1" ht="25" customHeight="1" x14ac:dyDescent="0.3">
      <c r="B13" s="196">
        <f t="shared" si="13"/>
        <v>44469</v>
      </c>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c r="AC13" s="25"/>
      <c r="AD13" s="25"/>
      <c r="AE13" s="25"/>
      <c r="AF13" s="25"/>
      <c r="AG13" s="25"/>
      <c r="AH13" s="25"/>
      <c r="AI13" s="25"/>
      <c r="AJ13" s="25"/>
      <c r="AK13" s="25"/>
      <c r="AL13" s="25"/>
      <c r="AM13" s="25"/>
      <c r="AN13" s="25"/>
    </row>
    <row r="14" spans="2:40" s="71" customFormat="1" ht="25" customHeight="1" x14ac:dyDescent="0.3">
      <c r="B14" s="196">
        <f t="shared" si="13"/>
        <v>44500</v>
      </c>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C14" s="25"/>
      <c r="AD14" s="25"/>
      <c r="AE14" s="25"/>
      <c r="AF14" s="25"/>
      <c r="AG14" s="25"/>
      <c r="AH14" s="25"/>
      <c r="AI14" s="25"/>
      <c r="AJ14" s="25"/>
      <c r="AK14" s="25"/>
      <c r="AL14" s="25"/>
      <c r="AM14" s="25"/>
      <c r="AN14" s="25"/>
    </row>
    <row r="15" spans="2:40" s="71" customFormat="1" ht="25" customHeight="1" x14ac:dyDescent="0.3">
      <c r="B15" s="196">
        <f t="shared" si="13"/>
        <v>44530</v>
      </c>
      <c r="C15" s="197"/>
      <c r="D15" s="197"/>
      <c r="E15" s="197"/>
      <c r="F15" s="197"/>
      <c r="G15" s="197"/>
      <c r="H15" s="197"/>
      <c r="I15" s="197"/>
      <c r="J15" s="197"/>
      <c r="K15" s="197"/>
      <c r="L15" s="197"/>
      <c r="M15" s="197"/>
      <c r="N15" s="197"/>
      <c r="O15" s="197"/>
      <c r="P15" s="197"/>
      <c r="Q15" s="197"/>
      <c r="R15" s="197"/>
      <c r="S15" s="197"/>
      <c r="T15" s="197"/>
      <c r="U15" s="197"/>
      <c r="V15" s="197"/>
      <c r="W15" s="197"/>
      <c r="X15" s="197"/>
      <c r="Y15" s="197"/>
      <c r="Z15" s="197"/>
      <c r="AC15" s="25"/>
      <c r="AD15" s="25"/>
      <c r="AE15" s="25"/>
      <c r="AF15" s="25"/>
      <c r="AG15" s="25"/>
      <c r="AH15" s="25"/>
      <c r="AI15" s="25"/>
      <c r="AJ15" s="25"/>
      <c r="AK15" s="25"/>
      <c r="AL15" s="25"/>
      <c r="AM15" s="25"/>
      <c r="AN15" s="25"/>
    </row>
    <row r="16" spans="2:40" s="71" customFormat="1" ht="25" customHeight="1" x14ac:dyDescent="0.3">
      <c r="B16" s="196">
        <f t="shared" si="13"/>
        <v>44561</v>
      </c>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c r="AC16" s="25"/>
      <c r="AD16" s="25"/>
      <c r="AE16" s="25"/>
      <c r="AF16" s="25"/>
      <c r="AG16" s="25"/>
      <c r="AH16" s="25"/>
      <c r="AI16" s="25"/>
      <c r="AJ16" s="25"/>
      <c r="AK16" s="25"/>
      <c r="AL16" s="25"/>
      <c r="AM16" s="25"/>
      <c r="AN16" s="25"/>
    </row>
    <row r="17" spans="2:28" ht="25" customHeight="1" x14ac:dyDescent="0.3"/>
    <row r="18" spans="2:28" ht="25" customHeight="1" x14ac:dyDescent="0.3"/>
    <row r="19" spans="2:28" ht="20.149999999999999" customHeight="1" x14ac:dyDescent="0.3">
      <c r="B19" s="69" t="s">
        <v>242</v>
      </c>
      <c r="C19" s="69"/>
      <c r="D19" s="69"/>
      <c r="E19" s="28"/>
      <c r="F19" s="28"/>
      <c r="G19" s="28"/>
      <c r="H19" s="28"/>
      <c r="I19" s="28"/>
      <c r="J19" s="28"/>
      <c r="K19" s="69"/>
      <c r="L19" s="28"/>
      <c r="M19" s="28"/>
      <c r="N19" s="28"/>
      <c r="O19" s="28"/>
      <c r="P19" s="28"/>
      <c r="Q19" s="28"/>
      <c r="R19" s="28"/>
      <c r="S19" s="28"/>
      <c r="T19" s="28"/>
      <c r="U19" s="28"/>
      <c r="V19" s="28"/>
      <c r="W19" s="69"/>
      <c r="X19" s="28"/>
      <c r="Y19" s="28"/>
      <c r="Z19" s="28"/>
      <c r="AA19" s="28"/>
      <c r="AB19" s="28"/>
    </row>
    <row r="20" spans="2:28" ht="285.75" customHeight="1" x14ac:dyDescent="0.3">
      <c r="B20" s="306" t="s">
        <v>87</v>
      </c>
      <c r="C20" s="307"/>
      <c r="D20" s="307"/>
      <c r="E20" s="307"/>
      <c r="F20" s="307"/>
      <c r="G20" s="307"/>
      <c r="H20" s="307"/>
      <c r="I20" s="307"/>
      <c r="J20" s="308"/>
      <c r="K20" s="178"/>
      <c r="L20" s="178"/>
      <c r="M20" s="28"/>
      <c r="N20" s="28"/>
      <c r="O20" s="28"/>
      <c r="P20" s="28"/>
      <c r="Q20" s="28"/>
      <c r="R20" s="28"/>
      <c r="S20" s="28"/>
      <c r="T20" s="28"/>
      <c r="U20" s="28"/>
      <c r="V20" s="28"/>
      <c r="W20" s="178"/>
      <c r="X20" s="178"/>
      <c r="Y20" s="28"/>
      <c r="Z20" s="28"/>
      <c r="AA20" s="28"/>
      <c r="AB20" s="28"/>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topLeftCell="C1" zoomScale="55" zoomScaleNormal="55" workbookViewId="0">
      <selection activeCell="K12" sqref="K12"/>
    </sheetView>
  </sheetViews>
  <sheetFormatPr baseColWidth="10" defaultColWidth="9.1796875" defaultRowHeight="13.5" x14ac:dyDescent="0.3"/>
  <cols>
    <col min="1" max="1" width="2.1796875" style="25" customWidth="1"/>
    <col min="2" max="2" width="39.81640625" style="25" bestFit="1" customWidth="1"/>
    <col min="3" max="3" width="25.26953125" style="25" customWidth="1"/>
    <col min="4" max="4" width="27.54296875" style="25" customWidth="1"/>
    <col min="5" max="5" width="71.453125" style="25" customWidth="1"/>
    <col min="6" max="6" width="20.7265625" style="25" customWidth="1"/>
    <col min="7" max="7" width="10.7265625" style="25" customWidth="1"/>
    <col min="8" max="8" width="20.81640625" style="25" customWidth="1"/>
    <col min="9" max="9" width="24.1796875" style="25" customWidth="1"/>
    <col min="10" max="10" width="38.26953125" style="25" customWidth="1"/>
    <col min="11" max="11" width="28" style="25" customWidth="1"/>
    <col min="12" max="12" width="16.7265625" style="25" customWidth="1"/>
    <col min="13" max="13" width="33.81640625" style="25" customWidth="1"/>
    <col min="14" max="14" width="28.81640625" style="25" bestFit="1" customWidth="1"/>
    <col min="15" max="15" width="11.7265625" style="25" customWidth="1"/>
    <col min="16" max="16" width="3.453125" style="25" customWidth="1"/>
    <col min="17" max="17" width="9.1796875" style="25" customWidth="1"/>
    <col min="18" max="18" width="14.26953125" style="25" customWidth="1"/>
    <col min="19" max="19" width="11.81640625" style="25" customWidth="1"/>
    <col min="20" max="22" width="9.1796875" style="25" customWidth="1"/>
    <col min="23" max="16384" width="9.1796875" style="25"/>
  </cols>
  <sheetData>
    <row r="2" spans="2:23" ht="21" customHeight="1" x14ac:dyDescent="0.3">
      <c r="B2" s="99" t="s">
        <v>5</v>
      </c>
      <c r="C2" s="115" t="str">
        <f>'Project Infor'!C10</f>
        <v>ZEZ-AT00001-1001</v>
      </c>
      <c r="D2" s="221" t="str">
        <f>'Project Infor'!C11</f>
        <v>Asistencia técnica para desarrollo Java/.Net/…</v>
      </c>
      <c r="E2" s="223"/>
      <c r="F2" s="223"/>
      <c r="G2" s="223"/>
      <c r="H2" s="223"/>
    </row>
    <row r="3" spans="2:23" ht="9" customHeight="1" x14ac:dyDescent="0.3">
      <c r="D3" s="26"/>
      <c r="E3" s="26"/>
      <c r="F3" s="26"/>
      <c r="G3" s="26"/>
    </row>
    <row r="4" spans="2:23" ht="30.75" customHeight="1" x14ac:dyDescent="0.3">
      <c r="B4" s="81" t="s">
        <v>233</v>
      </c>
      <c r="C4" s="319" t="s">
        <v>243</v>
      </c>
      <c r="D4" s="319"/>
      <c r="E4" s="26"/>
      <c r="F4" s="345" t="s">
        <v>244</v>
      </c>
      <c r="G4" s="350"/>
      <c r="H4" s="233" t="s">
        <v>245</v>
      </c>
      <c r="I4" s="233" t="s">
        <v>246</v>
      </c>
      <c r="J4" s="233" t="s">
        <v>247</v>
      </c>
      <c r="K4" s="345" t="s">
        <v>248</v>
      </c>
      <c r="L4" s="345"/>
      <c r="M4" s="345"/>
      <c r="N4" s="345"/>
    </row>
    <row r="5" spans="2:23" ht="18" customHeight="1" x14ac:dyDescent="0.3">
      <c r="B5" s="81" t="s">
        <v>249</v>
      </c>
      <c r="C5" s="344" t="s">
        <v>250</v>
      </c>
      <c r="D5" s="344"/>
      <c r="E5" s="26"/>
      <c r="F5" s="344" t="s">
        <v>251</v>
      </c>
      <c r="G5" s="344"/>
      <c r="H5" s="235">
        <v>0.5</v>
      </c>
      <c r="I5" s="236">
        <v>5000</v>
      </c>
      <c r="J5" s="300" t="s">
        <v>250</v>
      </c>
      <c r="K5" s="344"/>
      <c r="L5" s="344"/>
      <c r="M5" s="344"/>
      <c r="N5" s="344"/>
    </row>
    <row r="6" spans="2:23" ht="18" customHeight="1" x14ac:dyDescent="0.3">
      <c r="B6" s="81" t="s">
        <v>252</v>
      </c>
      <c r="C6" s="344" t="s">
        <v>253</v>
      </c>
      <c r="D6" s="344"/>
      <c r="E6" s="26"/>
      <c r="F6" s="344" t="s">
        <v>254</v>
      </c>
      <c r="G6" s="344"/>
      <c r="H6" s="235">
        <v>0.1</v>
      </c>
      <c r="I6" s="236">
        <v>1000</v>
      </c>
      <c r="J6" s="300"/>
      <c r="K6" s="344"/>
      <c r="L6" s="344"/>
      <c r="M6" s="344"/>
      <c r="N6" s="344"/>
    </row>
    <row r="7" spans="2:23" ht="18" customHeight="1" x14ac:dyDescent="0.3">
      <c r="B7" s="81" t="s">
        <v>255</v>
      </c>
      <c r="C7" s="349">
        <v>10000</v>
      </c>
      <c r="D7" s="349"/>
      <c r="E7" s="234" t="s">
        <v>256</v>
      </c>
      <c r="F7" s="344" t="s">
        <v>257</v>
      </c>
      <c r="G7" s="344"/>
      <c r="H7" s="235">
        <v>0.2</v>
      </c>
      <c r="I7" s="236">
        <v>2000</v>
      </c>
      <c r="J7" s="300"/>
      <c r="K7" s="344"/>
      <c r="L7" s="344"/>
      <c r="M7" s="344"/>
      <c r="N7" s="344"/>
    </row>
    <row r="8" spans="2:23" ht="18" customHeight="1" x14ac:dyDescent="0.3">
      <c r="D8" s="26"/>
      <c r="E8" s="26"/>
      <c r="F8" s="344" t="s">
        <v>258</v>
      </c>
      <c r="G8" s="344"/>
      <c r="H8" s="235">
        <v>0.1</v>
      </c>
      <c r="I8" s="236">
        <v>1000</v>
      </c>
      <c r="J8" s="300"/>
      <c r="K8" s="344"/>
      <c r="L8" s="344"/>
      <c r="M8" s="344"/>
      <c r="N8" s="344"/>
    </row>
    <row r="9" spans="2:23" ht="18" customHeight="1" x14ac:dyDescent="0.3">
      <c r="D9" s="26"/>
      <c r="E9" s="60"/>
      <c r="F9" s="344" t="s">
        <v>259</v>
      </c>
      <c r="G9" s="344"/>
      <c r="H9" s="235">
        <v>0.1</v>
      </c>
      <c r="I9" s="236">
        <v>1000</v>
      </c>
      <c r="J9" s="300"/>
      <c r="K9" s="344"/>
      <c r="L9" s="344"/>
      <c r="M9" s="344"/>
      <c r="N9" s="344"/>
      <c r="O9" s="28"/>
      <c r="P9" s="28"/>
    </row>
    <row r="10" spans="2:23" ht="23.25" customHeight="1" x14ac:dyDescent="0.3">
      <c r="C10" s="314" t="s">
        <v>223</v>
      </c>
      <c r="D10" s="314"/>
      <c r="M10" s="28"/>
      <c r="N10" s="28"/>
      <c r="O10" s="28"/>
      <c r="P10" s="28"/>
    </row>
    <row r="11" spans="2:23" ht="20.149999999999999" customHeight="1" x14ac:dyDescent="0.3">
      <c r="D11" s="27"/>
      <c r="F11" s="28"/>
      <c r="G11" s="28"/>
      <c r="H11" s="28"/>
      <c r="I11" s="28"/>
      <c r="J11" s="28"/>
      <c r="K11" s="27"/>
      <c r="L11" s="28"/>
      <c r="M11" s="28"/>
      <c r="N11" s="28"/>
      <c r="O11" s="28"/>
      <c r="P11" s="28"/>
    </row>
    <row r="12" spans="2:23" s="90" customFormat="1" ht="31.5" customHeight="1" x14ac:dyDescent="0.3">
      <c r="B12" s="46" t="s">
        <v>224</v>
      </c>
      <c r="C12" s="46" t="s">
        <v>225</v>
      </c>
      <c r="D12" s="46" t="s">
        <v>260</v>
      </c>
      <c r="E12" s="46" t="s">
        <v>227</v>
      </c>
      <c r="F12" s="47" t="s">
        <v>228</v>
      </c>
      <c r="G12" s="47" t="s">
        <v>229</v>
      </c>
      <c r="H12" s="46" t="s">
        <v>230</v>
      </c>
      <c r="I12" s="46" t="s">
        <v>231</v>
      </c>
      <c r="J12" s="46" t="s">
        <v>233</v>
      </c>
      <c r="K12" s="46" t="s">
        <v>261</v>
      </c>
      <c r="L12" s="47" t="s">
        <v>235</v>
      </c>
      <c r="M12" s="47" t="s">
        <v>236</v>
      </c>
      <c r="N12" s="47" t="s">
        <v>237</v>
      </c>
      <c r="O12" s="47" t="s">
        <v>238</v>
      </c>
      <c r="P12" s="28"/>
      <c r="Q12" s="25"/>
      <c r="R12" s="25"/>
      <c r="S12" s="25"/>
      <c r="T12" s="25"/>
      <c r="U12" s="25"/>
      <c r="V12" s="25"/>
      <c r="W12" s="25"/>
    </row>
    <row r="13" spans="2:23" s="71" customFormat="1" ht="20.149999999999999" customHeight="1" x14ac:dyDescent="0.3">
      <c r="B13" s="204" t="s">
        <v>262</v>
      </c>
      <c r="C13" s="231">
        <v>44286</v>
      </c>
      <c r="D13" s="4" t="s">
        <v>251</v>
      </c>
      <c r="E13" s="4" t="s">
        <v>263</v>
      </c>
      <c r="F13" s="5">
        <v>3000</v>
      </c>
      <c r="G13" s="5" t="s">
        <v>264</v>
      </c>
      <c r="H13" s="12">
        <v>0.21</v>
      </c>
      <c r="I13" s="5">
        <f>IF(F13=0," ",F13+F13*H13)</f>
        <v>3630</v>
      </c>
      <c r="J13" s="13" t="s">
        <v>265</v>
      </c>
      <c r="K13" s="5"/>
      <c r="L13" s="59"/>
      <c r="M13" s="5" t="s">
        <v>266</v>
      </c>
      <c r="N13" s="5"/>
      <c r="O13" s="5"/>
      <c r="P13" s="28"/>
      <c r="Q13" s="25"/>
      <c r="R13" s="25"/>
      <c r="S13" s="25"/>
      <c r="T13" s="25"/>
      <c r="U13" s="25"/>
      <c r="V13" s="25"/>
      <c r="W13" s="25"/>
    </row>
    <row r="14" spans="2:23" s="71" customFormat="1" ht="20.149999999999999" customHeight="1" x14ac:dyDescent="0.3">
      <c r="B14" s="204"/>
      <c r="C14" s="59"/>
      <c r="D14" s="4" t="str">
        <f t="shared" ref="D14:D45" si="0">IF(C14=0," ","Z2")</f>
        <v xml:space="preserve"> </v>
      </c>
      <c r="E14" s="4"/>
      <c r="F14" s="5"/>
      <c r="G14" s="5"/>
      <c r="H14" s="12"/>
      <c r="I14" s="5" t="str">
        <f t="shared" ref="I14:I45" si="1">IF(F14=0," ",F14+F14*H14)</f>
        <v xml:space="preserve"> </v>
      </c>
      <c r="J14" s="13"/>
      <c r="K14" s="5"/>
      <c r="L14" s="59"/>
      <c r="M14" s="5"/>
      <c r="N14" s="5"/>
      <c r="O14" s="5"/>
      <c r="P14" s="28"/>
      <c r="Q14" s="25"/>
      <c r="R14" s="25"/>
      <c r="S14" s="25"/>
      <c r="T14" s="25"/>
      <c r="U14" s="25"/>
      <c r="V14" s="25"/>
      <c r="W14" s="25"/>
    </row>
    <row r="15" spans="2:23" s="71" customFormat="1" ht="20.149999999999999" customHeight="1" x14ac:dyDescent="0.3">
      <c r="B15" s="204"/>
      <c r="C15" s="59"/>
      <c r="D15" s="4" t="str">
        <f t="shared" si="0"/>
        <v xml:space="preserve"> </v>
      </c>
      <c r="E15" s="4"/>
      <c r="F15" s="5"/>
      <c r="G15" s="5"/>
      <c r="H15" s="12"/>
      <c r="I15" s="5" t="str">
        <f t="shared" si="1"/>
        <v xml:space="preserve"> </v>
      </c>
      <c r="J15" s="13"/>
      <c r="K15" s="5"/>
      <c r="L15" s="59"/>
      <c r="M15" s="5"/>
      <c r="N15" s="5"/>
      <c r="O15" s="5"/>
      <c r="P15" s="28"/>
      <c r="Q15" s="25"/>
      <c r="R15" s="25"/>
      <c r="S15" s="25"/>
      <c r="T15" s="25"/>
      <c r="U15" s="25"/>
      <c r="V15" s="25"/>
      <c r="W15" s="25"/>
    </row>
    <row r="16" spans="2:23" s="71" customFormat="1" ht="20.149999999999999" customHeight="1" x14ac:dyDescent="0.3">
      <c r="B16" s="204"/>
      <c r="C16" s="59"/>
      <c r="D16" s="4" t="str">
        <f t="shared" si="0"/>
        <v xml:space="preserve"> </v>
      </c>
      <c r="E16" s="4"/>
      <c r="F16" s="5"/>
      <c r="G16" s="5"/>
      <c r="H16" s="12"/>
      <c r="I16" s="5" t="str">
        <f t="shared" si="1"/>
        <v xml:space="preserve"> </v>
      </c>
      <c r="J16" s="13"/>
      <c r="K16" s="5"/>
      <c r="L16" s="59"/>
      <c r="M16" s="5"/>
      <c r="N16" s="5"/>
      <c r="O16" s="5"/>
      <c r="P16" s="28"/>
      <c r="Q16" s="25"/>
      <c r="R16" s="25"/>
      <c r="S16" s="25"/>
      <c r="T16" s="25"/>
      <c r="U16" s="25"/>
      <c r="V16" s="25"/>
      <c r="W16" s="25"/>
    </row>
    <row r="17" spans="2:23" s="71" customFormat="1" ht="20.149999999999999" customHeight="1" x14ac:dyDescent="0.3">
      <c r="B17" s="204"/>
      <c r="C17" s="59"/>
      <c r="D17" s="4" t="str">
        <f t="shared" si="0"/>
        <v xml:space="preserve"> </v>
      </c>
      <c r="E17" s="4"/>
      <c r="F17" s="5"/>
      <c r="G17" s="5"/>
      <c r="H17" s="12"/>
      <c r="I17" s="5" t="str">
        <f t="shared" si="1"/>
        <v xml:space="preserve"> </v>
      </c>
      <c r="J17" s="13"/>
      <c r="K17" s="5"/>
      <c r="L17" s="59"/>
      <c r="M17" s="5"/>
      <c r="N17" s="5"/>
      <c r="O17" s="5"/>
      <c r="P17" s="28"/>
      <c r="Q17" s="25"/>
      <c r="R17" s="25"/>
      <c r="S17" s="25"/>
      <c r="T17" s="25"/>
      <c r="U17" s="25"/>
      <c r="V17" s="25"/>
      <c r="W17" s="25"/>
    </row>
    <row r="18" spans="2:23" s="71" customFormat="1" ht="20.149999999999999" customHeight="1" x14ac:dyDescent="0.3">
      <c r="B18" s="204"/>
      <c r="C18" s="59"/>
      <c r="D18" s="4" t="str">
        <f t="shared" si="0"/>
        <v xml:space="preserve"> </v>
      </c>
      <c r="E18" s="4"/>
      <c r="F18" s="5"/>
      <c r="G18" s="5"/>
      <c r="H18" s="12"/>
      <c r="I18" s="5" t="str">
        <f t="shared" si="1"/>
        <v xml:space="preserve"> </v>
      </c>
      <c r="J18" s="13"/>
      <c r="K18" s="5"/>
      <c r="L18" s="59"/>
      <c r="M18" s="5"/>
      <c r="N18" s="5"/>
      <c r="O18" s="5"/>
      <c r="P18" s="28"/>
      <c r="Q18" s="25"/>
      <c r="R18" s="25"/>
      <c r="S18" s="25"/>
      <c r="T18" s="25"/>
      <c r="U18" s="25"/>
      <c r="V18" s="25"/>
      <c r="W18" s="25"/>
    </row>
    <row r="19" spans="2:23" s="71" customFormat="1" ht="20.149999999999999" customHeight="1" x14ac:dyDescent="0.3">
      <c r="B19" s="204"/>
      <c r="C19" s="59"/>
      <c r="D19" s="4" t="str">
        <f t="shared" si="0"/>
        <v xml:space="preserve"> </v>
      </c>
      <c r="E19" s="4"/>
      <c r="F19" s="5"/>
      <c r="G19" s="5"/>
      <c r="H19" s="12"/>
      <c r="I19" s="5" t="str">
        <f t="shared" si="1"/>
        <v xml:space="preserve"> </v>
      </c>
      <c r="J19" s="13"/>
      <c r="K19" s="5"/>
      <c r="L19" s="59"/>
      <c r="M19" s="5"/>
      <c r="N19" s="5"/>
      <c r="O19" s="5"/>
      <c r="P19" s="28"/>
      <c r="Q19" s="25"/>
      <c r="R19" s="25"/>
      <c r="S19" s="25"/>
      <c r="T19" s="25"/>
      <c r="U19" s="25"/>
      <c r="V19" s="25"/>
      <c r="W19" s="25"/>
    </row>
    <row r="20" spans="2:23" s="71" customFormat="1" ht="20.149999999999999" customHeight="1" x14ac:dyDescent="0.3">
      <c r="B20" s="204"/>
      <c r="C20" s="59"/>
      <c r="D20" s="4" t="str">
        <f t="shared" si="0"/>
        <v xml:space="preserve"> </v>
      </c>
      <c r="E20" s="4"/>
      <c r="F20" s="5"/>
      <c r="G20" s="5"/>
      <c r="H20" s="12"/>
      <c r="I20" s="5" t="str">
        <f t="shared" si="1"/>
        <v xml:space="preserve"> </v>
      </c>
      <c r="J20" s="13"/>
      <c r="K20" s="5"/>
      <c r="L20" s="59"/>
      <c r="M20" s="5"/>
      <c r="N20" s="5"/>
      <c r="O20" s="5"/>
      <c r="P20" s="28"/>
      <c r="Q20" s="25"/>
      <c r="R20" s="25"/>
      <c r="S20" s="25"/>
      <c r="T20" s="25"/>
      <c r="U20" s="25"/>
      <c r="V20" s="25"/>
      <c r="W20" s="25"/>
    </row>
    <row r="21" spans="2:23" s="71" customFormat="1" ht="20.149999999999999" customHeight="1" x14ac:dyDescent="0.3">
      <c r="B21" s="204"/>
      <c r="C21" s="59"/>
      <c r="D21" s="4" t="str">
        <f t="shared" si="0"/>
        <v xml:space="preserve"> </v>
      </c>
      <c r="E21" s="4"/>
      <c r="F21" s="5"/>
      <c r="G21" s="5"/>
      <c r="H21" s="12"/>
      <c r="I21" s="5" t="str">
        <f t="shared" si="1"/>
        <v xml:space="preserve"> </v>
      </c>
      <c r="J21" s="13"/>
      <c r="K21" s="5"/>
      <c r="L21" s="59"/>
      <c r="M21" s="5"/>
      <c r="N21" s="5"/>
      <c r="O21" s="5"/>
      <c r="P21" s="28"/>
      <c r="Q21" s="25"/>
      <c r="R21" s="25"/>
      <c r="S21" s="25"/>
      <c r="T21" s="25"/>
      <c r="U21" s="25"/>
      <c r="V21" s="25"/>
      <c r="W21" s="25"/>
    </row>
    <row r="22" spans="2:23" s="71" customFormat="1" ht="20.149999999999999" customHeight="1" x14ac:dyDescent="0.3">
      <c r="B22" s="204"/>
      <c r="C22" s="59"/>
      <c r="D22" s="4" t="str">
        <f t="shared" si="0"/>
        <v xml:space="preserve"> </v>
      </c>
      <c r="E22" s="4"/>
      <c r="F22" s="5"/>
      <c r="G22" s="5"/>
      <c r="H22" s="12"/>
      <c r="I22" s="5" t="str">
        <f t="shared" si="1"/>
        <v xml:space="preserve"> </v>
      </c>
      <c r="J22" s="13"/>
      <c r="K22" s="5"/>
      <c r="L22" s="59"/>
      <c r="M22" s="5"/>
      <c r="N22" s="5"/>
      <c r="O22" s="5"/>
      <c r="P22" s="28"/>
      <c r="Q22" s="25"/>
      <c r="R22" s="25"/>
      <c r="S22" s="25"/>
      <c r="T22" s="25"/>
      <c r="U22" s="25"/>
      <c r="V22" s="25"/>
      <c r="W22" s="25"/>
    </row>
    <row r="23" spans="2:23" s="71" customFormat="1" ht="20.149999999999999" customHeight="1" x14ac:dyDescent="0.3">
      <c r="B23" s="204"/>
      <c r="C23" s="59"/>
      <c r="D23" s="4" t="str">
        <f t="shared" si="0"/>
        <v xml:space="preserve"> </v>
      </c>
      <c r="E23" s="4"/>
      <c r="F23" s="5"/>
      <c r="G23" s="5"/>
      <c r="H23" s="12"/>
      <c r="I23" s="5" t="str">
        <f t="shared" si="1"/>
        <v xml:space="preserve"> </v>
      </c>
      <c r="J23" s="13"/>
      <c r="K23" s="5"/>
      <c r="L23" s="59"/>
      <c r="M23" s="5"/>
      <c r="N23" s="5"/>
      <c r="O23" s="5"/>
      <c r="P23" s="28"/>
      <c r="Q23" s="25"/>
      <c r="R23" s="25"/>
      <c r="S23" s="25"/>
      <c r="T23" s="25"/>
      <c r="U23" s="25"/>
      <c r="V23" s="25"/>
      <c r="W23" s="25"/>
    </row>
    <row r="24" spans="2:23" s="71" customFormat="1" ht="20.149999999999999" customHeight="1" x14ac:dyDescent="0.3">
      <c r="B24" s="204"/>
      <c r="C24" s="59"/>
      <c r="D24" s="4" t="str">
        <f t="shared" si="0"/>
        <v xml:space="preserve"> </v>
      </c>
      <c r="E24" s="4"/>
      <c r="F24" s="5"/>
      <c r="G24" s="5"/>
      <c r="H24" s="12"/>
      <c r="I24" s="5" t="str">
        <f t="shared" si="1"/>
        <v xml:space="preserve"> </v>
      </c>
      <c r="J24" s="13"/>
      <c r="K24" s="5"/>
      <c r="L24" s="59"/>
      <c r="M24" s="5"/>
      <c r="N24" s="5"/>
      <c r="O24" s="5"/>
      <c r="P24" s="28"/>
      <c r="Q24" s="25"/>
      <c r="R24" s="25"/>
      <c r="S24" s="25"/>
      <c r="T24" s="25"/>
      <c r="U24" s="25"/>
      <c r="V24" s="25"/>
      <c r="W24" s="25"/>
    </row>
    <row r="25" spans="2:23" s="71" customFormat="1" ht="20.149999999999999" customHeight="1" x14ac:dyDescent="0.3">
      <c r="B25" s="204"/>
      <c r="C25" s="59"/>
      <c r="D25" s="4" t="str">
        <f t="shared" si="0"/>
        <v xml:space="preserve"> </v>
      </c>
      <c r="E25" s="4"/>
      <c r="F25" s="5"/>
      <c r="G25" s="5"/>
      <c r="H25" s="12"/>
      <c r="I25" s="5" t="str">
        <f t="shared" si="1"/>
        <v xml:space="preserve"> </v>
      </c>
      <c r="J25" s="13"/>
      <c r="K25" s="5"/>
      <c r="L25" s="59"/>
      <c r="M25" s="5"/>
      <c r="N25" s="5"/>
      <c r="O25" s="5"/>
      <c r="P25" s="28"/>
      <c r="Q25" s="25"/>
      <c r="R25" s="25"/>
      <c r="S25" s="25"/>
      <c r="T25" s="25"/>
      <c r="U25" s="25"/>
      <c r="V25" s="25"/>
      <c r="W25" s="25"/>
    </row>
    <row r="26" spans="2:23" s="71" customFormat="1" ht="20.149999999999999" customHeight="1" x14ac:dyDescent="0.3">
      <c r="B26" s="205"/>
      <c r="C26" s="199"/>
      <c r="D26" s="200" t="str">
        <f t="shared" si="0"/>
        <v xml:space="preserve"> </v>
      </c>
      <c r="E26" s="200"/>
      <c r="F26" s="201"/>
      <c r="G26" s="201"/>
      <c r="H26" s="202"/>
      <c r="I26" s="201" t="str">
        <f t="shared" si="1"/>
        <v xml:space="preserve"> </v>
      </c>
      <c r="J26" s="203"/>
      <c r="K26" s="201"/>
      <c r="L26" s="199"/>
      <c r="M26" s="201"/>
      <c r="N26" s="201"/>
      <c r="O26" s="201"/>
      <c r="P26" s="28"/>
      <c r="Q26" s="25"/>
      <c r="R26" s="25"/>
      <c r="S26" s="25"/>
      <c r="T26" s="25"/>
      <c r="U26" s="25"/>
      <c r="V26" s="25"/>
      <c r="W26" s="25"/>
    </row>
    <row r="27" spans="2:23" s="71" customFormat="1" ht="20.149999999999999" customHeight="1" x14ac:dyDescent="0.3">
      <c r="B27" s="204"/>
      <c r="C27" s="59"/>
      <c r="D27" s="4" t="str">
        <f t="shared" si="0"/>
        <v xml:space="preserve"> </v>
      </c>
      <c r="E27" s="4"/>
      <c r="F27" s="5"/>
      <c r="G27" s="5"/>
      <c r="H27" s="12"/>
      <c r="I27" s="5" t="str">
        <f t="shared" si="1"/>
        <v xml:space="preserve"> </v>
      </c>
      <c r="J27" s="13"/>
      <c r="K27" s="5"/>
      <c r="L27" s="59"/>
      <c r="M27" s="5"/>
      <c r="N27" s="5"/>
      <c r="O27" s="5"/>
      <c r="P27" s="28"/>
      <c r="Q27" s="25"/>
      <c r="R27" s="25"/>
      <c r="S27" s="25"/>
      <c r="T27" s="25"/>
      <c r="U27" s="25"/>
      <c r="V27" s="25"/>
      <c r="W27" s="25"/>
    </row>
    <row r="28" spans="2:23" s="71" customFormat="1" ht="20.149999999999999" customHeight="1" x14ac:dyDescent="0.3">
      <c r="B28" s="204"/>
      <c r="C28" s="59"/>
      <c r="D28" s="4" t="str">
        <f t="shared" si="0"/>
        <v xml:space="preserve"> </v>
      </c>
      <c r="E28" s="4"/>
      <c r="F28" s="5"/>
      <c r="G28" s="5"/>
      <c r="H28" s="12"/>
      <c r="I28" s="5" t="str">
        <f t="shared" si="1"/>
        <v xml:space="preserve"> </v>
      </c>
      <c r="J28" s="13"/>
      <c r="K28" s="5"/>
      <c r="L28" s="59"/>
      <c r="M28" s="5"/>
      <c r="N28" s="5"/>
      <c r="O28" s="5"/>
      <c r="P28" s="28"/>
      <c r="Q28" s="25"/>
      <c r="R28" s="25"/>
      <c r="S28" s="25"/>
      <c r="T28" s="25"/>
      <c r="U28" s="25"/>
      <c r="V28" s="25"/>
      <c r="W28" s="25"/>
    </row>
    <row r="29" spans="2:23" s="71" customFormat="1" ht="20.149999999999999" customHeight="1" x14ac:dyDescent="0.3">
      <c r="B29" s="204"/>
      <c r="C29" s="59"/>
      <c r="D29" s="4" t="str">
        <f t="shared" si="0"/>
        <v xml:space="preserve"> </v>
      </c>
      <c r="E29" s="4"/>
      <c r="F29" s="5"/>
      <c r="G29" s="5"/>
      <c r="H29" s="12"/>
      <c r="I29" s="5" t="str">
        <f t="shared" si="1"/>
        <v xml:space="preserve"> </v>
      </c>
      <c r="J29" s="13"/>
      <c r="K29" s="5"/>
      <c r="L29" s="59"/>
      <c r="M29" s="5"/>
      <c r="N29" s="5"/>
      <c r="O29" s="5"/>
      <c r="P29" s="28"/>
      <c r="Q29" s="25"/>
      <c r="R29" s="25"/>
      <c r="S29" s="25"/>
      <c r="T29" s="25"/>
      <c r="U29" s="25"/>
      <c r="V29" s="25"/>
      <c r="W29" s="25"/>
    </row>
    <row r="30" spans="2:23" s="71" customFormat="1" ht="20.149999999999999" customHeight="1" x14ac:dyDescent="0.3">
      <c r="B30" s="204"/>
      <c r="C30" s="59"/>
      <c r="D30" s="4" t="str">
        <f t="shared" si="0"/>
        <v xml:space="preserve"> </v>
      </c>
      <c r="E30" s="4"/>
      <c r="F30" s="5"/>
      <c r="G30" s="5"/>
      <c r="H30" s="12"/>
      <c r="I30" s="5" t="str">
        <f t="shared" si="1"/>
        <v xml:space="preserve"> </v>
      </c>
      <c r="J30" s="13"/>
      <c r="K30" s="5"/>
      <c r="L30" s="59"/>
      <c r="M30" s="5"/>
      <c r="N30" s="5"/>
      <c r="O30" s="5"/>
      <c r="P30" s="28"/>
      <c r="Q30" s="25"/>
      <c r="R30" s="25"/>
      <c r="S30" s="25"/>
      <c r="T30" s="25"/>
      <c r="U30" s="25"/>
      <c r="V30" s="25"/>
      <c r="W30" s="25"/>
    </row>
    <row r="31" spans="2:23" s="71" customFormat="1" ht="20.149999999999999" customHeight="1" x14ac:dyDescent="0.3">
      <c r="B31" s="204"/>
      <c r="C31" s="59"/>
      <c r="D31" s="4" t="str">
        <f t="shared" si="0"/>
        <v xml:space="preserve"> </v>
      </c>
      <c r="E31" s="4"/>
      <c r="F31" s="5"/>
      <c r="G31" s="5"/>
      <c r="H31" s="12"/>
      <c r="I31" s="5" t="str">
        <f t="shared" si="1"/>
        <v xml:space="preserve"> </v>
      </c>
      <c r="J31" s="13"/>
      <c r="K31" s="5"/>
      <c r="L31" s="59"/>
      <c r="M31" s="5"/>
      <c r="N31" s="5"/>
      <c r="O31" s="5"/>
      <c r="P31" s="28"/>
      <c r="Q31" s="25"/>
      <c r="R31" s="25"/>
      <c r="S31" s="25"/>
      <c r="T31" s="25"/>
      <c r="U31" s="25"/>
      <c r="V31" s="25"/>
      <c r="W31" s="25"/>
    </row>
    <row r="32" spans="2:23" s="71" customFormat="1" ht="20.149999999999999" customHeight="1" x14ac:dyDescent="0.3">
      <c r="B32" s="204"/>
      <c r="C32" s="59"/>
      <c r="D32" s="4" t="str">
        <f t="shared" si="0"/>
        <v xml:space="preserve"> </v>
      </c>
      <c r="E32" s="4"/>
      <c r="F32" s="5"/>
      <c r="G32" s="5"/>
      <c r="H32" s="12"/>
      <c r="I32" s="5" t="str">
        <f t="shared" si="1"/>
        <v xml:space="preserve"> </v>
      </c>
      <c r="J32" s="13"/>
      <c r="K32" s="5"/>
      <c r="L32" s="59"/>
      <c r="M32" s="5"/>
      <c r="N32" s="5"/>
      <c r="O32" s="5"/>
      <c r="P32" s="28"/>
      <c r="Q32" s="25"/>
      <c r="R32" s="25"/>
      <c r="S32" s="25"/>
      <c r="T32" s="25"/>
      <c r="U32" s="25"/>
      <c r="V32" s="25"/>
      <c r="W32" s="25"/>
    </row>
    <row r="33" spans="2:23" s="71" customFormat="1" ht="20.149999999999999" customHeight="1" x14ac:dyDescent="0.3">
      <c r="B33" s="204"/>
      <c r="C33" s="59"/>
      <c r="D33" s="4" t="str">
        <f t="shared" si="0"/>
        <v xml:space="preserve"> </v>
      </c>
      <c r="E33" s="4"/>
      <c r="F33" s="5"/>
      <c r="G33" s="5"/>
      <c r="H33" s="12"/>
      <c r="I33" s="5" t="str">
        <f t="shared" si="1"/>
        <v xml:space="preserve"> </v>
      </c>
      <c r="J33" s="13"/>
      <c r="K33" s="5"/>
      <c r="L33" s="59"/>
      <c r="M33" s="5"/>
      <c r="N33" s="5"/>
      <c r="O33" s="5"/>
      <c r="P33" s="28"/>
      <c r="Q33" s="25"/>
      <c r="R33" s="25"/>
      <c r="S33" s="25"/>
      <c r="T33" s="25"/>
      <c r="U33" s="25"/>
      <c r="V33" s="25"/>
      <c r="W33" s="25"/>
    </row>
    <row r="34" spans="2:23" s="71" customFormat="1" ht="20.149999999999999" customHeight="1" x14ac:dyDescent="0.3">
      <c r="B34" s="204"/>
      <c r="C34" s="59"/>
      <c r="D34" s="4" t="str">
        <f t="shared" si="0"/>
        <v xml:space="preserve"> </v>
      </c>
      <c r="E34" s="4"/>
      <c r="F34" s="5"/>
      <c r="G34" s="5"/>
      <c r="H34" s="12"/>
      <c r="I34" s="5" t="str">
        <f t="shared" si="1"/>
        <v xml:space="preserve"> </v>
      </c>
      <c r="J34" s="13"/>
      <c r="K34" s="5"/>
      <c r="L34" s="59"/>
      <c r="M34" s="5"/>
      <c r="N34" s="5"/>
      <c r="O34" s="5"/>
      <c r="P34" s="28"/>
      <c r="Q34" s="25"/>
      <c r="R34" s="25"/>
      <c r="S34" s="25"/>
      <c r="T34" s="25"/>
      <c r="U34" s="25"/>
      <c r="V34" s="25"/>
      <c r="W34" s="25"/>
    </row>
    <row r="35" spans="2:23" s="71" customFormat="1" ht="20.149999999999999" customHeight="1" x14ac:dyDescent="0.3">
      <c r="B35" s="204"/>
      <c r="C35" s="59"/>
      <c r="D35" s="4" t="str">
        <f t="shared" si="0"/>
        <v xml:space="preserve"> </v>
      </c>
      <c r="E35" s="4"/>
      <c r="F35" s="5"/>
      <c r="G35" s="5"/>
      <c r="H35" s="12"/>
      <c r="I35" s="5" t="str">
        <f t="shared" si="1"/>
        <v xml:space="preserve"> </v>
      </c>
      <c r="J35" s="13"/>
      <c r="K35" s="5"/>
      <c r="L35" s="59"/>
      <c r="M35" s="5"/>
      <c r="N35" s="5"/>
      <c r="O35" s="5"/>
      <c r="P35" s="28"/>
      <c r="Q35" s="25"/>
      <c r="R35" s="25"/>
      <c r="S35" s="25"/>
      <c r="T35" s="25"/>
      <c r="U35" s="25"/>
      <c r="V35" s="25"/>
      <c r="W35" s="25"/>
    </row>
    <row r="36" spans="2:23" s="71" customFormat="1" ht="20.149999999999999" customHeight="1" x14ac:dyDescent="0.3">
      <c r="B36" s="204"/>
      <c r="C36" s="59"/>
      <c r="D36" s="4" t="str">
        <f t="shared" si="0"/>
        <v xml:space="preserve"> </v>
      </c>
      <c r="E36" s="4"/>
      <c r="F36" s="5"/>
      <c r="G36" s="5"/>
      <c r="H36" s="12"/>
      <c r="I36" s="5" t="str">
        <f t="shared" si="1"/>
        <v xml:space="preserve"> </v>
      </c>
      <c r="J36" s="13"/>
      <c r="K36" s="5"/>
      <c r="L36" s="59"/>
      <c r="M36" s="5"/>
      <c r="N36" s="5"/>
      <c r="O36" s="5"/>
      <c r="P36" s="28"/>
      <c r="Q36" s="25"/>
      <c r="R36" s="25"/>
      <c r="S36" s="25"/>
      <c r="T36" s="25"/>
      <c r="U36" s="25"/>
      <c r="V36" s="25"/>
      <c r="W36" s="25"/>
    </row>
    <row r="37" spans="2:23" s="71" customFormat="1" ht="20.149999999999999" customHeight="1" x14ac:dyDescent="0.3">
      <c r="B37" s="204"/>
      <c r="C37" s="59"/>
      <c r="D37" s="4" t="str">
        <f t="shared" si="0"/>
        <v xml:space="preserve"> </v>
      </c>
      <c r="E37" s="4"/>
      <c r="F37" s="5"/>
      <c r="G37" s="5"/>
      <c r="H37" s="12"/>
      <c r="I37" s="5" t="str">
        <f t="shared" si="1"/>
        <v xml:space="preserve"> </v>
      </c>
      <c r="J37" s="13"/>
      <c r="K37" s="5"/>
      <c r="L37" s="59"/>
      <c r="M37" s="5"/>
      <c r="N37" s="5"/>
      <c r="O37" s="5"/>
      <c r="P37" s="28"/>
      <c r="Q37" s="25"/>
      <c r="R37" s="25"/>
      <c r="S37" s="25"/>
      <c r="T37" s="25"/>
      <c r="U37" s="25"/>
      <c r="V37" s="25"/>
      <c r="W37" s="25"/>
    </row>
    <row r="38" spans="2:23" s="71" customFormat="1" ht="20.149999999999999" customHeight="1" x14ac:dyDescent="0.3">
      <c r="B38" s="204"/>
      <c r="C38" s="59"/>
      <c r="D38" s="4" t="str">
        <f t="shared" si="0"/>
        <v xml:space="preserve"> </v>
      </c>
      <c r="E38" s="4"/>
      <c r="F38" s="5"/>
      <c r="G38" s="5"/>
      <c r="H38" s="12"/>
      <c r="I38" s="5" t="str">
        <f t="shared" si="1"/>
        <v xml:space="preserve"> </v>
      </c>
      <c r="J38" s="13"/>
      <c r="K38" s="5"/>
      <c r="L38" s="59"/>
      <c r="M38" s="5"/>
      <c r="N38" s="5"/>
      <c r="O38" s="5"/>
      <c r="P38" s="28"/>
      <c r="Q38" s="25"/>
      <c r="R38" s="25"/>
      <c r="S38" s="25"/>
      <c r="T38" s="25"/>
      <c r="U38" s="25"/>
      <c r="V38" s="25"/>
      <c r="W38" s="25"/>
    </row>
    <row r="39" spans="2:23" s="71" customFormat="1" ht="20.149999999999999" customHeight="1" x14ac:dyDescent="0.3">
      <c r="B39" s="204"/>
      <c r="C39" s="59"/>
      <c r="D39" s="4" t="str">
        <f t="shared" si="0"/>
        <v xml:space="preserve"> </v>
      </c>
      <c r="E39" s="4"/>
      <c r="F39" s="5"/>
      <c r="G39" s="5"/>
      <c r="H39" s="12"/>
      <c r="I39" s="5" t="str">
        <f t="shared" si="1"/>
        <v xml:space="preserve"> </v>
      </c>
      <c r="J39" s="13"/>
      <c r="K39" s="5"/>
      <c r="L39" s="59"/>
      <c r="M39" s="5"/>
      <c r="N39" s="5"/>
      <c r="O39" s="5"/>
      <c r="P39" s="28"/>
      <c r="Q39" s="25"/>
      <c r="R39" s="25"/>
      <c r="S39" s="25"/>
      <c r="T39" s="25"/>
      <c r="U39" s="25"/>
      <c r="V39" s="25"/>
      <c r="W39" s="25"/>
    </row>
    <row r="40" spans="2:23" s="71" customFormat="1" ht="20.149999999999999" customHeight="1" x14ac:dyDescent="0.3">
      <c r="B40" s="204"/>
      <c r="C40" s="59"/>
      <c r="D40" s="4" t="str">
        <f t="shared" si="0"/>
        <v xml:space="preserve"> </v>
      </c>
      <c r="E40" s="4"/>
      <c r="F40" s="5"/>
      <c r="G40" s="5"/>
      <c r="H40" s="12"/>
      <c r="I40" s="5" t="str">
        <f t="shared" si="1"/>
        <v xml:space="preserve"> </v>
      </c>
      <c r="J40" s="13"/>
      <c r="K40" s="5"/>
      <c r="L40" s="59"/>
      <c r="M40" s="5"/>
      <c r="N40" s="5"/>
      <c r="O40" s="5"/>
      <c r="P40" s="28"/>
      <c r="Q40" s="25"/>
      <c r="R40" s="25"/>
      <c r="S40" s="25"/>
      <c r="T40" s="25"/>
      <c r="U40" s="25"/>
      <c r="V40" s="25"/>
      <c r="W40" s="25"/>
    </row>
    <row r="41" spans="2:23" s="71" customFormat="1" ht="20.149999999999999" customHeight="1" x14ac:dyDescent="0.3">
      <c r="B41" s="204"/>
      <c r="C41" s="59"/>
      <c r="D41" s="4" t="str">
        <f t="shared" si="0"/>
        <v xml:space="preserve"> </v>
      </c>
      <c r="E41" s="4"/>
      <c r="F41" s="5"/>
      <c r="G41" s="5"/>
      <c r="H41" s="12"/>
      <c r="I41" s="5" t="str">
        <f t="shared" si="1"/>
        <v xml:space="preserve"> </v>
      </c>
      <c r="J41" s="13"/>
      <c r="K41" s="5"/>
      <c r="L41" s="59"/>
      <c r="M41" s="5"/>
      <c r="N41" s="5"/>
      <c r="O41" s="5"/>
      <c r="P41" s="28"/>
      <c r="Q41" s="25"/>
      <c r="R41" s="25"/>
      <c r="S41" s="25"/>
      <c r="T41" s="25"/>
      <c r="U41" s="25"/>
      <c r="V41" s="25"/>
      <c r="W41" s="25"/>
    </row>
    <row r="42" spans="2:23" s="71" customFormat="1" ht="20.149999999999999" customHeight="1" x14ac:dyDescent="0.3">
      <c r="B42" s="204"/>
      <c r="C42" s="59"/>
      <c r="D42" s="4" t="str">
        <f>IF(C42=0," ","Z2")</f>
        <v xml:space="preserve"> </v>
      </c>
      <c r="E42" s="4"/>
      <c r="F42" s="5"/>
      <c r="G42" s="5"/>
      <c r="H42" s="12"/>
      <c r="I42" s="5" t="str">
        <f t="shared" si="1"/>
        <v xml:space="preserve"> </v>
      </c>
      <c r="J42" s="13"/>
      <c r="K42" s="5"/>
      <c r="L42" s="59"/>
      <c r="M42" s="5"/>
      <c r="N42" s="5"/>
      <c r="O42" s="5"/>
      <c r="P42" s="28"/>
      <c r="Q42" s="25"/>
      <c r="R42" s="25"/>
      <c r="S42" s="25"/>
      <c r="T42" s="25"/>
      <c r="U42" s="25"/>
      <c r="V42" s="25"/>
      <c r="W42" s="25"/>
    </row>
    <row r="43" spans="2:23" s="71" customFormat="1" ht="20.149999999999999" customHeight="1" x14ac:dyDescent="0.3">
      <c r="B43" s="205"/>
      <c r="C43" s="199"/>
      <c r="D43" s="200" t="str">
        <f t="shared" si="0"/>
        <v xml:space="preserve"> </v>
      </c>
      <c r="E43" s="200"/>
      <c r="F43" s="201"/>
      <c r="G43" s="201"/>
      <c r="H43" s="202"/>
      <c r="I43" s="201" t="str">
        <f t="shared" si="1"/>
        <v xml:space="preserve"> </v>
      </c>
      <c r="J43" s="203"/>
      <c r="K43" s="201"/>
      <c r="L43" s="199"/>
      <c r="M43" s="201"/>
      <c r="N43" s="201"/>
      <c r="O43" s="201"/>
      <c r="P43" s="28"/>
      <c r="Q43" s="25"/>
      <c r="R43" s="25"/>
      <c r="S43" s="25"/>
      <c r="T43" s="25"/>
      <c r="U43" s="25"/>
      <c r="V43" s="25"/>
      <c r="W43" s="25"/>
    </row>
    <row r="44" spans="2:23" s="71" customFormat="1" ht="20.149999999999999" customHeight="1" x14ac:dyDescent="0.3">
      <c r="B44" s="204"/>
      <c r="C44" s="59"/>
      <c r="D44" s="4" t="str">
        <f t="shared" si="0"/>
        <v xml:space="preserve"> </v>
      </c>
      <c r="E44" s="4"/>
      <c r="F44" s="5"/>
      <c r="G44" s="5"/>
      <c r="H44" s="12"/>
      <c r="I44" s="5" t="str">
        <f t="shared" si="1"/>
        <v xml:space="preserve"> </v>
      </c>
      <c r="J44" s="13"/>
      <c r="K44" s="5"/>
      <c r="L44" s="59"/>
      <c r="M44" s="5"/>
      <c r="N44" s="5"/>
      <c r="O44" s="5"/>
      <c r="P44" s="28"/>
      <c r="Q44" s="25"/>
      <c r="R44" s="25"/>
      <c r="S44" s="25"/>
      <c r="T44" s="25"/>
      <c r="U44" s="25"/>
      <c r="V44" s="25"/>
      <c r="W44" s="25"/>
    </row>
    <row r="45" spans="2:23" s="71" customFormat="1" ht="20.149999999999999" customHeight="1" x14ac:dyDescent="0.3">
      <c r="B45" s="198"/>
      <c r="C45" s="226"/>
      <c r="D45" s="227" t="str">
        <f t="shared" si="0"/>
        <v xml:space="preserve"> </v>
      </c>
      <c r="E45" s="227"/>
      <c r="F45" s="228"/>
      <c r="G45" s="228"/>
      <c r="H45" s="229"/>
      <c r="I45" s="228" t="str">
        <f t="shared" si="1"/>
        <v xml:space="preserve"> </v>
      </c>
      <c r="J45" s="230"/>
      <c r="K45" s="228"/>
      <c r="L45" s="226"/>
      <c r="M45" s="228"/>
      <c r="N45" s="228"/>
      <c r="O45" s="228"/>
      <c r="P45" s="28"/>
      <c r="Q45" s="25"/>
      <c r="R45" s="25"/>
      <c r="S45" s="25"/>
      <c r="T45" s="25"/>
      <c r="U45" s="25"/>
      <c r="V45" s="25"/>
      <c r="W45" s="25"/>
    </row>
    <row r="46" spans="2:23" s="93" customFormat="1" ht="20.149999999999999" customHeight="1" x14ac:dyDescent="0.3">
      <c r="B46" s="346" t="s">
        <v>239</v>
      </c>
      <c r="C46" s="346"/>
      <c r="D46" s="346"/>
      <c r="E46" s="346"/>
      <c r="F46" s="224">
        <f>SUM(F13:F45)</f>
        <v>3000</v>
      </c>
      <c r="G46" s="224"/>
      <c r="H46" s="224"/>
      <c r="I46" s="224">
        <f>SUM(I13:I45)</f>
        <v>3630</v>
      </c>
      <c r="J46" s="225"/>
      <c r="K46" s="225"/>
      <c r="L46" s="225"/>
      <c r="M46" s="224"/>
      <c r="N46" s="224"/>
      <c r="O46" s="224"/>
      <c r="P46" s="26"/>
      <c r="Q46" s="25"/>
      <c r="R46" s="25"/>
      <c r="S46" s="25"/>
      <c r="T46" s="25"/>
      <c r="U46" s="25"/>
      <c r="V46" s="25"/>
      <c r="W46" s="25"/>
    </row>
    <row r="47" spans="2:23" ht="20.149999999999999" customHeight="1" x14ac:dyDescent="0.3">
      <c r="D47" s="27"/>
      <c r="E47" s="28"/>
      <c r="F47" s="28"/>
      <c r="G47" s="28"/>
      <c r="H47" s="28"/>
      <c r="I47" s="28"/>
      <c r="J47" s="28"/>
      <c r="K47" s="27"/>
      <c r="L47" s="28"/>
      <c r="M47" s="28"/>
      <c r="N47" s="28"/>
      <c r="O47" s="28"/>
      <c r="P47" s="28"/>
    </row>
    <row r="48" spans="2:23" s="56" customFormat="1" ht="20.149999999999999" customHeight="1" x14ac:dyDescent="0.35">
      <c r="D48" s="57"/>
      <c r="E48" s="57"/>
      <c r="F48" s="57"/>
      <c r="G48" s="57"/>
      <c r="H48" s="57"/>
      <c r="I48" s="57"/>
      <c r="J48" s="57"/>
      <c r="K48" s="57"/>
      <c r="L48" s="57"/>
      <c r="M48" s="57"/>
      <c r="N48" s="57"/>
      <c r="O48" s="57"/>
      <c r="P48" s="57"/>
      <c r="Q48" s="25"/>
      <c r="R48" s="25"/>
      <c r="S48" s="25"/>
      <c r="T48" s="25"/>
      <c r="U48" s="25"/>
      <c r="V48" s="25"/>
      <c r="W48" s="25"/>
    </row>
    <row r="49" spans="2:22" s="56" customFormat="1" ht="20.149999999999999" customHeight="1" x14ac:dyDescent="0.35">
      <c r="D49" s="57"/>
      <c r="E49" s="57"/>
      <c r="F49" s="57"/>
      <c r="G49" s="57"/>
      <c r="H49" s="57"/>
      <c r="I49" s="57"/>
      <c r="J49" s="57"/>
      <c r="K49" s="57"/>
      <c r="L49" s="57"/>
      <c r="M49" s="57"/>
      <c r="N49" s="57"/>
      <c r="O49" s="57"/>
      <c r="P49" s="57"/>
      <c r="Q49" s="25"/>
      <c r="R49" s="25"/>
      <c r="S49" s="25"/>
      <c r="T49" s="25"/>
      <c r="U49" s="25"/>
      <c r="V49" s="25"/>
    </row>
    <row r="50" spans="2:22" s="56" customFormat="1" ht="20.149999999999999" customHeight="1" x14ac:dyDescent="0.35">
      <c r="D50" s="57"/>
      <c r="E50" s="57"/>
      <c r="F50" s="57"/>
      <c r="G50" s="57"/>
      <c r="H50" s="57"/>
      <c r="I50" s="57"/>
      <c r="J50" s="57"/>
      <c r="K50" s="57"/>
      <c r="L50" s="57"/>
      <c r="M50" s="57"/>
      <c r="N50" s="57"/>
      <c r="O50" s="57"/>
      <c r="P50" s="57"/>
      <c r="Q50" s="25"/>
      <c r="R50" s="25"/>
      <c r="S50" s="25"/>
      <c r="T50" s="25"/>
      <c r="U50" s="25"/>
      <c r="V50" s="25"/>
    </row>
    <row r="51" spans="2:22" s="56" customFormat="1" ht="20.149999999999999" customHeight="1" x14ac:dyDescent="0.35">
      <c r="D51" s="57"/>
      <c r="E51" s="57"/>
      <c r="F51" s="57"/>
      <c r="G51" s="57"/>
      <c r="H51" s="57"/>
      <c r="I51" s="57"/>
      <c r="J51" s="57"/>
      <c r="K51" s="57"/>
      <c r="L51" s="57"/>
      <c r="M51" s="57"/>
      <c r="N51" s="57"/>
      <c r="O51" s="57"/>
      <c r="P51" s="57"/>
      <c r="Q51" s="25"/>
      <c r="R51" s="25"/>
      <c r="S51" s="25"/>
      <c r="T51" s="25"/>
      <c r="U51" s="25"/>
      <c r="V51" s="25"/>
    </row>
    <row r="52" spans="2:22" ht="20.149999999999999" customHeight="1" x14ac:dyDescent="0.3">
      <c r="D52" s="28"/>
      <c r="E52" s="28"/>
      <c r="F52" s="28"/>
      <c r="G52" s="28"/>
      <c r="H52" s="28"/>
      <c r="I52" s="28"/>
      <c r="J52" s="28"/>
      <c r="K52" s="28"/>
      <c r="L52" s="28"/>
      <c r="M52" s="28"/>
      <c r="N52" s="28"/>
      <c r="O52" s="28"/>
      <c r="P52" s="28"/>
    </row>
    <row r="53" spans="2:22" ht="20.149999999999999" customHeight="1" x14ac:dyDescent="0.3"/>
    <row r="55" spans="2:22" ht="20.149999999999999" customHeight="1" x14ac:dyDescent="0.3">
      <c r="B55" s="69" t="s">
        <v>267</v>
      </c>
      <c r="C55" s="69"/>
      <c r="D55" s="69"/>
      <c r="E55" s="28"/>
      <c r="F55" s="28"/>
      <c r="G55" s="28"/>
      <c r="H55" s="28"/>
      <c r="I55" s="28"/>
      <c r="J55" s="28"/>
      <c r="K55" s="69"/>
      <c r="L55" s="28"/>
      <c r="M55" s="28"/>
      <c r="N55" s="28"/>
      <c r="O55" s="28"/>
      <c r="P55" s="28"/>
      <c r="Q55" s="28"/>
      <c r="R55" s="28"/>
    </row>
    <row r="56" spans="2:22" ht="285.75" customHeight="1" x14ac:dyDescent="0.3">
      <c r="B56" s="347" t="s">
        <v>87</v>
      </c>
      <c r="C56" s="348"/>
      <c r="D56" s="348"/>
      <c r="E56" s="348"/>
      <c r="F56" s="348"/>
      <c r="G56" s="348"/>
      <c r="H56" s="348"/>
      <c r="I56" s="348"/>
      <c r="J56" s="178"/>
      <c r="K56" s="178"/>
      <c r="L56" s="178"/>
      <c r="M56" s="28"/>
      <c r="N56" s="28"/>
      <c r="O56" s="28"/>
      <c r="P56" s="28"/>
      <c r="Q56" s="28"/>
      <c r="R56" s="28"/>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55" zoomScaleNormal="55" workbookViewId="0">
      <selection activeCell="C2" sqref="C2"/>
    </sheetView>
  </sheetViews>
  <sheetFormatPr baseColWidth="10" defaultColWidth="9.1796875" defaultRowHeight="13.5" x14ac:dyDescent="0.25"/>
  <cols>
    <col min="1" max="1" width="2.1796875" style="97" customWidth="1"/>
    <col min="2" max="2" width="25.7265625" style="97" customWidth="1"/>
    <col min="3" max="3" width="28.453125" style="97" customWidth="1"/>
    <col min="4" max="28" width="14.7265625" style="97" customWidth="1"/>
    <col min="29" max="29" width="11.26953125" style="97" customWidth="1"/>
    <col min="30" max="16384" width="9.1796875" style="97"/>
  </cols>
  <sheetData>
    <row r="2" spans="1:41" ht="21" customHeight="1" x14ac:dyDescent="0.25">
      <c r="B2" s="23" t="s">
        <v>5</v>
      </c>
      <c r="C2" s="115" t="str">
        <f>'Project Infor'!C10</f>
        <v>ZEZ-AT00001-1001</v>
      </c>
      <c r="D2" s="221" t="str">
        <f>'Project Infor'!C11</f>
        <v>Asistencia técnica para desarrollo Java/.Net/…</v>
      </c>
      <c r="E2" s="100"/>
      <c r="F2" s="100"/>
      <c r="G2" s="100"/>
      <c r="H2" s="100"/>
      <c r="I2" s="100"/>
      <c r="J2" s="100"/>
      <c r="K2" s="100"/>
    </row>
    <row r="3" spans="1:41" ht="9" customHeight="1" x14ac:dyDescent="0.25">
      <c r="B3" s="68"/>
      <c r="C3" s="68"/>
      <c r="D3" s="68"/>
      <c r="E3" s="68"/>
    </row>
    <row r="4" spans="1:41" ht="15" customHeight="1" x14ac:dyDescent="0.25">
      <c r="B4" s="102"/>
      <c r="C4" s="102"/>
      <c r="D4" s="103"/>
      <c r="E4" s="103"/>
      <c r="F4" s="103"/>
      <c r="G4" s="103"/>
      <c r="H4" s="103"/>
      <c r="I4" s="103"/>
      <c r="J4" s="103"/>
      <c r="K4" s="103"/>
      <c r="L4" s="103"/>
      <c r="M4" s="103"/>
    </row>
    <row r="5" spans="1:41" ht="20.149999999999999" customHeight="1" x14ac:dyDescent="0.25">
      <c r="B5" s="351" t="s">
        <v>268</v>
      </c>
      <c r="C5" s="351"/>
      <c r="D5" s="352" t="s">
        <v>269</v>
      </c>
      <c r="E5" s="352"/>
      <c r="F5" s="352"/>
      <c r="G5" s="352"/>
      <c r="H5" s="103"/>
      <c r="I5" s="103"/>
      <c r="J5" s="103"/>
      <c r="K5" s="103"/>
      <c r="L5" s="103"/>
      <c r="M5" s="103"/>
      <c r="N5" s="103"/>
      <c r="O5" s="103"/>
      <c r="P5" s="103"/>
      <c r="Q5" s="103"/>
      <c r="R5" s="103"/>
    </row>
    <row r="6" spans="1:41" s="107" customFormat="1" ht="35.15" customHeight="1" x14ac:dyDescent="0.25">
      <c r="B6" s="303" t="s">
        <v>270</v>
      </c>
      <c r="C6" s="303" t="s">
        <v>271</v>
      </c>
      <c r="D6" s="239">
        <f>'Project Infor'!$C$8</f>
        <v>44287</v>
      </c>
      <c r="E6" s="239">
        <f t="shared" ref="E6:AB6" si="0">EOMONTH(D6,1)</f>
        <v>44347</v>
      </c>
      <c r="F6" s="239">
        <f t="shared" si="0"/>
        <v>44377</v>
      </c>
      <c r="G6" s="239">
        <f t="shared" si="0"/>
        <v>44408</v>
      </c>
      <c r="H6" s="239">
        <f t="shared" si="0"/>
        <v>44439</v>
      </c>
      <c r="I6" s="239">
        <f t="shared" si="0"/>
        <v>44469</v>
      </c>
      <c r="J6" s="239">
        <f t="shared" si="0"/>
        <v>44500</v>
      </c>
      <c r="K6" s="239">
        <f t="shared" si="0"/>
        <v>44530</v>
      </c>
      <c r="L6" s="239">
        <f t="shared" si="0"/>
        <v>44561</v>
      </c>
      <c r="M6" s="239">
        <f t="shared" si="0"/>
        <v>44592</v>
      </c>
      <c r="N6" s="239">
        <f t="shared" si="0"/>
        <v>44620</v>
      </c>
      <c r="O6" s="239">
        <f t="shared" si="0"/>
        <v>44651</v>
      </c>
      <c r="P6" s="239">
        <f t="shared" si="0"/>
        <v>44681</v>
      </c>
      <c r="Q6" s="239">
        <f t="shared" si="0"/>
        <v>44712</v>
      </c>
      <c r="R6" s="239">
        <f t="shared" si="0"/>
        <v>44742</v>
      </c>
      <c r="S6" s="239">
        <f t="shared" si="0"/>
        <v>44773</v>
      </c>
      <c r="T6" s="239">
        <f t="shared" si="0"/>
        <v>44804</v>
      </c>
      <c r="U6" s="239">
        <f t="shared" si="0"/>
        <v>44834</v>
      </c>
      <c r="V6" s="239">
        <f t="shared" si="0"/>
        <v>44865</v>
      </c>
      <c r="W6" s="239">
        <f t="shared" si="0"/>
        <v>44895</v>
      </c>
      <c r="X6" s="239">
        <f t="shared" si="0"/>
        <v>44926</v>
      </c>
      <c r="Y6" s="239">
        <f t="shared" si="0"/>
        <v>44957</v>
      </c>
      <c r="Z6" s="239">
        <f t="shared" si="0"/>
        <v>44985</v>
      </c>
      <c r="AA6" s="239">
        <f t="shared" si="0"/>
        <v>45016</v>
      </c>
      <c r="AB6" s="239">
        <f t="shared" si="0"/>
        <v>45046</v>
      </c>
      <c r="AD6" s="97"/>
      <c r="AE6" s="97"/>
      <c r="AF6" s="97"/>
      <c r="AG6" s="97"/>
      <c r="AH6" s="97"/>
      <c r="AI6" s="97"/>
      <c r="AJ6" s="97"/>
      <c r="AK6" s="97"/>
      <c r="AL6" s="97"/>
      <c r="AM6" s="97"/>
      <c r="AN6" s="97"/>
      <c r="AO6" s="97"/>
    </row>
    <row r="7" spans="1:41" s="108" customFormat="1" ht="20.149999999999999" customHeight="1" x14ac:dyDescent="0.25">
      <c r="B7" s="238">
        <v>8.5</v>
      </c>
      <c r="C7" s="266" t="str">
        <f>IF(B7=0,"",CONCATENATE("Jornadas de ",B7," horas: "))</f>
        <v xml:space="preserve">Jornadas de 8,5 horas: </v>
      </c>
      <c r="D7" s="240">
        <v>16</v>
      </c>
      <c r="E7" s="240">
        <v>16</v>
      </c>
      <c r="F7" s="240">
        <v>16</v>
      </c>
      <c r="G7" s="240">
        <v>16</v>
      </c>
      <c r="H7" s="240"/>
      <c r="I7" s="240"/>
      <c r="J7" s="240">
        <v>16</v>
      </c>
      <c r="K7" s="240"/>
      <c r="L7" s="240"/>
      <c r="M7" s="240"/>
      <c r="N7" s="240"/>
      <c r="O7" s="240"/>
      <c r="P7" s="240"/>
      <c r="Q7" s="240"/>
      <c r="R7" s="240"/>
      <c r="S7" s="240"/>
      <c r="T7" s="240"/>
      <c r="U7" s="240"/>
      <c r="V7" s="240"/>
      <c r="W7" s="240"/>
      <c r="X7" s="240"/>
      <c r="Y7" s="240"/>
      <c r="Z7" s="240"/>
      <c r="AA7" s="240"/>
      <c r="AB7" s="240"/>
      <c r="AD7" s="97"/>
      <c r="AE7" s="97"/>
      <c r="AF7" s="97"/>
      <c r="AG7" s="97"/>
      <c r="AH7" s="97"/>
      <c r="AI7" s="97"/>
      <c r="AJ7" s="97"/>
      <c r="AK7" s="97"/>
      <c r="AL7" s="97"/>
      <c r="AM7" s="97"/>
      <c r="AN7" s="97"/>
      <c r="AO7" s="97"/>
    </row>
    <row r="8" spans="1:41" s="108" customFormat="1" ht="20.149999999999999" customHeight="1" x14ac:dyDescent="0.25">
      <c r="B8" s="238">
        <v>7</v>
      </c>
      <c r="C8" s="266" t="str">
        <f t="shared" ref="C8:C11" si="1">IF(B8=0,"",CONCATENATE("Jornadas de ",B8," horas: "))</f>
        <v xml:space="preserve">Jornadas de 7 horas: </v>
      </c>
      <c r="D8" s="240">
        <v>3</v>
      </c>
      <c r="E8" s="240">
        <v>2</v>
      </c>
      <c r="F8" s="240">
        <v>1</v>
      </c>
      <c r="G8" s="240">
        <v>4</v>
      </c>
      <c r="H8" s="240">
        <v>22</v>
      </c>
      <c r="I8" s="240">
        <v>22</v>
      </c>
      <c r="J8" s="240">
        <v>5</v>
      </c>
      <c r="K8" s="240"/>
      <c r="L8" s="240"/>
      <c r="M8" s="240"/>
      <c r="N8" s="240"/>
      <c r="O8" s="240"/>
      <c r="P8" s="240"/>
      <c r="Q8" s="240"/>
      <c r="R8" s="240"/>
      <c r="S8" s="240"/>
      <c r="T8" s="240"/>
      <c r="U8" s="240"/>
      <c r="V8" s="240"/>
      <c r="W8" s="240"/>
      <c r="X8" s="240"/>
      <c r="Y8" s="240"/>
      <c r="Z8" s="240"/>
      <c r="AA8" s="240"/>
      <c r="AB8" s="240"/>
      <c r="AD8" s="97"/>
      <c r="AE8" s="97"/>
      <c r="AF8" s="97"/>
      <c r="AG8" s="97"/>
      <c r="AH8" s="97"/>
      <c r="AI8" s="97"/>
      <c r="AJ8" s="97"/>
      <c r="AK8" s="97"/>
      <c r="AL8" s="97"/>
      <c r="AM8" s="97"/>
      <c r="AN8" s="97"/>
      <c r="AO8" s="97"/>
    </row>
    <row r="9" spans="1:41" s="108" customFormat="1" ht="20.149999999999999" customHeight="1" x14ac:dyDescent="0.25">
      <c r="B9" s="238">
        <v>6</v>
      </c>
      <c r="C9" s="266" t="str">
        <f t="shared" si="1"/>
        <v xml:space="preserve">Jornadas de 6 horas: </v>
      </c>
      <c r="D9" s="240">
        <v>1</v>
      </c>
      <c r="E9" s="240">
        <v>3</v>
      </c>
      <c r="F9" s="240">
        <v>1</v>
      </c>
      <c r="G9" s="240">
        <v>2</v>
      </c>
      <c r="H9" s="240"/>
      <c r="I9" s="240"/>
      <c r="J9" s="240">
        <v>9</v>
      </c>
      <c r="K9" s="240"/>
      <c r="L9" s="240"/>
      <c r="M9" s="240"/>
      <c r="N9" s="240"/>
      <c r="O9" s="240"/>
      <c r="P9" s="240"/>
      <c r="Q9" s="240"/>
      <c r="R9" s="240"/>
      <c r="S9" s="240"/>
      <c r="T9" s="240"/>
      <c r="U9" s="240"/>
      <c r="V9" s="240"/>
      <c r="W9" s="240"/>
      <c r="X9" s="240"/>
      <c r="Y9" s="240"/>
      <c r="Z9" s="240"/>
      <c r="AA9" s="240"/>
      <c r="AB9" s="240"/>
      <c r="AD9" s="97"/>
      <c r="AE9" s="97"/>
      <c r="AF9" s="97"/>
      <c r="AG9" s="97"/>
      <c r="AH9" s="97"/>
      <c r="AI9" s="97"/>
      <c r="AJ9" s="97"/>
      <c r="AK9" s="97"/>
      <c r="AL9" s="97"/>
      <c r="AM9" s="97"/>
      <c r="AN9" s="97"/>
      <c r="AO9" s="97"/>
    </row>
    <row r="10" spans="1:41" s="108" customFormat="1" ht="20.149999999999999" customHeight="1" x14ac:dyDescent="0.25">
      <c r="B10" s="238">
        <v>7.25</v>
      </c>
      <c r="C10" s="266" t="str">
        <f t="shared" si="1"/>
        <v xml:space="preserve">Jornadas de 7,25 horas: </v>
      </c>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D10" s="97"/>
      <c r="AE10" s="97"/>
      <c r="AF10" s="97"/>
      <c r="AG10" s="97"/>
      <c r="AH10" s="97"/>
      <c r="AI10" s="97"/>
      <c r="AJ10" s="97"/>
      <c r="AK10" s="97"/>
      <c r="AL10" s="97"/>
      <c r="AM10" s="97"/>
      <c r="AN10" s="97"/>
      <c r="AO10" s="97"/>
    </row>
    <row r="11" spans="1:41" s="108" customFormat="1" ht="20.149999999999999" customHeight="1" x14ac:dyDescent="0.25">
      <c r="B11" s="238">
        <v>5.25</v>
      </c>
      <c r="C11" s="266" t="str">
        <f t="shared" si="1"/>
        <v xml:space="preserve">Jornadas de 5,25 horas: </v>
      </c>
      <c r="D11" s="240">
        <v>2</v>
      </c>
      <c r="E11" s="240"/>
      <c r="F11" s="240">
        <v>2</v>
      </c>
      <c r="G11" s="240"/>
      <c r="H11" s="240"/>
      <c r="I11" s="240"/>
      <c r="J11" s="240"/>
      <c r="K11" s="240"/>
      <c r="L11" s="240"/>
      <c r="M11" s="240"/>
      <c r="N11" s="240"/>
      <c r="O11" s="240"/>
      <c r="P11" s="240"/>
      <c r="Q11" s="240"/>
      <c r="R11" s="240"/>
      <c r="S11" s="240"/>
      <c r="T11" s="240"/>
      <c r="U11" s="240"/>
      <c r="V11" s="240"/>
      <c r="W11" s="240"/>
      <c r="X11" s="240"/>
      <c r="Y11" s="240"/>
      <c r="Z11" s="240"/>
      <c r="AA11" s="240"/>
      <c r="AB11" s="240"/>
      <c r="AD11" s="97"/>
      <c r="AE11" s="97"/>
      <c r="AF11" s="97"/>
      <c r="AG11" s="97"/>
      <c r="AH11" s="97"/>
      <c r="AI11" s="97"/>
      <c r="AJ11" s="97"/>
      <c r="AK11" s="97"/>
      <c r="AL11" s="97"/>
      <c r="AM11" s="97"/>
      <c r="AN11" s="97"/>
      <c r="AO11" s="97"/>
    </row>
    <row r="12" spans="1:41" s="108" customFormat="1" ht="20.149999999999999" customHeight="1" x14ac:dyDescent="0.25">
      <c r="B12" s="267"/>
      <c r="C12" s="267" t="s">
        <v>272</v>
      </c>
      <c r="D12" s="268">
        <f>SUMPRODUCT(D7:D11,$B$7:$B$11)</f>
        <v>173.5</v>
      </c>
      <c r="E12" s="268">
        <f>SUMPRODUCT(E7:E11,$B$7:$B$11)</f>
        <v>168</v>
      </c>
      <c r="F12" s="268">
        <f t="shared" ref="F12" si="2">SUMPRODUCT(F7:F11,$B$7:$B$11)</f>
        <v>159.5</v>
      </c>
      <c r="G12" s="268">
        <f t="shared" ref="G12" si="3">SUMPRODUCT(G7:G11,$B$7:$B$11)</f>
        <v>176</v>
      </c>
      <c r="H12" s="268">
        <f t="shared" ref="H12" si="4">SUMPRODUCT(H7:H11,$B$7:$B$11)</f>
        <v>154</v>
      </c>
      <c r="I12" s="268">
        <f>SUMPRODUCT(I7:I11,$B$7:$B$11)</f>
        <v>154</v>
      </c>
      <c r="J12" s="268">
        <f t="shared" ref="J12" si="5">SUMPRODUCT(J7:J11,$B$7:$B$11)</f>
        <v>225</v>
      </c>
      <c r="K12" s="268">
        <f t="shared" ref="K12" si="6">SUMPRODUCT(K7:K11,$B$7:$B$11)</f>
        <v>0</v>
      </c>
      <c r="L12" s="268">
        <f>SUMPRODUCT(L7:L11,$B$7:$B$11)</f>
        <v>0</v>
      </c>
      <c r="M12" s="268">
        <f t="shared" ref="M12" si="7">SUMPRODUCT(M7:M11,$B$7:$B$11)</f>
        <v>0</v>
      </c>
      <c r="N12" s="268">
        <f t="shared" ref="N12" si="8">SUMPRODUCT(N7:N11,$B$7:$B$11)</f>
        <v>0</v>
      </c>
      <c r="O12" s="268">
        <f t="shared" ref="O12" si="9">SUMPRODUCT(O7:O11,$B$7:$B$11)</f>
        <v>0</v>
      </c>
      <c r="P12" s="268">
        <f t="shared" ref="P12" si="10">SUMPRODUCT(P7:P11,$B$7:$B$11)</f>
        <v>0</v>
      </c>
      <c r="Q12" s="268">
        <f t="shared" ref="Q12" si="11">SUMPRODUCT(Q7:Q11,$B$7:$B$11)</f>
        <v>0</v>
      </c>
      <c r="R12" s="268">
        <f t="shared" ref="R12" si="12">SUMPRODUCT(R7:R11,$B$7:$B$11)</f>
        <v>0</v>
      </c>
      <c r="S12" s="268">
        <f t="shared" ref="S12" si="13">SUMPRODUCT(S7:S11,$B$7:$B$11)</f>
        <v>0</v>
      </c>
      <c r="T12" s="268">
        <f t="shared" ref="T12" si="14">SUMPRODUCT(T7:T11,$B$7:$B$11)</f>
        <v>0</v>
      </c>
      <c r="U12" s="268">
        <f t="shared" ref="U12" si="15">SUMPRODUCT(U7:U11,$B$7:$B$11)</f>
        <v>0</v>
      </c>
      <c r="V12" s="268">
        <f t="shared" ref="V12" si="16">SUMPRODUCT(V7:V11,$B$7:$B$11)</f>
        <v>0</v>
      </c>
      <c r="W12" s="268">
        <f t="shared" ref="W12" si="17">SUMPRODUCT(W7:W11,$B$7:$B$11)</f>
        <v>0</v>
      </c>
      <c r="X12" s="268">
        <f t="shared" ref="X12" si="18">SUMPRODUCT(X7:X11,$B$7:$B$11)</f>
        <v>0</v>
      </c>
      <c r="Y12" s="268">
        <f t="shared" ref="Y12" si="19">SUMPRODUCT(Y7:Y11,$B$7:$B$11)</f>
        <v>0</v>
      </c>
      <c r="Z12" s="268">
        <f t="shared" ref="Z12" si="20">SUMPRODUCT(Z7:Z11,$B$7:$B$11)</f>
        <v>0</v>
      </c>
      <c r="AA12" s="268">
        <f t="shared" ref="AA12" si="21">SUMPRODUCT(AA7:AA11,$B$7:$B$11)</f>
        <v>0</v>
      </c>
      <c r="AB12" s="268">
        <f>SUMPRODUCT(AB7:AB11,$B$7:$B$11)</f>
        <v>0</v>
      </c>
    </row>
    <row r="13" spans="1:41" s="108" customFormat="1" ht="20.149999999999999" customHeight="1" x14ac:dyDescent="0.25">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c r="AA13" s="187"/>
      <c r="AB13" s="187"/>
    </row>
    <row r="14" spans="1:41" x14ac:dyDescent="0.25">
      <c r="A14" s="108"/>
      <c r="D14" s="103"/>
      <c r="E14" s="103"/>
      <c r="F14" s="103"/>
      <c r="G14" s="103"/>
      <c r="H14" s="103"/>
      <c r="I14" s="103"/>
      <c r="J14" s="103"/>
      <c r="K14" s="103"/>
      <c r="L14" s="103"/>
      <c r="M14" s="103"/>
    </row>
    <row r="15" spans="1:41" ht="20.149999999999999" customHeight="1" x14ac:dyDescent="0.25">
      <c r="B15" s="351" t="s">
        <v>273</v>
      </c>
      <c r="C15" s="351"/>
      <c r="D15" s="352" t="s">
        <v>269</v>
      </c>
      <c r="E15" s="352"/>
      <c r="F15" s="352"/>
      <c r="G15" s="352"/>
      <c r="H15" s="103"/>
      <c r="I15" s="103"/>
      <c r="J15" s="103"/>
      <c r="K15" s="103"/>
      <c r="L15" s="103"/>
      <c r="M15" s="103"/>
      <c r="N15" s="103"/>
      <c r="O15" s="103"/>
      <c r="P15" s="103"/>
      <c r="Q15" s="103"/>
      <c r="R15" s="103"/>
    </row>
    <row r="16" spans="1:41" s="107" customFormat="1" ht="35.15" customHeight="1" x14ac:dyDescent="0.25">
      <c r="B16" s="303" t="s">
        <v>270</v>
      </c>
      <c r="C16" s="303" t="s">
        <v>271</v>
      </c>
      <c r="D16" s="239">
        <f>'Project Infor'!$C$8</f>
        <v>44287</v>
      </c>
      <c r="E16" s="239">
        <f t="shared" ref="E16" si="22">EOMONTH(D16,1)</f>
        <v>44347</v>
      </c>
      <c r="F16" s="239">
        <f t="shared" ref="F16" si="23">EOMONTH(E16,1)</f>
        <v>44377</v>
      </c>
      <c r="G16" s="239">
        <f t="shared" ref="G16" si="24">EOMONTH(F16,1)</f>
        <v>44408</v>
      </c>
      <c r="H16" s="239">
        <f t="shared" ref="H16" si="25">EOMONTH(G16,1)</f>
        <v>44439</v>
      </c>
      <c r="I16" s="239">
        <f t="shared" ref="I16" si="26">EOMONTH(H16,1)</f>
        <v>44469</v>
      </c>
      <c r="J16" s="239">
        <f t="shared" ref="J16" si="27">EOMONTH(I16,1)</f>
        <v>44500</v>
      </c>
      <c r="K16" s="239">
        <f t="shared" ref="K16" si="28">EOMONTH(J16,1)</f>
        <v>44530</v>
      </c>
      <c r="L16" s="239">
        <f t="shared" ref="L16" si="29">EOMONTH(K16,1)</f>
        <v>44561</v>
      </c>
      <c r="M16" s="239">
        <f t="shared" ref="M16" si="30">EOMONTH(L16,1)</f>
        <v>44592</v>
      </c>
      <c r="N16" s="239">
        <f t="shared" ref="N16" si="31">EOMONTH(M16,1)</f>
        <v>44620</v>
      </c>
      <c r="O16" s="239">
        <f t="shared" ref="O16" si="32">EOMONTH(N16,1)</f>
        <v>44651</v>
      </c>
      <c r="P16" s="239">
        <f t="shared" ref="P16" si="33">EOMONTH(O16,1)</f>
        <v>44681</v>
      </c>
      <c r="Q16" s="239">
        <f t="shared" ref="Q16" si="34">EOMONTH(P16,1)</f>
        <v>44712</v>
      </c>
      <c r="R16" s="239">
        <f t="shared" ref="R16" si="35">EOMONTH(Q16,1)</f>
        <v>44742</v>
      </c>
      <c r="S16" s="239">
        <f t="shared" ref="S16" si="36">EOMONTH(R16,1)</f>
        <v>44773</v>
      </c>
      <c r="T16" s="239">
        <f t="shared" ref="T16" si="37">EOMONTH(S16,1)</f>
        <v>44804</v>
      </c>
      <c r="U16" s="239">
        <f t="shared" ref="U16" si="38">EOMONTH(T16,1)</f>
        <v>44834</v>
      </c>
      <c r="V16" s="239">
        <f t="shared" ref="V16" si="39">EOMONTH(U16,1)</f>
        <v>44865</v>
      </c>
      <c r="W16" s="239">
        <f t="shared" ref="W16" si="40">EOMONTH(V16,1)</f>
        <v>44895</v>
      </c>
      <c r="X16" s="239">
        <f t="shared" ref="X16" si="41">EOMONTH(W16,1)</f>
        <v>44926</v>
      </c>
      <c r="Y16" s="239">
        <f t="shared" ref="Y16" si="42">EOMONTH(X16,1)</f>
        <v>44957</v>
      </c>
      <c r="Z16" s="239">
        <f t="shared" ref="Z16" si="43">EOMONTH(Y16,1)</f>
        <v>44985</v>
      </c>
      <c r="AA16" s="239">
        <f t="shared" ref="AA16" si="44">EOMONTH(Z16,1)</f>
        <v>45016</v>
      </c>
      <c r="AB16" s="239">
        <f t="shared" ref="AB16" si="45">EOMONTH(AA16,1)</f>
        <v>45046</v>
      </c>
      <c r="AD16" s="97"/>
      <c r="AE16" s="97"/>
      <c r="AF16" s="97"/>
      <c r="AG16" s="97"/>
      <c r="AH16" s="97"/>
      <c r="AI16" s="97"/>
      <c r="AJ16" s="97"/>
      <c r="AK16" s="97"/>
      <c r="AL16" s="97"/>
      <c r="AM16" s="97"/>
      <c r="AN16" s="97"/>
      <c r="AO16" s="97"/>
    </row>
    <row r="17" spans="1:41" s="108" customFormat="1" ht="20.149999999999999" customHeight="1" x14ac:dyDescent="0.25">
      <c r="B17" s="238">
        <v>8</v>
      </c>
      <c r="C17" s="266" t="str">
        <f>IF(B17=0,"",CONCATENATE("Jornadas de ",B17," horas: "))</f>
        <v xml:space="preserve">Jornadas de 8 horas: </v>
      </c>
      <c r="D17" s="240">
        <v>16</v>
      </c>
      <c r="E17" s="240"/>
      <c r="F17" s="240"/>
      <c r="G17" s="240"/>
      <c r="H17" s="240"/>
      <c r="I17" s="240"/>
      <c r="J17" s="240"/>
      <c r="K17" s="240"/>
      <c r="L17" s="240"/>
      <c r="M17" s="240"/>
      <c r="N17" s="240"/>
      <c r="O17" s="240"/>
      <c r="P17" s="240"/>
      <c r="Q17" s="240"/>
      <c r="R17" s="240"/>
      <c r="S17" s="240"/>
      <c r="T17" s="240"/>
      <c r="U17" s="240"/>
      <c r="V17" s="240"/>
      <c r="W17" s="240"/>
      <c r="X17" s="240"/>
      <c r="Y17" s="240"/>
      <c r="Z17" s="240"/>
      <c r="AA17" s="240"/>
      <c r="AB17" s="240"/>
      <c r="AD17" s="97"/>
      <c r="AE17" s="97"/>
      <c r="AF17" s="97"/>
      <c r="AG17" s="97"/>
      <c r="AH17" s="97"/>
      <c r="AI17" s="97"/>
      <c r="AJ17" s="97"/>
      <c r="AK17" s="97"/>
      <c r="AL17" s="97"/>
      <c r="AM17" s="97"/>
      <c r="AN17" s="97"/>
      <c r="AO17" s="97"/>
    </row>
    <row r="18" spans="1:41" s="108" customFormat="1" ht="20.149999999999999" customHeight="1" x14ac:dyDescent="0.25">
      <c r="B18" s="238">
        <v>6</v>
      </c>
      <c r="C18" s="266" t="str">
        <f t="shared" ref="C18:C21" si="46">IF(B18=0,"",CONCATENATE("Jornadas de ",B18," horas: "))</f>
        <v xml:space="preserve">Jornadas de 6 horas: </v>
      </c>
      <c r="D18" s="240">
        <v>3</v>
      </c>
      <c r="E18" s="240"/>
      <c r="F18" s="240"/>
      <c r="G18" s="240"/>
      <c r="H18" s="240"/>
      <c r="I18" s="240"/>
      <c r="J18" s="240"/>
      <c r="K18" s="240"/>
      <c r="L18" s="240"/>
      <c r="M18" s="240"/>
      <c r="N18" s="240"/>
      <c r="O18" s="240"/>
      <c r="P18" s="240"/>
      <c r="Q18" s="240"/>
      <c r="R18" s="240"/>
      <c r="S18" s="240"/>
      <c r="T18" s="240"/>
      <c r="U18" s="240"/>
      <c r="V18" s="240"/>
      <c r="W18" s="240"/>
      <c r="X18" s="240"/>
      <c r="Y18" s="240"/>
      <c r="Z18" s="240"/>
      <c r="AA18" s="240"/>
      <c r="AB18" s="240"/>
      <c r="AD18" s="97"/>
      <c r="AE18" s="97"/>
      <c r="AF18" s="97"/>
      <c r="AG18" s="97"/>
      <c r="AH18" s="97"/>
      <c r="AI18" s="97"/>
      <c r="AJ18" s="97"/>
      <c r="AK18" s="97"/>
      <c r="AL18" s="97"/>
      <c r="AM18" s="97"/>
      <c r="AN18" s="97"/>
      <c r="AO18" s="97"/>
    </row>
    <row r="19" spans="1:41" s="108" customFormat="1" ht="20.149999999999999" customHeight="1" x14ac:dyDescent="0.25">
      <c r="B19" s="238"/>
      <c r="C19" s="266" t="str">
        <f t="shared" si="46"/>
        <v/>
      </c>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D19" s="97"/>
      <c r="AE19" s="97"/>
      <c r="AF19" s="97"/>
      <c r="AG19" s="97"/>
      <c r="AH19" s="97"/>
      <c r="AI19" s="97"/>
      <c r="AJ19" s="97"/>
      <c r="AK19" s="97"/>
      <c r="AL19" s="97"/>
      <c r="AM19" s="97"/>
      <c r="AN19" s="97"/>
      <c r="AO19" s="97"/>
    </row>
    <row r="20" spans="1:41" s="108" customFormat="1" ht="20.149999999999999" customHeight="1" x14ac:dyDescent="0.25">
      <c r="B20" s="238"/>
      <c r="C20" s="266"/>
      <c r="D20" s="240"/>
      <c r="E20" s="240"/>
      <c r="F20" s="240"/>
      <c r="G20" s="240"/>
      <c r="H20" s="240"/>
      <c r="I20" s="240"/>
      <c r="J20" s="240"/>
      <c r="K20" s="240"/>
      <c r="L20" s="240"/>
      <c r="M20" s="240"/>
      <c r="N20" s="240"/>
      <c r="O20" s="240"/>
      <c r="P20" s="240"/>
      <c r="Q20" s="240"/>
      <c r="R20" s="240"/>
      <c r="S20" s="240"/>
      <c r="T20" s="240"/>
      <c r="U20" s="240"/>
      <c r="V20" s="240"/>
      <c r="W20" s="240"/>
      <c r="X20" s="240"/>
      <c r="Y20" s="240"/>
      <c r="Z20" s="240"/>
      <c r="AA20" s="240"/>
      <c r="AB20" s="240"/>
      <c r="AD20" s="97"/>
      <c r="AE20" s="97"/>
      <c r="AF20" s="97"/>
      <c r="AG20" s="97"/>
      <c r="AH20" s="97"/>
      <c r="AI20" s="97"/>
      <c r="AJ20" s="97"/>
      <c r="AK20" s="97"/>
      <c r="AL20" s="97"/>
      <c r="AM20" s="97"/>
      <c r="AN20" s="97"/>
      <c r="AO20" s="97"/>
    </row>
    <row r="21" spans="1:41" s="108" customFormat="1" ht="20.149999999999999" customHeight="1" x14ac:dyDescent="0.25">
      <c r="B21" s="238"/>
      <c r="C21" s="266" t="str">
        <f t="shared" si="46"/>
        <v/>
      </c>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D21" s="97"/>
      <c r="AE21" s="97"/>
      <c r="AF21" s="97"/>
      <c r="AG21" s="97"/>
      <c r="AH21" s="97"/>
      <c r="AI21" s="97"/>
      <c r="AJ21" s="97"/>
      <c r="AK21" s="97"/>
      <c r="AL21" s="97"/>
      <c r="AM21" s="97"/>
      <c r="AN21" s="97"/>
      <c r="AO21" s="97"/>
    </row>
    <row r="22" spans="1:41" s="108" customFormat="1" ht="20.149999999999999" customHeight="1" x14ac:dyDescent="0.25">
      <c r="B22" s="267"/>
      <c r="C22" s="267" t="s">
        <v>272</v>
      </c>
      <c r="D22" s="268">
        <f t="shared" ref="D22:AB22" si="47">SUMPRODUCT(D17:D21,$B$17:$B$21)</f>
        <v>146</v>
      </c>
      <c r="E22" s="268">
        <f t="shared" si="47"/>
        <v>0</v>
      </c>
      <c r="F22" s="268">
        <f t="shared" si="47"/>
        <v>0</v>
      </c>
      <c r="G22" s="268">
        <f t="shared" si="47"/>
        <v>0</v>
      </c>
      <c r="H22" s="268">
        <f t="shared" si="47"/>
        <v>0</v>
      </c>
      <c r="I22" s="268">
        <f t="shared" si="47"/>
        <v>0</v>
      </c>
      <c r="J22" s="268">
        <f t="shared" si="47"/>
        <v>0</v>
      </c>
      <c r="K22" s="268">
        <f t="shared" si="47"/>
        <v>0</v>
      </c>
      <c r="L22" s="268">
        <f t="shared" si="47"/>
        <v>0</v>
      </c>
      <c r="M22" s="268">
        <f t="shared" si="47"/>
        <v>0</v>
      </c>
      <c r="N22" s="268">
        <f t="shared" si="47"/>
        <v>0</v>
      </c>
      <c r="O22" s="268">
        <f t="shared" si="47"/>
        <v>0</v>
      </c>
      <c r="P22" s="268">
        <f t="shared" si="47"/>
        <v>0</v>
      </c>
      <c r="Q22" s="268">
        <f t="shared" si="47"/>
        <v>0</v>
      </c>
      <c r="R22" s="268">
        <f t="shared" si="47"/>
        <v>0</v>
      </c>
      <c r="S22" s="268">
        <f t="shared" si="47"/>
        <v>0</v>
      </c>
      <c r="T22" s="268">
        <f t="shared" si="47"/>
        <v>0</v>
      </c>
      <c r="U22" s="268">
        <f t="shared" si="47"/>
        <v>0</v>
      </c>
      <c r="V22" s="268">
        <f t="shared" si="47"/>
        <v>0</v>
      </c>
      <c r="W22" s="268">
        <f t="shared" si="47"/>
        <v>0</v>
      </c>
      <c r="X22" s="268">
        <f t="shared" si="47"/>
        <v>0</v>
      </c>
      <c r="Y22" s="268">
        <f t="shared" si="47"/>
        <v>0</v>
      </c>
      <c r="Z22" s="268">
        <f t="shared" si="47"/>
        <v>0</v>
      </c>
      <c r="AA22" s="268">
        <f t="shared" si="47"/>
        <v>0</v>
      </c>
      <c r="AB22" s="268">
        <f t="shared" si="47"/>
        <v>0</v>
      </c>
    </row>
    <row r="23" spans="1:41" s="108" customFormat="1" ht="20.149999999999999" customHeight="1" x14ac:dyDescent="0.25">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row>
    <row r="24" spans="1:41" x14ac:dyDescent="0.25">
      <c r="A24" s="108"/>
      <c r="D24" s="103"/>
      <c r="E24" s="103"/>
      <c r="F24" s="103"/>
      <c r="G24" s="103"/>
      <c r="H24" s="103"/>
      <c r="I24" s="103"/>
      <c r="J24" s="103"/>
      <c r="K24" s="103"/>
      <c r="L24" s="103"/>
      <c r="M24" s="103"/>
    </row>
    <row r="25" spans="1:41" ht="20.149999999999999" customHeight="1" x14ac:dyDescent="0.25">
      <c r="B25" s="351" t="s">
        <v>274</v>
      </c>
      <c r="C25" s="351"/>
      <c r="D25" s="352" t="s">
        <v>269</v>
      </c>
      <c r="E25" s="352"/>
      <c r="F25" s="352"/>
      <c r="G25" s="352"/>
      <c r="H25" s="103"/>
      <c r="I25" s="103"/>
      <c r="J25" s="103"/>
      <c r="K25" s="103"/>
      <c r="L25" s="103"/>
      <c r="M25" s="103"/>
      <c r="N25" s="103"/>
      <c r="O25" s="103"/>
      <c r="P25" s="103"/>
      <c r="Q25" s="103"/>
      <c r="R25" s="103"/>
    </row>
    <row r="26" spans="1:41" s="107" customFormat="1" ht="35.15" customHeight="1" x14ac:dyDescent="0.25">
      <c r="B26" s="303" t="s">
        <v>270</v>
      </c>
      <c r="C26" s="303" t="s">
        <v>271</v>
      </c>
      <c r="D26" s="239">
        <f>'Project Infor'!$C$8</f>
        <v>44287</v>
      </c>
      <c r="E26" s="239">
        <f t="shared" ref="E26" si="48">EOMONTH(D26,1)</f>
        <v>44347</v>
      </c>
      <c r="F26" s="239">
        <f t="shared" ref="F26" si="49">EOMONTH(E26,1)</f>
        <v>44377</v>
      </c>
      <c r="G26" s="239">
        <f t="shared" ref="G26" si="50">EOMONTH(F26,1)</f>
        <v>44408</v>
      </c>
      <c r="H26" s="239">
        <f t="shared" ref="H26" si="51">EOMONTH(G26,1)</f>
        <v>44439</v>
      </c>
      <c r="I26" s="239">
        <f t="shared" ref="I26" si="52">EOMONTH(H26,1)</f>
        <v>44469</v>
      </c>
      <c r="J26" s="239">
        <f t="shared" ref="J26" si="53">EOMONTH(I26,1)</f>
        <v>44500</v>
      </c>
      <c r="K26" s="239">
        <f t="shared" ref="K26" si="54">EOMONTH(J26,1)</f>
        <v>44530</v>
      </c>
      <c r="L26" s="239">
        <f t="shared" ref="L26" si="55">EOMONTH(K26,1)</f>
        <v>44561</v>
      </c>
      <c r="M26" s="239">
        <f t="shared" ref="M26" si="56">EOMONTH(L26,1)</f>
        <v>44592</v>
      </c>
      <c r="N26" s="239">
        <f t="shared" ref="N26" si="57">EOMONTH(M26,1)</f>
        <v>44620</v>
      </c>
      <c r="O26" s="239">
        <f t="shared" ref="O26" si="58">EOMONTH(N26,1)</f>
        <v>44651</v>
      </c>
      <c r="P26" s="239">
        <f t="shared" ref="P26" si="59">EOMONTH(O26,1)</f>
        <v>44681</v>
      </c>
      <c r="Q26" s="239">
        <f t="shared" ref="Q26" si="60">EOMONTH(P26,1)</f>
        <v>44712</v>
      </c>
      <c r="R26" s="239">
        <f t="shared" ref="R26" si="61">EOMONTH(Q26,1)</f>
        <v>44742</v>
      </c>
      <c r="S26" s="239">
        <f t="shared" ref="S26" si="62">EOMONTH(R26,1)</f>
        <v>44773</v>
      </c>
      <c r="T26" s="239">
        <f t="shared" ref="T26" si="63">EOMONTH(S26,1)</f>
        <v>44804</v>
      </c>
      <c r="U26" s="239">
        <f t="shared" ref="U26" si="64">EOMONTH(T26,1)</f>
        <v>44834</v>
      </c>
      <c r="V26" s="239">
        <f t="shared" ref="V26" si="65">EOMONTH(U26,1)</f>
        <v>44865</v>
      </c>
      <c r="W26" s="239">
        <f t="shared" ref="W26" si="66">EOMONTH(V26,1)</f>
        <v>44895</v>
      </c>
      <c r="X26" s="239">
        <f t="shared" ref="X26" si="67">EOMONTH(W26,1)</f>
        <v>44926</v>
      </c>
      <c r="Y26" s="239">
        <f t="shared" ref="Y26" si="68">EOMONTH(X26,1)</f>
        <v>44957</v>
      </c>
      <c r="Z26" s="239">
        <f t="shared" ref="Z26" si="69">EOMONTH(Y26,1)</f>
        <v>44985</v>
      </c>
      <c r="AA26" s="239">
        <f t="shared" ref="AA26" si="70">EOMONTH(Z26,1)</f>
        <v>45016</v>
      </c>
      <c r="AB26" s="239">
        <f t="shared" ref="AB26" si="71">EOMONTH(AA26,1)</f>
        <v>45046</v>
      </c>
      <c r="AD26" s="97"/>
      <c r="AE26" s="97"/>
      <c r="AF26" s="97"/>
      <c r="AG26" s="97"/>
      <c r="AH26" s="97"/>
      <c r="AI26" s="97"/>
      <c r="AJ26" s="97"/>
      <c r="AK26" s="97"/>
      <c r="AL26" s="97"/>
      <c r="AM26" s="97"/>
      <c r="AN26" s="97"/>
      <c r="AO26" s="97"/>
    </row>
    <row r="27" spans="1:41" s="108" customFormat="1" ht="20.149999999999999" customHeight="1" x14ac:dyDescent="0.25">
      <c r="B27" s="238">
        <v>7</v>
      </c>
      <c r="C27" s="266" t="str">
        <f>IF(B27=0,"",CONCATENATE("Jornadas de ",B27," horas: "))</f>
        <v xml:space="preserve">Jornadas de 7 horas: </v>
      </c>
      <c r="D27" s="240">
        <v>22</v>
      </c>
      <c r="E27" s="240">
        <v>20</v>
      </c>
      <c r="F27" s="240">
        <v>21</v>
      </c>
      <c r="G27" s="240">
        <v>21</v>
      </c>
      <c r="H27" s="240">
        <v>22</v>
      </c>
      <c r="I27" s="240">
        <v>22</v>
      </c>
      <c r="J27" s="240">
        <v>22</v>
      </c>
      <c r="K27" s="240">
        <v>21</v>
      </c>
      <c r="L27" s="240">
        <v>22</v>
      </c>
      <c r="M27" s="240">
        <v>16</v>
      </c>
      <c r="N27" s="240"/>
      <c r="O27" s="240"/>
      <c r="P27" s="240"/>
      <c r="Q27" s="240"/>
      <c r="R27" s="240"/>
      <c r="S27" s="240"/>
      <c r="T27" s="240"/>
      <c r="U27" s="240"/>
      <c r="V27" s="240"/>
      <c r="W27" s="240"/>
      <c r="X27" s="240"/>
      <c r="Y27" s="240"/>
      <c r="Z27" s="240"/>
      <c r="AA27" s="240"/>
      <c r="AB27" s="240"/>
      <c r="AD27" s="97"/>
      <c r="AE27" s="97"/>
      <c r="AF27" s="97"/>
      <c r="AG27" s="97"/>
      <c r="AH27" s="97"/>
      <c r="AI27" s="97"/>
      <c r="AJ27" s="97"/>
      <c r="AK27" s="97"/>
      <c r="AL27" s="97"/>
      <c r="AM27" s="97"/>
      <c r="AN27" s="97"/>
      <c r="AO27" s="97"/>
    </row>
    <row r="28" spans="1:41" s="108" customFormat="1" ht="20.149999999999999" customHeight="1" x14ac:dyDescent="0.25">
      <c r="B28" s="238"/>
      <c r="C28" s="266" t="str">
        <f t="shared" ref="C28:C31" si="72">IF(B28=0,"",CONCATENATE("Jornadas de ",B28," horas: "))</f>
        <v/>
      </c>
      <c r="D28" s="240"/>
      <c r="E28" s="240"/>
      <c r="F28" s="240"/>
      <c r="G28" s="240"/>
      <c r="H28" s="240"/>
      <c r="I28" s="240"/>
      <c r="J28" s="240"/>
      <c r="K28" s="240"/>
      <c r="L28" s="240"/>
      <c r="M28" s="240"/>
      <c r="N28" s="240"/>
      <c r="O28" s="240"/>
      <c r="P28" s="240"/>
      <c r="Q28" s="240"/>
      <c r="R28" s="240"/>
      <c r="S28" s="240"/>
      <c r="T28" s="240"/>
      <c r="U28" s="240"/>
      <c r="V28" s="240"/>
      <c r="W28" s="240"/>
      <c r="X28" s="240"/>
      <c r="Y28" s="240"/>
      <c r="Z28" s="240"/>
      <c r="AA28" s="240"/>
      <c r="AB28" s="240"/>
      <c r="AD28" s="97"/>
      <c r="AE28" s="97"/>
      <c r="AF28" s="97"/>
      <c r="AG28" s="97"/>
      <c r="AH28" s="97"/>
      <c r="AI28" s="97"/>
      <c r="AJ28" s="97"/>
      <c r="AK28" s="97"/>
      <c r="AL28" s="97"/>
      <c r="AM28" s="97"/>
      <c r="AN28" s="97"/>
      <c r="AO28" s="97"/>
    </row>
    <row r="29" spans="1:41" s="108" customFormat="1" ht="20.149999999999999" customHeight="1" x14ac:dyDescent="0.25">
      <c r="B29" s="238"/>
      <c r="C29" s="266" t="str">
        <f t="shared" si="72"/>
        <v/>
      </c>
      <c r="D29" s="240"/>
      <c r="E29" s="240"/>
      <c r="F29" s="240"/>
      <c r="G29" s="240"/>
      <c r="H29" s="240"/>
      <c r="I29" s="240"/>
      <c r="J29" s="240"/>
      <c r="K29" s="240"/>
      <c r="L29" s="240"/>
      <c r="M29" s="240"/>
      <c r="N29" s="240"/>
      <c r="O29" s="240"/>
      <c r="P29" s="240"/>
      <c r="Q29" s="240"/>
      <c r="R29" s="240"/>
      <c r="S29" s="240"/>
      <c r="T29" s="240"/>
      <c r="U29" s="240"/>
      <c r="V29" s="240"/>
      <c r="W29" s="240"/>
      <c r="X29" s="240"/>
      <c r="Y29" s="240"/>
      <c r="Z29" s="240"/>
      <c r="AA29" s="240"/>
      <c r="AB29" s="240"/>
      <c r="AD29" s="97"/>
      <c r="AE29" s="97"/>
      <c r="AF29" s="97"/>
      <c r="AG29" s="97"/>
      <c r="AH29" s="97"/>
      <c r="AI29" s="97"/>
      <c r="AJ29" s="97"/>
      <c r="AK29" s="97"/>
      <c r="AL29" s="97"/>
      <c r="AM29" s="97"/>
      <c r="AN29" s="97"/>
      <c r="AO29" s="97"/>
    </row>
    <row r="30" spans="1:41" s="108" customFormat="1" ht="20.149999999999999" customHeight="1" x14ac:dyDescent="0.25">
      <c r="B30" s="238"/>
      <c r="C30" s="266"/>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D30" s="97"/>
      <c r="AE30" s="97"/>
      <c r="AF30" s="97"/>
      <c r="AG30" s="97"/>
      <c r="AH30" s="97"/>
      <c r="AI30" s="97"/>
      <c r="AJ30" s="97"/>
      <c r="AK30" s="97"/>
      <c r="AL30" s="97"/>
      <c r="AM30" s="97"/>
      <c r="AN30" s="97"/>
      <c r="AO30" s="97"/>
    </row>
    <row r="31" spans="1:41" s="108" customFormat="1" ht="20.149999999999999" customHeight="1" x14ac:dyDescent="0.25">
      <c r="B31" s="238"/>
      <c r="C31" s="266" t="str">
        <f t="shared" si="72"/>
        <v/>
      </c>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D31" s="97"/>
      <c r="AE31" s="97"/>
      <c r="AF31" s="97"/>
      <c r="AG31" s="97"/>
      <c r="AH31" s="97"/>
      <c r="AI31" s="97"/>
      <c r="AJ31" s="97"/>
      <c r="AK31" s="97"/>
      <c r="AL31" s="97"/>
      <c r="AM31" s="97"/>
      <c r="AN31" s="97"/>
      <c r="AO31" s="97"/>
    </row>
    <row r="32" spans="1:41" s="108" customFormat="1" ht="20.149999999999999" customHeight="1" x14ac:dyDescent="0.25">
      <c r="B32" s="267"/>
      <c r="C32" s="267" t="s">
        <v>272</v>
      </c>
      <c r="D32" s="268">
        <f t="shared" ref="D32:AB32" si="73">SUMPRODUCT(D27:D31,$B$27:$B$31)</f>
        <v>154</v>
      </c>
      <c r="E32" s="268">
        <f t="shared" si="73"/>
        <v>140</v>
      </c>
      <c r="F32" s="268">
        <f t="shared" si="73"/>
        <v>147</v>
      </c>
      <c r="G32" s="268">
        <f t="shared" si="73"/>
        <v>147</v>
      </c>
      <c r="H32" s="268">
        <f t="shared" si="73"/>
        <v>154</v>
      </c>
      <c r="I32" s="268">
        <f t="shared" si="73"/>
        <v>154</v>
      </c>
      <c r="J32" s="268">
        <f t="shared" si="73"/>
        <v>154</v>
      </c>
      <c r="K32" s="268">
        <f t="shared" si="73"/>
        <v>147</v>
      </c>
      <c r="L32" s="268">
        <f t="shared" si="73"/>
        <v>154</v>
      </c>
      <c r="M32" s="268">
        <f t="shared" si="73"/>
        <v>112</v>
      </c>
      <c r="N32" s="268">
        <f t="shared" si="73"/>
        <v>0</v>
      </c>
      <c r="O32" s="268">
        <f t="shared" si="73"/>
        <v>0</v>
      </c>
      <c r="P32" s="268">
        <f t="shared" si="73"/>
        <v>0</v>
      </c>
      <c r="Q32" s="268">
        <f t="shared" si="73"/>
        <v>0</v>
      </c>
      <c r="R32" s="268">
        <f t="shared" si="73"/>
        <v>0</v>
      </c>
      <c r="S32" s="268">
        <f t="shared" si="73"/>
        <v>0</v>
      </c>
      <c r="T32" s="268">
        <f t="shared" si="73"/>
        <v>0</v>
      </c>
      <c r="U32" s="268">
        <f t="shared" si="73"/>
        <v>0</v>
      </c>
      <c r="V32" s="268">
        <f t="shared" si="73"/>
        <v>0</v>
      </c>
      <c r="W32" s="268">
        <f t="shared" si="73"/>
        <v>0</v>
      </c>
      <c r="X32" s="268">
        <f t="shared" si="73"/>
        <v>0</v>
      </c>
      <c r="Y32" s="268">
        <f t="shared" si="73"/>
        <v>0</v>
      </c>
      <c r="Z32" s="268">
        <f t="shared" si="73"/>
        <v>0</v>
      </c>
      <c r="AA32" s="268">
        <f t="shared" si="73"/>
        <v>0</v>
      </c>
      <c r="AB32" s="268">
        <f t="shared" si="73"/>
        <v>0</v>
      </c>
    </row>
    <row r="33" spans="1:41" s="108" customFormat="1" ht="20.149999999999999" customHeight="1" x14ac:dyDescent="0.25">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row>
    <row r="34" spans="1:41" x14ac:dyDescent="0.25">
      <c r="A34" s="108"/>
      <c r="D34" s="103"/>
      <c r="E34" s="103"/>
      <c r="F34" s="103"/>
      <c r="G34" s="103"/>
      <c r="H34" s="103"/>
      <c r="I34" s="103"/>
      <c r="J34" s="103"/>
      <c r="K34" s="103"/>
      <c r="L34" s="103"/>
      <c r="M34" s="103"/>
    </row>
    <row r="35" spans="1:41" ht="20.149999999999999" customHeight="1" x14ac:dyDescent="0.25">
      <c r="B35" s="351" t="s">
        <v>275</v>
      </c>
      <c r="C35" s="351"/>
      <c r="D35" s="352" t="s">
        <v>269</v>
      </c>
      <c r="E35" s="352"/>
      <c r="F35" s="352"/>
      <c r="G35" s="352"/>
      <c r="H35" s="103"/>
      <c r="I35" s="103"/>
      <c r="J35" s="103"/>
      <c r="K35" s="103"/>
      <c r="L35" s="103"/>
      <c r="M35" s="103"/>
      <c r="N35" s="103"/>
      <c r="O35" s="103"/>
      <c r="P35" s="103"/>
      <c r="Q35" s="103"/>
      <c r="R35" s="103"/>
    </row>
    <row r="36" spans="1:41" s="107" customFormat="1" ht="35.15" customHeight="1" x14ac:dyDescent="0.25">
      <c r="B36" s="303" t="s">
        <v>270</v>
      </c>
      <c r="C36" s="303" t="s">
        <v>271</v>
      </c>
      <c r="D36" s="239">
        <f>'Project Infor'!$C$8</f>
        <v>44287</v>
      </c>
      <c r="E36" s="239">
        <f t="shared" ref="E36" si="74">EOMONTH(D36,1)</f>
        <v>44347</v>
      </c>
      <c r="F36" s="239">
        <f t="shared" ref="F36" si="75">EOMONTH(E36,1)</f>
        <v>44377</v>
      </c>
      <c r="G36" s="239">
        <f t="shared" ref="G36" si="76">EOMONTH(F36,1)</f>
        <v>44408</v>
      </c>
      <c r="H36" s="239">
        <f t="shared" ref="H36" si="77">EOMONTH(G36,1)</f>
        <v>44439</v>
      </c>
      <c r="I36" s="239">
        <f t="shared" ref="I36" si="78">EOMONTH(H36,1)</f>
        <v>44469</v>
      </c>
      <c r="J36" s="239">
        <f t="shared" ref="J36" si="79">EOMONTH(I36,1)</f>
        <v>44500</v>
      </c>
      <c r="K36" s="239">
        <f t="shared" ref="K36" si="80">EOMONTH(J36,1)</f>
        <v>44530</v>
      </c>
      <c r="L36" s="239">
        <f t="shared" ref="L36" si="81">EOMONTH(K36,1)</f>
        <v>44561</v>
      </c>
      <c r="M36" s="239">
        <f t="shared" ref="M36" si="82">EOMONTH(L36,1)</f>
        <v>44592</v>
      </c>
      <c r="N36" s="239">
        <f t="shared" ref="N36" si="83">EOMONTH(M36,1)</f>
        <v>44620</v>
      </c>
      <c r="O36" s="239">
        <f t="shared" ref="O36" si="84">EOMONTH(N36,1)</f>
        <v>44651</v>
      </c>
      <c r="P36" s="239">
        <f t="shared" ref="P36" si="85">EOMONTH(O36,1)</f>
        <v>44681</v>
      </c>
      <c r="Q36" s="239">
        <f t="shared" ref="Q36" si="86">EOMONTH(P36,1)</f>
        <v>44712</v>
      </c>
      <c r="R36" s="239">
        <f t="shared" ref="R36" si="87">EOMONTH(Q36,1)</f>
        <v>44742</v>
      </c>
      <c r="S36" s="239">
        <f t="shared" ref="S36" si="88">EOMONTH(R36,1)</f>
        <v>44773</v>
      </c>
      <c r="T36" s="239">
        <f t="shared" ref="T36" si="89">EOMONTH(S36,1)</f>
        <v>44804</v>
      </c>
      <c r="U36" s="239">
        <f t="shared" ref="U36" si="90">EOMONTH(T36,1)</f>
        <v>44834</v>
      </c>
      <c r="V36" s="239">
        <f t="shared" ref="V36" si="91">EOMONTH(U36,1)</f>
        <v>44865</v>
      </c>
      <c r="W36" s="239">
        <f t="shared" ref="W36" si="92">EOMONTH(V36,1)</f>
        <v>44895</v>
      </c>
      <c r="X36" s="239">
        <f t="shared" ref="X36" si="93">EOMONTH(W36,1)</f>
        <v>44926</v>
      </c>
      <c r="Y36" s="239">
        <f t="shared" ref="Y36" si="94">EOMONTH(X36,1)</f>
        <v>44957</v>
      </c>
      <c r="Z36" s="239">
        <f t="shared" ref="Z36" si="95">EOMONTH(Y36,1)</f>
        <v>44985</v>
      </c>
      <c r="AA36" s="239">
        <f t="shared" ref="AA36" si="96">EOMONTH(Z36,1)</f>
        <v>45016</v>
      </c>
      <c r="AB36" s="239">
        <f t="shared" ref="AB36" si="97">EOMONTH(AA36,1)</f>
        <v>45046</v>
      </c>
      <c r="AD36" s="97"/>
      <c r="AE36" s="97"/>
      <c r="AF36" s="97"/>
      <c r="AG36" s="97"/>
      <c r="AH36" s="97"/>
      <c r="AI36" s="97"/>
      <c r="AJ36" s="97"/>
      <c r="AK36" s="97"/>
      <c r="AL36" s="97"/>
      <c r="AM36" s="97"/>
      <c r="AN36" s="97"/>
      <c r="AO36" s="97"/>
    </row>
    <row r="37" spans="1:41" s="108" customFormat="1" ht="20.149999999999999" customHeight="1" x14ac:dyDescent="0.25">
      <c r="B37" s="238">
        <v>7</v>
      </c>
      <c r="C37" s="266" t="str">
        <f>IF(B37=0,"",CONCATENATE("Jornadas de ",B37," horas: "))</f>
        <v xml:space="preserve">Jornadas de 7 horas: </v>
      </c>
      <c r="D37" s="240">
        <v>22</v>
      </c>
      <c r="E37" s="240">
        <v>20</v>
      </c>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D37" s="97"/>
      <c r="AE37" s="97"/>
      <c r="AF37" s="97"/>
      <c r="AG37" s="97"/>
      <c r="AH37" s="97"/>
      <c r="AI37" s="97"/>
      <c r="AJ37" s="97"/>
      <c r="AK37" s="97"/>
      <c r="AL37" s="97"/>
      <c r="AM37" s="97"/>
      <c r="AN37" s="97"/>
      <c r="AO37" s="97"/>
    </row>
    <row r="38" spans="1:41" s="108" customFormat="1" ht="20.149999999999999" customHeight="1" x14ac:dyDescent="0.25">
      <c r="B38" s="238"/>
      <c r="C38" s="266" t="str">
        <f t="shared" ref="C38:C41" si="98">IF(B38=0,"",CONCATENATE("Jornadas de ",B38," horas: "))</f>
        <v/>
      </c>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c r="AD38" s="97"/>
      <c r="AE38" s="97"/>
      <c r="AF38" s="97"/>
      <c r="AG38" s="97"/>
      <c r="AH38" s="97"/>
      <c r="AI38" s="97"/>
      <c r="AJ38" s="97"/>
      <c r="AK38" s="97"/>
      <c r="AL38" s="97"/>
      <c r="AM38" s="97"/>
      <c r="AN38" s="97"/>
      <c r="AO38" s="97"/>
    </row>
    <row r="39" spans="1:41" s="108" customFormat="1" ht="20.149999999999999" customHeight="1" x14ac:dyDescent="0.25">
      <c r="B39" s="238"/>
      <c r="C39" s="266" t="str">
        <f t="shared" si="98"/>
        <v/>
      </c>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D39" s="97"/>
      <c r="AE39" s="97"/>
      <c r="AF39" s="97"/>
      <c r="AG39" s="97"/>
      <c r="AH39" s="97"/>
      <c r="AI39" s="97"/>
      <c r="AJ39" s="97"/>
      <c r="AK39" s="97"/>
      <c r="AL39" s="97"/>
      <c r="AM39" s="97"/>
      <c r="AN39" s="97"/>
      <c r="AO39" s="97"/>
    </row>
    <row r="40" spans="1:41" s="108" customFormat="1" ht="20.149999999999999" customHeight="1" x14ac:dyDescent="0.25">
      <c r="B40" s="238"/>
      <c r="C40" s="266"/>
      <c r="D40" s="240"/>
      <c r="E40" s="240"/>
      <c r="F40" s="240"/>
      <c r="G40" s="240"/>
      <c r="H40" s="240"/>
      <c r="I40" s="240"/>
      <c r="J40" s="240"/>
      <c r="K40" s="240"/>
      <c r="L40" s="240"/>
      <c r="M40" s="240"/>
      <c r="N40" s="240"/>
      <c r="O40" s="240"/>
      <c r="P40" s="240"/>
      <c r="Q40" s="240"/>
      <c r="R40" s="240"/>
      <c r="S40" s="240"/>
      <c r="T40" s="240"/>
      <c r="U40" s="240"/>
      <c r="V40" s="240"/>
      <c r="W40" s="240"/>
      <c r="X40" s="240"/>
      <c r="Y40" s="240"/>
      <c r="Z40" s="240"/>
      <c r="AA40" s="240"/>
      <c r="AB40" s="240"/>
      <c r="AD40" s="97"/>
      <c r="AE40" s="97"/>
      <c r="AF40" s="97"/>
      <c r="AG40" s="97"/>
      <c r="AH40" s="97"/>
      <c r="AI40" s="97"/>
      <c r="AJ40" s="97"/>
      <c r="AK40" s="97"/>
      <c r="AL40" s="97"/>
      <c r="AM40" s="97"/>
      <c r="AN40" s="97"/>
      <c r="AO40" s="97"/>
    </row>
    <row r="41" spans="1:41" s="108" customFormat="1" ht="20.149999999999999" customHeight="1" x14ac:dyDescent="0.25">
      <c r="B41" s="237"/>
      <c r="C41" s="269" t="str">
        <f t="shared" si="98"/>
        <v/>
      </c>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D41" s="97"/>
      <c r="AE41" s="97"/>
      <c r="AF41" s="97"/>
      <c r="AG41" s="97"/>
      <c r="AH41" s="97"/>
      <c r="AI41" s="97"/>
      <c r="AJ41" s="97"/>
      <c r="AK41" s="97"/>
      <c r="AL41" s="97"/>
      <c r="AM41" s="97"/>
      <c r="AN41" s="97"/>
      <c r="AO41" s="97"/>
    </row>
    <row r="42" spans="1:41" s="108" customFormat="1" ht="20.149999999999999" customHeight="1" x14ac:dyDescent="0.25">
      <c r="B42" s="267"/>
      <c r="C42" s="267" t="s">
        <v>272</v>
      </c>
      <c r="D42" s="268">
        <f t="shared" ref="D42:AB42" si="99">SUMPRODUCT(D37:D41,$B$37:$B$41)</f>
        <v>154</v>
      </c>
      <c r="E42" s="268">
        <f t="shared" si="99"/>
        <v>140</v>
      </c>
      <c r="F42" s="268">
        <f t="shared" si="99"/>
        <v>0</v>
      </c>
      <c r="G42" s="268">
        <f t="shared" si="99"/>
        <v>0</v>
      </c>
      <c r="H42" s="268">
        <f t="shared" si="99"/>
        <v>0</v>
      </c>
      <c r="I42" s="268">
        <f t="shared" si="99"/>
        <v>0</v>
      </c>
      <c r="J42" s="268">
        <f t="shared" si="99"/>
        <v>0</v>
      </c>
      <c r="K42" s="268">
        <f t="shared" si="99"/>
        <v>0</v>
      </c>
      <c r="L42" s="268">
        <f t="shared" si="99"/>
        <v>0</v>
      </c>
      <c r="M42" s="268">
        <f t="shared" si="99"/>
        <v>0</v>
      </c>
      <c r="N42" s="268">
        <f t="shared" si="99"/>
        <v>0</v>
      </c>
      <c r="O42" s="268">
        <f t="shared" si="99"/>
        <v>0</v>
      </c>
      <c r="P42" s="268">
        <f t="shared" si="99"/>
        <v>0</v>
      </c>
      <c r="Q42" s="268">
        <f t="shared" si="99"/>
        <v>0</v>
      </c>
      <c r="R42" s="268">
        <f t="shared" si="99"/>
        <v>0</v>
      </c>
      <c r="S42" s="268">
        <f t="shared" si="99"/>
        <v>0</v>
      </c>
      <c r="T42" s="268">
        <f t="shared" si="99"/>
        <v>0</v>
      </c>
      <c r="U42" s="268">
        <f t="shared" si="99"/>
        <v>0</v>
      </c>
      <c r="V42" s="268">
        <f t="shared" si="99"/>
        <v>0</v>
      </c>
      <c r="W42" s="268">
        <f t="shared" si="99"/>
        <v>0</v>
      </c>
      <c r="X42" s="268">
        <f t="shared" si="99"/>
        <v>0</v>
      </c>
      <c r="Y42" s="268">
        <f t="shared" si="99"/>
        <v>0</v>
      </c>
      <c r="Z42" s="268">
        <f t="shared" si="99"/>
        <v>0</v>
      </c>
      <c r="AA42" s="268">
        <f t="shared" si="99"/>
        <v>0</v>
      </c>
      <c r="AB42" s="268">
        <f t="shared" si="99"/>
        <v>0</v>
      </c>
    </row>
    <row r="43" spans="1:41" s="108" customFormat="1" ht="20.149999999999999" customHeight="1" x14ac:dyDescent="0.25">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row>
    <row r="44" spans="1:41" x14ac:dyDescent="0.25">
      <c r="A44" s="108"/>
      <c r="D44" s="103"/>
      <c r="E44" s="103"/>
      <c r="F44" s="103"/>
      <c r="G44" s="103"/>
      <c r="H44" s="103"/>
      <c r="I44" s="103"/>
      <c r="J44" s="103"/>
      <c r="K44" s="103"/>
      <c r="L44" s="103"/>
      <c r="M44" s="103"/>
    </row>
    <row r="45" spans="1:41" ht="20.149999999999999" customHeight="1" x14ac:dyDescent="0.25">
      <c r="B45" s="351" t="s">
        <v>276</v>
      </c>
      <c r="C45" s="351"/>
      <c r="D45" s="352" t="s">
        <v>269</v>
      </c>
      <c r="E45" s="352"/>
      <c r="F45" s="352"/>
      <c r="G45" s="352"/>
      <c r="H45" s="103"/>
      <c r="I45" s="103"/>
      <c r="J45" s="103"/>
      <c r="K45" s="103"/>
      <c r="L45" s="103"/>
      <c r="M45" s="103"/>
      <c r="N45" s="103"/>
      <c r="O45" s="103"/>
      <c r="P45" s="103"/>
      <c r="Q45" s="103"/>
      <c r="R45" s="103"/>
    </row>
    <row r="46" spans="1:41" s="107" customFormat="1" ht="35.15" customHeight="1" x14ac:dyDescent="0.25">
      <c r="B46" s="303" t="s">
        <v>270</v>
      </c>
      <c r="C46" s="303" t="s">
        <v>271</v>
      </c>
      <c r="D46" s="239">
        <f>'Project Infor'!$C$8</f>
        <v>44287</v>
      </c>
      <c r="E46" s="239">
        <f t="shared" ref="E46" si="100">EOMONTH(D46,1)</f>
        <v>44347</v>
      </c>
      <c r="F46" s="239">
        <f t="shared" ref="F46" si="101">EOMONTH(E46,1)</f>
        <v>44377</v>
      </c>
      <c r="G46" s="239">
        <f t="shared" ref="G46" si="102">EOMONTH(F46,1)</f>
        <v>44408</v>
      </c>
      <c r="H46" s="239">
        <f t="shared" ref="H46" si="103">EOMONTH(G46,1)</f>
        <v>44439</v>
      </c>
      <c r="I46" s="239">
        <f t="shared" ref="I46" si="104">EOMONTH(H46,1)</f>
        <v>44469</v>
      </c>
      <c r="J46" s="239">
        <f t="shared" ref="J46" si="105">EOMONTH(I46,1)</f>
        <v>44500</v>
      </c>
      <c r="K46" s="239">
        <f t="shared" ref="K46" si="106">EOMONTH(J46,1)</f>
        <v>44530</v>
      </c>
      <c r="L46" s="239">
        <f t="shared" ref="L46" si="107">EOMONTH(K46,1)</f>
        <v>44561</v>
      </c>
      <c r="M46" s="239">
        <f t="shared" ref="M46" si="108">EOMONTH(L46,1)</f>
        <v>44592</v>
      </c>
      <c r="N46" s="239">
        <f t="shared" ref="N46" si="109">EOMONTH(M46,1)</f>
        <v>44620</v>
      </c>
      <c r="O46" s="239">
        <f t="shared" ref="O46" si="110">EOMONTH(N46,1)</f>
        <v>44651</v>
      </c>
      <c r="P46" s="239">
        <f t="shared" ref="P46" si="111">EOMONTH(O46,1)</f>
        <v>44681</v>
      </c>
      <c r="Q46" s="239">
        <f t="shared" ref="Q46" si="112">EOMONTH(P46,1)</f>
        <v>44712</v>
      </c>
      <c r="R46" s="239">
        <f t="shared" ref="R46" si="113">EOMONTH(Q46,1)</f>
        <v>44742</v>
      </c>
      <c r="S46" s="239">
        <f t="shared" ref="S46" si="114">EOMONTH(R46,1)</f>
        <v>44773</v>
      </c>
      <c r="T46" s="239">
        <f t="shared" ref="T46" si="115">EOMONTH(S46,1)</f>
        <v>44804</v>
      </c>
      <c r="U46" s="239">
        <f t="shared" ref="U46" si="116">EOMONTH(T46,1)</f>
        <v>44834</v>
      </c>
      <c r="V46" s="239">
        <f t="shared" ref="V46" si="117">EOMONTH(U46,1)</f>
        <v>44865</v>
      </c>
      <c r="W46" s="239">
        <f t="shared" ref="W46" si="118">EOMONTH(V46,1)</f>
        <v>44895</v>
      </c>
      <c r="X46" s="239">
        <f t="shared" ref="X46" si="119">EOMONTH(W46,1)</f>
        <v>44926</v>
      </c>
      <c r="Y46" s="239">
        <f t="shared" ref="Y46" si="120">EOMONTH(X46,1)</f>
        <v>44957</v>
      </c>
      <c r="Z46" s="239">
        <f t="shared" ref="Z46" si="121">EOMONTH(Y46,1)</f>
        <v>44985</v>
      </c>
      <c r="AA46" s="239">
        <f t="shared" ref="AA46" si="122">EOMONTH(Z46,1)</f>
        <v>45016</v>
      </c>
      <c r="AB46" s="239">
        <f t="shared" ref="AB46" si="123">EOMONTH(AA46,1)</f>
        <v>45046</v>
      </c>
      <c r="AD46" s="97"/>
      <c r="AE46" s="97"/>
      <c r="AF46" s="97"/>
      <c r="AG46" s="97"/>
      <c r="AH46" s="97"/>
      <c r="AI46" s="97"/>
      <c r="AJ46" s="97"/>
      <c r="AK46" s="97"/>
      <c r="AL46" s="97"/>
      <c r="AM46" s="97"/>
      <c r="AN46" s="97"/>
      <c r="AO46" s="97"/>
    </row>
    <row r="47" spans="1:41" s="108" customFormat="1" ht="20.149999999999999" customHeight="1" x14ac:dyDescent="0.25">
      <c r="B47" s="238">
        <v>7</v>
      </c>
      <c r="C47" s="266" t="str">
        <f>IF(B47=0,"",CONCATENATE("Jornadas de ",B47," horas: "))</f>
        <v xml:space="preserve">Jornadas de 7 horas: </v>
      </c>
      <c r="D47" s="240">
        <v>22</v>
      </c>
      <c r="E47" s="240">
        <v>20</v>
      </c>
      <c r="F47" s="240"/>
      <c r="G47" s="240"/>
      <c r="H47" s="240"/>
      <c r="I47" s="240"/>
      <c r="J47" s="240"/>
      <c r="K47" s="240"/>
      <c r="L47" s="240"/>
      <c r="M47" s="240"/>
      <c r="N47" s="240"/>
      <c r="O47" s="240"/>
      <c r="P47" s="240"/>
      <c r="Q47" s="240"/>
      <c r="R47" s="240"/>
      <c r="S47" s="240"/>
      <c r="T47" s="240"/>
      <c r="U47" s="240"/>
      <c r="V47" s="240"/>
      <c r="W47" s="240"/>
      <c r="X47" s="240"/>
      <c r="Y47" s="240"/>
      <c r="Z47" s="240"/>
      <c r="AA47" s="240"/>
      <c r="AB47" s="240"/>
      <c r="AD47" s="97"/>
      <c r="AE47" s="97"/>
      <c r="AF47" s="97"/>
      <c r="AG47" s="97"/>
      <c r="AH47" s="97"/>
      <c r="AI47" s="97"/>
      <c r="AJ47" s="97"/>
      <c r="AK47" s="97"/>
      <c r="AL47" s="97"/>
      <c r="AM47" s="97"/>
      <c r="AN47" s="97"/>
      <c r="AO47" s="97"/>
    </row>
    <row r="48" spans="1:41" s="108" customFormat="1" ht="20.149999999999999" customHeight="1" x14ac:dyDescent="0.25">
      <c r="B48" s="238"/>
      <c r="C48" s="266" t="str">
        <f t="shared" ref="C48:C51" si="124">IF(B48=0,"",CONCATENATE("Jornadas de ",B48," horas: "))</f>
        <v/>
      </c>
      <c r="D48" s="240"/>
      <c r="E48" s="240"/>
      <c r="F48" s="240"/>
      <c r="G48" s="240"/>
      <c r="H48" s="240"/>
      <c r="I48" s="240"/>
      <c r="J48" s="240"/>
      <c r="K48" s="240"/>
      <c r="L48" s="240"/>
      <c r="M48" s="240"/>
      <c r="N48" s="240"/>
      <c r="O48" s="240"/>
      <c r="P48" s="240"/>
      <c r="Q48" s="240"/>
      <c r="R48" s="240"/>
      <c r="S48" s="240"/>
      <c r="T48" s="240"/>
      <c r="U48" s="240"/>
      <c r="V48" s="240"/>
      <c r="W48" s="240"/>
      <c r="X48" s="240"/>
      <c r="Y48" s="240"/>
      <c r="Z48" s="240"/>
      <c r="AA48" s="240"/>
      <c r="AB48" s="240"/>
      <c r="AD48" s="97"/>
      <c r="AE48" s="97"/>
      <c r="AF48" s="97"/>
      <c r="AG48" s="97"/>
      <c r="AH48" s="97"/>
      <c r="AI48" s="97"/>
      <c r="AJ48" s="97"/>
      <c r="AK48" s="97"/>
      <c r="AL48" s="97"/>
      <c r="AM48" s="97"/>
      <c r="AN48" s="97"/>
      <c r="AO48" s="97"/>
    </row>
    <row r="49" spans="1:41" s="108" customFormat="1" ht="20.149999999999999" customHeight="1" x14ac:dyDescent="0.25">
      <c r="B49" s="238"/>
      <c r="C49" s="266" t="str">
        <f t="shared" si="124"/>
        <v/>
      </c>
      <c r="D49" s="240"/>
      <c r="E49" s="240"/>
      <c r="F49" s="240"/>
      <c r="G49" s="240"/>
      <c r="H49" s="240"/>
      <c r="I49" s="240"/>
      <c r="J49" s="240"/>
      <c r="K49" s="240"/>
      <c r="L49" s="240"/>
      <c r="M49" s="240"/>
      <c r="N49" s="240"/>
      <c r="O49" s="240"/>
      <c r="P49" s="240"/>
      <c r="Q49" s="240"/>
      <c r="R49" s="240"/>
      <c r="S49" s="240"/>
      <c r="T49" s="240"/>
      <c r="U49" s="240"/>
      <c r="V49" s="240"/>
      <c r="W49" s="240"/>
      <c r="X49" s="240"/>
      <c r="Y49" s="240"/>
      <c r="Z49" s="240"/>
      <c r="AA49" s="240"/>
      <c r="AB49" s="240"/>
      <c r="AD49" s="97"/>
      <c r="AE49" s="97"/>
      <c r="AF49" s="97"/>
      <c r="AG49" s="97"/>
      <c r="AH49" s="97"/>
      <c r="AI49" s="97"/>
      <c r="AJ49" s="97"/>
      <c r="AK49" s="97"/>
      <c r="AL49" s="97"/>
      <c r="AM49" s="97"/>
      <c r="AN49" s="97"/>
      <c r="AO49" s="97"/>
    </row>
    <row r="50" spans="1:41" s="108" customFormat="1" ht="20.149999999999999" customHeight="1" x14ac:dyDescent="0.25">
      <c r="B50" s="238"/>
      <c r="C50" s="266"/>
      <c r="D50" s="240"/>
      <c r="E50" s="240"/>
      <c r="F50" s="240"/>
      <c r="G50" s="240"/>
      <c r="H50" s="240"/>
      <c r="I50" s="240"/>
      <c r="J50" s="240"/>
      <c r="K50" s="240"/>
      <c r="L50" s="240"/>
      <c r="M50" s="240"/>
      <c r="N50" s="240"/>
      <c r="O50" s="240"/>
      <c r="P50" s="240"/>
      <c r="Q50" s="240"/>
      <c r="R50" s="240"/>
      <c r="S50" s="240"/>
      <c r="T50" s="240"/>
      <c r="U50" s="240"/>
      <c r="V50" s="240"/>
      <c r="W50" s="240"/>
      <c r="X50" s="240"/>
      <c r="Y50" s="240"/>
      <c r="Z50" s="240"/>
      <c r="AA50" s="240"/>
      <c r="AB50" s="240"/>
      <c r="AD50" s="97"/>
      <c r="AE50" s="97"/>
      <c r="AF50" s="97"/>
      <c r="AG50" s="97"/>
      <c r="AH50" s="97"/>
      <c r="AI50" s="97"/>
      <c r="AJ50" s="97"/>
      <c r="AK50" s="97"/>
      <c r="AL50" s="97"/>
      <c r="AM50" s="97"/>
      <c r="AN50" s="97"/>
      <c r="AO50" s="97"/>
    </row>
    <row r="51" spans="1:41" s="108" customFormat="1" ht="20.149999999999999" customHeight="1" x14ac:dyDescent="0.25">
      <c r="B51" s="238"/>
      <c r="C51" s="266" t="str">
        <f t="shared" si="124"/>
        <v/>
      </c>
      <c r="D51" s="240"/>
      <c r="E51" s="240"/>
      <c r="F51" s="240"/>
      <c r="G51" s="240"/>
      <c r="H51" s="240"/>
      <c r="I51" s="240"/>
      <c r="J51" s="240"/>
      <c r="K51" s="240"/>
      <c r="L51" s="240"/>
      <c r="M51" s="240"/>
      <c r="N51" s="240"/>
      <c r="O51" s="240"/>
      <c r="P51" s="240"/>
      <c r="Q51" s="240"/>
      <c r="R51" s="240"/>
      <c r="S51" s="240"/>
      <c r="T51" s="240"/>
      <c r="U51" s="240"/>
      <c r="V51" s="240"/>
      <c r="W51" s="240"/>
      <c r="X51" s="240"/>
      <c r="Y51" s="240"/>
      <c r="Z51" s="240"/>
      <c r="AA51" s="240"/>
      <c r="AB51" s="240"/>
      <c r="AD51" s="97"/>
      <c r="AE51" s="97"/>
      <c r="AF51" s="97"/>
      <c r="AG51" s="97"/>
      <c r="AH51" s="97"/>
      <c r="AI51" s="97"/>
      <c r="AJ51" s="97"/>
      <c r="AK51" s="97"/>
      <c r="AL51" s="97"/>
      <c r="AM51" s="97"/>
      <c r="AN51" s="97"/>
      <c r="AO51" s="97"/>
    </row>
    <row r="52" spans="1:41" s="108" customFormat="1" ht="20.149999999999999" customHeight="1" x14ac:dyDescent="0.25">
      <c r="B52" s="267"/>
      <c r="C52" s="267" t="s">
        <v>272</v>
      </c>
      <c r="D52" s="268">
        <f>SUMPRODUCT(D47:D51,$B$47:$B$51)</f>
        <v>154</v>
      </c>
      <c r="E52" s="268">
        <f t="shared" ref="E52:AB52" si="125">SUMPRODUCT(E47:E51,$B$47:$B$51)</f>
        <v>140</v>
      </c>
      <c r="F52" s="268">
        <f t="shared" si="125"/>
        <v>0</v>
      </c>
      <c r="G52" s="268">
        <f t="shared" si="125"/>
        <v>0</v>
      </c>
      <c r="H52" s="268">
        <f t="shared" si="125"/>
        <v>0</v>
      </c>
      <c r="I52" s="268">
        <f t="shared" si="125"/>
        <v>0</v>
      </c>
      <c r="J52" s="268">
        <f t="shared" si="125"/>
        <v>0</v>
      </c>
      <c r="K52" s="268">
        <f t="shared" si="125"/>
        <v>0</v>
      </c>
      <c r="L52" s="268">
        <f t="shared" si="125"/>
        <v>0</v>
      </c>
      <c r="M52" s="268">
        <f>SUMPRODUCT(M47:M51,$B$47:$B$51)</f>
        <v>0</v>
      </c>
      <c r="N52" s="268">
        <f t="shared" si="125"/>
        <v>0</v>
      </c>
      <c r="O52" s="268">
        <f t="shared" si="125"/>
        <v>0</v>
      </c>
      <c r="P52" s="268">
        <f t="shared" si="125"/>
        <v>0</v>
      </c>
      <c r="Q52" s="268">
        <f t="shared" si="125"/>
        <v>0</v>
      </c>
      <c r="R52" s="268">
        <f t="shared" si="125"/>
        <v>0</v>
      </c>
      <c r="S52" s="268">
        <f>SUMPRODUCT(S47:S51,$B$47:$B$51)</f>
        <v>0</v>
      </c>
      <c r="T52" s="268">
        <f t="shared" si="125"/>
        <v>0</v>
      </c>
      <c r="U52" s="268">
        <f>SUMPRODUCT(U47:U51,$B$47:$B$51)</f>
        <v>0</v>
      </c>
      <c r="V52" s="268">
        <f t="shared" si="125"/>
        <v>0</v>
      </c>
      <c r="W52" s="268">
        <f t="shared" si="125"/>
        <v>0</v>
      </c>
      <c r="X52" s="268">
        <f t="shared" si="125"/>
        <v>0</v>
      </c>
      <c r="Y52" s="268">
        <f t="shared" si="125"/>
        <v>0</v>
      </c>
      <c r="Z52" s="268">
        <f t="shared" si="125"/>
        <v>0</v>
      </c>
      <c r="AA52" s="268">
        <f>SUMPRODUCT(AA47:AA51,$B$47:$B$51)</f>
        <v>0</v>
      </c>
      <c r="AB52" s="268">
        <f t="shared" si="125"/>
        <v>0</v>
      </c>
    </row>
    <row r="53" spans="1:41" s="108" customFormat="1" ht="20.149999999999999" customHeight="1" x14ac:dyDescent="0.25">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c r="AA53" s="187"/>
      <c r="AB53" s="187"/>
    </row>
    <row r="54" spans="1:41" x14ac:dyDescent="0.25">
      <c r="A54" s="108"/>
      <c r="D54" s="103"/>
      <c r="E54" s="103"/>
      <c r="F54" s="103"/>
      <c r="G54" s="103"/>
      <c r="H54" s="103"/>
      <c r="I54" s="103"/>
      <c r="J54" s="103"/>
      <c r="K54" s="103"/>
      <c r="L54" s="103"/>
      <c r="M54" s="103"/>
    </row>
    <row r="55" spans="1:41" ht="20.149999999999999" customHeight="1" x14ac:dyDescent="0.25">
      <c r="B55" s="351" t="s">
        <v>277</v>
      </c>
      <c r="C55" s="351"/>
      <c r="D55" s="352" t="s">
        <v>269</v>
      </c>
      <c r="E55" s="352"/>
      <c r="F55" s="352"/>
      <c r="G55" s="352"/>
      <c r="H55" s="103"/>
      <c r="I55" s="103"/>
      <c r="J55" s="103"/>
      <c r="K55" s="103"/>
      <c r="L55" s="103"/>
      <c r="M55" s="103"/>
      <c r="N55" s="103"/>
      <c r="O55" s="103"/>
      <c r="P55" s="103"/>
      <c r="Q55" s="103"/>
      <c r="R55" s="103"/>
    </row>
    <row r="56" spans="1:41" s="107" customFormat="1" ht="35.15" customHeight="1" x14ac:dyDescent="0.25">
      <c r="B56" s="303" t="s">
        <v>270</v>
      </c>
      <c r="C56" s="303" t="s">
        <v>271</v>
      </c>
      <c r="D56" s="239">
        <f>'Project Infor'!$C$8</f>
        <v>44287</v>
      </c>
      <c r="E56" s="239">
        <f t="shared" ref="E56" si="126">EOMONTH(D56,1)</f>
        <v>44347</v>
      </c>
      <c r="F56" s="239">
        <f t="shared" ref="F56" si="127">EOMONTH(E56,1)</f>
        <v>44377</v>
      </c>
      <c r="G56" s="239">
        <f t="shared" ref="G56" si="128">EOMONTH(F56,1)</f>
        <v>44408</v>
      </c>
      <c r="H56" s="239">
        <f t="shared" ref="H56" si="129">EOMONTH(G56,1)</f>
        <v>44439</v>
      </c>
      <c r="I56" s="239">
        <f t="shared" ref="I56" si="130">EOMONTH(H56,1)</f>
        <v>44469</v>
      </c>
      <c r="J56" s="239">
        <f t="shared" ref="J56" si="131">EOMONTH(I56,1)</f>
        <v>44500</v>
      </c>
      <c r="K56" s="239">
        <f t="shared" ref="K56" si="132">EOMONTH(J56,1)</f>
        <v>44530</v>
      </c>
      <c r="L56" s="239">
        <f t="shared" ref="L56" si="133">EOMONTH(K56,1)</f>
        <v>44561</v>
      </c>
      <c r="M56" s="239">
        <f t="shared" ref="M56" si="134">EOMONTH(L56,1)</f>
        <v>44592</v>
      </c>
      <c r="N56" s="239">
        <f t="shared" ref="N56" si="135">EOMONTH(M56,1)</f>
        <v>44620</v>
      </c>
      <c r="O56" s="239">
        <f t="shared" ref="O56" si="136">EOMONTH(N56,1)</f>
        <v>44651</v>
      </c>
      <c r="P56" s="239">
        <f t="shared" ref="P56" si="137">EOMONTH(O56,1)</f>
        <v>44681</v>
      </c>
      <c r="Q56" s="239">
        <f t="shared" ref="Q56" si="138">EOMONTH(P56,1)</f>
        <v>44712</v>
      </c>
      <c r="R56" s="239">
        <f t="shared" ref="R56" si="139">EOMONTH(Q56,1)</f>
        <v>44742</v>
      </c>
      <c r="S56" s="239">
        <f t="shared" ref="S56" si="140">EOMONTH(R56,1)</f>
        <v>44773</v>
      </c>
      <c r="T56" s="239">
        <f t="shared" ref="T56" si="141">EOMONTH(S56,1)</f>
        <v>44804</v>
      </c>
      <c r="U56" s="239">
        <f t="shared" ref="U56" si="142">EOMONTH(T56,1)</f>
        <v>44834</v>
      </c>
      <c r="V56" s="239">
        <f t="shared" ref="V56" si="143">EOMONTH(U56,1)</f>
        <v>44865</v>
      </c>
      <c r="W56" s="239">
        <f t="shared" ref="W56" si="144">EOMONTH(V56,1)</f>
        <v>44895</v>
      </c>
      <c r="X56" s="239">
        <f t="shared" ref="X56" si="145">EOMONTH(W56,1)</f>
        <v>44926</v>
      </c>
      <c r="Y56" s="239">
        <f t="shared" ref="Y56" si="146">EOMONTH(X56,1)</f>
        <v>44957</v>
      </c>
      <c r="Z56" s="239">
        <f t="shared" ref="Z56" si="147">EOMONTH(Y56,1)</f>
        <v>44985</v>
      </c>
      <c r="AA56" s="239">
        <f t="shared" ref="AA56" si="148">EOMONTH(Z56,1)</f>
        <v>45016</v>
      </c>
      <c r="AB56" s="239">
        <f t="shared" ref="AB56" si="149">EOMONTH(AA56,1)</f>
        <v>45046</v>
      </c>
      <c r="AD56" s="97"/>
      <c r="AE56" s="97"/>
      <c r="AF56" s="97"/>
      <c r="AG56" s="97"/>
      <c r="AH56" s="97"/>
      <c r="AI56" s="97"/>
      <c r="AJ56" s="97"/>
      <c r="AK56" s="97"/>
      <c r="AL56" s="97"/>
      <c r="AM56" s="97"/>
      <c r="AN56" s="97"/>
      <c r="AO56" s="97"/>
    </row>
    <row r="57" spans="1:41" s="108" customFormat="1" ht="20.149999999999999" customHeight="1" x14ac:dyDescent="0.25">
      <c r="B57" s="238"/>
      <c r="C57" s="266"/>
      <c r="D57" s="240"/>
      <c r="E57" s="240"/>
      <c r="F57" s="240"/>
      <c r="G57" s="240"/>
      <c r="H57" s="240"/>
      <c r="I57" s="240"/>
      <c r="J57" s="240"/>
      <c r="K57" s="240"/>
      <c r="L57" s="240"/>
      <c r="M57" s="240"/>
      <c r="N57" s="240"/>
      <c r="O57" s="240"/>
      <c r="P57" s="240"/>
      <c r="Q57" s="240"/>
      <c r="R57" s="240"/>
      <c r="S57" s="240"/>
      <c r="T57" s="240"/>
      <c r="U57" s="240"/>
      <c r="V57" s="240"/>
      <c r="W57" s="240"/>
      <c r="X57" s="240"/>
      <c r="Y57" s="240"/>
      <c r="Z57" s="240"/>
      <c r="AA57" s="240"/>
      <c r="AB57" s="240"/>
      <c r="AD57" s="97"/>
      <c r="AE57" s="97"/>
      <c r="AF57" s="97"/>
      <c r="AG57" s="97"/>
      <c r="AH57" s="97"/>
      <c r="AI57" s="97"/>
      <c r="AJ57" s="97"/>
      <c r="AK57" s="97"/>
      <c r="AL57" s="97"/>
      <c r="AM57" s="97"/>
      <c r="AN57" s="97"/>
      <c r="AO57" s="97"/>
    </row>
    <row r="58" spans="1:41" s="108" customFormat="1" ht="20.149999999999999" customHeight="1" x14ac:dyDescent="0.25">
      <c r="B58" s="238"/>
      <c r="C58" s="266" t="str">
        <f t="shared" ref="C58:C61" si="150">IF(B58=0,"",CONCATENATE("Jornadas de ",B58," horas: "))</f>
        <v/>
      </c>
      <c r="D58" s="240"/>
      <c r="E58" s="240"/>
      <c r="F58" s="240"/>
      <c r="G58" s="240"/>
      <c r="H58" s="240"/>
      <c r="I58" s="240"/>
      <c r="J58" s="240"/>
      <c r="K58" s="240"/>
      <c r="L58" s="240"/>
      <c r="M58" s="240"/>
      <c r="N58" s="240"/>
      <c r="O58" s="240"/>
      <c r="P58" s="240"/>
      <c r="Q58" s="240"/>
      <c r="R58" s="240"/>
      <c r="S58" s="240"/>
      <c r="T58" s="240"/>
      <c r="U58" s="240"/>
      <c r="V58" s="240"/>
      <c r="W58" s="240"/>
      <c r="X58" s="240"/>
      <c r="Y58" s="240"/>
      <c r="Z58" s="240"/>
      <c r="AA58" s="240"/>
      <c r="AB58" s="240"/>
      <c r="AD58" s="97"/>
      <c r="AE58" s="97"/>
      <c r="AF58" s="97"/>
      <c r="AG58" s="97"/>
      <c r="AH58" s="97"/>
      <c r="AI58" s="97"/>
      <c r="AJ58" s="97"/>
      <c r="AK58" s="97"/>
      <c r="AL58" s="97"/>
      <c r="AM58" s="97"/>
      <c r="AN58" s="97"/>
      <c r="AO58" s="97"/>
    </row>
    <row r="59" spans="1:41" s="108" customFormat="1" ht="20.149999999999999" customHeight="1" x14ac:dyDescent="0.25">
      <c r="B59" s="238"/>
      <c r="C59" s="266" t="str">
        <f t="shared" si="150"/>
        <v/>
      </c>
      <c r="D59" s="240"/>
      <c r="E59" s="240"/>
      <c r="F59" s="240"/>
      <c r="G59" s="240"/>
      <c r="H59" s="240"/>
      <c r="I59" s="240"/>
      <c r="J59" s="240"/>
      <c r="K59" s="240"/>
      <c r="L59" s="240"/>
      <c r="M59" s="240"/>
      <c r="N59" s="240"/>
      <c r="O59" s="240"/>
      <c r="P59" s="240"/>
      <c r="Q59" s="240"/>
      <c r="R59" s="240"/>
      <c r="S59" s="240"/>
      <c r="T59" s="240"/>
      <c r="U59" s="240"/>
      <c r="V59" s="240"/>
      <c r="W59" s="240"/>
      <c r="X59" s="240"/>
      <c r="Y59" s="240"/>
      <c r="Z59" s="240"/>
      <c r="AA59" s="240"/>
      <c r="AB59" s="240"/>
      <c r="AD59" s="97"/>
      <c r="AE59" s="97"/>
      <c r="AF59" s="97"/>
      <c r="AG59" s="97"/>
      <c r="AH59" s="97"/>
      <c r="AI59" s="97"/>
      <c r="AJ59" s="97"/>
      <c r="AK59" s="97"/>
      <c r="AL59" s="97"/>
      <c r="AM59" s="97"/>
      <c r="AN59" s="97"/>
      <c r="AO59" s="97"/>
    </row>
    <row r="60" spans="1:41" s="108" customFormat="1" ht="20.149999999999999" customHeight="1" x14ac:dyDescent="0.25">
      <c r="B60" s="238"/>
      <c r="C60" s="266"/>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D60" s="97"/>
      <c r="AE60" s="97"/>
      <c r="AF60" s="97"/>
      <c r="AG60" s="97"/>
      <c r="AH60" s="97"/>
      <c r="AI60" s="97"/>
      <c r="AJ60" s="97"/>
      <c r="AK60" s="97"/>
      <c r="AL60" s="97"/>
      <c r="AM60" s="97"/>
      <c r="AN60" s="97"/>
      <c r="AO60" s="97"/>
    </row>
    <row r="61" spans="1:41" s="108" customFormat="1" ht="20.149999999999999" customHeight="1" x14ac:dyDescent="0.25">
      <c r="B61" s="238"/>
      <c r="C61" s="266" t="str">
        <f t="shared" si="150"/>
        <v/>
      </c>
      <c r="D61" s="240"/>
      <c r="E61" s="240"/>
      <c r="F61" s="240"/>
      <c r="G61" s="240"/>
      <c r="H61" s="240"/>
      <c r="I61" s="240"/>
      <c r="J61" s="240"/>
      <c r="K61" s="240"/>
      <c r="L61" s="240"/>
      <c r="M61" s="240"/>
      <c r="N61" s="240"/>
      <c r="O61" s="240"/>
      <c r="P61" s="240"/>
      <c r="Q61" s="240"/>
      <c r="R61" s="240"/>
      <c r="S61" s="240"/>
      <c r="T61" s="240"/>
      <c r="U61" s="240"/>
      <c r="V61" s="240"/>
      <c r="W61" s="240"/>
      <c r="X61" s="240"/>
      <c r="Y61" s="240"/>
      <c r="Z61" s="240"/>
      <c r="AA61" s="240"/>
      <c r="AB61" s="240"/>
      <c r="AD61" s="97"/>
      <c r="AE61" s="97"/>
      <c r="AF61" s="97"/>
      <c r="AG61" s="97"/>
      <c r="AH61" s="97"/>
      <c r="AI61" s="97"/>
      <c r="AJ61" s="97"/>
      <c r="AK61" s="97"/>
      <c r="AL61" s="97"/>
      <c r="AM61" s="97"/>
      <c r="AN61" s="97"/>
      <c r="AO61" s="97"/>
    </row>
    <row r="62" spans="1:41" s="108" customFormat="1" ht="20.149999999999999" customHeight="1" x14ac:dyDescent="0.25">
      <c r="B62" s="267"/>
      <c r="C62" s="267" t="s">
        <v>272</v>
      </c>
      <c r="D62" s="268">
        <f>SUMPRODUCT(D57:D61,$B$57:$B$61)</f>
        <v>0</v>
      </c>
      <c r="E62" s="268">
        <f t="shared" ref="E62:AA62" si="151">SUMPRODUCT(E57:E61,$B$57:$B$61)</f>
        <v>0</v>
      </c>
      <c r="F62" s="268">
        <f>SUMPRODUCT(F57:F61,$B$57:$B$61)</f>
        <v>0</v>
      </c>
      <c r="G62" s="268">
        <f t="shared" si="151"/>
        <v>0</v>
      </c>
      <c r="H62" s="268">
        <f t="shared" si="151"/>
        <v>0</v>
      </c>
      <c r="I62" s="268">
        <f t="shared" si="151"/>
        <v>0</v>
      </c>
      <c r="J62" s="268">
        <f t="shared" si="151"/>
        <v>0</v>
      </c>
      <c r="K62" s="268">
        <f>SUMPRODUCT(K57:K61,$B$57:$B$61)</f>
        <v>0</v>
      </c>
      <c r="L62" s="268">
        <f t="shared" si="151"/>
        <v>0</v>
      </c>
      <c r="M62" s="268">
        <f t="shared" si="151"/>
        <v>0</v>
      </c>
      <c r="N62" s="268">
        <f>SUMPRODUCT(N57:N61,$B$57:$B$61)</f>
        <v>0</v>
      </c>
      <c r="O62" s="268">
        <f t="shared" si="151"/>
        <v>0</v>
      </c>
      <c r="P62" s="268">
        <f>SUMPRODUCT(P57:P61,$B$57:$B$61)</f>
        <v>0</v>
      </c>
      <c r="Q62" s="268">
        <f t="shared" si="151"/>
        <v>0</v>
      </c>
      <c r="R62" s="268">
        <f t="shared" si="151"/>
        <v>0</v>
      </c>
      <c r="S62" s="268">
        <f t="shared" si="151"/>
        <v>0</v>
      </c>
      <c r="T62" s="268">
        <f t="shared" si="151"/>
        <v>0</v>
      </c>
      <c r="U62" s="268">
        <f t="shared" si="151"/>
        <v>0</v>
      </c>
      <c r="V62" s="268">
        <f t="shared" si="151"/>
        <v>0</v>
      </c>
      <c r="W62" s="268">
        <f t="shared" si="151"/>
        <v>0</v>
      </c>
      <c r="X62" s="268">
        <f t="shared" si="151"/>
        <v>0</v>
      </c>
      <c r="Y62" s="268">
        <f t="shared" si="151"/>
        <v>0</v>
      </c>
      <c r="Z62" s="268">
        <f>SUMPRODUCT(Z57:Z61,$B$57:$B$61)</f>
        <v>0</v>
      </c>
      <c r="AA62" s="268">
        <f t="shared" si="151"/>
        <v>0</v>
      </c>
      <c r="AB62" s="268">
        <f>SUMPRODUCT(AB57:AB61,$B$57:$B$61)</f>
        <v>0</v>
      </c>
    </row>
    <row r="63" spans="1:41" s="108" customFormat="1" ht="20.149999999999999" customHeight="1" x14ac:dyDescent="0.25">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row>
    <row r="64" spans="1:41" x14ac:dyDescent="0.25">
      <c r="D64" s="103"/>
      <c r="E64" s="103"/>
      <c r="F64" s="103"/>
      <c r="G64" s="103"/>
      <c r="H64" s="103"/>
      <c r="I64" s="103"/>
      <c r="J64" s="103"/>
      <c r="K64" s="103"/>
      <c r="L64" s="103"/>
      <c r="M64" s="103"/>
    </row>
    <row r="65" spans="4:13" x14ac:dyDescent="0.25">
      <c r="D65" s="103"/>
      <c r="E65" s="103"/>
      <c r="F65" s="103"/>
      <c r="G65" s="103"/>
      <c r="H65" s="103"/>
      <c r="I65" s="103"/>
      <c r="J65" s="103"/>
      <c r="K65" s="103"/>
      <c r="L65" s="103"/>
      <c r="M65" s="103"/>
    </row>
    <row r="66" spans="4:13" x14ac:dyDescent="0.25">
      <c r="F66" s="103"/>
      <c r="G66" s="103"/>
      <c r="H66" s="103"/>
    </row>
    <row r="67" spans="4:13" x14ac:dyDescent="0.25">
      <c r="F67" s="103"/>
      <c r="G67" s="103"/>
      <c r="H67" s="103"/>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f48deddc6bffdc45fb3ed0ec71e33c6c">
  <xsd:schema xmlns:xsd="http://www.w3.org/2001/XMLSchema" xmlns:xs="http://www.w3.org/2001/XMLSchema" xmlns:p="http://schemas.microsoft.com/office/2006/metadata/properties" xmlns:ns2="7dc5af80-ab8f-4cff-b7cb-3463b3238b39" targetNamespace="http://schemas.microsoft.com/office/2006/metadata/properties" ma:root="true" ma:fieldsID="a8808579f8fa9f9643be1385777e037d"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53D5CC-2F3C-48AA-8382-954EB2322467}">
  <ds:schemaRefs>
    <ds:schemaRef ds:uri="http://schemas.microsoft.com/sharepoint/v3/contenttype/forms"/>
  </ds:schemaRefs>
</ds:datastoreItem>
</file>

<file path=customXml/itemProps2.xml><?xml version="1.0" encoding="utf-8"?>
<ds:datastoreItem xmlns:ds="http://schemas.openxmlformats.org/officeDocument/2006/customXml" ds:itemID="{F36A1B76-9E34-462B-9C68-1BC8027D2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4A36B1-E557-480A-80A5-281FC452AC8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2026-04-29T09:31:12Z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