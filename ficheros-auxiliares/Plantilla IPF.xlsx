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ortega\Documents\UiPath\oportunidad-generar-core-v2\Info complementaria\"/>
    </mc:Choice>
  </mc:AlternateContent>
  <xr:revisionPtr revIDLastSave="0" documentId="13_ncr:1_{55F90DDD-0611-45D2-B2CA-ECE6DC691151}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Invoice Request" sheetId="5" r:id="rId1"/>
    <sheet name="UC Maint Contract+Inv Request" sheetId="4" state="hidden" r:id="rId2"/>
    <sheet name="Billing template instructions" sheetId="2" state="hidden" r:id="rId3"/>
    <sheet name="Lists" sheetId="1" state="hidden" r:id="rId4"/>
    <sheet name="UC WBS codes" sheetId="6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2" i="5" l="1"/>
  <c r="E37" i="4"/>
  <c r="H53" i="4"/>
  <c r="H54" i="4" s="1"/>
  <c r="H13" i="4"/>
  <c r="H12" i="4"/>
  <c r="B18" i="1"/>
  <c r="C37" i="4" s="1"/>
  <c r="B17" i="1"/>
  <c r="C13" i="4" s="1"/>
  <c r="D34" i="4" l="1"/>
  <c r="B59" i="5"/>
  <c r="F38" i="5"/>
  <c r="F37" i="5"/>
  <c r="F36" i="5"/>
  <c r="F34" i="5"/>
  <c r="G28" i="5"/>
  <c r="D16" i="5"/>
  <c r="D14" i="5"/>
  <c r="C4" i="5"/>
  <c r="F41" i="5" l="1"/>
  <c r="F42" i="5" l="1"/>
  <c r="F43" i="5" s="1"/>
  <c r="F34" i="2"/>
  <c r="F35" i="2"/>
  <c r="D33" i="4"/>
  <c r="C7" i="4"/>
  <c r="H55" i="4" l="1"/>
  <c r="F28" i="2" l="1"/>
  <c r="F29" i="2" l="1"/>
  <c r="F30" i="2"/>
  <c r="F31" i="2"/>
  <c r="F32" i="2"/>
  <c r="F33" i="2"/>
  <c r="E5" i="2"/>
  <c r="F38" i="2" l="1"/>
  <c r="F39" i="2" s="1"/>
  <c r="F40" i="2" s="1"/>
  <c r="G25" i="2"/>
  <c r="B55" i="2" l="1"/>
  <c r="C7" i="2"/>
  <c r="D13" i="2" l="1"/>
  <c r="D15" i="2"/>
  <c r="E3" i="2" l="1"/>
  <c r="G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Jaff, Izzat</author>
  </authors>
  <commentList>
    <comment ref="D4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Jaff, Izzat: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SELECT YES OR NO</t>
        </r>
      </text>
    </comment>
    <comment ref="D4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Jaff, Izzat: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SELECT VAT RATE</t>
        </r>
      </text>
    </comment>
    <comment ref="C6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Jaff, Izzat: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SELECT BILLING TEAM FROM DROPDOWN</t>
        </r>
      </text>
    </comment>
  </commentList>
</comments>
</file>

<file path=xl/sharedStrings.xml><?xml version="1.0" encoding="utf-8"?>
<sst xmlns="http://schemas.openxmlformats.org/spreadsheetml/2006/main" count="379" uniqueCount="280">
  <si>
    <t>Variable</t>
  </si>
  <si>
    <t>Adhoc</t>
  </si>
  <si>
    <t>Invoice</t>
  </si>
  <si>
    <t>Credit Note</t>
  </si>
  <si>
    <t>Request Type</t>
  </si>
  <si>
    <t>Customer</t>
  </si>
  <si>
    <t>Bill Type</t>
  </si>
  <si>
    <t>Billing Detail</t>
  </si>
  <si>
    <t>Text Narrative</t>
  </si>
  <si>
    <t>PO</t>
  </si>
  <si>
    <t>Value</t>
  </si>
  <si>
    <t>Currency</t>
  </si>
  <si>
    <t>GBP</t>
  </si>
  <si>
    <t>EUR</t>
  </si>
  <si>
    <t>CAN $</t>
  </si>
  <si>
    <t>Summary Text</t>
  </si>
  <si>
    <t>Contract number</t>
  </si>
  <si>
    <t>Sold - to number</t>
  </si>
  <si>
    <t>Fixed</t>
  </si>
  <si>
    <t>Requested by</t>
  </si>
  <si>
    <t xml:space="preserve">Please send to: </t>
  </si>
  <si>
    <t>Uk.Billing@Getronics.com</t>
  </si>
  <si>
    <t>Please select billing type from the drop down menu.</t>
  </si>
  <si>
    <t>Please select request type from the drop down menu.</t>
  </si>
  <si>
    <t>Version : 02.12.2013</t>
  </si>
  <si>
    <t>Qty/Days/Hrs</t>
  </si>
  <si>
    <t>Rate</t>
  </si>
  <si>
    <t>Amt</t>
  </si>
  <si>
    <t>WBS Code</t>
  </si>
  <si>
    <t>[Please enter WBS code]</t>
  </si>
  <si>
    <t>Please select currency from drop down menu.</t>
  </si>
  <si>
    <t>Billing  Address</t>
  </si>
  <si>
    <t xml:space="preserve">  </t>
  </si>
  <si>
    <t>Invoice Breakdown:</t>
  </si>
  <si>
    <t>WBS breakdown</t>
  </si>
  <si>
    <t>[Line 4]</t>
  </si>
  <si>
    <t>[Line 5]</t>
  </si>
  <si>
    <t>[Line 6]</t>
  </si>
  <si>
    <t>Net Value</t>
  </si>
  <si>
    <t>Is VAT applicable?</t>
  </si>
  <si>
    <t>Yes</t>
  </si>
  <si>
    <t>No</t>
  </si>
  <si>
    <t>VAT</t>
  </si>
  <si>
    <t>Gross Value</t>
  </si>
  <si>
    <t>[Customer name]</t>
  </si>
  <si>
    <t>[Your name]</t>
  </si>
  <si>
    <t>[Customer Sold-to, where applicable]</t>
  </si>
  <si>
    <t>[The contract number in SAP, where applicable]</t>
  </si>
  <si>
    <t>[PO Number]</t>
  </si>
  <si>
    <t>[Line 1 of address]</t>
  </si>
  <si>
    <t>[Line 2 of address]</t>
  </si>
  <si>
    <t>[Line 3 of address]</t>
  </si>
  <si>
    <t>[Line 4 of address]</t>
  </si>
  <si>
    <t>[Line 5 of address]</t>
  </si>
  <si>
    <t>[Line 6 of address]</t>
  </si>
  <si>
    <r>
      <rPr>
        <b/>
        <sz val="11"/>
        <color theme="1"/>
        <rFont val="Calibri"/>
        <family val="2"/>
        <scheme val="minor"/>
      </rPr>
      <t>FAO</t>
    </r>
    <r>
      <rPr>
        <sz val="11"/>
        <color theme="1"/>
        <rFont val="Calibri"/>
        <family val="2"/>
        <scheme val="minor"/>
      </rPr>
      <t>: [</t>
    </r>
    <r>
      <rPr>
        <i/>
        <sz val="9"/>
        <color theme="1"/>
        <rFont val="Calibri"/>
        <family val="2"/>
        <scheme val="minor"/>
      </rPr>
      <t>Joe Bloggs]</t>
    </r>
  </si>
  <si>
    <t>Please select options from the drop down menus.</t>
  </si>
  <si>
    <t>EXAMPLE 1</t>
  </si>
  <si>
    <t>EXAMPLE 2</t>
  </si>
  <si>
    <t xml:space="preserve">Accounts Payable </t>
  </si>
  <si>
    <t>Invoice request</t>
  </si>
  <si>
    <t>Contract request</t>
  </si>
  <si>
    <t>Contract Start Date</t>
  </si>
  <si>
    <t>Contract End Date</t>
  </si>
  <si>
    <t>Monthly</t>
  </si>
  <si>
    <t>Quarterly</t>
  </si>
  <si>
    <t>Annual</t>
  </si>
  <si>
    <t>01.01.2015</t>
  </si>
  <si>
    <t>31.12.2015</t>
  </si>
  <si>
    <t>Account Mgr / SDM</t>
  </si>
  <si>
    <t>In advance</t>
  </si>
  <si>
    <t>In arrears</t>
  </si>
  <si>
    <t>[Line 1]</t>
  </si>
  <si>
    <t>[Line 2]</t>
  </si>
  <si>
    <t>[Line 3]</t>
  </si>
  <si>
    <t>New SAP Contract + Invoice</t>
  </si>
  <si>
    <t>Header Information</t>
  </si>
  <si>
    <t>Ship to number</t>
  </si>
  <si>
    <t>TCV</t>
  </si>
  <si>
    <t>Line Item Information</t>
  </si>
  <si>
    <t>Header Description</t>
  </si>
  <si>
    <t>Billing Duration</t>
  </si>
  <si>
    <t>Billing timing</t>
  </si>
  <si>
    <t>Invoice Narrative</t>
  </si>
  <si>
    <t>Version : 21.10.2015</t>
  </si>
  <si>
    <t>Payer ID number</t>
  </si>
  <si>
    <t>Include only if different to sold-to</t>
  </si>
  <si>
    <t>AP Email address</t>
  </si>
  <si>
    <t>Our Ref</t>
  </si>
  <si>
    <t xml:space="preserve">WBS number </t>
  </si>
  <si>
    <t>Type</t>
  </si>
  <si>
    <t>Description</t>
  </si>
  <si>
    <t>Sold-to</t>
  </si>
  <si>
    <t>ZGC-Z001635-U1F1</t>
  </si>
  <si>
    <t>UC Generic</t>
  </si>
  <si>
    <t>UC - Maint/Managed Service</t>
  </si>
  <si>
    <t>ZGC-Z001637-U1F1</t>
  </si>
  <si>
    <t>UC Top 10 Customers</t>
  </si>
  <si>
    <t>UC - Tata Steel Maint/Managed Service</t>
  </si>
  <si>
    <t>458314</t>
  </si>
  <si>
    <t>Richard Smiles</t>
  </si>
  <si>
    <t>ZGC-Z001638-U1F1</t>
  </si>
  <si>
    <t>UC - Univ of Essex Maint/Managed Service</t>
  </si>
  <si>
    <t>193568</t>
  </si>
  <si>
    <t>ZGC-Z001639-U1F1</t>
  </si>
  <si>
    <t>UC - Dorset Police Maint/Managed Service</t>
  </si>
  <si>
    <t>458270</t>
  </si>
  <si>
    <t>ZGC-Z001640-U1F1</t>
  </si>
  <si>
    <t>UC - Univ of Nottingham Maint/Managed Service</t>
  </si>
  <si>
    <t>194293</t>
  </si>
  <si>
    <t>ZGC-Z001641-U1F1</t>
  </si>
  <si>
    <t>UC - Aberdeen City Council Maint/Managed Service</t>
  </si>
  <si>
    <t>259607</t>
  </si>
  <si>
    <t>ZGC-Z001642-U1F1</t>
  </si>
  <si>
    <t>UC - Royal Marsden NHS Maint/Managed Service</t>
  </si>
  <si>
    <t>ZGC-Z001643-U1F1</t>
  </si>
  <si>
    <t>UC - Univ of Edinburgh Maint/Managed Service</t>
  </si>
  <si>
    <t>ZGC-Z001644-U1F1</t>
  </si>
  <si>
    <t>UC - Tameside Maint/Managed Service</t>
  </si>
  <si>
    <t>458203</t>
  </si>
  <si>
    <t>ZGC-Z001645-U1F1</t>
  </si>
  <si>
    <t>UC - Fife Health Maint/Managed Service</t>
  </si>
  <si>
    <t>458199</t>
  </si>
  <si>
    <t>ZGC-Z001646-U1F1</t>
  </si>
  <si>
    <t>UC - Interserve Maint/Managed Service</t>
  </si>
  <si>
    <t>458294</t>
  </si>
  <si>
    <t>ZGC-Z001647-U1F1</t>
  </si>
  <si>
    <t>UC - RDASH Maint/Managed Service</t>
  </si>
  <si>
    <t>Calcs</t>
  </si>
  <si>
    <t>sold to</t>
  </si>
  <si>
    <t>wbs code</t>
  </si>
  <si>
    <t>Include CMDB/SV contract ref</t>
  </si>
  <si>
    <t>Please select from drop down</t>
  </si>
  <si>
    <t>Site</t>
  </si>
  <si>
    <t>Agreement Ref</t>
  </si>
  <si>
    <t>Start Date</t>
  </si>
  <si>
    <t>End Date</t>
  </si>
  <si>
    <t>Billing Information</t>
  </si>
  <si>
    <t>Steph Seekings</t>
  </si>
  <si>
    <t>Maintenance support Mth x</t>
  </si>
  <si>
    <t>PO / Customer Ref</t>
  </si>
  <si>
    <t>MCA - XXXXXXXX</t>
  </si>
  <si>
    <t xml:space="preserve">Guildford/82454 </t>
  </si>
  <si>
    <t>Top 11 Customer</t>
  </si>
  <si>
    <t>Other Customers</t>
  </si>
  <si>
    <t>Top 11 Customers</t>
  </si>
  <si>
    <t>Select from drop down</t>
  </si>
  <si>
    <t>Input required</t>
  </si>
  <si>
    <t>Optional input</t>
  </si>
  <si>
    <t>Other Customer</t>
  </si>
  <si>
    <t>Philips Electronics UK Ltd</t>
  </si>
  <si>
    <t>Contract</t>
  </si>
  <si>
    <t>USD $</t>
  </si>
  <si>
    <t xml:space="preserve">VAT Rate </t>
  </si>
  <si>
    <t>Belgium Billing</t>
  </si>
  <si>
    <t>Germany Billing</t>
  </si>
  <si>
    <t xml:space="preserve">Int. Billing </t>
  </si>
  <si>
    <t>APAC billing</t>
  </si>
  <si>
    <t>Other</t>
  </si>
  <si>
    <t>Company Issuer</t>
  </si>
  <si>
    <t>SAP Company Code</t>
  </si>
  <si>
    <t>Company Name</t>
  </si>
  <si>
    <t>Hyperion Trading Partner</t>
  </si>
  <si>
    <t>BE</t>
  </si>
  <si>
    <t>NV GETRONICS BELGIUM SA</t>
  </si>
  <si>
    <t>L_BEL002</t>
  </si>
  <si>
    <t>DH</t>
  </si>
  <si>
    <t>ICT Solutions &amp; Service GmbH</t>
  </si>
  <si>
    <t>L_DEU002</t>
  </si>
  <si>
    <t>DF</t>
  </si>
  <si>
    <t>Getronics Help U Desk / SAP Getronics HelpYouDesk GmbH</t>
  </si>
  <si>
    <t>L_DEU003</t>
  </si>
  <si>
    <t>GC</t>
  </si>
  <si>
    <t>Getronics Services UK Ltd.</t>
  </si>
  <si>
    <t>L_GBR016</t>
  </si>
  <si>
    <t>x</t>
  </si>
  <si>
    <t>GSC UK</t>
  </si>
  <si>
    <t>GBR316</t>
  </si>
  <si>
    <t>HU</t>
  </si>
  <si>
    <t xml:space="preserve">Getronics Hungary Kft. </t>
  </si>
  <si>
    <t>L_HUN001</t>
  </si>
  <si>
    <t>IE</t>
  </si>
  <si>
    <t xml:space="preserve">Getronics Ireland Ltd. </t>
  </si>
  <si>
    <t>L_IRL001</t>
  </si>
  <si>
    <t>LU</t>
  </si>
  <si>
    <t xml:space="preserve">Getronics PSF Luxembourg SA </t>
  </si>
  <si>
    <t>L_LUX006</t>
  </si>
  <si>
    <t>HV</t>
  </si>
  <si>
    <t xml:space="preserve">EMEA TAVOLSAGI SZOLGALTATO ZRT. </t>
  </si>
  <si>
    <t>L_HUN003</t>
  </si>
  <si>
    <t>MY</t>
  </si>
  <si>
    <t xml:space="preserve">GETRONICS SOLUTION (M) SDN BHD </t>
  </si>
  <si>
    <t>L_MYS002</t>
  </si>
  <si>
    <t>MZ</t>
  </si>
  <si>
    <t>Getronics Technology (MZ) (GSC Malaysia)</t>
  </si>
  <si>
    <t>MYS301</t>
  </si>
  <si>
    <t xml:space="preserve">Getronics Technology (MZ) </t>
  </si>
  <si>
    <t>L_MYS003</t>
  </si>
  <si>
    <t>NQ</t>
  </si>
  <si>
    <t xml:space="preserve">Getronics Global Services BV </t>
  </si>
  <si>
    <t>L_NLD125</t>
  </si>
  <si>
    <t>SG</t>
  </si>
  <si>
    <t xml:space="preserve">Getronic(s) Solutions Pte Limited </t>
  </si>
  <si>
    <t>L_SGP002</t>
  </si>
  <si>
    <t>X</t>
  </si>
  <si>
    <t>Getronics Thailand Ltd</t>
  </si>
  <si>
    <t>L_THA001</t>
  </si>
  <si>
    <t>Getronics Korea</t>
  </si>
  <si>
    <t>L_KOR002</t>
  </si>
  <si>
    <t>Getronics Solutions India Pte Ltd</t>
  </si>
  <si>
    <t>L_INR001</t>
  </si>
  <si>
    <t>EV</t>
  </si>
  <si>
    <t>Connectis ICT Services SAU</t>
  </si>
  <si>
    <t>connectis_sau</t>
  </si>
  <si>
    <t>Connectis Argentina</t>
  </si>
  <si>
    <t>Connectis_arg</t>
  </si>
  <si>
    <t>DY</t>
  </si>
  <si>
    <t>Connectis Holding GmbH</t>
  </si>
  <si>
    <t>L_DEU008</t>
  </si>
  <si>
    <t>DP</t>
  </si>
  <si>
    <t>Getronics Premium IT Services GmbH</t>
  </si>
  <si>
    <t>L_DEU006</t>
  </si>
  <si>
    <t>DX</t>
  </si>
  <si>
    <t>Getronics ICT Management GmbH</t>
  </si>
  <si>
    <t>L_DEU007</t>
  </si>
  <si>
    <t>NS</t>
  </si>
  <si>
    <t>Getronics Services BV</t>
  </si>
  <si>
    <t>Getr_serv_sac</t>
  </si>
  <si>
    <t>Getronics Global BV</t>
  </si>
  <si>
    <t>Getr_global_sac</t>
  </si>
  <si>
    <t>Getronics IT Services BV</t>
  </si>
  <si>
    <t>Getr_itserv_sac</t>
  </si>
  <si>
    <t>GE</t>
  </si>
  <si>
    <t>Getronics Unified Communications UK LTD</t>
  </si>
  <si>
    <t>L_GBR017</t>
  </si>
  <si>
    <t>PZ</t>
  </si>
  <si>
    <t>Connectis Unified Communications, Portugal</t>
  </si>
  <si>
    <t>L_POR001</t>
  </si>
  <si>
    <t>Aurelius AG</t>
  </si>
  <si>
    <t>AURGER</t>
  </si>
  <si>
    <t>Getronics Solutions (Malaysia) Sdn Bhd – Philippines Branch</t>
  </si>
  <si>
    <t>MYS004</t>
  </si>
  <si>
    <t>EZ</t>
  </si>
  <si>
    <t>L_ESP003</t>
  </si>
  <si>
    <t>EY</t>
  </si>
  <si>
    <t>Connectis Financial &amp; Shared Services SL</t>
  </si>
  <si>
    <t>L_ESP004</t>
  </si>
  <si>
    <t>Connectis ICT Services Spanish Hold SLU</t>
  </si>
  <si>
    <t>L_ESP005</t>
  </si>
  <si>
    <t>Kiwi IT Services Holding SLU</t>
  </si>
  <si>
    <t>L_ESP006</t>
  </si>
  <si>
    <t>Telvent Chile SA</t>
  </si>
  <si>
    <t>L_CHI002</t>
  </si>
  <si>
    <t>Telvent Global Services Lda</t>
  </si>
  <si>
    <t>L_BRA003</t>
  </si>
  <si>
    <t>DS</t>
  </si>
  <si>
    <t>IDS Getronics GmbH</t>
  </si>
  <si>
    <t>L_DEU010</t>
  </si>
  <si>
    <t>Aurelius Strategic Enhancement GmbH</t>
  </si>
  <si>
    <t>L_DEU011</t>
  </si>
  <si>
    <t>DT</t>
  </si>
  <si>
    <t>GTN IT Services GmbH</t>
  </si>
  <si>
    <t>L_DEU012</t>
  </si>
  <si>
    <t>GTN Field Services GmbH</t>
  </si>
  <si>
    <t>AUR655</t>
  </si>
  <si>
    <t>Global Rosetta</t>
  </si>
  <si>
    <t>Comments:</t>
  </si>
  <si>
    <t>Version : 05.06.2018</t>
  </si>
  <si>
    <t>Iberiabilling @getronics.com</t>
  </si>
  <si>
    <t xml:space="preserve">WBS Code: </t>
  </si>
  <si>
    <t xml:space="preserve">Sales Order:                                                            </t>
  </si>
  <si>
    <t>Luis Guerra Gonzalez</t>
  </si>
  <si>
    <t xml:space="preserve">Concepto : </t>
  </si>
  <si>
    <t>Pedido : PVR-OC-0005647</t>
  </si>
  <si>
    <t>ZEV-PCE0012-1001</t>
  </si>
  <si>
    <t>Invoice Date:  10/02/2026
Enviar Copia de las Facturas a : 
      lluis.guerra@getronics.com
      ipro@getronics.com</t>
  </si>
  <si>
    <t>LINE 10</t>
  </si>
  <si>
    <t>Hito 1 :Integración de las Bandas de Reclamo</t>
  </si>
  <si>
    <t>Hito 1 : Integración de las Bandas de Reclamo</t>
  </si>
  <si>
    <t>SERVICIOS A LA INFRAESTRUCTURA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</si>
</sst>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38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1" fillId="2" borderId="5" xfId="0" applyFont="1" applyFill="1" applyBorder="1"/>
    <xf numFmtId="0" fontId="2" fillId="2" borderId="5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" xfId="0" applyBorder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4" xfId="0" applyBorder="1"/>
    <xf numFmtId="0" fontId="1" fillId="2" borderId="0" xfId="0" applyFont="1" applyFill="1" applyAlignment="1">
      <alignment horizontal="center" vertical="top"/>
    </xf>
    <xf numFmtId="0" fontId="1" fillId="2" borderId="14" xfId="0" applyFont="1" applyFill="1" applyBorder="1" applyAlignment="1">
      <alignment horizontal="left"/>
    </xf>
    <xf numFmtId="0" fontId="6" fillId="2" borderId="0" xfId="1" applyFill="1" applyBorder="1"/>
    <xf numFmtId="0" fontId="4" fillId="2" borderId="5" xfId="0" applyFont="1" applyFill="1" applyBorder="1"/>
    <xf numFmtId="2" fontId="0" fillId="0" borderId="1" xfId="0" applyNumberFormat="1" applyBorder="1"/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2" borderId="0" xfId="0" applyFont="1" applyFill="1"/>
    <xf numFmtId="0" fontId="4" fillId="0" borderId="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0" fillId="0" borderId="15" xfId="0" applyBorder="1"/>
    <xf numFmtId="0" fontId="0" fillId="0" borderId="10" xfId="0" applyBorder="1" applyAlignment="1">
      <alignment vertical="top" wrapText="1"/>
    </xf>
    <xf numFmtId="2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5" fillId="0" borderId="1" xfId="0" applyFont="1" applyBorder="1"/>
    <xf numFmtId="0" fontId="0" fillId="0" borderId="12" xfId="0" applyBorder="1"/>
    <xf numFmtId="0" fontId="8" fillId="0" borderId="14" xfId="0" applyFont="1" applyBorder="1"/>
    <xf numFmtId="0" fontId="8" fillId="0" borderId="13" xfId="0" applyFont="1" applyBorder="1"/>
    <xf numFmtId="0" fontId="1" fillId="2" borderId="0" xfId="0" applyFont="1" applyFill="1"/>
    <xf numFmtId="43" fontId="0" fillId="0" borderId="1" xfId="2" applyFont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center" vertical="top"/>
    </xf>
    <xf numFmtId="2" fontId="0" fillId="2" borderId="0" xfId="0" applyNumberFormat="1" applyFill="1" applyAlignment="1">
      <alignment horizontal="left" vertical="top"/>
    </xf>
    <xf numFmtId="43" fontId="0" fillId="2" borderId="0" xfId="2" applyFont="1" applyFill="1" applyBorder="1" applyAlignment="1">
      <alignment horizontal="left" vertical="top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0" fillId="0" borderId="6" xfId="0" applyBorder="1"/>
    <xf numFmtId="43" fontId="1" fillId="0" borderId="1" xfId="2" applyFont="1" applyFill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left" vertical="top"/>
    </xf>
    <xf numFmtId="43" fontId="1" fillId="0" borderId="1" xfId="2" applyFont="1" applyFill="1" applyBorder="1" applyAlignment="1">
      <alignment horizontal="left" vertical="top"/>
    </xf>
    <xf numFmtId="0" fontId="8" fillId="0" borderId="5" xfId="0" applyFont="1" applyBorder="1"/>
    <xf numFmtId="0" fontId="7" fillId="0" borderId="10" xfId="0" applyFont="1" applyBorder="1"/>
    <xf numFmtId="0" fontId="0" fillId="0" borderId="1" xfId="0" applyBorder="1" applyProtection="1">
      <protection locked="0"/>
    </xf>
    <xf numFmtId="2" fontId="0" fillId="0" borderId="1" xfId="0" applyNumberForma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14" xfId="0" applyFont="1" applyBorder="1" applyProtection="1">
      <protection locked="0"/>
    </xf>
    <xf numFmtId="0" fontId="8" fillId="0" borderId="13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wrapText="1"/>
      <protection locked="0"/>
    </xf>
    <xf numFmtId="0" fontId="4" fillId="0" borderId="10" xfId="0" applyFont="1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2" fontId="4" fillId="0" borderId="1" xfId="0" applyNumberFormat="1" applyFont="1" applyBorder="1" applyAlignment="1" applyProtection="1">
      <alignment horizontal="left" vertical="top"/>
      <protection locked="0"/>
    </xf>
    <xf numFmtId="43" fontId="9" fillId="0" borderId="1" xfId="2" applyFont="1" applyFill="1" applyBorder="1" applyAlignment="1" applyProtection="1">
      <alignment horizontal="left" vertical="top"/>
    </xf>
    <xf numFmtId="43" fontId="0" fillId="0" borderId="1" xfId="2" applyFont="1" applyFill="1" applyBorder="1" applyAlignment="1" applyProtection="1">
      <alignment horizontal="left" vertical="top"/>
    </xf>
    <xf numFmtId="0" fontId="1" fillId="0" borderId="15" xfId="0" applyFont="1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right"/>
      <protection locked="0"/>
    </xf>
    <xf numFmtId="14" fontId="0" fillId="0" borderId="1" xfId="0" applyNumberFormat="1" applyBorder="1" applyAlignment="1" applyProtection="1">
      <alignment horizontal="right"/>
      <protection locked="0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1" xfId="2" applyNumberFormat="1" applyFont="1" applyFill="1" applyBorder="1" applyProtection="1">
      <protection locked="0"/>
    </xf>
    <xf numFmtId="0" fontId="1" fillId="2" borderId="5" xfId="0" applyFont="1" applyFill="1" applyBorder="1" applyAlignment="1">
      <alignment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1" fillId="2" borderId="11" xfId="0" applyFont="1" applyFill="1" applyBorder="1"/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right"/>
    </xf>
    <xf numFmtId="0" fontId="1" fillId="2" borderId="5" xfId="0" applyFont="1" applyFill="1" applyBorder="1" applyAlignment="1">
      <alignment horizontal="left"/>
    </xf>
    <xf numFmtId="43" fontId="0" fillId="2" borderId="0" xfId="2" applyFont="1" applyFill="1" applyBorder="1" applyAlignment="1" applyProtection="1">
      <alignment horizontal="left" vertical="top"/>
    </xf>
    <xf numFmtId="43" fontId="1" fillId="0" borderId="1" xfId="2" applyFont="1" applyFill="1" applyBorder="1" applyProtection="1"/>
    <xf numFmtId="0" fontId="6" fillId="2" borderId="0" xfId="1" applyFill="1" applyBorder="1" applyProtection="1"/>
    <xf numFmtId="0" fontId="0" fillId="0" borderId="15" xfId="0" applyBorder="1" applyAlignment="1" applyProtection="1">
      <alignment horizontal="left" wrapText="1"/>
      <protection locked="0"/>
    </xf>
    <xf numFmtId="0" fontId="0" fillId="2" borderId="0" xfId="0" applyFill="1" applyAlignment="1" applyProtection="1">
      <alignment horizontal="left" wrapText="1"/>
      <protection locked="0"/>
    </xf>
    <xf numFmtId="0" fontId="0" fillId="2" borderId="0" xfId="0" applyFill="1" applyAlignment="1" applyProtection="1">
      <alignment horizontal="right"/>
      <protection locked="0"/>
    </xf>
    <xf numFmtId="0" fontId="1" fillId="2" borderId="5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0" fontId="0" fillId="2" borderId="0" xfId="0" applyFill="1" applyAlignment="1" applyProtection="1">
      <alignment horizontal="left"/>
      <protection locked="0"/>
    </xf>
    <xf numFmtId="0" fontId="4" fillId="3" borderId="0" xfId="0" applyFont="1" applyFill="1"/>
    <xf numFmtId="0" fontId="1" fillId="2" borderId="8" xfId="0" applyFont="1" applyFill="1" applyBorder="1"/>
    <xf numFmtId="0" fontId="7" fillId="0" borderId="1" xfId="0" applyFont="1" applyBorder="1"/>
    <xf numFmtId="0" fontId="4" fillId="0" borderId="1" xfId="0" applyFont="1" applyBorder="1" applyAlignment="1">
      <alignment horizontal="center" vertical="top"/>
    </xf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vertical="top"/>
    </xf>
    <xf numFmtId="0" fontId="1" fillId="2" borderId="14" xfId="0" applyFont="1" applyFill="1" applyBorder="1" applyAlignment="1">
      <alignment horizontal="right"/>
    </xf>
    <xf numFmtId="9" fontId="0" fillId="0" borderId="0" xfId="0" applyNumberFormat="1"/>
    <xf numFmtId="10" fontId="0" fillId="0" borderId="1" xfId="0" applyNumberFormat="1" applyBorder="1" applyProtection="1">
      <protection locked="0"/>
    </xf>
    <xf numFmtId="0" fontId="5" fillId="4" borderId="1" xfId="0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left" vertical="top"/>
    </xf>
    <xf numFmtId="0" fontId="6" fillId="0" borderId="16" xfId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4" fillId="0" borderId="1" xfId="0" applyFont="1" applyBorder="1" applyAlignment="1" applyProtection="1">
      <alignment horizontal="left" vertical="top" wrapText="1"/>
      <protection locked="0"/>
    </xf>
    <xf numFmtId="0" fontId="7" fillId="0" borderId="12" xfId="0" applyFont="1" applyBorder="1"/>
    <xf numFmtId="0" fontId="4" fillId="0" borderId="1" xfId="0" applyFont="1" applyBorder="1" applyAlignment="1" applyProtection="1">
      <alignment horizontal="left" vertical="top" wrapText="1" indent="2"/>
      <protection locked="0"/>
    </xf>
    <xf numFmtId="0" fontId="4" fillId="0" borderId="10" xfId="0" applyFont="1" applyBorder="1" applyAlignment="1" applyProtection="1">
      <alignment horizontal="center" vertical="top" wrapText="1"/>
      <protection locked="0"/>
    </xf>
    <xf numFmtId="0" fontId="4" fillId="0" borderId="11" xfId="0" applyFont="1" applyBorder="1" applyAlignment="1" applyProtection="1">
      <alignment horizontal="center" vertical="top" wrapText="1"/>
      <protection locked="0"/>
    </xf>
    <xf numFmtId="0" fontId="4" fillId="0" borderId="12" xfId="0" applyFont="1" applyBorder="1" applyAlignment="1" applyProtection="1">
      <alignment horizontal="center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4" fillId="0" borderId="10" xfId="0" applyFont="1" applyBorder="1" applyAlignment="1" applyProtection="1">
      <alignment horizontal="left" vertical="top"/>
      <protection locked="0"/>
    </xf>
    <xf numFmtId="0" fontId="4" fillId="0" borderId="11" xfId="0" applyFont="1" applyBorder="1" applyAlignment="1" applyProtection="1">
      <alignment horizontal="left" vertical="top"/>
      <protection locked="0"/>
    </xf>
    <xf numFmtId="0" fontId="4" fillId="0" borderId="12" xfId="0" applyFont="1" applyBorder="1" applyAlignment="1" applyProtection="1">
      <alignment horizontal="left" vertical="top"/>
      <protection locked="0"/>
    </xf>
    <xf numFmtId="2" fontId="0" fillId="0" borderId="10" xfId="0" applyNumberFormat="1" applyBorder="1" applyAlignment="1">
      <alignment horizontal="left"/>
    </xf>
    <xf numFmtId="2" fontId="0" fillId="0" borderId="11" xfId="0" applyNumberFormat="1" applyBorder="1" applyAlignment="1">
      <alignment horizontal="left"/>
    </xf>
    <xf numFmtId="2" fontId="0" fillId="0" borderId="12" xfId="0" applyNumberForma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 applyProtection="1">
      <alignment horizontal="left"/>
      <protection locked="0"/>
    </xf>
    <xf numFmtId="0" fontId="1" fillId="0" borderId="12" xfId="0" applyFont="1" applyBorder="1" applyAlignment="1" applyProtection="1">
      <alignment horizontal="left"/>
      <protection locked="0"/>
    </xf>
  </cellXfs>
  <cellStyles count="4">
    <cellStyle name="Hipervínculo" xfId="1" builtinId="8"/>
    <cellStyle name="Millares" xfId="2" builtinId="3"/>
    <cellStyle name="Millares 2" xfId="3" xr:uid="{DD02AAF3-8A23-4202-9FB0-F104C1CF764D}"/>
    <cellStyle name="Normal" xfId="0" builtinId="0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161925</xdr:rowOff>
    </xdr:from>
    <xdr:to>
      <xdr:col>7</xdr:col>
      <xdr:colOff>455022</xdr:colOff>
      <xdr:row>2</xdr:row>
      <xdr:rowOff>132528</xdr:rowOff>
    </xdr:to>
    <xdr:pic>
      <xdr:nvPicPr>
        <xdr:cNvPr id="2" name="Picture 4" descr="cid:image001.jpg@01CD8C49.E044D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161925"/>
          <a:ext cx="1683747" cy="351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161925</xdr:rowOff>
    </xdr:from>
    <xdr:to>
      <xdr:col>9</xdr:col>
      <xdr:colOff>455022</xdr:colOff>
      <xdr:row>2</xdr:row>
      <xdr:rowOff>132528</xdr:rowOff>
    </xdr:to>
    <xdr:pic>
      <xdr:nvPicPr>
        <xdr:cNvPr id="2" name="Picture 4" descr="cid:image001.jpg@01CD8C49.E044D10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161925"/>
          <a:ext cx="1683747" cy="351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161925</xdr:rowOff>
    </xdr:from>
    <xdr:to>
      <xdr:col>7</xdr:col>
      <xdr:colOff>455022</xdr:colOff>
      <xdr:row>2</xdr:row>
      <xdr:rowOff>132528</xdr:rowOff>
    </xdr:to>
    <xdr:pic>
      <xdr:nvPicPr>
        <xdr:cNvPr id="2" name="Picture 4" descr="cid:image001.jpg@01CD8C49.E044D10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161925"/>
          <a:ext cx="1636122" cy="351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990600</xdr:colOff>
      <xdr:row>0</xdr:row>
      <xdr:rowOff>152400</xdr:rowOff>
    </xdr:from>
    <xdr:to>
      <xdr:col>6</xdr:col>
      <xdr:colOff>885825</xdr:colOff>
      <xdr:row>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6486525" y="152400"/>
          <a:ext cx="2924175" cy="6096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ysClr val="windowText" lastClr="000000"/>
              </a:solidFill>
            </a:rPr>
            <a:t>Please select Request Type either 'Invoice' or 'Credit Note' dependent</a:t>
          </a:r>
          <a:r>
            <a:rPr lang="en-GB" sz="1100" baseline="0">
              <a:solidFill>
                <a:sysClr val="windowText" lastClr="000000"/>
              </a:solidFill>
            </a:rPr>
            <a:t> on the type of request required. </a:t>
          </a:r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962025</xdr:colOff>
      <xdr:row>4</xdr:row>
      <xdr:rowOff>161925</xdr:rowOff>
    </xdr:from>
    <xdr:to>
      <xdr:col>9</xdr:col>
      <xdr:colOff>304800</xdr:colOff>
      <xdr:row>7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648575" y="923925"/>
          <a:ext cx="3629025" cy="5429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select</a:t>
          </a:r>
          <a:r>
            <a:rPr lang="en-GB" sz="1100" baseline="0"/>
            <a:t> the Bill Type 'Fixed'or 'Variable' for SAP contracts or 'Adhoc' for one-off charges (i.e project work) </a:t>
          </a:r>
          <a:endParaRPr lang="en-GB" sz="1100"/>
        </a:p>
      </xdr:txBody>
    </xdr:sp>
    <xdr:clientData/>
  </xdr:twoCellAnchor>
  <xdr:twoCellAnchor>
    <xdr:from>
      <xdr:col>3</xdr:col>
      <xdr:colOff>104775</xdr:colOff>
      <xdr:row>2</xdr:row>
      <xdr:rowOff>76200</xdr:rowOff>
    </xdr:from>
    <xdr:to>
      <xdr:col>4</xdr:col>
      <xdr:colOff>990600</xdr:colOff>
      <xdr:row>2</xdr:row>
      <xdr:rowOff>76200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3" idx="1"/>
        </xdr:cNvCxnSpPr>
      </xdr:nvCxnSpPr>
      <xdr:spPr>
        <a:xfrm flipH="1">
          <a:off x="4352925" y="457200"/>
          <a:ext cx="2133600" cy="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</xdr:row>
      <xdr:rowOff>133350</xdr:rowOff>
    </xdr:from>
    <xdr:to>
      <xdr:col>5</xdr:col>
      <xdr:colOff>962025</xdr:colOff>
      <xdr:row>6</xdr:row>
      <xdr:rowOff>52388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>
          <a:stCxn id="4" idx="1"/>
        </xdr:cNvCxnSpPr>
      </xdr:nvCxnSpPr>
      <xdr:spPr>
        <a:xfrm flipH="1" flipV="1">
          <a:off x="4343400" y="895350"/>
          <a:ext cx="3305175" cy="300038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19052</xdr:colOff>
      <xdr:row>11</xdr:row>
      <xdr:rowOff>28576</xdr:rowOff>
    </xdr:from>
    <xdr:to>
      <xdr:col>6</xdr:col>
      <xdr:colOff>209550</xdr:colOff>
      <xdr:row>12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>
          <a:stCxn id="14" idx="1"/>
        </xdr:cNvCxnSpPr>
      </xdr:nvCxnSpPr>
      <xdr:spPr>
        <a:xfrm flipH="1">
          <a:off x="4267202" y="2143126"/>
          <a:ext cx="4467223" cy="276224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209550</xdr:colOff>
      <xdr:row>10</xdr:row>
      <xdr:rowOff>9526</xdr:rowOff>
    </xdr:from>
    <xdr:to>
      <xdr:col>11</xdr:col>
      <xdr:colOff>171450</xdr:colOff>
      <xdr:row>12</xdr:row>
      <xdr:rowOff>66676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8734425" y="1914526"/>
          <a:ext cx="3629025" cy="4572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For</a:t>
          </a:r>
          <a:r>
            <a:rPr lang="en-GB" sz="1100" baseline="0"/>
            <a:t> </a:t>
          </a:r>
          <a:r>
            <a:rPr lang="en-GB" sz="1100"/>
            <a:t>SAP</a:t>
          </a:r>
          <a:r>
            <a:rPr lang="en-GB" sz="1100" baseline="0"/>
            <a:t> contracts the contract number can be found on the excel spreadsheet 'Contracts in SAP' on the sharepoint.</a:t>
          </a:r>
          <a:endParaRPr lang="en-GB" sz="1100"/>
        </a:p>
      </xdr:txBody>
    </xdr:sp>
    <xdr:clientData/>
  </xdr:twoCellAnchor>
  <xdr:twoCellAnchor>
    <xdr:from>
      <xdr:col>6</xdr:col>
      <xdr:colOff>28575</xdr:colOff>
      <xdr:row>24</xdr:row>
      <xdr:rowOff>123827</xdr:rowOff>
    </xdr:from>
    <xdr:to>
      <xdr:col>6</xdr:col>
      <xdr:colOff>447675</xdr:colOff>
      <xdr:row>24</xdr:row>
      <xdr:rowOff>133351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23" idx="1"/>
        </xdr:cNvCxnSpPr>
      </xdr:nvCxnSpPr>
      <xdr:spPr>
        <a:xfrm flipH="1" flipV="1">
          <a:off x="8553450" y="4714877"/>
          <a:ext cx="419100" cy="9524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447675</xdr:colOff>
      <xdr:row>23</xdr:row>
      <xdr:rowOff>9526</xdr:rowOff>
    </xdr:from>
    <xdr:to>
      <xdr:col>9</xdr:col>
      <xdr:colOff>85725</xdr:colOff>
      <xdr:row>26</xdr:row>
      <xdr:rowOff>66676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8972550" y="4410076"/>
          <a:ext cx="2085975" cy="6286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include</a:t>
          </a:r>
          <a:r>
            <a:rPr lang="en-GB" sz="1100" baseline="0"/>
            <a:t> the Invoice Narrative seen at the top of the invoice sent to the customer. </a:t>
          </a:r>
          <a:endParaRPr lang="en-GB" sz="1100"/>
        </a:p>
      </xdr:txBody>
    </xdr:sp>
    <xdr:clientData/>
  </xdr:twoCellAnchor>
  <xdr:twoCellAnchor>
    <xdr:from>
      <xdr:col>6</xdr:col>
      <xdr:colOff>733424</xdr:colOff>
      <xdr:row>17</xdr:row>
      <xdr:rowOff>180975</xdr:rowOff>
    </xdr:from>
    <xdr:to>
      <xdr:col>9</xdr:col>
      <xdr:colOff>581024</xdr:colOff>
      <xdr:row>20</xdr:row>
      <xdr:rowOff>66675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9258299" y="3438525"/>
          <a:ext cx="2295525" cy="4572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select the currency your invoice will be in</a:t>
          </a:r>
          <a:r>
            <a:rPr lang="en-GB" sz="1100" baseline="0"/>
            <a:t>.</a:t>
          </a:r>
          <a:endParaRPr lang="en-GB" sz="1100"/>
        </a:p>
      </xdr:txBody>
    </xdr:sp>
    <xdr:clientData/>
  </xdr:twoCellAnchor>
  <xdr:twoCellAnchor>
    <xdr:from>
      <xdr:col>5</xdr:col>
      <xdr:colOff>1800225</xdr:colOff>
      <xdr:row>15</xdr:row>
      <xdr:rowOff>104775</xdr:rowOff>
    </xdr:from>
    <xdr:to>
      <xdr:col>6</xdr:col>
      <xdr:colOff>733424</xdr:colOff>
      <xdr:row>19</xdr:row>
      <xdr:rowOff>28575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>
          <a:stCxn id="30" idx="1"/>
        </xdr:cNvCxnSpPr>
      </xdr:nvCxnSpPr>
      <xdr:spPr>
        <a:xfrm flipH="1" flipV="1">
          <a:off x="8486775" y="2981325"/>
          <a:ext cx="771524" cy="68580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200025</xdr:colOff>
      <xdr:row>30</xdr:row>
      <xdr:rowOff>133350</xdr:rowOff>
    </xdr:from>
    <xdr:to>
      <xdr:col>10</xdr:col>
      <xdr:colOff>85725</xdr:colOff>
      <xdr:row>34</xdr:row>
      <xdr:rowOff>38100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8724900" y="5867400"/>
          <a:ext cx="2943225" cy="6667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selecting</a:t>
          </a:r>
          <a:r>
            <a:rPr lang="en-GB" sz="1100" baseline="0"/>
            <a:t> whether the invoice includes VAT by choicing 'Yes' or'No' from the drop down menu</a:t>
          </a:r>
          <a:endParaRPr lang="en-GB" sz="1100"/>
        </a:p>
      </xdr:txBody>
    </xdr:sp>
    <xdr:clientData/>
  </xdr:twoCellAnchor>
  <xdr:twoCellAnchor>
    <xdr:from>
      <xdr:col>4</xdr:col>
      <xdr:colOff>57150</xdr:colOff>
      <xdr:row>32</xdr:row>
      <xdr:rowOff>85725</xdr:rowOff>
    </xdr:from>
    <xdr:to>
      <xdr:col>6</xdr:col>
      <xdr:colOff>200025</xdr:colOff>
      <xdr:row>36</xdr:row>
      <xdr:rowOff>66675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>
          <a:stCxn id="40" idx="1"/>
        </xdr:cNvCxnSpPr>
      </xdr:nvCxnSpPr>
      <xdr:spPr>
        <a:xfrm flipH="1">
          <a:off x="5553075" y="6200775"/>
          <a:ext cx="3171825" cy="74295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28578</xdr:colOff>
      <xdr:row>37</xdr:row>
      <xdr:rowOff>152400</xdr:rowOff>
    </xdr:from>
    <xdr:to>
      <xdr:col>6</xdr:col>
      <xdr:colOff>971550</xdr:colOff>
      <xdr:row>38</xdr:row>
      <xdr:rowOff>19050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>
          <a:stCxn id="54" idx="1"/>
        </xdr:cNvCxnSpPr>
      </xdr:nvCxnSpPr>
      <xdr:spPr>
        <a:xfrm flipH="1">
          <a:off x="8553453" y="6838950"/>
          <a:ext cx="942972" cy="5715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971550</xdr:colOff>
      <xdr:row>35</xdr:row>
      <xdr:rowOff>95250</xdr:rowOff>
    </xdr:from>
    <xdr:to>
      <xdr:col>10</xdr:col>
      <xdr:colOff>0</xdr:colOff>
      <xdr:row>40</xdr:row>
      <xdr:rowOff>9525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9496425" y="6400800"/>
          <a:ext cx="2085975" cy="8763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These boxes will automatically be filled in  when the 'Invoice Breakdown'</a:t>
          </a:r>
          <a:r>
            <a:rPr lang="en-GB" sz="1100" baseline="0">
              <a:solidFill>
                <a:schemeClr val="bg1"/>
              </a:solidFill>
            </a:rPr>
            <a:t> is completed and the VAT is selected correctly.</a:t>
          </a:r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1371600</xdr:colOff>
      <xdr:row>43</xdr:row>
      <xdr:rowOff>76200</xdr:rowOff>
    </xdr:from>
    <xdr:to>
      <xdr:col>6</xdr:col>
      <xdr:colOff>200025</xdr:colOff>
      <xdr:row>43</xdr:row>
      <xdr:rowOff>104775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stCxn id="58" idx="1"/>
        </xdr:cNvCxnSpPr>
      </xdr:nvCxnSpPr>
      <xdr:spPr>
        <a:xfrm flipH="1">
          <a:off x="2752725" y="8315325"/>
          <a:ext cx="5972175" cy="2857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200025</xdr:colOff>
      <xdr:row>42</xdr:row>
      <xdr:rowOff>114300</xdr:rowOff>
    </xdr:from>
    <xdr:to>
      <xdr:col>8</xdr:col>
      <xdr:colOff>466725</xdr:colOff>
      <xdr:row>44</xdr:row>
      <xdr:rowOff>38100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8724900" y="8162925"/>
          <a:ext cx="2105025" cy="3048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 enter the WBS code here.</a:t>
          </a:r>
        </a:p>
      </xdr:txBody>
    </xdr:sp>
    <xdr:clientData/>
  </xdr:twoCellAnchor>
  <xdr:twoCellAnchor>
    <xdr:from>
      <xdr:col>2</xdr:col>
      <xdr:colOff>2495550</xdr:colOff>
      <xdr:row>47</xdr:row>
      <xdr:rowOff>85725</xdr:rowOff>
    </xdr:from>
    <xdr:to>
      <xdr:col>6</xdr:col>
      <xdr:colOff>209550</xdr:colOff>
      <xdr:row>47</xdr:row>
      <xdr:rowOff>161925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>
          <a:stCxn id="63" idx="1"/>
        </xdr:cNvCxnSpPr>
      </xdr:nvCxnSpPr>
      <xdr:spPr>
        <a:xfrm flipH="1">
          <a:off x="3876675" y="9086850"/>
          <a:ext cx="4857750" cy="7620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209550</xdr:colOff>
      <xdr:row>46</xdr:row>
      <xdr:rowOff>19050</xdr:rowOff>
    </xdr:from>
    <xdr:to>
      <xdr:col>9</xdr:col>
      <xdr:colOff>285750</xdr:colOff>
      <xdr:row>48</xdr:row>
      <xdr:rowOff>152400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8734425" y="8829675"/>
          <a:ext cx="2524125" cy="5143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If</a:t>
          </a:r>
          <a:r>
            <a:rPr lang="en-GB" sz="1100" baseline="0"/>
            <a:t> applicable, please</a:t>
          </a:r>
          <a:r>
            <a:rPr lang="en-GB" sz="1100"/>
            <a:t> enter the breakdown in WBS codes here.</a:t>
          </a:r>
        </a:p>
      </xdr:txBody>
    </xdr:sp>
    <xdr:clientData/>
  </xdr:twoCellAnchor>
  <xdr:twoCellAnchor>
    <xdr:from>
      <xdr:col>3</xdr:col>
      <xdr:colOff>485775</xdr:colOff>
      <xdr:row>54</xdr:row>
      <xdr:rowOff>114300</xdr:rowOff>
    </xdr:from>
    <xdr:to>
      <xdr:col>5</xdr:col>
      <xdr:colOff>142875</xdr:colOff>
      <xdr:row>57</xdr:row>
      <xdr:rowOff>180975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>
          <a:stCxn id="68" idx="1"/>
        </xdr:cNvCxnSpPr>
      </xdr:nvCxnSpPr>
      <xdr:spPr>
        <a:xfrm flipH="1" flipV="1">
          <a:off x="4733925" y="10067925"/>
          <a:ext cx="2095500" cy="63817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56</xdr:row>
      <xdr:rowOff>114300</xdr:rowOff>
    </xdr:from>
    <xdr:to>
      <xdr:col>9</xdr:col>
      <xdr:colOff>76200</xdr:colOff>
      <xdr:row>59</xdr:row>
      <xdr:rowOff>57150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6829425" y="10448925"/>
          <a:ext cx="4219575" cy="5143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For</a:t>
          </a:r>
          <a:r>
            <a:rPr lang="en-GB" sz="1100" baseline="0"/>
            <a:t> a change in Fixed contract or a Credit Note please give an explaination for the request.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k.Billing@Getronics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k.Billing@Getronic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Uk.Billing@Getron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62"/>
  <sheetViews>
    <sheetView showGridLines="0" tabSelected="1" topLeftCell="A21" zoomScale="90" zoomScaleNormal="90" workbookViewId="0">
      <selection activeCell="D46" sqref="D46"/>
    </sheetView>
  </sheetViews>
  <sheetFormatPr baseColWidth="10" defaultColWidth="9.1796875" defaultRowHeight="14.5" x14ac:dyDescent="0.35"/>
  <cols>
    <col min="1" max="1" width="1.7265625" customWidth="1"/>
    <col min="2" max="2" width="19" customWidth="1"/>
    <col min="3" max="3" width="59.453125" customWidth="1"/>
    <col min="4" max="4" width="18.7265625" customWidth="1"/>
    <col min="5" max="5" width="17.81640625" customWidth="1"/>
    <col min="6" max="6" width="27.54296875" customWidth="1"/>
    <col min="7" max="7" width="18.453125" customWidth="1"/>
  </cols>
  <sheetData>
    <row r="1" spans="2:8" x14ac:dyDescent="0.35">
      <c r="B1" s="1"/>
      <c r="C1" s="2"/>
      <c r="D1" s="2"/>
      <c r="E1" s="2"/>
      <c r="F1" s="2"/>
      <c r="G1" s="2"/>
      <c r="H1" s="3"/>
    </row>
    <row r="2" spans="2:8" x14ac:dyDescent="0.35">
      <c r="B2" s="19" t="s">
        <v>56</v>
      </c>
      <c r="C2" s="5"/>
      <c r="D2" s="5"/>
      <c r="E2" s="5"/>
      <c r="F2" s="5"/>
      <c r="G2" s="5"/>
      <c r="H2" s="6"/>
    </row>
    <row r="3" spans="2:8" x14ac:dyDescent="0.35">
      <c r="B3" s="7" t="s">
        <v>4</v>
      </c>
      <c r="C3" s="53" t="s">
        <v>2</v>
      </c>
      <c r="D3" s="5"/>
      <c r="E3" s="5"/>
      <c r="F3" s="5"/>
      <c r="G3" s="5"/>
      <c r="H3" s="6"/>
    </row>
    <row r="4" spans="2:8" x14ac:dyDescent="0.35">
      <c r="B4" s="19"/>
      <c r="C4" s="5" t="str">
        <f>IF(C3="Credit Note", "The Bill Type should match original invoice type"," ")</f>
        <v xml:space="preserve"> </v>
      </c>
      <c r="D4" s="5"/>
      <c r="E4" s="5"/>
      <c r="F4" s="5"/>
      <c r="G4" s="5"/>
      <c r="H4" s="6"/>
    </row>
    <row r="5" spans="2:8" x14ac:dyDescent="0.35">
      <c r="B5" s="4"/>
      <c r="C5" s="5"/>
      <c r="D5" s="5"/>
      <c r="E5" s="5"/>
      <c r="F5" s="5"/>
      <c r="G5" s="5"/>
      <c r="H5" s="6"/>
    </row>
    <row r="6" spans="2:8" x14ac:dyDescent="0.35">
      <c r="B6" s="7" t="s">
        <v>6</v>
      </c>
      <c r="C6" s="53"/>
      <c r="D6" s="5"/>
      <c r="E6" s="5"/>
      <c r="F6" s="5"/>
      <c r="G6" s="5"/>
      <c r="H6" s="6"/>
    </row>
    <row r="7" spans="2:8" x14ac:dyDescent="0.35">
      <c r="B7" s="4"/>
      <c r="C7" s="5"/>
      <c r="D7" s="5"/>
      <c r="E7" s="5"/>
      <c r="F7" s="5"/>
      <c r="G7" s="5"/>
      <c r="H7" s="6"/>
    </row>
    <row r="8" spans="2:8" x14ac:dyDescent="0.35">
      <c r="B8" s="7" t="s">
        <v>159</v>
      </c>
      <c r="C8" s="53" t="s">
        <v>212</v>
      </c>
      <c r="D8" s="5"/>
      <c r="E8" s="5"/>
      <c r="F8" s="5"/>
      <c r="G8" s="5"/>
      <c r="H8" s="6"/>
    </row>
    <row r="9" spans="2:8" x14ac:dyDescent="0.35">
      <c r="B9" s="7"/>
      <c r="C9" s="39"/>
      <c r="D9" s="5"/>
      <c r="E9" s="5"/>
      <c r="F9" s="5"/>
      <c r="G9" s="5"/>
      <c r="H9" s="6"/>
    </row>
    <row r="10" spans="2:8" x14ac:dyDescent="0.35">
      <c r="B10" s="8" t="s">
        <v>7</v>
      </c>
      <c r="C10" s="5"/>
      <c r="D10" s="5"/>
      <c r="E10" s="5"/>
      <c r="F10" s="5"/>
      <c r="G10" s="5"/>
      <c r="H10" s="6"/>
    </row>
    <row r="11" spans="2:8" ht="16.5" customHeight="1" x14ac:dyDescent="0.35">
      <c r="B11" s="7" t="s">
        <v>5</v>
      </c>
      <c r="C11" s="59" t="s">
        <v>279</v>
      </c>
      <c r="D11" s="5"/>
      <c r="E11" s="16" t="s">
        <v>17</v>
      </c>
      <c r="F11" s="58">
        <v>461530</v>
      </c>
      <c r="G11" s="5"/>
      <c r="H11" s="6"/>
    </row>
    <row r="12" spans="2:8" x14ac:dyDescent="0.35">
      <c r="B12" s="4"/>
      <c r="C12" s="5"/>
      <c r="D12" s="5"/>
      <c r="E12" s="5"/>
      <c r="F12" s="5"/>
      <c r="G12" s="5"/>
      <c r="H12" s="6"/>
    </row>
    <row r="13" spans="2:8" x14ac:dyDescent="0.35">
      <c r="B13" s="4"/>
      <c r="C13" s="5"/>
      <c r="D13" s="5"/>
      <c r="E13" s="5"/>
      <c r="F13" s="5"/>
      <c r="G13" s="5"/>
      <c r="H13" s="6"/>
    </row>
    <row r="14" spans="2:8" x14ac:dyDescent="0.35">
      <c r="B14" s="7" t="s">
        <v>16</v>
      </c>
      <c r="C14" s="58"/>
      <c r="D14" s="5" t="str">
        <f>IF($C$6="Adhoc","NO INPUT REQUIRED","")</f>
        <v/>
      </c>
      <c r="E14" s="14" t="s">
        <v>9</v>
      </c>
      <c r="F14" s="58"/>
      <c r="G14" s="5"/>
      <c r="H14" s="6"/>
    </row>
    <row r="15" spans="2:8" x14ac:dyDescent="0.35">
      <c r="B15" s="4"/>
      <c r="C15" s="5"/>
      <c r="D15" s="5"/>
      <c r="E15" s="5"/>
      <c r="F15" s="5"/>
      <c r="G15" s="5"/>
      <c r="H15" s="6"/>
    </row>
    <row r="16" spans="2:8" x14ac:dyDescent="0.35">
      <c r="B16" s="17" t="s">
        <v>19</v>
      </c>
      <c r="C16" s="58" t="s">
        <v>271</v>
      </c>
      <c r="D16" s="5" t="str">
        <f>IF($C$6="Fixed - no changes","NO INPUT REQUIRED","")</f>
        <v/>
      </c>
      <c r="E16" s="14" t="s">
        <v>11</v>
      </c>
      <c r="F16" s="53" t="s">
        <v>152</v>
      </c>
      <c r="G16" s="13"/>
      <c r="H16" s="6"/>
    </row>
    <row r="17" spans="2:8" x14ac:dyDescent="0.35">
      <c r="B17" s="7"/>
      <c r="C17" s="5"/>
      <c r="D17" s="5"/>
      <c r="E17" s="5"/>
      <c r="F17" s="26" t="s">
        <v>30</v>
      </c>
      <c r="G17" s="5"/>
      <c r="H17" s="6"/>
    </row>
    <row r="18" spans="2:8" x14ac:dyDescent="0.35">
      <c r="B18" s="7" t="s">
        <v>31</v>
      </c>
      <c r="C18" s="66" t="s">
        <v>59</v>
      </c>
      <c r="D18" s="5"/>
      <c r="E18" s="5"/>
      <c r="F18" s="5"/>
      <c r="G18" s="5"/>
      <c r="H18" s="6"/>
    </row>
    <row r="19" spans="2:8" x14ac:dyDescent="0.35">
      <c r="B19" s="7"/>
      <c r="C19" s="56" t="s">
        <v>72</v>
      </c>
      <c r="D19" s="5"/>
      <c r="E19" s="5"/>
      <c r="F19" s="5"/>
      <c r="G19" s="5"/>
      <c r="H19" s="6"/>
    </row>
    <row r="20" spans="2:8" x14ac:dyDescent="0.35">
      <c r="B20" s="7"/>
      <c r="C20" s="56" t="s">
        <v>73</v>
      </c>
      <c r="D20" s="5"/>
      <c r="E20" s="5"/>
      <c r="F20" s="5"/>
      <c r="G20" s="5"/>
      <c r="H20" s="6"/>
    </row>
    <row r="21" spans="2:8" x14ac:dyDescent="0.35">
      <c r="B21" s="7"/>
      <c r="C21" s="56" t="s">
        <v>74</v>
      </c>
      <c r="D21" s="5"/>
      <c r="E21" s="5"/>
      <c r="F21" s="5"/>
      <c r="G21" s="5"/>
      <c r="H21" s="6"/>
    </row>
    <row r="22" spans="2:8" x14ac:dyDescent="0.35">
      <c r="B22" s="7"/>
      <c r="C22" s="56" t="s">
        <v>35</v>
      </c>
      <c r="D22" s="5"/>
      <c r="E22" s="5"/>
      <c r="F22" s="5"/>
      <c r="G22" s="5"/>
      <c r="H22" s="6"/>
    </row>
    <row r="23" spans="2:8" x14ac:dyDescent="0.35">
      <c r="B23" s="7"/>
      <c r="C23" s="56" t="s">
        <v>36</v>
      </c>
      <c r="D23" s="5"/>
      <c r="E23" s="5"/>
      <c r="F23" s="5"/>
      <c r="G23" s="5"/>
      <c r="H23" s="6"/>
    </row>
    <row r="24" spans="2:8" x14ac:dyDescent="0.35">
      <c r="B24" s="7"/>
      <c r="C24" s="57" t="s">
        <v>37</v>
      </c>
      <c r="D24" s="5"/>
      <c r="E24" s="5"/>
      <c r="F24" s="5"/>
      <c r="G24" s="5"/>
      <c r="H24" s="6"/>
    </row>
    <row r="25" spans="2:8" x14ac:dyDescent="0.35">
      <c r="B25" s="7"/>
      <c r="C25" s="5"/>
      <c r="D25" s="5"/>
      <c r="E25" s="5"/>
      <c r="F25" s="5"/>
      <c r="G25" s="5"/>
      <c r="H25" s="6"/>
    </row>
    <row r="26" spans="2:8" x14ac:dyDescent="0.35">
      <c r="B26" s="7" t="s">
        <v>15</v>
      </c>
      <c r="C26" s="111" t="s">
        <v>277</v>
      </c>
      <c r="D26" s="112"/>
      <c r="E26" s="112"/>
      <c r="F26" s="113"/>
      <c r="G26" s="5"/>
      <c r="H26" s="6"/>
    </row>
    <row r="27" spans="2:8" x14ac:dyDescent="0.35">
      <c r="B27" s="7"/>
      <c r="C27" s="5"/>
      <c r="D27" s="5"/>
      <c r="E27" s="5"/>
      <c r="F27" s="5"/>
      <c r="G27" s="5"/>
      <c r="H27" s="6"/>
    </row>
    <row r="28" spans="2:8" x14ac:dyDescent="0.35">
      <c r="B28" s="7" t="s">
        <v>8</v>
      </c>
      <c r="C28" s="102" t="s">
        <v>33</v>
      </c>
      <c r="D28" s="102" t="s">
        <v>25</v>
      </c>
      <c r="E28" s="102" t="s">
        <v>26</v>
      </c>
      <c r="F28" s="103" t="s">
        <v>27</v>
      </c>
      <c r="G28" s="5" t="str">
        <f>IF($C$6="Fixed - no changes","NO INPUT REQUIRED", " ")</f>
        <v xml:space="preserve"> </v>
      </c>
      <c r="H28" s="6"/>
    </row>
    <row r="29" spans="2:8" x14ac:dyDescent="0.35">
      <c r="B29" s="7"/>
      <c r="C29" s="60"/>
      <c r="D29" s="62"/>
      <c r="E29" s="63"/>
      <c r="F29" s="65"/>
      <c r="G29" s="5"/>
      <c r="H29" s="6"/>
    </row>
    <row r="30" spans="2:8" x14ac:dyDescent="0.35">
      <c r="B30" s="7"/>
      <c r="C30" s="61" t="s">
        <v>273</v>
      </c>
      <c r="D30" s="62"/>
      <c r="E30" s="63"/>
      <c r="F30" s="65"/>
      <c r="G30" s="5"/>
      <c r="H30" s="6"/>
    </row>
    <row r="31" spans="2:8" x14ac:dyDescent="0.35">
      <c r="B31" s="7"/>
      <c r="C31" s="108" t="s">
        <v>272</v>
      </c>
      <c r="D31" s="62"/>
      <c r="E31" s="63"/>
      <c r="F31" s="65"/>
      <c r="G31" s="5"/>
      <c r="H31" s="6"/>
    </row>
    <row r="32" spans="2:8" x14ac:dyDescent="0.35">
      <c r="B32" s="7"/>
      <c r="C32" s="110" t="s">
        <v>278</v>
      </c>
      <c r="D32" s="62"/>
      <c r="E32" s="63"/>
      <c r="F32" s="64">
        <v>22320.400000000001</v>
      </c>
      <c r="G32" s="5"/>
      <c r="H32" s="6"/>
    </row>
    <row r="33" spans="2:8" x14ac:dyDescent="0.35">
      <c r="B33" s="7"/>
      <c r="C33" s="110"/>
      <c r="D33" s="62"/>
      <c r="E33" s="63"/>
      <c r="F33" s="64"/>
      <c r="G33" s="5"/>
      <c r="H33" s="6"/>
    </row>
    <row r="34" spans="2:8" x14ac:dyDescent="0.35">
      <c r="B34" s="7"/>
      <c r="C34" s="61"/>
      <c r="D34" s="62"/>
      <c r="E34" s="63"/>
      <c r="F34" s="64">
        <f t="shared" ref="F34:F38" si="0">D34*E34</f>
        <v>0</v>
      </c>
      <c r="G34" s="5"/>
      <c r="H34" s="6"/>
    </row>
    <row r="35" spans="2:8" x14ac:dyDescent="0.35">
      <c r="B35" s="7"/>
      <c r="C35" s="61"/>
      <c r="D35" s="62"/>
      <c r="E35" s="63"/>
      <c r="F35" s="64">
        <v>0</v>
      </c>
      <c r="G35" s="5"/>
      <c r="H35" s="6"/>
    </row>
    <row r="36" spans="2:8" x14ac:dyDescent="0.35">
      <c r="B36" s="7"/>
      <c r="C36" s="61"/>
      <c r="D36" s="62"/>
      <c r="E36" s="63"/>
      <c r="F36" s="64">
        <f t="shared" si="0"/>
        <v>0</v>
      </c>
      <c r="G36" s="5"/>
      <c r="H36" s="6"/>
    </row>
    <row r="37" spans="2:8" x14ac:dyDescent="0.35">
      <c r="B37" s="7"/>
      <c r="C37" s="61"/>
      <c r="D37" s="62"/>
      <c r="E37" s="63"/>
      <c r="F37" s="64">
        <f t="shared" si="0"/>
        <v>0</v>
      </c>
      <c r="G37" s="5"/>
      <c r="H37" s="6"/>
    </row>
    <row r="38" spans="2:8" x14ac:dyDescent="0.35">
      <c r="B38" s="7"/>
      <c r="C38" s="61"/>
      <c r="D38" s="62"/>
      <c r="E38" s="63"/>
      <c r="F38" s="64">
        <f t="shared" si="0"/>
        <v>0</v>
      </c>
      <c r="G38" s="5"/>
      <c r="H38" s="6"/>
    </row>
    <row r="39" spans="2:8" x14ac:dyDescent="0.35">
      <c r="B39" s="7"/>
      <c r="C39" s="39"/>
      <c r="D39" s="40"/>
      <c r="E39" s="41"/>
      <c r="F39" s="42"/>
      <c r="G39" s="5"/>
      <c r="H39" s="6"/>
    </row>
    <row r="40" spans="2:8" x14ac:dyDescent="0.35">
      <c r="B40" s="7"/>
      <c r="C40" s="12" t="s">
        <v>39</v>
      </c>
      <c r="D40" s="68" t="s">
        <v>41</v>
      </c>
      <c r="E40" s="41"/>
      <c r="F40" s="42"/>
      <c r="G40" s="5"/>
      <c r="H40" s="6"/>
    </row>
    <row r="41" spans="2:8" x14ac:dyDescent="0.35">
      <c r="B41" s="4"/>
      <c r="C41" s="12" t="s">
        <v>153</v>
      </c>
      <c r="D41" s="101">
        <v>0.21</v>
      </c>
      <c r="E41" s="37" t="s">
        <v>38</v>
      </c>
      <c r="F41" s="46">
        <f>SUM(F29:F36)</f>
        <v>22320.400000000001</v>
      </c>
      <c r="G41" s="5"/>
      <c r="H41" s="6"/>
    </row>
    <row r="42" spans="2:8" x14ac:dyDescent="0.35">
      <c r="B42" s="4"/>
      <c r="C42" s="5"/>
      <c r="D42" s="5"/>
      <c r="E42" s="37" t="s">
        <v>42</v>
      </c>
      <c r="F42" s="38">
        <f>IF(D40="Yes",(+F41*D41),0)</f>
        <v>0</v>
      </c>
      <c r="G42" s="5"/>
      <c r="H42" s="6"/>
    </row>
    <row r="43" spans="2:8" ht="15.75" customHeight="1" x14ac:dyDescent="0.35">
      <c r="B43" s="7"/>
      <c r="C43" s="5"/>
      <c r="D43" s="5"/>
      <c r="E43" s="37" t="s">
        <v>43</v>
      </c>
      <c r="F43" s="38">
        <f>SUM(F41:F42)</f>
        <v>22320.400000000001</v>
      </c>
      <c r="G43" s="5"/>
      <c r="H43" s="6"/>
    </row>
    <row r="44" spans="2:8" ht="15.75" customHeight="1" x14ac:dyDescent="0.35">
      <c r="B44" s="7"/>
      <c r="C44" s="5"/>
      <c r="D44" s="5"/>
      <c r="E44" s="37"/>
      <c r="F44" s="42"/>
      <c r="G44" s="5"/>
      <c r="H44" s="6"/>
    </row>
    <row r="45" spans="2:8" ht="15.75" customHeight="1" x14ac:dyDescent="0.35">
      <c r="B45" s="7"/>
      <c r="C45" s="5"/>
      <c r="D45" s="5"/>
      <c r="E45" s="37"/>
      <c r="F45" s="42"/>
      <c r="G45" s="5"/>
      <c r="H45" s="6"/>
    </row>
    <row r="46" spans="2:8" x14ac:dyDescent="0.35">
      <c r="B46" s="7"/>
      <c r="C46" s="52" t="s">
        <v>270</v>
      </c>
      <c r="D46" s="109">
        <v>714603126</v>
      </c>
      <c r="E46" s="5"/>
      <c r="F46" s="117" t="s">
        <v>266</v>
      </c>
      <c r="G46" s="118"/>
      <c r="H46" s="6"/>
    </row>
    <row r="47" spans="2:8" ht="15" customHeight="1" x14ac:dyDescent="0.35">
      <c r="B47" s="7"/>
      <c r="C47" s="52" t="s">
        <v>269</v>
      </c>
      <c r="D47" s="15" t="s">
        <v>274</v>
      </c>
      <c r="E47" s="5"/>
      <c r="F47" s="119" t="s">
        <v>275</v>
      </c>
      <c r="G47" s="120"/>
      <c r="H47" s="6"/>
    </row>
    <row r="48" spans="2:8" x14ac:dyDescent="0.35">
      <c r="B48" s="4"/>
      <c r="C48" s="55"/>
      <c r="D48" s="15"/>
      <c r="E48" s="5"/>
      <c r="F48" s="121"/>
      <c r="G48" s="122"/>
      <c r="H48" s="6"/>
    </row>
    <row r="49" spans="2:8" x14ac:dyDescent="0.35">
      <c r="B49" s="4"/>
      <c r="C49" s="33" t="s">
        <v>34</v>
      </c>
      <c r="D49" s="33" t="s">
        <v>10</v>
      </c>
      <c r="E49" s="5"/>
      <c r="F49" s="121"/>
      <c r="G49" s="122"/>
      <c r="H49" s="6"/>
    </row>
    <row r="50" spans="2:8" x14ac:dyDescent="0.35">
      <c r="B50" s="7"/>
      <c r="C50" s="53"/>
      <c r="D50" s="54"/>
      <c r="E50" s="5"/>
      <c r="F50" s="121"/>
      <c r="G50" s="122"/>
      <c r="H50" s="6"/>
    </row>
    <row r="51" spans="2:8" x14ac:dyDescent="0.35">
      <c r="B51" s="4"/>
      <c r="C51" s="68"/>
      <c r="D51" s="54"/>
      <c r="E51" s="5"/>
      <c r="F51" s="121"/>
      <c r="G51" s="122"/>
      <c r="H51" s="6"/>
    </row>
    <row r="52" spans="2:8" x14ac:dyDescent="0.35">
      <c r="B52" s="4"/>
      <c r="C52" s="68" t="s">
        <v>276</v>
      </c>
      <c r="D52" s="54">
        <f>F41</f>
        <v>22320.400000000001</v>
      </c>
      <c r="E52" s="5"/>
      <c r="F52" s="121"/>
      <c r="G52" s="122"/>
      <c r="H52" s="6"/>
    </row>
    <row r="53" spans="2:8" x14ac:dyDescent="0.35">
      <c r="B53" s="4"/>
      <c r="C53" s="68"/>
      <c r="D53" s="54"/>
      <c r="E53" s="5"/>
      <c r="F53" s="121"/>
      <c r="G53" s="122"/>
      <c r="H53" s="6"/>
    </row>
    <row r="54" spans="2:8" x14ac:dyDescent="0.35">
      <c r="B54" s="4"/>
      <c r="C54" s="53"/>
      <c r="D54" s="54"/>
      <c r="E54" s="5"/>
      <c r="F54" s="121"/>
      <c r="G54" s="122"/>
      <c r="H54" s="6"/>
    </row>
    <row r="55" spans="2:8" x14ac:dyDescent="0.35">
      <c r="B55" s="4"/>
      <c r="C55" s="53"/>
      <c r="D55" s="54"/>
      <c r="E55" s="5"/>
      <c r="F55" s="121"/>
      <c r="G55" s="122"/>
      <c r="H55" s="6"/>
    </row>
    <row r="56" spans="2:8" x14ac:dyDescent="0.35">
      <c r="B56" s="4"/>
      <c r="C56" s="53"/>
      <c r="D56" s="54"/>
      <c r="E56" s="5"/>
      <c r="F56" s="121"/>
      <c r="G56" s="122"/>
      <c r="H56" s="6"/>
    </row>
    <row r="57" spans="2:8" x14ac:dyDescent="0.35">
      <c r="B57" s="4"/>
      <c r="C57" s="53"/>
      <c r="D57" s="54"/>
      <c r="E57" s="5"/>
      <c r="F57" s="123"/>
      <c r="G57" s="124"/>
      <c r="H57" s="6"/>
    </row>
    <row r="58" spans="2:8" x14ac:dyDescent="0.35">
      <c r="B58" s="4"/>
      <c r="C58" s="5"/>
      <c r="D58" s="5"/>
      <c r="E58" s="5"/>
      <c r="F58" s="5"/>
      <c r="G58" s="5"/>
      <c r="H58" s="6"/>
    </row>
    <row r="59" spans="2:8" ht="48" customHeight="1" x14ac:dyDescent="0.35">
      <c r="B59" s="7" t="str">
        <f>IF($C$6= "Fixed","Reason for request","")</f>
        <v/>
      </c>
      <c r="C59" s="114"/>
      <c r="D59" s="115"/>
      <c r="E59" s="115"/>
      <c r="F59" s="115"/>
      <c r="G59" s="116"/>
      <c r="H59" s="6"/>
    </row>
    <row r="60" spans="2:8" ht="15" thickBot="1" x14ac:dyDescent="0.4">
      <c r="B60" s="4"/>
      <c r="C60" s="5"/>
      <c r="D60" s="5"/>
      <c r="E60" s="5"/>
      <c r="F60" s="5"/>
      <c r="G60" s="5"/>
      <c r="H60" s="6"/>
    </row>
    <row r="61" spans="2:8" x14ac:dyDescent="0.35">
      <c r="B61" s="4" t="s">
        <v>20</v>
      </c>
      <c r="C61" s="104" t="s">
        <v>268</v>
      </c>
      <c r="D61" s="5"/>
      <c r="E61" s="5"/>
      <c r="F61" s="5"/>
      <c r="G61" s="5" t="s">
        <v>267</v>
      </c>
      <c r="H61" s="6"/>
    </row>
    <row r="62" spans="2:8" x14ac:dyDescent="0.35">
      <c r="B62" s="105"/>
      <c r="C62" s="106"/>
      <c r="D62" s="106"/>
      <c r="E62" s="106"/>
      <c r="F62" s="106"/>
      <c r="G62" s="106"/>
      <c r="H62" s="107"/>
    </row>
  </sheetData>
  <mergeCells count="4">
    <mergeCell ref="C26:F26"/>
    <mergeCell ref="C59:G59"/>
    <mergeCell ref="F46:G46"/>
    <mergeCell ref="F47:G57"/>
  </mergeCells>
  <conditionalFormatting sqref="B59">
    <cfRule type="notContainsBlanks" dxfId="17" priority="5">
      <formula>LEN(TRIM(B59))&gt;0</formula>
    </cfRule>
  </conditionalFormatting>
  <conditionalFormatting sqref="C4">
    <cfRule type="notContainsBlanks" dxfId="16" priority="7">
      <formula>LEN(TRIM(C4))&gt;0</formula>
    </cfRule>
  </conditionalFormatting>
  <conditionalFormatting sqref="C7">
    <cfRule type="notContainsBlanks" dxfId="15" priority="1">
      <formula>LEN(TRIM(C7))&gt;0</formula>
    </cfRule>
  </conditionalFormatting>
  <conditionalFormatting sqref="C28">
    <cfRule type="containsText" dxfId="14" priority="8" operator="containsText" text="NO INPUT REQUIRED">
      <formula>NOT(ISERROR(SEARCH("NO INPUT REQUIRED",C28)))</formula>
    </cfRule>
  </conditionalFormatting>
  <conditionalFormatting sqref="C62">
    <cfRule type="notContainsBlanks" dxfId="13" priority="2">
      <formula>LEN(TRIM(C62))&gt;0</formula>
    </cfRule>
  </conditionalFormatting>
  <conditionalFormatting sqref="D14">
    <cfRule type="notContainsBlanks" dxfId="12" priority="4">
      <formula>LEN(TRIM(D14))&gt;0</formula>
    </cfRule>
  </conditionalFormatting>
  <conditionalFormatting sqref="D16 G26 G28">
    <cfRule type="notContainsBlanks" dxfId="11" priority="6">
      <formula>LEN(TRIM(D16))&gt;0</formula>
    </cfRule>
  </conditionalFormatting>
  <conditionalFormatting sqref="D40:D41">
    <cfRule type="notContainsBlanks" dxfId="10" priority="3">
      <formula>LEN(TRIM(D40))&gt;0</formula>
    </cfRule>
  </conditionalFormatting>
  <pageMargins left="0.7" right="0.7" top="0.75" bottom="0.75" header="0.3" footer="0.3"/>
  <pageSetup paperSize="9" scale="56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Lists!$B$3:$B$5</xm:f>
          </x14:formula1>
          <xm:sqref>C3</xm:sqref>
        </x14:dataValidation>
        <x14:dataValidation type="list" allowBlank="1" showInputMessage="1" showErrorMessage="1" xr:uid="{00000000-0002-0000-0000-000001000000}">
          <x14:formula1>
            <xm:f>Lists!$D$3:$D$7</xm:f>
          </x14:formula1>
          <xm:sqref>F16</xm:sqref>
        </x14:dataValidation>
        <x14:dataValidation type="list" allowBlank="1" showInputMessage="1" showErrorMessage="1" xr:uid="{00000000-0002-0000-0000-000002000000}">
          <x14:formula1>
            <xm:f>Lists!$C$3:$C$8</xm:f>
          </x14:formula1>
          <xm:sqref>C6</xm:sqref>
        </x14:dataValidation>
        <x14:dataValidation type="list" allowBlank="1" showInputMessage="1" showErrorMessage="1" xr:uid="{00000000-0002-0000-0000-000003000000}">
          <x14:formula1>
            <xm:f>Lists!$F$4:$F$6</xm:f>
          </x14:formula1>
          <xm:sqref>D40</xm:sqref>
        </x14:dataValidation>
        <x14:dataValidation type="list" allowBlank="1" showInputMessage="1" showErrorMessage="1" xr:uid="{00000000-0002-0000-0000-000004000000}">
          <x14:formula1>
            <xm:f>Lists!$H$4:$H$9</xm:f>
          </x14:formula1>
          <xm:sqref>D41</xm:sqref>
        </x14:dataValidation>
        <x14:dataValidation type="list" allowBlank="1" showInputMessage="1" showErrorMessage="1" xr:uid="{00000000-0002-0000-0000-000005000000}">
          <x14:formula1>
            <xm:f>Lists!$L$4:$L$10</xm:f>
          </x14:formula1>
          <xm:sqref>C61</xm:sqref>
        </x14:dataValidation>
        <x14:dataValidation type="list" allowBlank="1" showInputMessage="1" showErrorMessage="1" xr:uid="{00000000-0002-0000-0000-000006000000}">
          <x14:formula1>
            <xm:f>Lists!$Q$5:$Q$43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59"/>
  <sheetViews>
    <sheetView showGridLines="0" topLeftCell="A4" zoomScale="90" zoomScaleNormal="90" workbookViewId="0">
      <selection activeCell="B14" sqref="B14:H15"/>
    </sheetView>
  </sheetViews>
  <sheetFormatPr baseColWidth="10" defaultColWidth="9.1796875" defaultRowHeight="14.5" x14ac:dyDescent="0.35"/>
  <cols>
    <col min="1" max="1" width="1.7265625" customWidth="1"/>
    <col min="2" max="2" width="21" customWidth="1"/>
    <col min="3" max="3" width="47.453125" bestFit="1" customWidth="1"/>
    <col min="4" max="4" width="27.26953125" customWidth="1"/>
    <col min="5" max="5" width="19.54296875" customWidth="1"/>
    <col min="6" max="6" width="16.26953125" customWidth="1"/>
    <col min="7" max="7" width="17.26953125" customWidth="1"/>
    <col min="8" max="8" width="14.453125" customWidth="1"/>
    <col min="9" max="9" width="14" customWidth="1"/>
    <col min="10" max="10" width="8.7265625" customWidth="1"/>
  </cols>
  <sheetData>
    <row r="1" spans="2:10" x14ac:dyDescent="0.35">
      <c r="B1" s="1"/>
      <c r="C1" s="2"/>
      <c r="D1" s="2"/>
      <c r="E1" s="2"/>
      <c r="F1" s="2"/>
      <c r="G1" s="2"/>
      <c r="H1" s="2"/>
      <c r="I1" s="2"/>
      <c r="J1" s="3"/>
    </row>
    <row r="2" spans="2:10" x14ac:dyDescent="0.35">
      <c r="B2" s="19" t="s">
        <v>56</v>
      </c>
      <c r="C2" s="5"/>
      <c r="D2" s="5"/>
      <c r="E2" s="5"/>
      <c r="F2" s="5"/>
      <c r="G2" s="5"/>
      <c r="H2" s="5"/>
      <c r="I2" s="5"/>
      <c r="J2" s="6"/>
    </row>
    <row r="3" spans="2:10" x14ac:dyDescent="0.35">
      <c r="B3" s="87" t="s">
        <v>4</v>
      </c>
      <c r="C3" s="88" t="s">
        <v>75</v>
      </c>
      <c r="D3" s="5"/>
      <c r="E3" s="5"/>
      <c r="F3" s="5"/>
      <c r="G3" s="5"/>
      <c r="H3" s="5"/>
      <c r="I3" s="5"/>
      <c r="J3" s="6"/>
    </row>
    <row r="4" spans="2:10" x14ac:dyDescent="0.35">
      <c r="B4" s="87"/>
      <c r="C4" s="39"/>
      <c r="D4" s="5"/>
      <c r="E4" s="5"/>
      <c r="F4" s="5"/>
      <c r="G4" s="5"/>
      <c r="H4" s="5"/>
      <c r="I4" s="5"/>
      <c r="J4" s="6"/>
    </row>
    <row r="5" spans="2:10" ht="16.5" customHeight="1" x14ac:dyDescent="0.35">
      <c r="B5" s="87" t="s">
        <v>19</v>
      </c>
      <c r="C5" s="89" t="s">
        <v>138</v>
      </c>
      <c r="D5" s="26" t="s">
        <v>147</v>
      </c>
      <c r="E5" s="5"/>
      <c r="F5" s="5"/>
      <c r="G5" s="5"/>
      <c r="H5" s="5"/>
      <c r="I5" s="5"/>
      <c r="J5" s="6"/>
    </row>
    <row r="6" spans="2:10" ht="16.5" customHeight="1" x14ac:dyDescent="0.35">
      <c r="B6" s="87" t="s">
        <v>69</v>
      </c>
      <c r="C6" s="89" t="s">
        <v>100</v>
      </c>
      <c r="D6" s="26" t="s">
        <v>147</v>
      </c>
      <c r="E6" s="5"/>
      <c r="F6" s="5"/>
      <c r="G6" s="5"/>
      <c r="H6" s="5"/>
      <c r="I6" s="5"/>
      <c r="J6" s="6"/>
    </row>
    <row r="7" spans="2:10" x14ac:dyDescent="0.35">
      <c r="B7" s="19"/>
      <c r="C7" s="76" t="str">
        <f>IF(C3="Credit Note", "The Bill Type should match original invoice type"," ")</f>
        <v xml:space="preserve"> </v>
      </c>
      <c r="D7" s="5"/>
      <c r="E7" s="5"/>
      <c r="F7" s="5"/>
      <c r="G7" s="5"/>
      <c r="H7" s="5"/>
      <c r="I7" s="5"/>
      <c r="J7" s="6"/>
    </row>
    <row r="8" spans="2:10" ht="18.75" customHeight="1" x14ac:dyDescent="0.35">
      <c r="B8" s="74" t="s">
        <v>76</v>
      </c>
      <c r="C8" s="76"/>
      <c r="D8" s="5"/>
      <c r="E8" s="5"/>
      <c r="F8" s="5"/>
      <c r="G8" s="5"/>
      <c r="H8" s="5"/>
      <c r="I8" s="5"/>
      <c r="J8" s="6"/>
    </row>
    <row r="9" spans="2:10" x14ac:dyDescent="0.35">
      <c r="B9" s="87" t="s">
        <v>6</v>
      </c>
      <c r="C9" s="88" t="s">
        <v>18</v>
      </c>
      <c r="D9" s="26"/>
      <c r="E9" s="5"/>
      <c r="F9" s="5"/>
      <c r="G9" s="5"/>
      <c r="H9" s="5"/>
      <c r="I9" s="5"/>
      <c r="J9" s="6"/>
    </row>
    <row r="10" spans="2:10" x14ac:dyDescent="0.35">
      <c r="B10" s="7"/>
      <c r="C10" s="90"/>
      <c r="D10" s="26"/>
      <c r="E10" s="5"/>
      <c r="F10" s="5"/>
      <c r="G10" s="5"/>
      <c r="H10" s="5"/>
      <c r="I10" s="5"/>
      <c r="J10" s="6"/>
    </row>
    <row r="11" spans="2:10" x14ac:dyDescent="0.35">
      <c r="B11" s="7"/>
      <c r="C11" s="92" t="s">
        <v>145</v>
      </c>
      <c r="D11" s="26"/>
      <c r="E11" s="37"/>
      <c r="F11" s="96" t="s">
        <v>144</v>
      </c>
      <c r="G11" s="96"/>
      <c r="H11" s="5"/>
      <c r="I11" s="5"/>
      <c r="J11" s="6"/>
    </row>
    <row r="12" spans="2:10" ht="16.5" customHeight="1" x14ac:dyDescent="0.35">
      <c r="B12" s="87" t="s">
        <v>5</v>
      </c>
      <c r="C12" s="84"/>
      <c r="D12" s="26" t="s">
        <v>146</v>
      </c>
      <c r="E12" s="79" t="s">
        <v>5</v>
      </c>
      <c r="F12" s="136" t="s">
        <v>150</v>
      </c>
      <c r="G12" s="137"/>
      <c r="H12" s="26" t="str">
        <f>IF(C12="","Input Required","No Input Required")</f>
        <v>Input Required</v>
      </c>
      <c r="I12" s="26"/>
      <c r="J12" s="6"/>
    </row>
    <row r="13" spans="2:10" ht="16.5" customHeight="1" x14ac:dyDescent="0.35">
      <c r="B13" s="78" t="s">
        <v>17</v>
      </c>
      <c r="C13" s="88" t="str">
        <f>Lists!B17</f>
        <v/>
      </c>
      <c r="D13" s="26"/>
      <c r="E13" s="78" t="s">
        <v>17</v>
      </c>
      <c r="F13" s="136"/>
      <c r="G13" s="137"/>
      <c r="H13" s="26" t="str">
        <f>IF(C12="","Input Required","No Input Required")</f>
        <v>Input Required</v>
      </c>
      <c r="I13" s="26"/>
      <c r="J13" s="6"/>
    </row>
    <row r="14" spans="2:10" ht="16.5" customHeight="1" x14ac:dyDescent="0.35">
      <c r="B14" s="78" t="s">
        <v>77</v>
      </c>
      <c r="C14" s="89"/>
      <c r="D14" s="91" t="s">
        <v>86</v>
      </c>
      <c r="E14" s="78" t="s">
        <v>77</v>
      </c>
      <c r="F14" s="136"/>
      <c r="G14" s="137"/>
      <c r="H14" s="91" t="s">
        <v>86</v>
      </c>
      <c r="I14" s="91"/>
      <c r="J14" s="6"/>
    </row>
    <row r="15" spans="2:10" ht="16.5" customHeight="1" x14ac:dyDescent="0.35">
      <c r="B15" s="78" t="s">
        <v>85</v>
      </c>
      <c r="C15" s="89"/>
      <c r="D15" s="91" t="s">
        <v>86</v>
      </c>
      <c r="E15" s="78" t="s">
        <v>85</v>
      </c>
      <c r="F15" s="136"/>
      <c r="G15" s="137"/>
      <c r="H15" s="91" t="s">
        <v>86</v>
      </c>
      <c r="I15" s="91"/>
      <c r="J15" s="6"/>
    </row>
    <row r="16" spans="2:10" ht="16.5" customHeight="1" x14ac:dyDescent="0.35">
      <c r="B16" s="37"/>
      <c r="C16" s="85"/>
      <c r="D16" s="26"/>
      <c r="E16" s="5"/>
      <c r="F16" s="95"/>
      <c r="G16" s="86"/>
      <c r="H16" s="5"/>
      <c r="I16" s="5"/>
      <c r="J16" s="6"/>
    </row>
    <row r="17" spans="2:10" ht="16.5" customHeight="1" x14ac:dyDescent="0.35">
      <c r="B17" s="7"/>
      <c r="C17" s="37"/>
      <c r="D17" s="5"/>
      <c r="E17" s="37"/>
      <c r="F17" s="37"/>
      <c r="G17" s="37"/>
      <c r="H17" s="37"/>
      <c r="I17" s="37"/>
      <c r="J17" s="6"/>
    </row>
    <row r="18" spans="2:10" x14ac:dyDescent="0.35">
      <c r="B18" s="87" t="s">
        <v>31</v>
      </c>
      <c r="C18" s="66" t="s">
        <v>59</v>
      </c>
      <c r="D18" s="26" t="s">
        <v>148</v>
      </c>
      <c r="E18" s="78" t="s">
        <v>140</v>
      </c>
      <c r="F18" s="134"/>
      <c r="G18" s="135"/>
      <c r="H18" s="26" t="s">
        <v>147</v>
      </c>
      <c r="I18" s="5"/>
      <c r="J18" s="6"/>
    </row>
    <row r="19" spans="2:10" x14ac:dyDescent="0.35">
      <c r="B19" s="7"/>
      <c r="C19" s="56" t="s">
        <v>72</v>
      </c>
      <c r="D19" s="5"/>
      <c r="E19" s="78" t="s">
        <v>88</v>
      </c>
      <c r="F19" s="134"/>
      <c r="G19" s="135"/>
      <c r="H19" s="26" t="s">
        <v>131</v>
      </c>
      <c r="I19" s="5"/>
      <c r="J19" s="6"/>
    </row>
    <row r="20" spans="2:10" x14ac:dyDescent="0.35">
      <c r="B20" s="7"/>
      <c r="C20" s="56" t="s">
        <v>73</v>
      </c>
      <c r="D20" s="5"/>
      <c r="E20" s="95"/>
      <c r="F20" s="95"/>
      <c r="G20" s="5"/>
      <c r="H20" s="5"/>
      <c r="I20" s="5"/>
      <c r="J20" s="6"/>
    </row>
    <row r="21" spans="2:10" x14ac:dyDescent="0.35">
      <c r="B21" s="7"/>
      <c r="C21" s="56" t="s">
        <v>74</v>
      </c>
      <c r="D21" s="5"/>
      <c r="E21" s="95"/>
      <c r="F21" s="95"/>
      <c r="G21" s="5"/>
      <c r="H21" s="5"/>
      <c r="I21" s="5"/>
      <c r="J21" s="6"/>
    </row>
    <row r="22" spans="2:10" x14ac:dyDescent="0.35">
      <c r="B22" s="7"/>
      <c r="C22" s="56" t="s">
        <v>35</v>
      </c>
      <c r="D22" s="5"/>
      <c r="E22" s="79"/>
      <c r="F22" s="79" t="s">
        <v>78</v>
      </c>
      <c r="G22" s="73"/>
      <c r="H22" s="26" t="s">
        <v>147</v>
      </c>
      <c r="I22" s="26"/>
      <c r="J22" s="6"/>
    </row>
    <row r="23" spans="2:10" x14ac:dyDescent="0.35">
      <c r="B23" s="7"/>
      <c r="C23" s="56" t="s">
        <v>36</v>
      </c>
      <c r="D23" s="5"/>
      <c r="E23" s="79"/>
      <c r="F23" s="79" t="s">
        <v>11</v>
      </c>
      <c r="G23" s="68" t="s">
        <v>12</v>
      </c>
      <c r="H23" s="26" t="s">
        <v>132</v>
      </c>
      <c r="I23" s="26"/>
      <c r="J23" s="6"/>
    </row>
    <row r="24" spans="2:10" x14ac:dyDescent="0.35">
      <c r="B24" s="7"/>
      <c r="C24" s="57" t="s">
        <v>37</v>
      </c>
      <c r="D24" s="5"/>
      <c r="E24" s="5"/>
      <c r="F24" s="5"/>
      <c r="G24" s="5"/>
      <c r="H24" s="5"/>
      <c r="I24" s="5"/>
      <c r="J24" s="6"/>
    </row>
    <row r="25" spans="2:10" ht="16.5" customHeight="1" x14ac:dyDescent="0.35">
      <c r="B25" s="7"/>
      <c r="C25" s="77"/>
      <c r="D25" s="5"/>
      <c r="E25" s="75"/>
      <c r="F25" s="75"/>
      <c r="G25" s="75"/>
      <c r="H25" s="75"/>
      <c r="I25" s="75"/>
      <c r="J25" s="6"/>
    </row>
    <row r="26" spans="2:10" ht="16.5" customHeight="1" x14ac:dyDescent="0.35">
      <c r="B26" s="97" t="s">
        <v>87</v>
      </c>
      <c r="C26" s="67"/>
      <c r="D26" s="5"/>
      <c r="E26" s="5"/>
      <c r="F26" s="5"/>
      <c r="G26" s="5"/>
      <c r="H26" s="5"/>
      <c r="I26" s="5"/>
      <c r="J26" s="6"/>
    </row>
    <row r="27" spans="2:10" x14ac:dyDescent="0.35">
      <c r="B27" s="7"/>
      <c r="C27" s="5"/>
      <c r="D27" s="5"/>
      <c r="E27" s="5"/>
      <c r="F27" s="5"/>
      <c r="G27" s="5"/>
      <c r="H27" s="5"/>
      <c r="I27" s="5"/>
      <c r="J27" s="6"/>
    </row>
    <row r="28" spans="2:10" ht="36" customHeight="1" x14ac:dyDescent="0.35">
      <c r="B28" s="98" t="s">
        <v>80</v>
      </c>
      <c r="C28" s="125"/>
      <c r="D28" s="126"/>
      <c r="E28" s="126"/>
      <c r="F28" s="126"/>
      <c r="G28" s="127"/>
      <c r="H28" s="5"/>
      <c r="I28" s="5"/>
      <c r="J28" s="6"/>
    </row>
    <row r="29" spans="2:10" x14ac:dyDescent="0.35">
      <c r="B29" s="7"/>
      <c r="C29" s="39"/>
      <c r="D29" s="5"/>
      <c r="E29" s="78"/>
      <c r="F29" s="78"/>
      <c r="G29" s="5"/>
      <c r="H29" s="5"/>
      <c r="I29" s="5"/>
      <c r="J29" s="6"/>
    </row>
    <row r="30" spans="2:10" x14ac:dyDescent="0.35">
      <c r="B30" s="7" t="s">
        <v>79</v>
      </c>
      <c r="C30" s="39"/>
      <c r="D30" s="5"/>
      <c r="E30" s="78"/>
      <c r="F30" s="78"/>
      <c r="G30" s="5"/>
      <c r="H30" s="5"/>
      <c r="I30" s="5"/>
      <c r="J30" s="6"/>
    </row>
    <row r="31" spans="2:10" x14ac:dyDescent="0.35">
      <c r="B31" s="87" t="s">
        <v>81</v>
      </c>
      <c r="C31" s="68"/>
      <c r="D31" s="26" t="s">
        <v>132</v>
      </c>
      <c r="E31" s="79"/>
      <c r="F31" s="79" t="s">
        <v>82</v>
      </c>
      <c r="G31" s="53" t="s">
        <v>70</v>
      </c>
      <c r="H31" s="26" t="s">
        <v>132</v>
      </c>
      <c r="I31" s="26"/>
      <c r="J31" s="6"/>
    </row>
    <row r="32" spans="2:10" x14ac:dyDescent="0.35">
      <c r="B32" s="4"/>
      <c r="C32" s="5"/>
      <c r="D32" s="5"/>
      <c r="E32" s="5"/>
      <c r="F32" s="5"/>
      <c r="G32" s="5"/>
      <c r="H32" s="5"/>
      <c r="I32" s="5"/>
      <c r="J32" s="6"/>
    </row>
    <row r="33" spans="2:10" x14ac:dyDescent="0.35">
      <c r="B33" s="99" t="s">
        <v>62</v>
      </c>
      <c r="C33" s="69" t="s">
        <v>67</v>
      </c>
      <c r="D33" s="5" t="str">
        <f>IF($C$9="Fixed - no changes","NO INPUT REQUIRED","")</f>
        <v/>
      </c>
      <c r="E33" s="5"/>
      <c r="F33" s="5"/>
      <c r="G33" s="5"/>
      <c r="H33" s="5"/>
      <c r="I33" s="5"/>
      <c r="J33" s="6"/>
    </row>
    <row r="34" spans="2:10" x14ac:dyDescent="0.35">
      <c r="B34" s="99" t="s">
        <v>63</v>
      </c>
      <c r="C34" s="69" t="s">
        <v>68</v>
      </c>
      <c r="D34" s="5" t="str">
        <f>IF($C$9="Fixed - no changes","NO INPUT REQUIRED","")</f>
        <v/>
      </c>
      <c r="E34" s="5"/>
      <c r="F34" s="5"/>
      <c r="G34" s="5"/>
      <c r="H34" s="5"/>
      <c r="I34" s="5"/>
      <c r="J34" s="6"/>
    </row>
    <row r="35" spans="2:10" x14ac:dyDescent="0.35">
      <c r="B35" s="80"/>
      <c r="C35" s="5"/>
      <c r="D35" s="5"/>
      <c r="E35" s="5"/>
      <c r="F35" s="5"/>
      <c r="G35" s="5"/>
      <c r="H35" s="5"/>
      <c r="I35" s="5"/>
      <c r="J35" s="6"/>
    </row>
    <row r="36" spans="2:10" x14ac:dyDescent="0.35">
      <c r="B36" s="79" t="s">
        <v>28</v>
      </c>
      <c r="C36" s="93" t="s">
        <v>143</v>
      </c>
      <c r="D36" s="5"/>
      <c r="E36" s="131" t="s">
        <v>149</v>
      </c>
      <c r="F36" s="132"/>
      <c r="G36" s="133"/>
      <c r="H36" s="5"/>
      <c r="I36" s="5"/>
      <c r="J36" s="6"/>
    </row>
    <row r="37" spans="2:10" x14ac:dyDescent="0.35">
      <c r="B37" s="5"/>
      <c r="C37" s="20" t="str">
        <f>IF(C12=0,"",Lists!B18)</f>
        <v/>
      </c>
      <c r="D37" s="5"/>
      <c r="E37" s="128" t="str">
        <f>IF(F12=0,"No Input Required",'UC WBS codes'!C18)</f>
        <v>ZGC-Z001635-U1F1</v>
      </c>
      <c r="F37" s="129"/>
      <c r="G37" s="130"/>
      <c r="H37" s="26"/>
      <c r="I37" s="5"/>
      <c r="J37" s="6"/>
    </row>
    <row r="38" spans="2:10" x14ac:dyDescent="0.35">
      <c r="B38" s="5"/>
      <c r="C38" s="5"/>
      <c r="D38" s="5"/>
      <c r="E38" s="5"/>
      <c r="F38" s="5"/>
      <c r="G38" s="5"/>
      <c r="H38" s="5"/>
      <c r="I38" s="5"/>
      <c r="J38" s="6"/>
    </row>
    <row r="39" spans="2:10" x14ac:dyDescent="0.35">
      <c r="B39" s="7" t="s">
        <v>137</v>
      </c>
      <c r="C39" s="5"/>
      <c r="D39" s="5"/>
      <c r="E39" s="5"/>
      <c r="F39" s="5"/>
      <c r="G39" s="5"/>
      <c r="H39" s="5"/>
      <c r="I39" s="5"/>
      <c r="J39" s="6"/>
    </row>
    <row r="40" spans="2:10" x14ac:dyDescent="0.35">
      <c r="B40" s="87" t="s">
        <v>83</v>
      </c>
      <c r="C40" s="27" t="s">
        <v>33</v>
      </c>
      <c r="D40" s="27" t="s">
        <v>133</v>
      </c>
      <c r="E40" s="27" t="s">
        <v>134</v>
      </c>
      <c r="F40" s="94" t="s">
        <v>135</v>
      </c>
      <c r="G40" s="94" t="s">
        <v>136</v>
      </c>
      <c r="H40" s="28" t="s">
        <v>27</v>
      </c>
      <c r="I40" s="5"/>
      <c r="J40" s="6"/>
    </row>
    <row r="41" spans="2:10" x14ac:dyDescent="0.35">
      <c r="B41" s="7"/>
      <c r="C41" s="60"/>
      <c r="D41" s="60"/>
      <c r="E41" s="60"/>
      <c r="F41" s="60"/>
      <c r="G41" s="60"/>
      <c r="H41" s="65"/>
      <c r="I41" s="5"/>
      <c r="J41" s="6"/>
    </row>
    <row r="42" spans="2:10" x14ac:dyDescent="0.35">
      <c r="B42" s="7"/>
      <c r="C42" s="61" t="s">
        <v>139</v>
      </c>
      <c r="D42" s="61" t="s">
        <v>142</v>
      </c>
      <c r="E42" s="61" t="s">
        <v>141</v>
      </c>
      <c r="F42" s="61"/>
      <c r="G42" s="61"/>
      <c r="H42" s="64">
        <v>100000</v>
      </c>
      <c r="I42" s="5"/>
      <c r="J42" s="6"/>
    </row>
    <row r="43" spans="2:10" x14ac:dyDescent="0.35">
      <c r="B43" s="7"/>
      <c r="C43" s="61"/>
      <c r="D43" s="61"/>
      <c r="E43" s="61"/>
      <c r="F43" s="61"/>
      <c r="G43" s="61"/>
      <c r="H43" s="64"/>
      <c r="I43" s="5"/>
      <c r="J43" s="6"/>
    </row>
    <row r="44" spans="2:10" x14ac:dyDescent="0.35">
      <c r="B44" s="7"/>
      <c r="C44" s="61"/>
      <c r="D44" s="61"/>
      <c r="E44" s="61"/>
      <c r="F44" s="61"/>
      <c r="G44" s="61"/>
      <c r="H44" s="64"/>
      <c r="I44" s="5"/>
      <c r="J44" s="6"/>
    </row>
    <row r="45" spans="2:10" x14ac:dyDescent="0.35">
      <c r="B45" s="7"/>
      <c r="C45" s="61"/>
      <c r="D45" s="61"/>
      <c r="E45" s="61"/>
      <c r="F45" s="61"/>
      <c r="G45" s="61"/>
      <c r="H45" s="64"/>
      <c r="I45" s="5"/>
      <c r="J45" s="6"/>
    </row>
    <row r="46" spans="2:10" x14ac:dyDescent="0.35">
      <c r="B46" s="7"/>
      <c r="C46" s="61"/>
      <c r="D46" s="61"/>
      <c r="E46" s="61"/>
      <c r="F46" s="61"/>
      <c r="G46" s="61"/>
      <c r="H46" s="64"/>
      <c r="I46" s="5"/>
      <c r="J46" s="6"/>
    </row>
    <row r="47" spans="2:10" x14ac:dyDescent="0.35">
      <c r="B47" s="7"/>
      <c r="C47" s="61"/>
      <c r="D47" s="61"/>
      <c r="E47" s="61"/>
      <c r="F47" s="61"/>
      <c r="G47" s="61"/>
      <c r="H47" s="64"/>
      <c r="I47" s="5"/>
      <c r="J47" s="6"/>
    </row>
    <row r="48" spans="2:10" x14ac:dyDescent="0.35">
      <c r="B48" s="7"/>
      <c r="C48" s="61"/>
      <c r="D48" s="61"/>
      <c r="E48" s="61"/>
      <c r="F48" s="61"/>
      <c r="G48" s="61"/>
      <c r="H48" s="64"/>
      <c r="I48" s="5"/>
      <c r="J48" s="6"/>
    </row>
    <row r="49" spans="2:10" x14ac:dyDescent="0.35">
      <c r="B49" s="7"/>
      <c r="C49" s="61"/>
      <c r="D49" s="61"/>
      <c r="E49" s="61"/>
      <c r="F49" s="61"/>
      <c r="G49" s="61"/>
      <c r="H49" s="64"/>
      <c r="I49" s="5"/>
      <c r="J49" s="6"/>
    </row>
    <row r="50" spans="2:10" x14ac:dyDescent="0.35">
      <c r="B50" s="7"/>
      <c r="C50" s="61"/>
      <c r="D50" s="61"/>
      <c r="E50" s="61"/>
      <c r="F50" s="61"/>
      <c r="G50" s="61"/>
      <c r="H50" s="64"/>
      <c r="I50" s="5"/>
      <c r="J50" s="6"/>
    </row>
    <row r="51" spans="2:10" x14ac:dyDescent="0.35">
      <c r="B51" s="7"/>
      <c r="C51" s="39"/>
      <c r="D51" s="40"/>
      <c r="E51" s="40"/>
      <c r="F51" s="40"/>
      <c r="G51" s="40"/>
      <c r="H51" s="81"/>
      <c r="I51" s="5"/>
      <c r="J51" s="6"/>
    </row>
    <row r="52" spans="2:10" x14ac:dyDescent="0.35">
      <c r="B52" s="7"/>
      <c r="C52" s="12" t="s">
        <v>39</v>
      </c>
      <c r="D52" s="53" t="s">
        <v>40</v>
      </c>
      <c r="E52" s="40"/>
      <c r="F52" s="40"/>
      <c r="G52" s="40"/>
      <c r="H52" s="81"/>
      <c r="I52" s="5"/>
      <c r="J52" s="6"/>
    </row>
    <row r="53" spans="2:10" x14ac:dyDescent="0.35">
      <c r="B53" s="4"/>
      <c r="C53" s="5"/>
      <c r="D53" s="5"/>
      <c r="E53" s="40"/>
      <c r="F53" s="40"/>
      <c r="G53" s="37" t="s">
        <v>38</v>
      </c>
      <c r="H53" s="82">
        <f>SUM(H41:H50)</f>
        <v>100000</v>
      </c>
      <c r="I53" s="5"/>
      <c r="J53" s="6"/>
    </row>
    <row r="54" spans="2:10" x14ac:dyDescent="0.35">
      <c r="B54" s="4"/>
      <c r="C54" s="5"/>
      <c r="D54" s="5"/>
      <c r="E54" s="40"/>
      <c r="F54" s="40"/>
      <c r="G54" s="37" t="s">
        <v>42</v>
      </c>
      <c r="H54" s="65">
        <f>IF(D52="Yes",(+H53*0.2),0)</f>
        <v>20000</v>
      </c>
      <c r="I54" s="5"/>
      <c r="J54" s="6"/>
    </row>
    <row r="55" spans="2:10" ht="15.75" customHeight="1" x14ac:dyDescent="0.35">
      <c r="B55" s="7"/>
      <c r="C55" s="5"/>
      <c r="D55" s="5"/>
      <c r="E55" s="5"/>
      <c r="F55" s="5"/>
      <c r="G55" s="37" t="s">
        <v>43</v>
      </c>
      <c r="H55" s="65">
        <f>SUM(H53:H54)</f>
        <v>120000</v>
      </c>
      <c r="I55" s="5"/>
      <c r="J55" s="6"/>
    </row>
    <row r="56" spans="2:10" ht="15.75" customHeight="1" x14ac:dyDescent="0.35">
      <c r="B56" s="7"/>
      <c r="C56" s="5"/>
      <c r="D56" s="5"/>
      <c r="E56" s="5"/>
      <c r="F56" s="5"/>
      <c r="G56" s="37"/>
      <c r="H56" s="37"/>
      <c r="I56" s="5"/>
      <c r="J56" s="6"/>
    </row>
    <row r="57" spans="2:10" x14ac:dyDescent="0.35">
      <c r="B57" s="5"/>
      <c r="C57" s="5"/>
      <c r="D57" s="5"/>
      <c r="E57" s="5"/>
      <c r="F57" s="5"/>
      <c r="G57" s="5"/>
      <c r="H57" s="5"/>
      <c r="I57" s="5"/>
      <c r="J57" s="6"/>
    </row>
    <row r="58" spans="2:10" x14ac:dyDescent="0.35">
      <c r="B58" s="4" t="s">
        <v>20</v>
      </c>
      <c r="C58" s="83" t="s">
        <v>21</v>
      </c>
      <c r="D58" s="5"/>
      <c r="E58" s="5"/>
      <c r="F58" s="5"/>
      <c r="G58" s="5"/>
      <c r="H58" s="5" t="s">
        <v>84</v>
      </c>
      <c r="I58" s="5"/>
      <c r="J58" s="6"/>
    </row>
    <row r="59" spans="2:10" x14ac:dyDescent="0.35">
      <c r="B59" s="9"/>
      <c r="C59" s="10"/>
      <c r="D59" s="10"/>
      <c r="E59" s="10"/>
      <c r="F59" s="10"/>
      <c r="G59" s="10"/>
      <c r="H59" s="10"/>
      <c r="I59" s="10"/>
      <c r="J59" s="11"/>
    </row>
  </sheetData>
  <mergeCells count="9">
    <mergeCell ref="C28:G28"/>
    <mergeCell ref="E37:G37"/>
    <mergeCell ref="E36:G36"/>
    <mergeCell ref="F19:G19"/>
    <mergeCell ref="F12:G12"/>
    <mergeCell ref="F13:G13"/>
    <mergeCell ref="F14:G14"/>
    <mergeCell ref="F15:G15"/>
    <mergeCell ref="F18:G18"/>
  </mergeCells>
  <conditionalFormatting sqref="C7:C8 C35 B38:D38">
    <cfRule type="notContainsBlanks" dxfId="9" priority="8">
      <formula>LEN(TRIM(B7))&gt;0</formula>
    </cfRule>
  </conditionalFormatting>
  <conditionalFormatting sqref="C40:D40">
    <cfRule type="containsText" dxfId="8" priority="9" operator="containsText" text="NO INPUT REQUIRED">
      <formula>NOT(ISERROR(SEARCH("NO INPUT REQUIRED",C40)))</formula>
    </cfRule>
  </conditionalFormatting>
  <conditionalFormatting sqref="D33:D37 D52">
    <cfRule type="notContainsBlanks" dxfId="7" priority="7">
      <formula>LEN(TRIM(D33))&gt;0</formula>
    </cfRule>
  </conditionalFormatting>
  <conditionalFormatting sqref="F40:G40">
    <cfRule type="containsText" dxfId="6" priority="1" operator="containsText" text="NO INPUT REQUIRED">
      <formula>NOT(ISERROR(SEARCH("NO INPUT REQUIRED",F40)))</formula>
    </cfRule>
  </conditionalFormatting>
  <conditionalFormatting sqref="H28:I28">
    <cfRule type="notContainsBlanks" dxfId="5" priority="3">
      <formula>LEN(TRIM(H28))&gt;0</formula>
    </cfRule>
  </conditionalFormatting>
  <hyperlinks>
    <hyperlink ref="C58" r:id="rId1" xr:uid="{00000000-0004-0000-0100-000000000000}"/>
  </hyperlinks>
  <pageMargins left="0.7" right="0.7" top="0.75" bottom="0.75" header="0.3" footer="0.3"/>
  <pageSetup paperSize="9" scale="56" orientation="portrait" r:id="rId2"/>
  <ignoredErrors>
    <ignoredError sqref="C37" unlockedFormula="1"/>
  </ignoredErrors>
  <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0000000}">
          <x14:formula1>
            <xm:f>Lists!$F$4:$F$6</xm:f>
          </x14:formula1>
          <xm:sqref>D52</xm:sqref>
        </x14:dataValidation>
        <x14:dataValidation type="list" allowBlank="1" showInputMessage="1" showErrorMessage="1" xr:uid="{00000000-0002-0000-0100-000001000000}">
          <x14:formula1>
            <xm:f>Lists!D$3:D$7</xm:f>
          </x14:formula1>
          <xm:sqref>G23</xm:sqref>
        </x14:dataValidation>
        <x14:dataValidation type="list" allowBlank="1" showInputMessage="1" showErrorMessage="1" xr:uid="{00000000-0002-0000-0100-000002000000}">
          <x14:formula1>
            <xm:f>Lists!E$9:E$11</xm:f>
          </x14:formula1>
          <xm:sqref>G31</xm:sqref>
        </x14:dataValidation>
        <x14:dataValidation type="list" allowBlank="1" showInputMessage="1" showErrorMessage="1" xr:uid="{00000000-0002-0000-0100-000003000000}">
          <x14:formula1>
            <xm:f>Lists!D$9:D$12</xm:f>
          </x14:formula1>
          <xm:sqref>C31</xm:sqref>
        </x14:dataValidation>
        <x14:dataValidation type="list" allowBlank="1" showInputMessage="1" showErrorMessage="1" xr:uid="{00000000-0002-0000-0100-000004000000}">
          <x14:formula1>
            <xm:f>'UC WBS codes'!A$2:A$13</xm:f>
          </x14:formula1>
          <xm:sqref>C12</xm:sqref>
        </x14:dataValidation>
        <x14:dataValidation type="list" allowBlank="1" showInputMessage="1" showErrorMessage="1" xr:uid="{00000000-0002-0000-0100-000005000000}">
          <x14:formula1>
            <xm:f>Lists!C$9:C$11</xm:f>
          </x14:formula1>
          <xm:sqref>C10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58"/>
  <sheetViews>
    <sheetView showGridLines="0" topLeftCell="B1" workbookViewId="0">
      <selection activeCell="G63" sqref="G63"/>
    </sheetView>
  </sheetViews>
  <sheetFormatPr baseColWidth="10" defaultColWidth="9.1796875" defaultRowHeight="14.5" x14ac:dyDescent="0.35"/>
  <cols>
    <col min="1" max="1" width="1.7265625" customWidth="1"/>
    <col min="2" max="2" width="19" customWidth="1"/>
    <col min="3" max="3" width="43" customWidth="1"/>
    <col min="4" max="4" width="18.7265625" customWidth="1"/>
    <col min="5" max="5" width="17.81640625" customWidth="1"/>
    <col min="6" max="6" width="27.54296875" customWidth="1"/>
    <col min="7" max="7" width="18.453125" customWidth="1"/>
  </cols>
  <sheetData>
    <row r="1" spans="2:8" x14ac:dyDescent="0.35">
      <c r="B1" s="1"/>
      <c r="C1" s="2"/>
      <c r="D1" s="2"/>
      <c r="E1" s="2"/>
      <c r="F1" s="2"/>
      <c r="G1" s="2"/>
      <c r="H1" s="3"/>
    </row>
    <row r="2" spans="2:8" x14ac:dyDescent="0.35">
      <c r="B2" s="4"/>
      <c r="C2" s="5"/>
      <c r="D2" s="5"/>
      <c r="E2" s="5"/>
      <c r="F2" s="5"/>
      <c r="G2" s="5"/>
      <c r="H2" s="6"/>
    </row>
    <row r="3" spans="2:8" x14ac:dyDescent="0.35">
      <c r="B3" s="7" t="s">
        <v>4</v>
      </c>
      <c r="C3" s="12" t="s">
        <v>2</v>
      </c>
      <c r="D3" s="5"/>
      <c r="E3" s="5" t="str">
        <f>IF(C3="Credit Note", "Has Approval been requested from Simon Goodwin?"," ")</f>
        <v xml:space="preserve"> </v>
      </c>
      <c r="F3" s="5"/>
      <c r="G3" s="5"/>
      <c r="H3" s="6"/>
    </row>
    <row r="4" spans="2:8" x14ac:dyDescent="0.35">
      <c r="B4" s="19" t="s">
        <v>23</v>
      </c>
      <c r="C4" s="5"/>
      <c r="D4" s="5"/>
      <c r="E4" s="5"/>
      <c r="F4" s="5"/>
      <c r="G4" s="5"/>
      <c r="H4" s="6"/>
    </row>
    <row r="5" spans="2:8" x14ac:dyDescent="0.35">
      <c r="B5" s="7" t="s">
        <v>6</v>
      </c>
      <c r="C5" s="12"/>
      <c r="D5" s="5"/>
      <c r="E5" s="5" t="str">
        <f>IF(C3="Credit Note", "The Bill Type should match original invoice type"," ")</f>
        <v xml:space="preserve"> </v>
      </c>
      <c r="F5" s="5"/>
      <c r="G5" s="5"/>
      <c r="H5" s="6"/>
    </row>
    <row r="6" spans="2:8" x14ac:dyDescent="0.35">
      <c r="B6" s="19" t="s">
        <v>22</v>
      </c>
      <c r="C6" s="5"/>
      <c r="D6" s="5"/>
      <c r="E6" s="5"/>
      <c r="F6" s="5"/>
      <c r="G6" s="5"/>
      <c r="H6" s="6"/>
    </row>
    <row r="7" spans="2:8" x14ac:dyDescent="0.35">
      <c r="B7" s="7"/>
      <c r="C7" s="39" t="str">
        <f>IF($C$5="Fixed","If changes are required to contract setup - complete details below e.g. Indexation, PO Ref?", " ")</f>
        <v xml:space="preserve"> </v>
      </c>
      <c r="D7" s="5"/>
      <c r="E7" s="5"/>
      <c r="F7" s="5"/>
      <c r="G7" s="5"/>
      <c r="H7" s="6"/>
    </row>
    <row r="8" spans="2:8" x14ac:dyDescent="0.35">
      <c r="B8" s="7"/>
      <c r="C8" s="39"/>
      <c r="D8" s="5"/>
      <c r="E8" s="5"/>
      <c r="F8" s="5"/>
      <c r="G8" s="5"/>
      <c r="H8" s="6"/>
    </row>
    <row r="9" spans="2:8" x14ac:dyDescent="0.35">
      <c r="B9" s="7"/>
      <c r="C9" s="39"/>
      <c r="D9" s="5"/>
      <c r="E9" s="5"/>
      <c r="F9" s="5"/>
      <c r="G9" s="5"/>
      <c r="H9" s="6"/>
    </row>
    <row r="10" spans="2:8" x14ac:dyDescent="0.35">
      <c r="B10" s="8" t="s">
        <v>7</v>
      </c>
      <c r="C10" s="5"/>
      <c r="D10" s="5"/>
      <c r="E10" s="5"/>
      <c r="F10" s="5"/>
      <c r="G10" s="5"/>
      <c r="H10" s="6"/>
    </row>
    <row r="11" spans="2:8" ht="16.5" customHeight="1" x14ac:dyDescent="0.35">
      <c r="B11" s="7" t="s">
        <v>5</v>
      </c>
      <c r="C11" s="43" t="s">
        <v>44</v>
      </c>
      <c r="D11" s="5"/>
      <c r="E11" s="16" t="s">
        <v>17</v>
      </c>
      <c r="F11" s="44" t="s">
        <v>46</v>
      </c>
      <c r="G11" s="5"/>
      <c r="H11" s="6"/>
    </row>
    <row r="12" spans="2:8" x14ac:dyDescent="0.35">
      <c r="B12" s="4"/>
      <c r="C12" s="5"/>
      <c r="D12" s="5"/>
      <c r="E12" s="5"/>
      <c r="F12" s="5"/>
      <c r="G12" s="5"/>
      <c r="H12" s="6"/>
    </row>
    <row r="13" spans="2:8" x14ac:dyDescent="0.35">
      <c r="B13" s="7" t="s">
        <v>16</v>
      </c>
      <c r="C13" s="44" t="s">
        <v>47</v>
      </c>
      <c r="D13" s="5" t="str">
        <f>IF($C$5="Adhoc","NO INPUT REQUIRED","")</f>
        <v/>
      </c>
      <c r="E13" s="14" t="s">
        <v>9</v>
      </c>
      <c r="F13" s="44" t="s">
        <v>48</v>
      </c>
      <c r="G13" s="5"/>
      <c r="H13" s="6"/>
    </row>
    <row r="14" spans="2:8" x14ac:dyDescent="0.35">
      <c r="B14" s="4"/>
      <c r="C14" s="5"/>
      <c r="D14" s="5"/>
      <c r="E14" s="5"/>
      <c r="F14" s="5"/>
      <c r="G14" s="5"/>
      <c r="H14" s="6"/>
    </row>
    <row r="15" spans="2:8" x14ac:dyDescent="0.35">
      <c r="B15" s="17" t="s">
        <v>19</v>
      </c>
      <c r="C15" s="44" t="s">
        <v>45</v>
      </c>
      <c r="D15" s="5" t="str">
        <f>IF($C$5="Fixed - no changes","NO INPUT REQUIRED","")</f>
        <v/>
      </c>
      <c r="E15" s="14" t="s">
        <v>11</v>
      </c>
      <c r="F15" s="12" t="s">
        <v>12</v>
      </c>
      <c r="G15" s="13"/>
      <c r="H15" s="6"/>
    </row>
    <row r="16" spans="2:8" x14ac:dyDescent="0.35">
      <c r="B16" s="7"/>
      <c r="C16" s="5"/>
      <c r="D16" s="5"/>
      <c r="E16" s="5"/>
      <c r="F16" s="26" t="s">
        <v>30</v>
      </c>
      <c r="G16" s="5"/>
      <c r="H16" s="6"/>
    </row>
    <row r="17" spans="2:8" x14ac:dyDescent="0.35">
      <c r="B17" s="7" t="s">
        <v>31</v>
      </c>
      <c r="C17" s="29" t="s">
        <v>55</v>
      </c>
      <c r="D17" s="5"/>
      <c r="E17" s="5"/>
      <c r="F17" s="5"/>
      <c r="G17" s="5"/>
      <c r="H17" s="6"/>
    </row>
    <row r="18" spans="2:8" x14ac:dyDescent="0.35">
      <c r="B18" s="7"/>
      <c r="C18" s="35" t="s">
        <v>49</v>
      </c>
      <c r="D18" s="5"/>
      <c r="E18" s="5"/>
      <c r="F18" s="5"/>
      <c r="G18" s="5"/>
      <c r="H18" s="6"/>
    </row>
    <row r="19" spans="2:8" x14ac:dyDescent="0.35">
      <c r="B19" s="7"/>
      <c r="C19" s="35" t="s">
        <v>50</v>
      </c>
      <c r="D19" s="5"/>
      <c r="E19" s="5"/>
      <c r="F19" s="5"/>
      <c r="G19" s="5"/>
      <c r="H19" s="6"/>
    </row>
    <row r="20" spans="2:8" x14ac:dyDescent="0.35">
      <c r="B20" s="7"/>
      <c r="C20" s="35" t="s">
        <v>51</v>
      </c>
      <c r="D20" s="5"/>
      <c r="E20" s="5"/>
      <c r="F20" s="5"/>
      <c r="G20" s="5"/>
      <c r="H20" s="6"/>
    </row>
    <row r="21" spans="2:8" x14ac:dyDescent="0.35">
      <c r="B21" s="7"/>
      <c r="C21" s="35" t="s">
        <v>52</v>
      </c>
      <c r="D21" s="5"/>
      <c r="E21" s="5"/>
      <c r="F21" s="5"/>
      <c r="G21" s="5"/>
      <c r="H21" s="6"/>
    </row>
    <row r="22" spans="2:8" x14ac:dyDescent="0.35">
      <c r="B22" s="7"/>
      <c r="C22" s="35" t="s">
        <v>53</v>
      </c>
      <c r="D22" s="5"/>
      <c r="E22" s="5"/>
      <c r="F22" s="5"/>
      <c r="G22" s="5"/>
      <c r="H22" s="6"/>
    </row>
    <row r="23" spans="2:8" x14ac:dyDescent="0.35">
      <c r="B23" s="7"/>
      <c r="C23" s="36" t="s">
        <v>54</v>
      </c>
      <c r="D23" s="5"/>
      <c r="E23" s="5"/>
      <c r="F23" s="5"/>
      <c r="G23" s="5"/>
      <c r="H23" s="6"/>
    </row>
    <row r="24" spans="2:8" x14ac:dyDescent="0.35">
      <c r="B24" s="7"/>
      <c r="C24" s="5"/>
      <c r="D24" s="5"/>
      <c r="E24" s="5"/>
      <c r="F24" s="5"/>
      <c r="G24" s="5"/>
      <c r="H24" s="6"/>
    </row>
    <row r="25" spans="2:8" x14ac:dyDescent="0.35">
      <c r="B25" s="7" t="s">
        <v>15</v>
      </c>
      <c r="C25" s="30"/>
      <c r="D25" s="21"/>
      <c r="E25" s="21"/>
      <c r="F25" s="22"/>
      <c r="G25" s="5" t="str">
        <f>IF($C$5="Adhoc", "", IF($C$3="Credit Note","","NO INPUT REQUIRED"))</f>
        <v>NO INPUT REQUIRED</v>
      </c>
      <c r="H25" s="6"/>
    </row>
    <row r="26" spans="2:8" x14ac:dyDescent="0.35">
      <c r="B26" s="7"/>
      <c r="C26" s="5"/>
      <c r="D26" s="5"/>
      <c r="E26" s="5"/>
      <c r="F26" s="5"/>
      <c r="G26" s="5"/>
      <c r="H26" s="6"/>
    </row>
    <row r="27" spans="2:8" x14ac:dyDescent="0.35">
      <c r="B27" s="7" t="s">
        <v>8</v>
      </c>
      <c r="C27" s="27" t="s">
        <v>33</v>
      </c>
      <c r="D27" s="27" t="s">
        <v>25</v>
      </c>
      <c r="E27" s="27" t="s">
        <v>26</v>
      </c>
      <c r="F27" s="28" t="s">
        <v>27</v>
      </c>
      <c r="G27" s="5" t="str">
        <f>IF($C$5="Fixed - no changes","NO INPUT REQUIRED", " ")</f>
        <v xml:space="preserve"> </v>
      </c>
      <c r="H27" s="6"/>
    </row>
    <row r="28" spans="2:8" x14ac:dyDescent="0.35">
      <c r="B28" s="7"/>
      <c r="C28" s="47" t="s">
        <v>57</v>
      </c>
      <c r="D28" s="48">
        <v>10</v>
      </c>
      <c r="E28" s="49">
        <v>100</v>
      </c>
      <c r="F28" s="50">
        <f>D28*E28</f>
        <v>1000</v>
      </c>
      <c r="G28" s="5"/>
      <c r="H28" s="6"/>
    </row>
    <row r="29" spans="2:8" x14ac:dyDescent="0.35">
      <c r="B29" s="7"/>
      <c r="C29" s="47" t="s">
        <v>58</v>
      </c>
      <c r="D29" s="48">
        <v>1</v>
      </c>
      <c r="E29" s="49">
        <v>5430</v>
      </c>
      <c r="F29" s="50">
        <f t="shared" ref="F29:F35" si="0">D29*E29</f>
        <v>5430</v>
      </c>
      <c r="G29" s="5"/>
      <c r="H29" s="6"/>
    </row>
    <row r="30" spans="2:8" x14ac:dyDescent="0.35">
      <c r="B30" s="7"/>
      <c r="C30" s="25"/>
      <c r="D30" s="32"/>
      <c r="E30" s="31"/>
      <c r="F30" s="38">
        <f t="shared" si="0"/>
        <v>0</v>
      </c>
      <c r="G30" s="5"/>
      <c r="H30" s="6"/>
    </row>
    <row r="31" spans="2:8" x14ac:dyDescent="0.35">
      <c r="B31" s="7"/>
      <c r="C31" s="25"/>
      <c r="D31" s="32"/>
      <c r="E31" s="31"/>
      <c r="F31" s="38">
        <f>D31*E31</f>
        <v>0</v>
      </c>
      <c r="G31" s="5"/>
      <c r="H31" s="6"/>
    </row>
    <row r="32" spans="2:8" x14ac:dyDescent="0.35">
      <c r="B32" s="7"/>
      <c r="C32" s="25"/>
      <c r="D32" s="32"/>
      <c r="E32" s="31"/>
      <c r="F32" s="38">
        <f t="shared" si="0"/>
        <v>0</v>
      </c>
      <c r="G32" s="5"/>
      <c r="H32" s="6"/>
    </row>
    <row r="33" spans="2:8" x14ac:dyDescent="0.35">
      <c r="B33" s="7"/>
      <c r="C33" s="25"/>
      <c r="D33" s="32"/>
      <c r="E33" s="31"/>
      <c r="F33" s="38">
        <f t="shared" si="0"/>
        <v>0</v>
      </c>
      <c r="G33" s="5"/>
      <c r="H33" s="6"/>
    </row>
    <row r="34" spans="2:8" x14ac:dyDescent="0.35">
      <c r="B34" s="7"/>
      <c r="C34" s="25"/>
      <c r="D34" s="32"/>
      <c r="E34" s="31"/>
      <c r="F34" s="38">
        <f t="shared" si="0"/>
        <v>0</v>
      </c>
      <c r="G34" s="5"/>
      <c r="H34" s="6"/>
    </row>
    <row r="35" spans="2:8" x14ac:dyDescent="0.35">
      <c r="B35" s="7"/>
      <c r="C35" s="25"/>
      <c r="D35" s="32"/>
      <c r="E35" s="31"/>
      <c r="F35" s="38">
        <f t="shared" si="0"/>
        <v>0</v>
      </c>
      <c r="G35" s="5"/>
      <c r="H35" s="6"/>
    </row>
    <row r="36" spans="2:8" x14ac:dyDescent="0.35">
      <c r="B36" s="7"/>
      <c r="C36" s="39"/>
      <c r="D36" s="40"/>
      <c r="E36" s="41"/>
      <c r="F36" s="42"/>
      <c r="G36" s="5"/>
      <c r="H36" s="6"/>
    </row>
    <row r="37" spans="2:8" x14ac:dyDescent="0.35">
      <c r="B37" s="7"/>
      <c r="C37" s="12" t="s">
        <v>39</v>
      </c>
      <c r="D37" s="12" t="s">
        <v>40</v>
      </c>
      <c r="E37" s="41"/>
      <c r="F37" s="42"/>
      <c r="G37" s="5"/>
      <c r="H37" s="6"/>
    </row>
    <row r="38" spans="2:8" x14ac:dyDescent="0.35">
      <c r="B38" s="4"/>
      <c r="C38" s="5"/>
      <c r="D38" s="5"/>
      <c r="E38" s="37" t="s">
        <v>38</v>
      </c>
      <c r="F38" s="46">
        <f>SUM(F28:F35)</f>
        <v>6430</v>
      </c>
      <c r="G38" s="5"/>
      <c r="H38" s="6"/>
    </row>
    <row r="39" spans="2:8" x14ac:dyDescent="0.35">
      <c r="B39" s="4"/>
      <c r="C39" s="5"/>
      <c r="D39" s="5"/>
      <c r="E39" s="37" t="s">
        <v>42</v>
      </c>
      <c r="F39" s="38">
        <f>IF(D37="Yes",(+F38*0.2),0)</f>
        <v>1286</v>
      </c>
      <c r="G39" s="5"/>
      <c r="H39" s="6"/>
    </row>
    <row r="40" spans="2:8" ht="15.75" customHeight="1" x14ac:dyDescent="0.35">
      <c r="B40" s="7"/>
      <c r="C40" s="5"/>
      <c r="D40" s="5"/>
      <c r="E40" s="37" t="s">
        <v>43</v>
      </c>
      <c r="F40" s="38">
        <f>SUM(F38:F39)</f>
        <v>7716</v>
      </c>
      <c r="G40" s="5"/>
      <c r="H40" s="6"/>
    </row>
    <row r="41" spans="2:8" ht="15.75" customHeight="1" x14ac:dyDescent="0.35">
      <c r="B41" s="7"/>
      <c r="C41" s="5"/>
      <c r="D41" s="5"/>
      <c r="E41" s="37"/>
      <c r="F41" s="42"/>
      <c r="G41" s="5"/>
      <c r="H41" s="6"/>
    </row>
    <row r="42" spans="2:8" ht="15.75" customHeight="1" x14ac:dyDescent="0.35">
      <c r="B42" s="7"/>
      <c r="C42" s="5"/>
      <c r="D42" s="5"/>
      <c r="E42" s="37"/>
      <c r="F42" s="42"/>
      <c r="G42" s="5"/>
      <c r="H42" s="6"/>
    </row>
    <row r="43" spans="2:8" x14ac:dyDescent="0.35">
      <c r="B43" s="7"/>
      <c r="C43" s="52" t="s">
        <v>28</v>
      </c>
      <c r="D43" s="34"/>
      <c r="E43" s="5"/>
      <c r="F43" s="5"/>
      <c r="G43" s="5"/>
      <c r="H43" s="6"/>
    </row>
    <row r="44" spans="2:8" x14ac:dyDescent="0.35">
      <c r="B44" s="4"/>
      <c r="C44" s="51" t="s">
        <v>29</v>
      </c>
      <c r="D44" s="45"/>
      <c r="E44" s="5"/>
      <c r="F44" s="5"/>
      <c r="G44" s="5"/>
      <c r="H44" s="6"/>
    </row>
    <row r="45" spans="2:8" x14ac:dyDescent="0.35">
      <c r="B45" s="4"/>
      <c r="C45" s="33" t="s">
        <v>34</v>
      </c>
      <c r="D45" s="33" t="s">
        <v>10</v>
      </c>
      <c r="E45" s="5"/>
      <c r="F45" s="5"/>
      <c r="G45" s="5"/>
      <c r="H45" s="6"/>
    </row>
    <row r="46" spans="2:8" x14ac:dyDescent="0.35">
      <c r="B46" s="7"/>
      <c r="C46" s="12" t="s">
        <v>32</v>
      </c>
      <c r="D46" s="20"/>
      <c r="E46" s="5"/>
      <c r="F46" s="5"/>
      <c r="G46" s="5"/>
      <c r="H46" s="6"/>
    </row>
    <row r="47" spans="2:8" x14ac:dyDescent="0.35">
      <c r="B47" s="4"/>
      <c r="C47" s="12"/>
      <c r="D47" s="20"/>
      <c r="E47" s="5"/>
      <c r="F47" s="5"/>
      <c r="G47" s="5"/>
      <c r="H47" s="6"/>
    </row>
    <row r="48" spans="2:8" x14ac:dyDescent="0.35">
      <c r="B48" s="4"/>
      <c r="C48" s="12"/>
      <c r="D48" s="20"/>
      <c r="E48" s="5"/>
      <c r="F48" s="5"/>
      <c r="G48" s="5"/>
      <c r="H48" s="6"/>
    </row>
    <row r="49" spans="2:8" x14ac:dyDescent="0.35">
      <c r="B49" s="4"/>
      <c r="C49" s="12"/>
      <c r="D49" s="20"/>
      <c r="E49" s="5"/>
      <c r="F49" s="5"/>
      <c r="G49" s="5"/>
      <c r="H49" s="6"/>
    </row>
    <row r="50" spans="2:8" x14ac:dyDescent="0.35">
      <c r="B50" s="4"/>
      <c r="C50" s="12"/>
      <c r="D50" s="20"/>
      <c r="E50" s="5"/>
      <c r="F50" s="5"/>
      <c r="G50" s="5"/>
      <c r="H50" s="6"/>
    </row>
    <row r="51" spans="2:8" x14ac:dyDescent="0.35">
      <c r="B51" s="4"/>
      <c r="C51" s="12"/>
      <c r="D51" s="20"/>
      <c r="E51" s="5"/>
      <c r="F51" s="5"/>
      <c r="G51" s="5"/>
      <c r="H51" s="6"/>
    </row>
    <row r="52" spans="2:8" x14ac:dyDescent="0.35">
      <c r="B52" s="4"/>
      <c r="C52" s="12"/>
      <c r="D52" s="20"/>
      <c r="E52" s="5"/>
      <c r="F52" s="5"/>
      <c r="G52" s="5"/>
      <c r="H52" s="6"/>
    </row>
    <row r="53" spans="2:8" x14ac:dyDescent="0.35">
      <c r="B53" s="4"/>
      <c r="C53" s="12"/>
      <c r="D53" s="20"/>
      <c r="E53" s="5"/>
      <c r="F53" s="5"/>
      <c r="G53" s="5"/>
      <c r="H53" s="6"/>
    </row>
    <row r="54" spans="2:8" x14ac:dyDescent="0.35">
      <c r="B54" s="4"/>
      <c r="C54" s="5"/>
      <c r="D54" s="5"/>
      <c r="E54" s="5"/>
      <c r="F54" s="5"/>
      <c r="G54" s="5"/>
      <c r="H54" s="6"/>
    </row>
    <row r="55" spans="2:8" x14ac:dyDescent="0.35">
      <c r="B55" s="7" t="str">
        <f>IF($C$5= "Adhoc","","Reason for request")</f>
        <v>Reason for request</v>
      </c>
      <c r="C55" s="23"/>
      <c r="D55" s="24"/>
      <c r="E55" s="24"/>
      <c r="F55" s="24"/>
      <c r="G55" s="34"/>
      <c r="H55" s="6"/>
    </row>
    <row r="56" spans="2:8" x14ac:dyDescent="0.35">
      <c r="B56" s="4"/>
      <c r="C56" s="5"/>
      <c r="D56" s="5"/>
      <c r="E56" s="5"/>
      <c r="F56" s="5"/>
      <c r="G56" s="5"/>
      <c r="H56" s="6"/>
    </row>
    <row r="57" spans="2:8" x14ac:dyDescent="0.35">
      <c r="B57" s="4" t="s">
        <v>20</v>
      </c>
      <c r="C57" s="18" t="s">
        <v>21</v>
      </c>
      <c r="D57" s="5"/>
      <c r="E57" s="5"/>
      <c r="F57" s="5"/>
      <c r="G57" s="5" t="s">
        <v>24</v>
      </c>
      <c r="H57" s="6"/>
    </row>
    <row r="58" spans="2:8" x14ac:dyDescent="0.35">
      <c r="B58" s="9"/>
      <c r="C58" s="10"/>
      <c r="D58" s="10"/>
      <c r="E58" s="10"/>
      <c r="F58" s="10"/>
      <c r="G58" s="10"/>
      <c r="H58" s="11"/>
    </row>
  </sheetData>
  <conditionalFormatting sqref="B55">
    <cfRule type="notContainsBlanks" dxfId="4" priority="2">
      <formula>LEN(TRIM(B55))&gt;0</formula>
    </cfRule>
  </conditionalFormatting>
  <conditionalFormatting sqref="C27">
    <cfRule type="containsText" dxfId="3" priority="6" operator="containsText" text="NO INPUT REQUIRED">
      <formula>NOT(ISERROR(SEARCH("NO INPUT REQUIRED",C27)))</formula>
    </cfRule>
  </conditionalFormatting>
  <conditionalFormatting sqref="D13">
    <cfRule type="notContainsBlanks" dxfId="2" priority="1">
      <formula>LEN(TRIM(D13))&gt;0</formula>
    </cfRule>
  </conditionalFormatting>
  <conditionalFormatting sqref="D15 G25 G27 D37">
    <cfRule type="notContainsBlanks" dxfId="1" priority="3">
      <formula>LEN(TRIM(D15))&gt;0</formula>
    </cfRule>
  </conditionalFormatting>
  <conditionalFormatting sqref="E3 E5">
    <cfRule type="notContainsBlanks" dxfId="0" priority="5">
      <formula>LEN(TRIM(E3))&gt;0</formula>
    </cfRule>
  </conditionalFormatting>
  <hyperlinks>
    <hyperlink ref="C57" r:id="rId1" xr:uid="{00000000-0004-0000-0200-000000000000}"/>
  </hyperlinks>
  <pageMargins left="0.7" right="0.7" top="0.75" bottom="0.75" header="0.3" footer="0.3"/>
  <pageSetup paperSize="9" scale="47" orientation="portrait" verticalDpi="0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Lists!$B$3:$B$5</xm:f>
          </x14:formula1>
          <xm:sqref>C3</xm:sqref>
        </x14:dataValidation>
        <x14:dataValidation type="list" allowBlank="1" showInputMessage="1" showErrorMessage="1" xr:uid="{00000000-0002-0000-0200-000001000000}">
          <x14:formula1>
            <xm:f>Lists!$D$3:$D$7</xm:f>
          </x14:formula1>
          <xm:sqref>F15</xm:sqref>
        </x14:dataValidation>
        <x14:dataValidation type="list" allowBlank="1" showInputMessage="1" showErrorMessage="1" xr:uid="{00000000-0002-0000-0200-000002000000}">
          <x14:formula1>
            <xm:f>Lists!$C$3:$C$7</xm:f>
          </x14:formula1>
          <xm:sqref>C5</xm:sqref>
        </x14:dataValidation>
        <x14:dataValidation type="list" allowBlank="1" showInputMessage="1" showErrorMessage="1" xr:uid="{00000000-0002-0000-0200-000003000000}">
          <x14:formula1>
            <xm:f>Lists!$F$4:$F$6</xm:f>
          </x14:formula1>
          <xm:sqref>D37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R43"/>
  <sheetViews>
    <sheetView topLeftCell="A3" workbookViewId="0">
      <selection activeCell="H14" sqref="H14"/>
    </sheetView>
  </sheetViews>
  <sheetFormatPr baseColWidth="10" defaultColWidth="9.1796875" defaultRowHeight="14.5" x14ac:dyDescent="0.35"/>
  <cols>
    <col min="1" max="1" width="14.81640625" bestFit="1" customWidth="1"/>
    <col min="2" max="2" width="17.453125" bestFit="1" customWidth="1"/>
    <col min="3" max="3" width="17.54296875" bestFit="1" customWidth="1"/>
    <col min="4" max="4" width="11.1796875" customWidth="1"/>
    <col min="5" max="5" width="13.1796875" customWidth="1"/>
  </cols>
  <sheetData>
    <row r="4" spans="1:18" x14ac:dyDescent="0.35">
      <c r="A4" t="s">
        <v>60</v>
      </c>
      <c r="B4" t="s">
        <v>2</v>
      </c>
      <c r="C4" t="s">
        <v>18</v>
      </c>
      <c r="D4" t="s">
        <v>12</v>
      </c>
      <c r="F4" t="s">
        <v>40</v>
      </c>
      <c r="H4" s="100">
        <v>0.1</v>
      </c>
      <c r="L4" s="18" t="s">
        <v>21</v>
      </c>
      <c r="P4" t="s">
        <v>160</v>
      </c>
      <c r="Q4" t="s">
        <v>161</v>
      </c>
      <c r="R4" t="s">
        <v>162</v>
      </c>
    </row>
    <row r="5" spans="1:18" x14ac:dyDescent="0.35">
      <c r="B5" t="s">
        <v>3</v>
      </c>
      <c r="C5" t="s">
        <v>0</v>
      </c>
      <c r="D5" t="s">
        <v>13</v>
      </c>
      <c r="F5" t="s">
        <v>41</v>
      </c>
      <c r="H5" s="100">
        <v>0.15</v>
      </c>
      <c r="L5" t="s">
        <v>268</v>
      </c>
      <c r="P5" t="s">
        <v>163</v>
      </c>
      <c r="Q5" t="s">
        <v>164</v>
      </c>
      <c r="R5" t="s">
        <v>165</v>
      </c>
    </row>
    <row r="6" spans="1:18" x14ac:dyDescent="0.35">
      <c r="C6" t="s">
        <v>1</v>
      </c>
      <c r="D6" t="s">
        <v>152</v>
      </c>
      <c r="H6" s="100">
        <v>0.19</v>
      </c>
      <c r="L6" t="s">
        <v>154</v>
      </c>
      <c r="P6" t="s">
        <v>166</v>
      </c>
      <c r="Q6" t="s">
        <v>167</v>
      </c>
      <c r="R6" t="s">
        <v>168</v>
      </c>
    </row>
    <row r="7" spans="1:18" x14ac:dyDescent="0.35">
      <c r="C7" t="s">
        <v>151</v>
      </c>
      <c r="D7" t="s">
        <v>14</v>
      </c>
      <c r="H7" s="100">
        <v>0.2</v>
      </c>
      <c r="L7" t="s">
        <v>155</v>
      </c>
      <c r="P7" t="s">
        <v>169</v>
      </c>
      <c r="Q7" t="s">
        <v>170</v>
      </c>
      <c r="R7" t="s">
        <v>171</v>
      </c>
    </row>
    <row r="8" spans="1:18" x14ac:dyDescent="0.35">
      <c r="H8" s="100">
        <v>0.21</v>
      </c>
      <c r="L8" t="s">
        <v>156</v>
      </c>
      <c r="P8" t="s">
        <v>172</v>
      </c>
      <c r="Q8" t="s">
        <v>173</v>
      </c>
      <c r="R8" t="s">
        <v>174</v>
      </c>
    </row>
    <row r="9" spans="1:18" x14ac:dyDescent="0.35">
      <c r="H9" s="100">
        <v>0</v>
      </c>
      <c r="L9" t="s">
        <v>157</v>
      </c>
      <c r="P9" t="s">
        <v>175</v>
      </c>
      <c r="Q9" t="s">
        <v>176</v>
      </c>
      <c r="R9" t="s">
        <v>177</v>
      </c>
    </row>
    <row r="10" spans="1:18" x14ac:dyDescent="0.35">
      <c r="A10" t="s">
        <v>61</v>
      </c>
      <c r="C10" t="s">
        <v>18</v>
      </c>
      <c r="D10" t="s">
        <v>64</v>
      </c>
      <c r="E10" t="s">
        <v>70</v>
      </c>
      <c r="L10" t="s">
        <v>158</v>
      </c>
      <c r="P10" t="s">
        <v>178</v>
      </c>
      <c r="Q10" t="s">
        <v>179</v>
      </c>
      <c r="R10" t="s">
        <v>180</v>
      </c>
    </row>
    <row r="11" spans="1:18" x14ac:dyDescent="0.35">
      <c r="C11" t="s">
        <v>0</v>
      </c>
      <c r="D11" t="s">
        <v>65</v>
      </c>
      <c r="E11" t="s">
        <v>71</v>
      </c>
      <c r="P11" t="s">
        <v>181</v>
      </c>
      <c r="Q11" t="s">
        <v>182</v>
      </c>
      <c r="R11" t="s">
        <v>183</v>
      </c>
    </row>
    <row r="12" spans="1:18" x14ac:dyDescent="0.35">
      <c r="D12" t="s">
        <v>66</v>
      </c>
      <c r="P12" t="s">
        <v>184</v>
      </c>
      <c r="Q12" t="s">
        <v>185</v>
      </c>
      <c r="R12" t="s">
        <v>186</v>
      </c>
    </row>
    <row r="13" spans="1:18" x14ac:dyDescent="0.35">
      <c r="P13" t="s">
        <v>187</v>
      </c>
      <c r="Q13" t="s">
        <v>188</v>
      </c>
      <c r="R13" t="s">
        <v>189</v>
      </c>
    </row>
    <row r="14" spans="1:18" x14ac:dyDescent="0.35">
      <c r="P14" t="s">
        <v>190</v>
      </c>
      <c r="Q14" t="s">
        <v>191</v>
      </c>
      <c r="R14" t="s">
        <v>192</v>
      </c>
    </row>
    <row r="15" spans="1:18" x14ac:dyDescent="0.35">
      <c r="P15" t="s">
        <v>193</v>
      </c>
      <c r="Q15" t="s">
        <v>194</v>
      </c>
      <c r="R15" t="s">
        <v>195</v>
      </c>
    </row>
    <row r="16" spans="1:18" x14ac:dyDescent="0.35">
      <c r="A16" t="s">
        <v>128</v>
      </c>
      <c r="P16" t="s">
        <v>193</v>
      </c>
      <c r="Q16" t="s">
        <v>196</v>
      </c>
      <c r="R16" t="s">
        <v>197</v>
      </c>
    </row>
    <row r="17" spans="1:18" x14ac:dyDescent="0.35">
      <c r="A17" t="s">
        <v>129</v>
      </c>
      <c r="B17" t="str">
        <f>IF('UC Maint Contract+Inv Request'!C12="","",VLOOKUP('UC Maint Contract+Inv Request'!$C$12,'UC WBS codes'!$A$3:$C$13,2,FALSE))</f>
        <v/>
      </c>
      <c r="P17" t="s">
        <v>198</v>
      </c>
      <c r="Q17" t="s">
        <v>199</v>
      </c>
      <c r="R17" t="s">
        <v>200</v>
      </c>
    </row>
    <row r="18" spans="1:18" x14ac:dyDescent="0.35">
      <c r="A18" t="s">
        <v>130</v>
      </c>
      <c r="B18" t="str">
        <f>IF('UC Maint Contract+Inv Request'!C12="","",VLOOKUP('UC Maint Contract+Inv Request'!$C$12,'UC WBS codes'!$A$3:$C$13,3,FALSE))</f>
        <v/>
      </c>
      <c r="P18" t="s">
        <v>201</v>
      </c>
      <c r="Q18" t="s">
        <v>202</v>
      </c>
      <c r="R18" t="s">
        <v>203</v>
      </c>
    </row>
    <row r="19" spans="1:18" x14ac:dyDescent="0.35">
      <c r="P19" t="s">
        <v>204</v>
      </c>
      <c r="Q19" t="s">
        <v>205</v>
      </c>
      <c r="R19" t="s">
        <v>206</v>
      </c>
    </row>
    <row r="20" spans="1:18" x14ac:dyDescent="0.35">
      <c r="P20" t="s">
        <v>204</v>
      </c>
      <c r="Q20" t="s">
        <v>207</v>
      </c>
      <c r="R20" t="s">
        <v>208</v>
      </c>
    </row>
    <row r="21" spans="1:18" x14ac:dyDescent="0.35">
      <c r="P21" t="s">
        <v>204</v>
      </c>
      <c r="Q21" t="s">
        <v>209</v>
      </c>
      <c r="R21" t="s">
        <v>210</v>
      </c>
    </row>
    <row r="22" spans="1:18" x14ac:dyDescent="0.35">
      <c r="P22" t="s">
        <v>211</v>
      </c>
      <c r="Q22" t="s">
        <v>212</v>
      </c>
      <c r="R22" t="s">
        <v>213</v>
      </c>
    </row>
    <row r="23" spans="1:18" x14ac:dyDescent="0.35">
      <c r="P23" t="s">
        <v>204</v>
      </c>
      <c r="Q23" t="s">
        <v>214</v>
      </c>
      <c r="R23" t="s">
        <v>215</v>
      </c>
    </row>
    <row r="24" spans="1:18" x14ac:dyDescent="0.35">
      <c r="P24" t="s">
        <v>216</v>
      </c>
      <c r="Q24" t="s">
        <v>217</v>
      </c>
      <c r="R24" t="s">
        <v>218</v>
      </c>
    </row>
    <row r="25" spans="1:18" x14ac:dyDescent="0.35">
      <c r="P25" t="s">
        <v>219</v>
      </c>
      <c r="Q25" t="s">
        <v>220</v>
      </c>
      <c r="R25" t="s">
        <v>221</v>
      </c>
    </row>
    <row r="26" spans="1:18" x14ac:dyDescent="0.35">
      <c r="P26" t="s">
        <v>222</v>
      </c>
      <c r="Q26" t="s">
        <v>223</v>
      </c>
      <c r="R26" t="s">
        <v>224</v>
      </c>
    </row>
    <row r="27" spans="1:18" x14ac:dyDescent="0.35">
      <c r="P27" t="s">
        <v>225</v>
      </c>
      <c r="Q27" t="s">
        <v>226</v>
      </c>
      <c r="R27" t="s">
        <v>227</v>
      </c>
    </row>
    <row r="28" spans="1:18" x14ac:dyDescent="0.35">
      <c r="P28" t="s">
        <v>204</v>
      </c>
      <c r="Q28" t="s">
        <v>228</v>
      </c>
      <c r="R28" t="s">
        <v>229</v>
      </c>
    </row>
    <row r="29" spans="1:18" x14ac:dyDescent="0.35">
      <c r="P29" t="s">
        <v>204</v>
      </c>
      <c r="Q29" t="s">
        <v>230</v>
      </c>
      <c r="R29" t="s">
        <v>231</v>
      </c>
    </row>
    <row r="30" spans="1:18" x14ac:dyDescent="0.35">
      <c r="P30" t="s">
        <v>232</v>
      </c>
      <c r="Q30" t="s">
        <v>233</v>
      </c>
      <c r="R30" t="s">
        <v>234</v>
      </c>
    </row>
    <row r="31" spans="1:18" x14ac:dyDescent="0.35">
      <c r="P31" t="s">
        <v>235</v>
      </c>
      <c r="Q31" t="s">
        <v>236</v>
      </c>
      <c r="R31" t="s">
        <v>237</v>
      </c>
    </row>
    <row r="32" spans="1:18" x14ac:dyDescent="0.35">
      <c r="P32" t="s">
        <v>204</v>
      </c>
      <c r="Q32" t="s">
        <v>238</v>
      </c>
      <c r="R32" t="s">
        <v>239</v>
      </c>
    </row>
    <row r="33" spans="16:18" x14ac:dyDescent="0.35">
      <c r="P33" t="s">
        <v>190</v>
      </c>
      <c r="Q33" t="s">
        <v>240</v>
      </c>
      <c r="R33" t="s">
        <v>241</v>
      </c>
    </row>
    <row r="34" spans="16:18" x14ac:dyDescent="0.35">
      <c r="P34" t="s">
        <v>242</v>
      </c>
      <c r="Q34" t="s">
        <v>265</v>
      </c>
      <c r="R34" t="s">
        <v>243</v>
      </c>
    </row>
    <row r="35" spans="16:18" x14ac:dyDescent="0.35">
      <c r="P35" t="s">
        <v>244</v>
      </c>
      <c r="Q35" t="s">
        <v>245</v>
      </c>
      <c r="R35" t="s">
        <v>246</v>
      </c>
    </row>
    <row r="36" spans="16:18" x14ac:dyDescent="0.35">
      <c r="P36" t="s">
        <v>204</v>
      </c>
      <c r="Q36" t="s">
        <v>247</v>
      </c>
      <c r="R36" t="s">
        <v>248</v>
      </c>
    </row>
    <row r="37" spans="16:18" x14ac:dyDescent="0.35">
      <c r="P37" t="s">
        <v>204</v>
      </c>
      <c r="Q37" t="s">
        <v>249</v>
      </c>
      <c r="R37" t="s">
        <v>250</v>
      </c>
    </row>
    <row r="38" spans="16:18" x14ac:dyDescent="0.35">
      <c r="P38" t="s">
        <v>204</v>
      </c>
      <c r="Q38" t="s">
        <v>251</v>
      </c>
      <c r="R38" t="s">
        <v>252</v>
      </c>
    </row>
    <row r="39" spans="16:18" x14ac:dyDescent="0.35">
      <c r="P39" t="s">
        <v>204</v>
      </c>
      <c r="Q39" t="s">
        <v>253</v>
      </c>
      <c r="R39" t="s">
        <v>254</v>
      </c>
    </row>
    <row r="40" spans="16:18" x14ac:dyDescent="0.35">
      <c r="P40" t="s">
        <v>255</v>
      </c>
      <c r="Q40" t="s">
        <v>256</v>
      </c>
      <c r="R40" t="s">
        <v>257</v>
      </c>
    </row>
    <row r="41" spans="16:18" x14ac:dyDescent="0.35">
      <c r="P41" t="s">
        <v>204</v>
      </c>
      <c r="Q41" t="s">
        <v>258</v>
      </c>
      <c r="R41" t="s">
        <v>259</v>
      </c>
    </row>
    <row r="42" spans="16:18" x14ac:dyDescent="0.35">
      <c r="P42" t="s">
        <v>260</v>
      </c>
      <c r="Q42" t="s">
        <v>261</v>
      </c>
      <c r="R42" t="s">
        <v>262</v>
      </c>
    </row>
    <row r="43" spans="16:18" x14ac:dyDescent="0.35">
      <c r="P43" t="s">
        <v>216</v>
      </c>
      <c r="Q43" t="s">
        <v>263</v>
      </c>
      <c r="R43" t="s">
        <v>264</v>
      </c>
    </row>
  </sheetData>
  <hyperlinks>
    <hyperlink ref="L4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C25" sqref="C25"/>
    </sheetView>
  </sheetViews>
  <sheetFormatPr baseColWidth="10" defaultColWidth="9.1796875" defaultRowHeight="14.5" x14ac:dyDescent="0.35"/>
  <cols>
    <col min="1" max="1" width="47.453125" bestFit="1" customWidth="1"/>
    <col min="2" max="2" width="9.453125" customWidth="1"/>
    <col min="3" max="3" width="22.1796875" customWidth="1"/>
    <col min="4" max="4" width="19.7265625" bestFit="1" customWidth="1"/>
  </cols>
  <sheetData>
    <row r="1" spans="1:4" x14ac:dyDescent="0.35">
      <c r="A1" s="70" t="s">
        <v>91</v>
      </c>
      <c r="B1" s="70" t="s">
        <v>92</v>
      </c>
      <c r="C1" t="s">
        <v>89</v>
      </c>
      <c r="D1" s="70" t="s">
        <v>90</v>
      </c>
    </row>
    <row r="2" spans="1:4" x14ac:dyDescent="0.35">
      <c r="A2" s="70"/>
      <c r="B2" s="70"/>
      <c r="D2" s="70"/>
    </row>
    <row r="3" spans="1:4" x14ac:dyDescent="0.35">
      <c r="A3" s="71" t="s">
        <v>98</v>
      </c>
      <c r="B3" s="72" t="s">
        <v>99</v>
      </c>
      <c r="C3" t="s">
        <v>96</v>
      </c>
      <c r="D3" t="s">
        <v>97</v>
      </c>
    </row>
    <row r="4" spans="1:4" x14ac:dyDescent="0.35">
      <c r="A4" s="71" t="s">
        <v>102</v>
      </c>
      <c r="B4" s="72" t="s">
        <v>103</v>
      </c>
      <c r="C4" t="s">
        <v>101</v>
      </c>
      <c r="D4" t="s">
        <v>97</v>
      </c>
    </row>
    <row r="5" spans="1:4" x14ac:dyDescent="0.35">
      <c r="A5" s="71" t="s">
        <v>105</v>
      </c>
      <c r="B5" s="72" t="s">
        <v>106</v>
      </c>
      <c r="C5" t="s">
        <v>104</v>
      </c>
      <c r="D5" t="s">
        <v>97</v>
      </c>
    </row>
    <row r="6" spans="1:4" x14ac:dyDescent="0.35">
      <c r="A6" s="71" t="s">
        <v>108</v>
      </c>
      <c r="B6" s="72" t="s">
        <v>109</v>
      </c>
      <c r="C6" t="s">
        <v>107</v>
      </c>
      <c r="D6" t="s">
        <v>97</v>
      </c>
    </row>
    <row r="7" spans="1:4" x14ac:dyDescent="0.35">
      <c r="A7" s="71" t="s">
        <v>111</v>
      </c>
      <c r="B7" s="72" t="s">
        <v>112</v>
      </c>
      <c r="C7" t="s">
        <v>110</v>
      </c>
      <c r="D7" t="s">
        <v>97</v>
      </c>
    </row>
    <row r="8" spans="1:4" x14ac:dyDescent="0.35">
      <c r="A8" s="71" t="s">
        <v>114</v>
      </c>
      <c r="B8" s="72">
        <v>458247</v>
      </c>
      <c r="C8" t="s">
        <v>113</v>
      </c>
      <c r="D8" t="s">
        <v>97</v>
      </c>
    </row>
    <row r="9" spans="1:4" x14ac:dyDescent="0.35">
      <c r="A9" s="71" t="s">
        <v>116</v>
      </c>
      <c r="B9" s="72">
        <v>215070</v>
      </c>
      <c r="C9" t="s">
        <v>115</v>
      </c>
      <c r="D9" t="s">
        <v>97</v>
      </c>
    </row>
    <row r="10" spans="1:4" x14ac:dyDescent="0.35">
      <c r="A10" s="71" t="s">
        <v>118</v>
      </c>
      <c r="B10" s="72" t="s">
        <v>119</v>
      </c>
      <c r="C10" t="s">
        <v>117</v>
      </c>
      <c r="D10" t="s">
        <v>97</v>
      </c>
    </row>
    <row r="11" spans="1:4" x14ac:dyDescent="0.35">
      <c r="A11" s="71" t="s">
        <v>121</v>
      </c>
      <c r="B11" s="72" t="s">
        <v>122</v>
      </c>
      <c r="C11" t="s">
        <v>120</v>
      </c>
      <c r="D11" t="s">
        <v>97</v>
      </c>
    </row>
    <row r="12" spans="1:4" x14ac:dyDescent="0.35">
      <c r="A12" s="71" t="s">
        <v>124</v>
      </c>
      <c r="B12" s="72" t="s">
        <v>125</v>
      </c>
      <c r="C12" t="s">
        <v>123</v>
      </c>
      <c r="D12" t="s">
        <v>97</v>
      </c>
    </row>
    <row r="13" spans="1:4" x14ac:dyDescent="0.35">
      <c r="A13" t="s">
        <v>127</v>
      </c>
      <c r="B13">
        <v>458336</v>
      </c>
      <c r="C13" t="s">
        <v>126</v>
      </c>
      <c r="D13" t="s">
        <v>97</v>
      </c>
    </row>
    <row r="18" spans="1:4" x14ac:dyDescent="0.35">
      <c r="A18" t="s">
        <v>95</v>
      </c>
      <c r="B18" s="72">
        <v>458493</v>
      </c>
      <c r="C18" t="s">
        <v>93</v>
      </c>
      <c r="D18" t="s">
        <v>94</v>
      </c>
    </row>
  </sheetData>
  <pageMargins left="0.7" right="0.7" top="0.75" bottom="0.75" header="0.3" footer="0.3"/>
  <ignoredErrors>
    <ignoredError sqref="B3:B8 B10:B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6D50EC8301F741B475D79CB2E83E31" ma:contentTypeVersion="8" ma:contentTypeDescription="Crear nuevo documento." ma:contentTypeScope="" ma:versionID="27b433fa04bbbe052d7d3d3a71c95718">
  <xsd:schema xmlns:xsd="http://www.w3.org/2001/XMLSchema" xmlns:xs="http://www.w3.org/2001/XMLSchema" xmlns:p="http://schemas.microsoft.com/office/2006/metadata/properties" xmlns:ns2="64351661-63e7-478c-989a-d0382d09ef1c" xmlns:ns3="4bc0dea2-10db-485d-8fa7-457157d470e0" targetNamespace="http://schemas.microsoft.com/office/2006/metadata/properties" ma:root="true" ma:fieldsID="4ff24e6b40c8819ed38c360873b815dc" ns2:_="" ns3:_="">
    <xsd:import namespace="64351661-63e7-478c-989a-d0382d09ef1c"/>
    <xsd:import namespace="4bc0dea2-10db-485d-8fa7-457157d470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51661-63e7-478c-989a-d0382d09ef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0dea2-10db-485d-8fa7-457157d470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BD1E68-733C-47C5-A60C-8112E93F6F28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19C57C3-1F60-4A6D-AEE4-6113B2514F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7757C3-4EE3-4C63-BA0D-BD7B12D9A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351661-63e7-478c-989a-d0382d09ef1c"/>
    <ds:schemaRef ds:uri="4bc0dea2-10db-485d-8fa7-457157d47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Invoice Request</vt:lpstr>
      <vt:lpstr>UC Maint Contract+Inv Request</vt:lpstr>
      <vt:lpstr>Billing template instructions</vt:lpstr>
      <vt:lpstr>Lists</vt:lpstr>
      <vt:lpstr>UC WBS codes</vt:lpstr>
    </vt:vector>
  </TitlesOfParts>
  <Company>Getronics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Black, Sarah</dc:creator>
  <cp:lastModifiedBy>Ortega Angulo, Alvaro</cp:lastModifiedBy>
  <cp:lastPrinted>2018-05-07T07:29:03Z</cp:lastPrinted>
  <dcterms:created xsi:type="dcterms:W3CDTF">2013-11-22T12:27:14Z</dcterms:created>
  <dcterms:modified xsi:type="dcterms:W3CDTF">2026-04-29T09:30:56Z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0x010100B26D50EC8301F741B475D79CB2E83E31</vt:lpwstr>
  </property>
</Properties>
</file>