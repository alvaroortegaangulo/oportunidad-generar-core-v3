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mc:AlternateContent xmlns:mc="http://schemas.openxmlformats.org/markup-compatibility/2006">
    <mc:Choice Requires="x15">
      <x15ac:absPath xmlns:x15ac="http://schemas.microsoft.com/office/spreadsheetml/2010/11/ac" url="C:\Users\aortega\Downloads\oportunidad-generar-core-v2-commit-anterior\oportunidad-generar-core-referencia\oportunidad-generar-core-main\data\input\"/>
    </mc:Choice>
  </mc:AlternateContent>
  <xr:revisionPtr revIDLastSave="0" documentId="8_{CCA39324-917C-4DD4-851D-B77EAFE340C2}" xr6:coauthVersionLast="47" xr6:coauthVersionMax="47" xr10:uidLastSave="{00000000-0000-0000-0000-000000000000}"/>
  <bookViews>
    <workbookView xWindow="28680" yWindow="-120" windowWidth="29040" windowHeight="17520" tabRatio="732" firstSheet="1" activeTab="7" xr2:uid="{00000000-000D-0000-FFFF-FFFF00000000}"/>
  </bookViews>
  <sheets>
    <sheet name="tablas" sheetId="21" state="hidden" r:id="rId1"/>
    <sheet name="Hoja de datos" sheetId="17" r:id="rId2"/>
    <sheet name="Parametros" sheetId="3" r:id="rId3"/>
    <sheet name="Viajes" sheetId="30" r:id="rId4"/>
    <sheet name="Presupuesto" sheetId="11" r:id="rId5"/>
    <sheet name="Riesgos" sheetId="18" r:id="rId6"/>
    <sheet name="Facturación y SAP" sheetId="23" r:id="rId7"/>
    <sheet name="Sintesis Precio" sheetId="12" r:id="rId8"/>
    <sheet name="VistaCliente" sheetId="31" r:id="rId9"/>
    <sheet name="Detailed analysis" sheetId="29" r:id="rId10"/>
    <sheet name="CashFlow" sheetId="28" r:id="rId11"/>
    <sheet name="Escalado" sheetId="20" r:id="rId12"/>
    <sheet name="Criterios Escalado" sheetId="25" r:id="rId13"/>
  </sheets>
  <externalReferences>
    <externalReference r:id="rId14"/>
    <externalReference r:id="rId15"/>
    <externalReference r:id="rId16"/>
    <externalReference r:id="rId17"/>
    <externalReference r:id="rId18"/>
  </externalReferences>
  <definedNames>
    <definedName name="_F4F_APP">tablas!$I$41:$I$47</definedName>
    <definedName name="_F4F_CMS">tablas!$N$41:$N$47</definedName>
    <definedName name="_F4F_DIGWP">tablas!$G$41:$G$47</definedName>
    <definedName name="_F4F_FOSS">tablas!$K$41:$K$47</definedName>
    <definedName name="_F4F_MCM">tablas!$L$41:$L$47</definedName>
    <definedName name="_F4F_NWSERV">tablas!$H$41:$H$47</definedName>
    <definedName name="_F4F_PROD">tablas!$P$41:$P$47</definedName>
    <definedName name="_F4F_SDESK">tablas!$M$41:$M$47</definedName>
    <definedName name="_F4F_SEC">tablas!$F$41:$F$47</definedName>
    <definedName name="_F4F_SMSP">tablas!$J$41:$J$47</definedName>
    <definedName name="_F4F_STAF">tablas!$O$41:$O$47</definedName>
    <definedName name="_F4FADSV">tablas!$H$51:$H$54</definedName>
    <definedName name="_F4FGTPR">tablas!$J$51:$J$52</definedName>
    <definedName name="_F4FIMS">tablas!$G$51:$G$54</definedName>
    <definedName name="_F4FSCAD">tablas!$I$51</definedName>
    <definedName name="_F4FSWDV">tablas!$F$51:$F$57</definedName>
    <definedName name="_xlchart.v2.0" hidden="1">'Detailed analysis'!$C$39:$C$45</definedName>
    <definedName name="_xlchart.v2.1" hidden="1">'Detailed analysis'!$D$39:$D$45</definedName>
    <definedName name="_xlchart.v2.2" hidden="1">'Detailed analysis'!$C$52:$C$58</definedName>
    <definedName name="_xlchart.v2.3" hidden="1">'Detailed analysis'!$D$52:$D$58</definedName>
    <definedName name="año_inicio" localSheetId="10">'[1]Hoja de datos'!$B$24</definedName>
    <definedName name="año_inicio" localSheetId="3">'[2]Hoja de datos'!$B$28</definedName>
    <definedName name="año_inicio">'Hoja de datos'!$B$28</definedName>
    <definedName name="_xlnm.Print_Area" localSheetId="1">'Hoja de datos'!$A$1:$D$36</definedName>
    <definedName name="_xlnm.Print_Area" localSheetId="4">Presupuesto!$B$1:$L$57</definedName>
    <definedName name="_xlnm.Print_Area" localSheetId="7">'Sintesis Precio'!$B$1:$L$71</definedName>
    <definedName name="basmax" localSheetId="10">[1]tablas!$N$6</definedName>
    <definedName name="basmax" localSheetId="3">[2]tablas!$N$6</definedName>
    <definedName name="basmax">tablas!$N$6</definedName>
    <definedName name="ceo" localSheetId="10">[1]tablas!#REF!</definedName>
    <definedName name="ceo" localSheetId="3">[3]tablas!#REF!</definedName>
    <definedName name="ceo">[3]tablas!#REF!</definedName>
    <definedName name="cliente" localSheetId="10">'[1]Hoja de datos'!$B$19</definedName>
    <definedName name="cliente" localSheetId="3">'[2]Hoja de datos'!$B$23</definedName>
    <definedName name="cliente">'Hoja de datos'!$B$23</definedName>
    <definedName name="codent" localSheetId="3">[2]tablas!$A$2:$B$6</definedName>
    <definedName name="codent">tablas!$A$2:$B$6</definedName>
    <definedName name="codigo_oferta" localSheetId="3">'[2]Hoja de datos'!$B$22</definedName>
    <definedName name="codigo_oferta">'Hoja de datos'!$B$22</definedName>
    <definedName name="codprod" localSheetId="10">[1]tablas!$H$17:$I$24</definedName>
    <definedName name="codprod">tablas!$H$17:$I$24</definedName>
    <definedName name="codsec" localSheetId="3">[2]tablas!$C$25:$D$35</definedName>
    <definedName name="codsec">tablas!$C$25:$D$35</definedName>
    <definedName name="comercial" localSheetId="3">'[2]Hoja de datos'!$B$18</definedName>
    <definedName name="comercial">'Hoja de datos'!$B$18</definedName>
    <definedName name="coste_seg" localSheetId="10">[1]tablas!$M$9</definedName>
    <definedName name="coste_seg" localSheetId="3">[2]tablas!$M$9</definedName>
    <definedName name="coste_seg">tablas!$M$9</definedName>
    <definedName name="Costes_reales" localSheetId="10">[1]Parametros!$E$19:$J$58</definedName>
    <definedName name="Costes_reales" localSheetId="3">[2]Parametros!$E$19:$J$58</definedName>
    <definedName name="Costes_reales">Parametros!$E$19:$J$58</definedName>
    <definedName name="DirCom" localSheetId="10">[1]tablas!#REF!</definedName>
    <definedName name="DirCom" localSheetId="3">[3]tablas!#REF!</definedName>
    <definedName name="DirCom">[3]tablas!#REF!</definedName>
    <definedName name="dirope" localSheetId="10">[1]tablas!#REF!</definedName>
    <definedName name="dirope" localSheetId="3">[3]tablas!#REF!</definedName>
    <definedName name="dirope">[3]tablas!#REF!</definedName>
    <definedName name="dirpb" localSheetId="10">[1]tablas!#REF!</definedName>
    <definedName name="dirpb" localSheetId="3">[3]tablas!#REF!</definedName>
    <definedName name="dirpb">[3]tablas!#REF!</definedName>
    <definedName name="duracion" localSheetId="10">'[1]Hoja de datos'!$B$25</definedName>
    <definedName name="duracion" localSheetId="3">'[2]Hoja de datos'!$B$29</definedName>
    <definedName name="duracion">'Hoja de datos'!$B$29</definedName>
    <definedName name="entidad" localSheetId="3">'[2]Hoja de datos'!$B$8</definedName>
    <definedName name="entidad">'Hoja de datos'!$B$8</definedName>
    <definedName name="entidades" localSheetId="3">[2]tablas!$A$2:$A$6</definedName>
    <definedName name="entidades">tablas!$A$2:$A$6</definedName>
    <definedName name="GSectores" localSheetId="10">[1]tablas!#REF!</definedName>
    <definedName name="GSectores" localSheetId="3">[3]tablas!#REF!</definedName>
    <definedName name="GSectores">[3]tablas!#REF!</definedName>
    <definedName name="hayerrs" localSheetId="10">[1]Presupuesto!$M$5</definedName>
    <definedName name="hayerrs" localSheetId="3">[2]Presupuesto!$M$5</definedName>
    <definedName name="hayerrs">Presupuesto!$M$5</definedName>
    <definedName name="haygar" localSheetId="10">[1]Presupuesto!$K$47</definedName>
    <definedName name="haygar" localSheetId="3">[2]Presupuesto!$K$53</definedName>
    <definedName name="haygar">Presupuesto!$K$53</definedName>
    <definedName name="IVA" localSheetId="10">[1]Parametros!$D$6</definedName>
    <definedName name="IVA" localSheetId="3">[2]Parametros!$D$6</definedName>
    <definedName name="IVA">Parametros!$D$6</definedName>
    <definedName name="K_1" localSheetId="10">[1]tablas!$B$19</definedName>
    <definedName name="K_1" localSheetId="3">[2]tablas!$B$20</definedName>
    <definedName name="K_1">tablas!$B$20</definedName>
    <definedName name="K_2" localSheetId="10">[1]tablas!$B$20</definedName>
    <definedName name="K_2" localSheetId="3">[2]tablas!$B$21</definedName>
    <definedName name="K_2">tablas!$B$21</definedName>
    <definedName name="K_3" localSheetId="10">[1]tablas!$B$21</definedName>
    <definedName name="K_3" localSheetId="3">[2]tablas!$B$22</definedName>
    <definedName name="K_3">tablas!$B$22</definedName>
    <definedName name="maxf" localSheetId="10">[1]tablas!$O$6</definedName>
    <definedName name="maxf" localSheetId="3">[2]tablas!$O$6</definedName>
    <definedName name="maxf">tablas!$O$6</definedName>
    <definedName name="maxp" localSheetId="10">[1]tablas!$Q$6</definedName>
    <definedName name="maxp" localSheetId="3">[2]tablas!$Q$6</definedName>
    <definedName name="maxp">tablas!$Q$6</definedName>
    <definedName name="maxt" localSheetId="10">[1]tablas!$P$6</definedName>
    <definedName name="maxt" localSheetId="3">[2]tablas!$P$6</definedName>
    <definedName name="maxt">tablas!$P$6</definedName>
    <definedName name="mercantil" localSheetId="10">[1]Parametros!$C$19:$C$58</definedName>
    <definedName name="mercantil" localSheetId="3">[2]Parametros!$C$19:$C$58</definedName>
    <definedName name="mercantil">Parametros!$C$19:$C$58</definedName>
    <definedName name="mes_inicio" localSheetId="10">'[1]Hoja de datos'!$B$23</definedName>
    <definedName name="mes_inicio" localSheetId="3">'[2]Hoja de datos'!$B$27</definedName>
    <definedName name="mes_inicio">'Hoja de datos'!$B$27</definedName>
    <definedName name="negocio" localSheetId="10">[1]tablas!$A$8:$B$12</definedName>
    <definedName name="negocio">tablas!$A$9:$B$13</definedName>
    <definedName name="nombreo" localSheetId="10">'[1]Hoja de datos'!$B$21</definedName>
    <definedName name="nombreo" localSheetId="3">'[2]Hoja de datos'!$B$25</definedName>
    <definedName name="nombreo">'Hoja de datos'!$B$25</definedName>
    <definedName name="Nombres" localSheetId="10">[1]Parametros!$B$19:$B$58</definedName>
    <definedName name="Nombres" localSheetId="3">[2]Parametros!$B$19:$B$58</definedName>
    <definedName name="Nombres">Parametros!$B$19:$B$58</definedName>
    <definedName name="ocurre" localSheetId="10">[1]Riesgos!$E$4:$E$5</definedName>
    <definedName name="ocurre" localSheetId="3">[2]Riesgos!$E$4:$E$5</definedName>
    <definedName name="ocurre">Riesgos!$E$4:$E$5</definedName>
    <definedName name="oficina" localSheetId="10">'[1]Hoja de datos'!$B$11</definedName>
    <definedName name="oficina" localSheetId="3">'[2]Hoja de datos'!$B$10</definedName>
    <definedName name="oficina">'Hoja de datos'!$B$10</definedName>
    <definedName name="oficinas" localSheetId="10">[1]tablas!$J$2:$J$15</definedName>
    <definedName name="oficinas" localSheetId="3">[2]tablas!$J$2:$J$13</definedName>
    <definedName name="oficinas">tablas!$J$2:$J$13</definedName>
    <definedName name="oppor" localSheetId="10">[4]tablas!$E$26:$E$28</definedName>
    <definedName name="oppor" localSheetId="3">[2]tablas!$E$26:$E$28</definedName>
    <definedName name="oppor">tablas!$E$26:$E$28</definedName>
    <definedName name="opporty">tablas!$E$26:$F$28</definedName>
    <definedName name="ozona" localSheetId="10">[1]tablas!$J$2:$K$15</definedName>
    <definedName name="ozona">tablas!$J$2:$K$16</definedName>
    <definedName name="Perfiles" localSheetId="10">[1]Parametros!$D$19:$D$58</definedName>
    <definedName name="Perfiles" localSheetId="3">[2]Parametros!$D$19:$D$58</definedName>
    <definedName name="Perfiles">Parametros!$D$19:$D$58</definedName>
    <definedName name="portf" localSheetId="10">'[4]Hoja de datos'!$B$17</definedName>
    <definedName name="portf" localSheetId="3">'[2]Hoja de datos'!$B$14</definedName>
    <definedName name="portf">'Hoja de datos'!$B$14</definedName>
    <definedName name="portfolio" localSheetId="10">[4]tablas!$H$27:$H$37</definedName>
    <definedName name="portfolio" localSheetId="3">[2]tablas!$H$27:$H$37</definedName>
    <definedName name="portfolio">tablas!$H$27:$H$37</definedName>
    <definedName name="portfolios" localSheetId="10">[4]tablas!$H$27:$J$37</definedName>
    <definedName name="portfolios" localSheetId="3">[2]tablas!$H$27:$J$37</definedName>
    <definedName name="portfolios">tablas!$H$27:$J$37</definedName>
    <definedName name="Precio" localSheetId="10">'[1]Sintesis Precio'!$D$12</definedName>
    <definedName name="Precio" localSheetId="3">'[2]Sintesis Precio'!$D$12</definedName>
    <definedName name="Precio">'Sintesis Precio'!$D$12</definedName>
    <definedName name="producto" localSheetId="10">[1]tablas!$H$17:$H$24</definedName>
    <definedName name="producto">tablas!$H$21:$H$24</definedName>
    <definedName name="productos" localSheetId="10">[1]tablas!$H$11:$H$14</definedName>
    <definedName name="productos" localSheetId="3">[2]tablas!$H$17:$H$20</definedName>
    <definedName name="productos">tablas!$H$17:$H$20</definedName>
    <definedName name="respBid" localSheetId="10">[1]tablas!$E$2:$E$4</definedName>
    <definedName name="respBid" localSheetId="3">[2]tablas!$E$2:$E$4</definedName>
    <definedName name="respBid">tablas!$E$2:$E$4</definedName>
    <definedName name="responsable_bid" localSheetId="10">'[1]Hoja de datos'!$B$17</definedName>
    <definedName name="responsable_bid" localSheetId="3">'[2]Hoja de datos'!$B$21</definedName>
    <definedName name="responsable_bid">'Hoja de datos'!$B$21</definedName>
    <definedName name="RespOperZona" localSheetId="10">[1]tablas!$E$7:$E$10</definedName>
    <definedName name="RespOperZona" localSheetId="3">[2]tablas!$E$7:$E$10</definedName>
    <definedName name="RespOperZona">tablas!$E$7:$E$10</definedName>
    <definedName name="resprod" localSheetId="10">[1]tablas!$E$13:$E$15</definedName>
    <definedName name="resprod" localSheetId="3">[2]tablas!$E$13:$E$15</definedName>
    <definedName name="resprod">tablas!$E$13:$E$15</definedName>
    <definedName name="resris" localSheetId="10">[1]Riesgos!$I$36</definedName>
    <definedName name="resris" localSheetId="3">[2]Riesgos!$I$36</definedName>
    <definedName name="resris">Riesgos!$I$36</definedName>
    <definedName name="rminimo" localSheetId="10">[1]Parametros!$E$5</definedName>
    <definedName name="rminimo">Parametros!$E$5</definedName>
    <definedName name="Rs" localSheetId="10">[1]Parametros!$D$5</definedName>
    <definedName name="Rs" localSheetId="3">[2]Parametros!$D$5</definedName>
    <definedName name="Rs">Parametros!$D$5</definedName>
    <definedName name="sector" localSheetId="3">'[2]Hoja de datos'!$B$13</definedName>
    <definedName name="sector">'Hoja de datos'!$B$13</definedName>
    <definedName name="sectores">tablas!$C$2:$C$22</definedName>
    <definedName name="Security_Operations_Centre">tablas!$C$42:$C$92</definedName>
    <definedName name="ssfij" localSheetId="3">[2]tablas!$N$3</definedName>
    <definedName name="ssfij">tablas!$N$3</definedName>
    <definedName name="sspar" localSheetId="3">[2]tablas!$N$5</definedName>
    <definedName name="sspar">tablas!$N$5</definedName>
    <definedName name="sstem" localSheetId="3">[2]tablas!$N$4</definedName>
    <definedName name="sstem">tablas!$N$4</definedName>
    <definedName name="subport" localSheetId="3">[2]tablas!$C$41:$D$92</definedName>
    <definedName name="subport">tablas!$C$41:$D$92</definedName>
    <definedName name="subportf" localSheetId="3">'[2]Hoja de datos'!$B$15</definedName>
    <definedName name="subportf">'Hoja de datos'!$B$15</definedName>
    <definedName name="subportfolio" localSheetId="3">[2]tablas!$C$40:$D$92</definedName>
    <definedName name="subportfolio">tablas!$C$40:$D$92</definedName>
    <definedName name="subpract">'Hoja de datos'!$B$16</definedName>
    <definedName name="subpractica">tablas!$C$2:$D$16</definedName>
    <definedName name="subsec">'Hoja de datos'!$B$13</definedName>
    <definedName name="subsectores">tablas!$C$26:$C$31</definedName>
    <definedName name="tcontrata" localSheetId="10">[1]tablas!$F$2:$F$4</definedName>
    <definedName name="tcontrata" localSheetId="3">[2]tablas!$F$2:$F$6</definedName>
    <definedName name="tcontrata">tablas!$F$2:$F$6</definedName>
    <definedName name="tipo_contrato" localSheetId="10">'[1]Hoja de datos'!$B$15</definedName>
    <definedName name="tipo_contrato" localSheetId="3">'[2]Hoja de datos'!$B$12</definedName>
    <definedName name="tipo_contrato">'Hoja de datos'!$B$12</definedName>
    <definedName name="tipo_oferta" localSheetId="10">'[1]Hoja de datos'!$B$14</definedName>
    <definedName name="tipo_oferta" localSheetId="3">'[2]Hoja de datos'!#REF!</definedName>
    <definedName name="tipo_oferta">'Hoja de datos'!#REF!</definedName>
    <definedName name="tipos_compras" localSheetId="10">'[1]Facturación y SAP'!$B$57:$B$60</definedName>
    <definedName name="tipos_compras" localSheetId="3">'[2]Facturación y SAP'!$B$57:$B$60</definedName>
    <definedName name="tipos_compras">'Facturación y SAP'!$B$57:$B$60</definedName>
    <definedName name="toferta" localSheetId="10">[1]tablas!$H$2:$H$8</definedName>
    <definedName name="toferta" localSheetId="3">[2]tablas!$H$2:$H$12</definedName>
    <definedName name="toferta">tablas!$H$2:$H$12</definedName>
    <definedName name="triesgo" localSheetId="10">[1]tablas!$F$2:$G$4</definedName>
    <definedName name="triesgo" localSheetId="3">[2]tablas!$F$2:$G$6</definedName>
    <definedName name="triesgo">tablas!$F$2:$G$6</definedName>
    <definedName name="tservicios" localSheetId="10">[1]tablas!$H$2:$I$8</definedName>
    <definedName name="tservicios">tablas!$H$2:$I$8</definedName>
    <definedName name="Tu" localSheetId="10">[1]Parametros!$D$7</definedName>
    <definedName name="Tu" localSheetId="3">[2]Parametros!$D$7</definedName>
    <definedName name="Tu">Parametros!$D$7</definedName>
    <definedName name="ulincom">Presupuesto!$A$48</definedName>
    <definedName name="ulincom2">'Sintesis Precio'!$A$66</definedName>
    <definedName name="ulinf1">'Facturación y SAP'!$A$17</definedName>
    <definedName name="ulinf2">'Facturación y SAP'!$A$25</definedName>
    <definedName name="ulinf3">'Facturación y SAP'!$A$32</definedName>
    <definedName name="ulinf4">'Facturación y SAP'!$A$39</definedName>
    <definedName name="ulingas">Presupuesto!$A$32</definedName>
    <definedName name="ulingas2">'Sintesis Precio'!$A$50</definedName>
    <definedName name="ulinma">Presupuesto!$A$26</definedName>
    <definedName name="ulinma2">'Sintesis Precio'!$A$39</definedName>
    <definedName name="ulinpar">Parametros!$A$59</definedName>
    <definedName name="ulinris">Riesgos!$A$35</definedName>
    <definedName name="unidades" localSheetId="10">[1]tablas!$A$8:$A$12</definedName>
    <definedName name="unidades" localSheetId="3">[2]tablas!$A$9:$A$13</definedName>
    <definedName name="unidades">tablas!$A$9:$A$13</definedName>
    <definedName name="vtocli" localSheetId="10">'[1]Hoja de datos'!$B$20</definedName>
    <definedName name="vtocli" localSheetId="3">'[2]Hoja de datos'!$B$24</definedName>
    <definedName name="vtocli">'Hoja de datos'!$B$24</definedName>
    <definedName name="vtos" localSheetId="10">[1]tablas!$E$18:$E$20</definedName>
    <definedName name="vtos" localSheetId="3">[2]tablas!$E$18:$E$20</definedName>
    <definedName name="vtos">tablas!$E$18:$E$20</definedName>
    <definedName name="zcode">tablas!$C$26:$D$35</definedName>
    <definedName name="zona">tablas!$K$2:$K$16</definedName>
    <definedName name="Zonas" localSheetId="10">[1]tablas!#REF!</definedName>
    <definedName name="Zonas" localSheetId="3">[3]tablas!#REF!</definedName>
    <definedName name="Zonas">[3]tablas!#REF!</definedName>
  </definedNames>
  <calcPr calcId="191028"/>
  <webPublishing vml="1" allowPng="1" targetScreenSize="1024x768" codePage="125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3" i="12" l="1"/>
  <c r="K18" i="12"/>
  <c r="X8" i="11"/>
  <c r="V12" i="12"/>
  <c r="E37" i="11"/>
  <c r="S13" i="12"/>
  <c r="F11" i="11"/>
  <c r="H14" i="11"/>
  <c r="H13" i="11"/>
  <c r="F9" i="11"/>
  <c r="F10" i="11"/>
  <c r="F8" i="11"/>
  <c r="F6" i="11"/>
  <c r="F7" i="11"/>
  <c r="S8" i="12"/>
  <c r="E46" i="31"/>
  <c r="E44" i="31"/>
  <c r="E42" i="31"/>
  <c r="B40" i="31"/>
  <c r="C40" i="31" s="1"/>
  <c r="E40" i="31" s="1"/>
  <c r="A39" i="31"/>
  <c r="E38" i="31"/>
  <c r="E36" i="31"/>
  <c r="E34" i="31"/>
  <c r="C32" i="31"/>
  <c r="E32" i="31" s="1"/>
  <c r="E30" i="31"/>
  <c r="A29" i="31"/>
  <c r="C28" i="31"/>
  <c r="E28" i="31" s="1"/>
  <c r="A27" i="31"/>
  <c r="C26" i="31"/>
  <c r="E26" i="31" s="1"/>
  <c r="A25" i="31"/>
  <c r="C24" i="31"/>
  <c r="E24" i="31" s="1"/>
  <c r="A23" i="31"/>
  <c r="E22" i="31"/>
  <c r="E20" i="31"/>
  <c r="A19" i="31"/>
  <c r="C18" i="31"/>
  <c r="E18" i="31" s="1"/>
  <c r="A17" i="31"/>
  <c r="E16" i="31"/>
  <c r="A15" i="31"/>
  <c r="D14" i="31"/>
  <c r="C14" i="31"/>
  <c r="C13" i="31"/>
  <c r="D13" i="31" s="1"/>
  <c r="C11" i="31"/>
  <c r="D11" i="31" s="1"/>
  <c r="A10" i="31"/>
  <c r="C9" i="31"/>
  <c r="D9" i="31" s="1"/>
  <c r="C8" i="31"/>
  <c r="D8" i="31" s="1"/>
  <c r="A7" i="31"/>
  <c r="D6" i="31"/>
  <c r="C6" i="31"/>
  <c r="A5" i="31"/>
  <c r="C4" i="31"/>
  <c r="D4" i="31" s="1"/>
  <c r="C3" i="31"/>
  <c r="D3" i="31" s="1"/>
  <c r="E47" i="31" l="1"/>
  <c r="D47" i="31"/>
  <c r="D48" i="31" l="1"/>
  <c r="D49" i="31" s="1"/>
  <c r="F30" i="11" l="1"/>
  <c r="F29" i="11"/>
  <c r="D54" i="29" l="1"/>
  <c r="D53" i="29"/>
  <c r="D52" i="29"/>
  <c r="M30" i="11"/>
  <c r="M32" i="11"/>
  <c r="M29" i="11"/>
  <c r="X21" i="30"/>
  <c r="U21" i="30"/>
  <c r="Q21" i="30"/>
  <c r="R21" i="30" s="1"/>
  <c r="N21" i="30"/>
  <c r="K21" i="30"/>
  <c r="I21" i="30"/>
  <c r="X20" i="30"/>
  <c r="Y20" i="30" s="1"/>
  <c r="U20" i="30"/>
  <c r="Q20" i="30"/>
  <c r="R20" i="30" s="1"/>
  <c r="N20" i="30"/>
  <c r="K20" i="30"/>
  <c r="I20" i="30"/>
  <c r="X19" i="30"/>
  <c r="U19" i="30"/>
  <c r="Q19" i="30"/>
  <c r="R19" i="30" s="1"/>
  <c r="N19" i="30"/>
  <c r="K19" i="30"/>
  <c r="I19" i="30"/>
  <c r="X18" i="30"/>
  <c r="U18" i="30"/>
  <c r="Q18" i="30"/>
  <c r="R18" i="30" s="1"/>
  <c r="N18" i="30"/>
  <c r="K18" i="30"/>
  <c r="I18" i="30"/>
  <c r="X17" i="30"/>
  <c r="U17" i="30"/>
  <c r="Q17" i="30"/>
  <c r="R17" i="30" s="1"/>
  <c r="N17" i="30"/>
  <c r="K17" i="30"/>
  <c r="I17" i="30"/>
  <c r="X16" i="30"/>
  <c r="Y16" i="30" s="1"/>
  <c r="U16" i="30"/>
  <c r="Q16" i="30"/>
  <c r="R16" i="30" s="1"/>
  <c r="N16" i="30"/>
  <c r="K16" i="30"/>
  <c r="I16" i="30"/>
  <c r="X15" i="30"/>
  <c r="U15" i="30"/>
  <c r="Q15" i="30"/>
  <c r="R15" i="30" s="1"/>
  <c r="N15" i="30"/>
  <c r="K15" i="30"/>
  <c r="I15" i="30"/>
  <c r="X14" i="30"/>
  <c r="U14" i="30"/>
  <c r="Q14" i="30"/>
  <c r="R14" i="30" s="1"/>
  <c r="N14" i="30"/>
  <c r="K14" i="30"/>
  <c r="I14" i="30"/>
  <c r="X13" i="30"/>
  <c r="U13" i="30"/>
  <c r="Q13" i="30"/>
  <c r="R13" i="30" s="1"/>
  <c r="N13" i="30"/>
  <c r="K13" i="30"/>
  <c r="I13" i="30"/>
  <c r="X12" i="30"/>
  <c r="Y12" i="30" s="1"/>
  <c r="U12" i="30"/>
  <c r="Q12" i="30"/>
  <c r="R12" i="30" s="1"/>
  <c r="N12" i="30"/>
  <c r="K12" i="30"/>
  <c r="I12" i="30"/>
  <c r="X11" i="30"/>
  <c r="U11" i="30"/>
  <c r="Q11" i="30"/>
  <c r="R11" i="30" s="1"/>
  <c r="N11" i="30"/>
  <c r="K11" i="30"/>
  <c r="I11" i="30"/>
  <c r="X10" i="30"/>
  <c r="U10" i="30"/>
  <c r="Q10" i="30"/>
  <c r="R10" i="30" s="1"/>
  <c r="N10" i="30"/>
  <c r="K10" i="30"/>
  <c r="I10" i="30"/>
  <c r="X9" i="30"/>
  <c r="U9" i="30"/>
  <c r="Q9" i="30"/>
  <c r="R9" i="30" s="1"/>
  <c r="N9" i="30"/>
  <c r="K9" i="30"/>
  <c r="I9" i="30"/>
  <c r="X8" i="30"/>
  <c r="Y8" i="30" s="1"/>
  <c r="U8" i="30"/>
  <c r="Q8" i="30"/>
  <c r="R8" i="30" s="1"/>
  <c r="N8" i="30"/>
  <c r="K8" i="30"/>
  <c r="I8" i="30"/>
  <c r="X7" i="30"/>
  <c r="U7" i="30"/>
  <c r="Q7" i="30"/>
  <c r="R7" i="30" s="1"/>
  <c r="N7" i="30"/>
  <c r="K7" i="30"/>
  <c r="X6" i="30"/>
  <c r="U6" i="30"/>
  <c r="Q6" i="30"/>
  <c r="R6" i="30" s="1"/>
  <c r="N6" i="30"/>
  <c r="K6" i="30"/>
  <c r="I6" i="30"/>
  <c r="Y6" i="30" l="1"/>
  <c r="Y10" i="30"/>
  <c r="Y14" i="30"/>
  <c r="Y18" i="30"/>
  <c r="Y7" i="30"/>
  <c r="Y11" i="30"/>
  <c r="Y15" i="30"/>
  <c r="Y19" i="30"/>
  <c r="Y9" i="30"/>
  <c r="Y13" i="30"/>
  <c r="Y17" i="30"/>
  <c r="Y21" i="30"/>
  <c r="Y22" i="30" l="1"/>
  <c r="B32" i="17"/>
  <c r="D4" i="29"/>
  <c r="D16" i="17" l="1"/>
  <c r="C58" i="29"/>
  <c r="C57" i="29"/>
  <c r="C56" i="29"/>
  <c r="C55" i="29"/>
  <c r="C54" i="29"/>
  <c r="C53" i="29"/>
  <c r="C52" i="29"/>
  <c r="D46" i="29"/>
  <c r="D57" i="29" s="1"/>
  <c r="D59" i="29" s="1"/>
  <c r="C45" i="29"/>
  <c r="C44" i="29"/>
  <c r="C43" i="29"/>
  <c r="C42" i="29"/>
  <c r="C41" i="29"/>
  <c r="C40" i="29"/>
  <c r="C39" i="29"/>
  <c r="K36" i="29"/>
  <c r="H36" i="29"/>
  <c r="F57" i="12" l="1"/>
  <c r="F58" i="12"/>
  <c r="F59" i="12"/>
  <c r="F60" i="12"/>
  <c r="F61" i="12"/>
  <c r="F62" i="12"/>
  <c r="F63" i="12"/>
  <c r="G63" i="12" s="1"/>
  <c r="H63" i="12" s="1"/>
  <c r="I63" i="12" s="1"/>
  <c r="F64" i="12"/>
  <c r="G64" i="12" s="1"/>
  <c r="H64" i="12" s="1"/>
  <c r="F65" i="12"/>
  <c r="F66" i="12"/>
  <c r="M1" i="12"/>
  <c r="B64" i="12"/>
  <c r="L46" i="11"/>
  <c r="K46" i="11"/>
  <c r="L45" i="11"/>
  <c r="B63" i="12" s="1"/>
  <c r="K45" i="11"/>
  <c r="L44" i="11"/>
  <c r="B62" i="12" s="1"/>
  <c r="K44" i="11"/>
  <c r="L43" i="11"/>
  <c r="B61" i="12" s="1"/>
  <c r="K43" i="11"/>
  <c r="L42" i="11"/>
  <c r="B60" i="12" s="1"/>
  <c r="K42" i="11"/>
  <c r="L41" i="11"/>
  <c r="B59" i="12" s="1"/>
  <c r="K41" i="11"/>
  <c r="B12" i="28"/>
  <c r="C12" i="28" s="1"/>
  <c r="D12" i="28" s="1"/>
  <c r="E12" i="28" s="1"/>
  <c r="F12" i="28" s="1"/>
  <c r="G12" i="28" s="1"/>
  <c r="H12" i="28" s="1"/>
  <c r="I12" i="28" s="1"/>
  <c r="J12" i="28" s="1"/>
  <c r="K12" i="28" s="1"/>
  <c r="L12" i="28" s="1"/>
  <c r="M12" i="28" s="1"/>
  <c r="N12" i="28" s="1"/>
  <c r="O12" i="28" s="1"/>
  <c r="P12" i="28" s="1"/>
  <c r="Q12" i="28" s="1"/>
  <c r="R12" i="28" s="1"/>
  <c r="S12" i="28" s="1"/>
  <c r="T12" i="28" s="1"/>
  <c r="U12" i="28" s="1"/>
  <c r="V12" i="28" s="1"/>
  <c r="W12" i="28" s="1"/>
  <c r="X12" i="28" s="1"/>
  <c r="Y12" i="28" s="1"/>
  <c r="Z12" i="28" s="1"/>
  <c r="AA12" i="28" s="1"/>
  <c r="AB12" i="28" s="1"/>
  <c r="AB10" i="28"/>
  <c r="AA10" i="28"/>
  <c r="Z10" i="28"/>
  <c r="Y10" i="28"/>
  <c r="X10" i="28"/>
  <c r="W10" i="28"/>
  <c r="V10" i="28"/>
  <c r="U10" i="28"/>
  <c r="T10" i="28"/>
  <c r="S10" i="28"/>
  <c r="R10" i="28"/>
  <c r="Q10" i="28"/>
  <c r="P10" i="28"/>
  <c r="O10" i="28"/>
  <c r="N10" i="28"/>
  <c r="M10" i="28"/>
  <c r="L10" i="28"/>
  <c r="K10" i="28"/>
  <c r="J10" i="28"/>
  <c r="I10" i="28"/>
  <c r="H10" i="28"/>
  <c r="G10" i="28"/>
  <c r="F10" i="28"/>
  <c r="E10" i="28"/>
  <c r="D10" i="28"/>
  <c r="C10" i="28"/>
  <c r="B10" i="28"/>
  <c r="B9" i="28"/>
  <c r="C9" i="28" s="1"/>
  <c r="D9" i="28" s="1"/>
  <c r="E9" i="28" s="1"/>
  <c r="F9" i="28" s="1"/>
  <c r="G9" i="28" s="1"/>
  <c r="H9" i="28" s="1"/>
  <c r="I9" i="28" s="1"/>
  <c r="J9" i="28" s="1"/>
  <c r="K9" i="28" s="1"/>
  <c r="L9" i="28" s="1"/>
  <c r="M9" i="28" s="1"/>
  <c r="N9" i="28" s="1"/>
  <c r="O9" i="28" s="1"/>
  <c r="P9" i="28" s="1"/>
  <c r="Q9" i="28" s="1"/>
  <c r="R9" i="28" s="1"/>
  <c r="S9" i="28" s="1"/>
  <c r="T9" i="28" s="1"/>
  <c r="U9" i="28" s="1"/>
  <c r="V9" i="28" s="1"/>
  <c r="W9" i="28" s="1"/>
  <c r="X9" i="28" s="1"/>
  <c r="Y9" i="28" s="1"/>
  <c r="Z9" i="28" s="1"/>
  <c r="AA9" i="28" s="1"/>
  <c r="AB9" i="28" s="1"/>
  <c r="AC8" i="28"/>
  <c r="AC7" i="28"/>
  <c r="AC6" i="28"/>
  <c r="AC5" i="28"/>
  <c r="AC4" i="28"/>
  <c r="AC3" i="28"/>
  <c r="I64" i="12" l="1"/>
  <c r="K64" i="12"/>
  <c r="K63" i="12"/>
  <c r="G62" i="12"/>
  <c r="H62" i="12" s="1"/>
  <c r="G60" i="12"/>
  <c r="H60" i="12" s="1"/>
  <c r="G61" i="12"/>
  <c r="H61" i="12" s="1"/>
  <c r="G59" i="12"/>
  <c r="H59" i="12" s="1"/>
  <c r="C15" i="17"/>
  <c r="C14" i="17"/>
  <c r="D14" i="17"/>
  <c r="I59" i="12" l="1"/>
  <c r="K59" i="12"/>
  <c r="I61" i="12"/>
  <c r="K61" i="12"/>
  <c r="I60" i="12"/>
  <c r="K60" i="12"/>
  <c r="I62" i="12"/>
  <c r="K62" i="12"/>
  <c r="H32" i="23"/>
  <c r="H31" i="23"/>
  <c r="H25" i="23"/>
  <c r="H24" i="23"/>
  <c r="H17" i="23"/>
  <c r="H16" i="23"/>
  <c r="H15" i="23"/>
  <c r="H13" i="23"/>
  <c r="B45" i="12" l="1"/>
  <c r="B44" i="12"/>
  <c r="B43" i="12"/>
  <c r="L40" i="11" l="1"/>
  <c r="B58" i="12" s="1"/>
  <c r="K40" i="11"/>
  <c r="G58" i="12" s="1"/>
  <c r="H58" i="12" s="1"/>
  <c r="K58" i="12" s="1"/>
  <c r="I58" i="12" l="1"/>
  <c r="W26" i="11"/>
  <c r="R26" i="11" s="1"/>
  <c r="W25" i="11"/>
  <c r="S25" i="11" s="1"/>
  <c r="W24" i="11"/>
  <c r="R24" i="11" s="1"/>
  <c r="W23" i="11"/>
  <c r="U23" i="11" s="1"/>
  <c r="W22" i="11"/>
  <c r="R22" i="11" s="1"/>
  <c r="W21" i="11"/>
  <c r="S21" i="11" s="1"/>
  <c r="W20" i="11"/>
  <c r="R20" i="11" s="1"/>
  <c r="W19" i="11"/>
  <c r="U19" i="11" s="1"/>
  <c r="W18" i="11"/>
  <c r="R18" i="11" s="1"/>
  <c r="W17" i="11"/>
  <c r="S17" i="11" s="1"/>
  <c r="W16" i="11"/>
  <c r="R16" i="11" s="1"/>
  <c r="W15" i="11"/>
  <c r="W14" i="11"/>
  <c r="T14" i="11" s="1"/>
  <c r="W13" i="11"/>
  <c r="U13" i="11" s="1"/>
  <c r="W12" i="11"/>
  <c r="W11" i="11"/>
  <c r="S11" i="11" s="1"/>
  <c r="W10" i="11"/>
  <c r="T10" i="11" s="1"/>
  <c r="W9" i="11"/>
  <c r="S9" i="11" s="1"/>
  <c r="W8" i="11"/>
  <c r="W7" i="11"/>
  <c r="W6" i="11"/>
  <c r="P5" i="11"/>
  <c r="Q5" i="11" s="1"/>
  <c r="R5" i="11" s="1"/>
  <c r="S5" i="11" s="1"/>
  <c r="T5" i="11" s="1"/>
  <c r="U5" i="11" s="1"/>
  <c r="K47" i="11"/>
  <c r="L47" i="11"/>
  <c r="B65" i="12" s="1"/>
  <c r="L30" i="11"/>
  <c r="B48" i="12" s="1"/>
  <c r="K30" i="11"/>
  <c r="A66" i="12"/>
  <c r="A50" i="12"/>
  <c r="A39" i="12"/>
  <c r="A1" i="20"/>
  <c r="I33" i="18"/>
  <c r="F33" i="18"/>
  <c r="I32" i="18"/>
  <c r="F32" i="18"/>
  <c r="I31" i="18"/>
  <c r="F31" i="18"/>
  <c r="B1" i="23"/>
  <c r="A39" i="23"/>
  <c r="A32" i="23"/>
  <c r="A25" i="23"/>
  <c r="A17" i="23"/>
  <c r="A35" i="18"/>
  <c r="B1" i="18"/>
  <c r="A48" i="11"/>
  <c r="A32" i="11"/>
  <c r="A26" i="11"/>
  <c r="F48" i="12" l="1"/>
  <c r="G48" i="12" s="1"/>
  <c r="H48" i="12" s="1"/>
  <c r="I48" i="12" s="1"/>
  <c r="G65" i="12"/>
  <c r="H65" i="12" s="1"/>
  <c r="S16" i="11"/>
  <c r="P16" i="11"/>
  <c r="Q24" i="11"/>
  <c r="Q22" i="11"/>
  <c r="P24" i="11"/>
  <c r="Q20" i="11"/>
  <c r="S24" i="11"/>
  <c r="Q18" i="11"/>
  <c r="Q16" i="11"/>
  <c r="S20" i="11"/>
  <c r="Q26" i="11"/>
  <c r="P18" i="11"/>
  <c r="S26" i="11"/>
  <c r="U15" i="11"/>
  <c r="P6" i="11"/>
  <c r="P20" i="11"/>
  <c r="T16" i="11"/>
  <c r="U18" i="11"/>
  <c r="T20" i="11"/>
  <c r="U22" i="11"/>
  <c r="T24" i="11"/>
  <c r="U26" i="11"/>
  <c r="P26" i="11"/>
  <c r="S18" i="11"/>
  <c r="S22" i="11"/>
  <c r="P8" i="11"/>
  <c r="P22" i="11"/>
  <c r="Q11" i="11"/>
  <c r="U14" i="11"/>
  <c r="U16" i="11"/>
  <c r="T19" i="11"/>
  <c r="U20" i="11"/>
  <c r="T23" i="11"/>
  <c r="U24" i="11"/>
  <c r="U11" i="11"/>
  <c r="R15" i="11"/>
  <c r="T17" i="11"/>
  <c r="R19" i="11"/>
  <c r="T21" i="11"/>
  <c r="R23" i="11"/>
  <c r="T25" i="11"/>
  <c r="P7" i="11"/>
  <c r="P17" i="11"/>
  <c r="P21" i="11"/>
  <c r="P25" i="11"/>
  <c r="U10" i="11"/>
  <c r="Q14" i="11"/>
  <c r="S15" i="11"/>
  <c r="Q17" i="11"/>
  <c r="U17" i="11"/>
  <c r="T18" i="11"/>
  <c r="S19" i="11"/>
  <c r="Q21" i="11"/>
  <c r="U21" i="11"/>
  <c r="T22" i="11"/>
  <c r="S23" i="11"/>
  <c r="Q25" i="11"/>
  <c r="U25" i="11"/>
  <c r="T26" i="11"/>
  <c r="T15" i="11"/>
  <c r="R17" i="11"/>
  <c r="R21" i="11"/>
  <c r="R25" i="11"/>
  <c r="P15" i="11"/>
  <c r="P19" i="11"/>
  <c r="P23" i="11"/>
  <c r="T11" i="11"/>
  <c r="Q15" i="11"/>
  <c r="Q19" i="11"/>
  <c r="Q23" i="11"/>
  <c r="P13" i="11"/>
  <c r="T9" i="11"/>
  <c r="R13" i="11"/>
  <c r="P9" i="11"/>
  <c r="P14" i="11"/>
  <c r="Q9" i="11"/>
  <c r="U9" i="11"/>
  <c r="S13" i="11"/>
  <c r="R14" i="11"/>
  <c r="P11" i="11"/>
  <c r="R9" i="11"/>
  <c r="Q10" i="11"/>
  <c r="R11" i="11"/>
  <c r="T13" i="11"/>
  <c r="S14" i="11"/>
  <c r="P12" i="11"/>
  <c r="R10" i="11"/>
  <c r="Q13" i="11"/>
  <c r="S10" i="11"/>
  <c r="P10" i="11"/>
  <c r="P56" i="3"/>
  <c r="O56" i="3"/>
  <c r="N56" i="3"/>
  <c r="M56" i="3"/>
  <c r="L56" i="3"/>
  <c r="K56" i="3"/>
  <c r="F56" i="3"/>
  <c r="G56" i="3" s="1"/>
  <c r="H56" i="3" s="1"/>
  <c r="I56" i="3" s="1"/>
  <c r="J56" i="3" s="1"/>
  <c r="A56" i="3"/>
  <c r="P55" i="3"/>
  <c r="O55" i="3"/>
  <c r="N55" i="3"/>
  <c r="M55" i="3"/>
  <c r="L55" i="3"/>
  <c r="K55" i="3"/>
  <c r="F55" i="3"/>
  <c r="G55" i="3" s="1"/>
  <c r="H55" i="3" s="1"/>
  <c r="I55" i="3" s="1"/>
  <c r="J55" i="3" s="1"/>
  <c r="A55" i="3"/>
  <c r="P54" i="3"/>
  <c r="O54" i="3"/>
  <c r="N54" i="3"/>
  <c r="M54" i="3"/>
  <c r="L54" i="3"/>
  <c r="K54" i="3"/>
  <c r="F54" i="3"/>
  <c r="G54" i="3" s="1"/>
  <c r="H54" i="3" s="1"/>
  <c r="I54" i="3" s="1"/>
  <c r="J54" i="3" s="1"/>
  <c r="A54" i="3"/>
  <c r="P53" i="3"/>
  <c r="O53" i="3"/>
  <c r="N53" i="3"/>
  <c r="M53" i="3"/>
  <c r="L53" i="3"/>
  <c r="K53" i="3"/>
  <c r="F53" i="3"/>
  <c r="G53" i="3" s="1"/>
  <c r="H53" i="3" s="1"/>
  <c r="I53" i="3" s="1"/>
  <c r="J53" i="3" s="1"/>
  <c r="A53" i="3"/>
  <c r="P52" i="3"/>
  <c r="O52" i="3"/>
  <c r="N52" i="3"/>
  <c r="M52" i="3"/>
  <c r="L52" i="3"/>
  <c r="K52" i="3"/>
  <c r="F52" i="3"/>
  <c r="G52" i="3" s="1"/>
  <c r="H52" i="3" s="1"/>
  <c r="I52" i="3" s="1"/>
  <c r="J52" i="3" s="1"/>
  <c r="A52" i="3"/>
  <c r="P51" i="3"/>
  <c r="O51" i="3"/>
  <c r="N51" i="3"/>
  <c r="M51" i="3"/>
  <c r="L51" i="3"/>
  <c r="K51" i="3"/>
  <c r="F51" i="3"/>
  <c r="G51" i="3" s="1"/>
  <c r="H51" i="3" s="1"/>
  <c r="I51" i="3" s="1"/>
  <c r="J51" i="3" s="1"/>
  <c r="A51" i="3"/>
  <c r="P50" i="3"/>
  <c r="O50" i="3"/>
  <c r="N50" i="3"/>
  <c r="M50" i="3"/>
  <c r="L50" i="3"/>
  <c r="K50" i="3"/>
  <c r="F50" i="3"/>
  <c r="G50" i="3" s="1"/>
  <c r="H50" i="3" s="1"/>
  <c r="I50" i="3" s="1"/>
  <c r="J50" i="3" s="1"/>
  <c r="A50" i="3"/>
  <c r="P49" i="3"/>
  <c r="O49" i="3"/>
  <c r="N49" i="3"/>
  <c r="M49" i="3"/>
  <c r="L49" i="3"/>
  <c r="K49" i="3"/>
  <c r="F49" i="3"/>
  <c r="G49" i="3" s="1"/>
  <c r="H49" i="3" s="1"/>
  <c r="I49" i="3" s="1"/>
  <c r="J49" i="3" s="1"/>
  <c r="A49" i="3"/>
  <c r="P48" i="3"/>
  <c r="O48" i="3"/>
  <c r="N48" i="3"/>
  <c r="M48" i="3"/>
  <c r="L48" i="3"/>
  <c r="K48" i="3"/>
  <c r="F48" i="3"/>
  <c r="G48" i="3" s="1"/>
  <c r="H48" i="3" s="1"/>
  <c r="I48" i="3" s="1"/>
  <c r="J48" i="3" s="1"/>
  <c r="A48" i="3"/>
  <c r="P47" i="3"/>
  <c r="O47" i="3"/>
  <c r="N47" i="3"/>
  <c r="M47" i="3"/>
  <c r="L47" i="3"/>
  <c r="K47" i="3"/>
  <c r="F47" i="3"/>
  <c r="G47" i="3" s="1"/>
  <c r="H47" i="3" s="1"/>
  <c r="I47" i="3" s="1"/>
  <c r="J47" i="3" s="1"/>
  <c r="A47" i="3"/>
  <c r="P46" i="3"/>
  <c r="O46" i="3"/>
  <c r="N46" i="3"/>
  <c r="M46" i="3"/>
  <c r="L46" i="3"/>
  <c r="K46" i="3"/>
  <c r="F46" i="3"/>
  <c r="G46" i="3" s="1"/>
  <c r="H46" i="3" s="1"/>
  <c r="I46" i="3" s="1"/>
  <c r="J46" i="3" s="1"/>
  <c r="A46" i="3"/>
  <c r="P45" i="3"/>
  <c r="O45" i="3"/>
  <c r="N45" i="3"/>
  <c r="M45" i="3"/>
  <c r="L45" i="3"/>
  <c r="K45" i="3"/>
  <c r="F45" i="3"/>
  <c r="G45" i="3" s="1"/>
  <c r="H45" i="3" s="1"/>
  <c r="I45" i="3" s="1"/>
  <c r="J45" i="3" s="1"/>
  <c r="A45" i="3"/>
  <c r="P44" i="3"/>
  <c r="O44" i="3"/>
  <c r="N44" i="3"/>
  <c r="M44" i="3"/>
  <c r="L44" i="3"/>
  <c r="K44" i="3"/>
  <c r="F44" i="3"/>
  <c r="G44" i="3" s="1"/>
  <c r="H44" i="3" s="1"/>
  <c r="I44" i="3" s="1"/>
  <c r="J44" i="3" s="1"/>
  <c r="A44" i="3"/>
  <c r="A59" i="3"/>
  <c r="I65" i="12" l="1"/>
  <c r="K65" i="12"/>
  <c r="E4" i="11"/>
  <c r="J8" i="12"/>
  <c r="B18" i="23" l="1"/>
  <c r="B26" i="23"/>
  <c r="L3" i="12"/>
  <c r="F49" i="23" l="1"/>
  <c r="B58" i="23"/>
  <c r="B59" i="23"/>
  <c r="B60" i="23"/>
  <c r="B57" i="23"/>
  <c r="D9" i="11" l="1"/>
  <c r="D8" i="11"/>
  <c r="D7" i="11"/>
  <c r="D6" i="11"/>
  <c r="I9" i="18" l="1"/>
  <c r="M9" i="21"/>
  <c r="D68" i="12"/>
  <c r="B33" i="23"/>
  <c r="C26" i="11"/>
  <c r="C25" i="11"/>
  <c r="C38" i="12" s="1"/>
  <c r="C24" i="11"/>
  <c r="C37" i="12" s="1"/>
  <c r="C23" i="11"/>
  <c r="C22" i="11"/>
  <c r="C21" i="11"/>
  <c r="C20" i="11"/>
  <c r="C19" i="11"/>
  <c r="C18" i="11"/>
  <c r="C31" i="12" s="1"/>
  <c r="C17" i="11"/>
  <c r="C16" i="11"/>
  <c r="C29" i="12" s="1"/>
  <c r="C15" i="11"/>
  <c r="C14" i="11"/>
  <c r="C13" i="11"/>
  <c r="C12" i="11"/>
  <c r="C25" i="12" s="1"/>
  <c r="C11" i="11"/>
  <c r="C10" i="11"/>
  <c r="C23" i="12" s="1"/>
  <c r="C9" i="11"/>
  <c r="C8" i="11"/>
  <c r="C7" i="11"/>
  <c r="C6" i="11"/>
  <c r="J3" i="12"/>
  <c r="N1" i="12"/>
  <c r="L1" i="12"/>
  <c r="H1" i="12"/>
  <c r="D1" i="12"/>
  <c r="D2" i="12"/>
  <c r="D1" i="11"/>
  <c r="Q6" i="21"/>
  <c r="P6" i="21"/>
  <c r="O6" i="21"/>
  <c r="E5" i="3"/>
  <c r="D5" i="3" s="1"/>
  <c r="D15" i="11"/>
  <c r="F22" i="3"/>
  <c r="G22" i="3" s="1"/>
  <c r="H22" i="3" s="1"/>
  <c r="I22" i="3" s="1"/>
  <c r="J22" i="3" s="1"/>
  <c r="F26" i="3"/>
  <c r="G26" i="3" s="1"/>
  <c r="H26" i="3" s="1"/>
  <c r="I26" i="3" s="1"/>
  <c r="J26" i="3" s="1"/>
  <c r="D15" i="3"/>
  <c r="K6" i="11"/>
  <c r="E19" i="12" s="1"/>
  <c r="N19" i="12" s="1"/>
  <c r="P19" i="12" s="1"/>
  <c r="I8" i="18"/>
  <c r="I10" i="18"/>
  <c r="I11" i="18"/>
  <c r="I12" i="18"/>
  <c r="I13" i="18"/>
  <c r="I14" i="18"/>
  <c r="I16" i="18"/>
  <c r="I17" i="18"/>
  <c r="I18" i="18"/>
  <c r="I19" i="18"/>
  <c r="I20" i="18"/>
  <c r="I21" i="18"/>
  <c r="I22" i="18"/>
  <c r="I23" i="18"/>
  <c r="I25" i="18"/>
  <c r="I26" i="18"/>
  <c r="I27" i="18"/>
  <c r="I28" i="18"/>
  <c r="I30" i="18"/>
  <c r="I34" i="18"/>
  <c r="I35" i="18"/>
  <c r="F28" i="18"/>
  <c r="F25" i="18"/>
  <c r="F26" i="18"/>
  <c r="F27" i="18"/>
  <c r="F14" i="18"/>
  <c r="F11" i="18"/>
  <c r="F8" i="18"/>
  <c r="F12" i="18"/>
  <c r="F13" i="18"/>
  <c r="F16" i="18"/>
  <c r="F17" i="18"/>
  <c r="F18" i="18"/>
  <c r="F19" i="18"/>
  <c r="F20" i="18"/>
  <c r="F21" i="18"/>
  <c r="F22" i="18"/>
  <c r="F23" i="18"/>
  <c r="F10" i="18"/>
  <c r="F9" i="18"/>
  <c r="F30" i="18"/>
  <c r="F34" i="18"/>
  <c r="F35" i="18"/>
  <c r="I2" i="12"/>
  <c r="D3" i="12"/>
  <c r="L2" i="12"/>
  <c r="K7" i="11"/>
  <c r="E20" i="12" s="1"/>
  <c r="N20" i="12" s="1"/>
  <c r="P20" i="12" s="1"/>
  <c r="F19" i="3"/>
  <c r="K19" i="3"/>
  <c r="M19" i="3"/>
  <c r="N19" i="3"/>
  <c r="O19" i="3"/>
  <c r="P19" i="3"/>
  <c r="K20" i="3"/>
  <c r="M20" i="3"/>
  <c r="N20" i="3"/>
  <c r="O20" i="3"/>
  <c r="P20" i="3"/>
  <c r="K21" i="3"/>
  <c r="L21" i="3"/>
  <c r="M21" i="3"/>
  <c r="N21" i="3"/>
  <c r="O21" i="3"/>
  <c r="P21" i="3"/>
  <c r="K22" i="3"/>
  <c r="L22" i="3"/>
  <c r="M22" i="3"/>
  <c r="N22" i="3"/>
  <c r="O22" i="3"/>
  <c r="P22" i="3"/>
  <c r="K23" i="3"/>
  <c r="L23" i="3"/>
  <c r="M23" i="3"/>
  <c r="N23" i="3"/>
  <c r="O23" i="3"/>
  <c r="P23" i="3"/>
  <c r="K24" i="3"/>
  <c r="L24" i="3"/>
  <c r="M24" i="3"/>
  <c r="N24" i="3"/>
  <c r="O24" i="3"/>
  <c r="P24" i="3"/>
  <c r="K25" i="3"/>
  <c r="L25" i="3"/>
  <c r="M25" i="3"/>
  <c r="N25" i="3"/>
  <c r="O25" i="3"/>
  <c r="P25" i="3"/>
  <c r="K26" i="3"/>
  <c r="L26" i="3"/>
  <c r="M26" i="3"/>
  <c r="N26" i="3"/>
  <c r="O26" i="3"/>
  <c r="P26" i="3"/>
  <c r="K27" i="3"/>
  <c r="L27" i="3"/>
  <c r="M27" i="3"/>
  <c r="N27" i="3"/>
  <c r="O27" i="3"/>
  <c r="P27" i="3"/>
  <c r="K28" i="3"/>
  <c r="L28" i="3"/>
  <c r="M28" i="3"/>
  <c r="N28" i="3"/>
  <c r="O28" i="3"/>
  <c r="P28" i="3"/>
  <c r="K29" i="3"/>
  <c r="L29" i="3"/>
  <c r="M29" i="3"/>
  <c r="N29" i="3"/>
  <c r="O29" i="3"/>
  <c r="P29" i="3"/>
  <c r="K30" i="3"/>
  <c r="L30" i="3"/>
  <c r="M30" i="3"/>
  <c r="N30" i="3"/>
  <c r="O30" i="3"/>
  <c r="P30" i="3"/>
  <c r="K31" i="3"/>
  <c r="L31" i="3"/>
  <c r="M31" i="3"/>
  <c r="N31" i="3"/>
  <c r="O31" i="3"/>
  <c r="P31" i="3"/>
  <c r="K32" i="3"/>
  <c r="L32" i="3"/>
  <c r="M32" i="3"/>
  <c r="N32" i="3"/>
  <c r="O32" i="3"/>
  <c r="P32" i="3"/>
  <c r="K33" i="3"/>
  <c r="L33" i="3"/>
  <c r="M33" i="3"/>
  <c r="N33" i="3"/>
  <c r="O33" i="3"/>
  <c r="P33" i="3"/>
  <c r="K34" i="3"/>
  <c r="L34" i="3"/>
  <c r="M34" i="3"/>
  <c r="N34" i="3"/>
  <c r="O34" i="3"/>
  <c r="P34" i="3"/>
  <c r="K35" i="3"/>
  <c r="L35" i="3"/>
  <c r="M35" i="3"/>
  <c r="N35" i="3"/>
  <c r="O35" i="3"/>
  <c r="P35" i="3"/>
  <c r="K36" i="3"/>
  <c r="L36" i="3"/>
  <c r="M36" i="3"/>
  <c r="N36" i="3"/>
  <c r="O36" i="3"/>
  <c r="P36" i="3"/>
  <c r="K37" i="3"/>
  <c r="L37" i="3"/>
  <c r="M37" i="3"/>
  <c r="N37" i="3"/>
  <c r="O37" i="3"/>
  <c r="P37" i="3"/>
  <c r="K38" i="3"/>
  <c r="L38" i="3"/>
  <c r="M38" i="3"/>
  <c r="N38" i="3"/>
  <c r="O38" i="3"/>
  <c r="P38" i="3"/>
  <c r="K39" i="3"/>
  <c r="L39" i="3"/>
  <c r="M39" i="3"/>
  <c r="N39" i="3"/>
  <c r="O39" i="3"/>
  <c r="P39" i="3"/>
  <c r="K40" i="3"/>
  <c r="L40" i="3"/>
  <c r="M40" i="3"/>
  <c r="N40" i="3"/>
  <c r="O40" i="3"/>
  <c r="P40" i="3"/>
  <c r="K41" i="3"/>
  <c r="L41" i="3"/>
  <c r="M41" i="3"/>
  <c r="N41" i="3"/>
  <c r="O41" i="3"/>
  <c r="P41" i="3"/>
  <c r="K42" i="3"/>
  <c r="L42" i="3"/>
  <c r="M42" i="3"/>
  <c r="N42" i="3"/>
  <c r="O42" i="3"/>
  <c r="P42" i="3"/>
  <c r="K43" i="3"/>
  <c r="L43" i="3"/>
  <c r="M43" i="3"/>
  <c r="N43" i="3"/>
  <c r="O43" i="3"/>
  <c r="P43" i="3"/>
  <c r="K57" i="3"/>
  <c r="L57" i="3"/>
  <c r="M57" i="3"/>
  <c r="N57" i="3"/>
  <c r="O57" i="3"/>
  <c r="P57" i="3"/>
  <c r="K58" i="3"/>
  <c r="L58" i="3"/>
  <c r="M58" i="3"/>
  <c r="N58" i="3"/>
  <c r="O58" i="3"/>
  <c r="P58" i="3"/>
  <c r="K31" i="11"/>
  <c r="M31" i="11" s="1"/>
  <c r="K36" i="11"/>
  <c r="F54" i="12" s="1"/>
  <c r="D19" i="12"/>
  <c r="D20" i="12"/>
  <c r="D21" i="12"/>
  <c r="D22" i="12"/>
  <c r="D10" i="11"/>
  <c r="D11" i="11"/>
  <c r="D12" i="11"/>
  <c r="D13" i="11"/>
  <c r="D26" i="12" s="1"/>
  <c r="D14" i="11"/>
  <c r="D27" i="12" s="1"/>
  <c r="D16" i="11"/>
  <c r="D17" i="11"/>
  <c r="D30" i="12" s="1"/>
  <c r="D18" i="11"/>
  <c r="D19" i="11"/>
  <c r="D20" i="11"/>
  <c r="D33" i="12" s="1"/>
  <c r="D21" i="11"/>
  <c r="D34" i="12" s="1"/>
  <c r="D22" i="11"/>
  <c r="D35" i="12" s="1"/>
  <c r="D23" i="11"/>
  <c r="D36" i="12" s="1"/>
  <c r="D24" i="11"/>
  <c r="D37" i="12" s="1"/>
  <c r="D25" i="11"/>
  <c r="D38" i="12" s="1"/>
  <c r="D26" i="11"/>
  <c r="D39" i="12" s="1"/>
  <c r="E3" i="11"/>
  <c r="F3" i="11" s="1"/>
  <c r="G3" i="11" s="1"/>
  <c r="H3" i="11" s="1"/>
  <c r="I3" i="11" s="1"/>
  <c r="J3" i="11" s="1"/>
  <c r="E5" i="11"/>
  <c r="F5" i="11"/>
  <c r="G5" i="11"/>
  <c r="H5" i="11"/>
  <c r="I5" i="11"/>
  <c r="J5" i="11"/>
  <c r="K8" i="11"/>
  <c r="K9" i="11"/>
  <c r="K10" i="11"/>
  <c r="K11" i="11"/>
  <c r="K12" i="11"/>
  <c r="K13" i="11"/>
  <c r="K14" i="11"/>
  <c r="K15" i="11"/>
  <c r="E28" i="12" s="1"/>
  <c r="N28" i="12" s="1"/>
  <c r="P28" i="12" s="1"/>
  <c r="K16" i="11"/>
  <c r="K17" i="11"/>
  <c r="K18" i="11"/>
  <c r="K19" i="11"/>
  <c r="K20" i="11"/>
  <c r="K21" i="11"/>
  <c r="K22" i="11"/>
  <c r="K23" i="11"/>
  <c r="K24" i="11"/>
  <c r="K25" i="11"/>
  <c r="K26" i="11"/>
  <c r="E28" i="11"/>
  <c r="F28" i="11"/>
  <c r="G28" i="11"/>
  <c r="H28" i="11"/>
  <c r="I28" i="11"/>
  <c r="J28" i="11"/>
  <c r="K29" i="11"/>
  <c r="L29" i="11"/>
  <c r="B47" i="12" s="1"/>
  <c r="L31" i="11"/>
  <c r="B49" i="12" s="1"/>
  <c r="K32" i="11"/>
  <c r="L32" i="11"/>
  <c r="B50" i="12" s="1"/>
  <c r="E33" i="11"/>
  <c r="F33" i="11" s="1"/>
  <c r="G33" i="11" s="1"/>
  <c r="H33" i="11" s="1"/>
  <c r="I33" i="11" s="1"/>
  <c r="J33" i="11" s="1"/>
  <c r="E34" i="11"/>
  <c r="F34" i="11"/>
  <c r="G34" i="11"/>
  <c r="H34" i="11"/>
  <c r="I34" i="11"/>
  <c r="J34" i="11"/>
  <c r="K35" i="11"/>
  <c r="F53" i="12" s="1"/>
  <c r="L35" i="11"/>
  <c r="B53" i="12" s="1"/>
  <c r="L36" i="11"/>
  <c r="B54" i="12" s="1"/>
  <c r="K37" i="11"/>
  <c r="F55" i="12" s="1"/>
  <c r="B55" i="12"/>
  <c r="K38" i="11"/>
  <c r="F56" i="12" s="1"/>
  <c r="L38" i="11"/>
  <c r="B56" i="12" s="1"/>
  <c r="K39" i="11"/>
  <c r="G57" i="12" s="1"/>
  <c r="H57" i="12" s="1"/>
  <c r="L39" i="11"/>
  <c r="B57" i="12" s="1"/>
  <c r="K48" i="11"/>
  <c r="L48" i="11"/>
  <c r="B66" i="12" s="1"/>
  <c r="B50" i="11"/>
  <c r="L50" i="11" s="1"/>
  <c r="L51" i="11"/>
  <c r="K52" i="11"/>
  <c r="L52" i="11"/>
  <c r="E53" i="11"/>
  <c r="F53" i="11"/>
  <c r="G53" i="11"/>
  <c r="H53" i="11"/>
  <c r="I53" i="11"/>
  <c r="J53" i="11"/>
  <c r="K54" i="11"/>
  <c r="F43" i="12" s="1"/>
  <c r="G43" i="12" s="1"/>
  <c r="H43" i="12" s="1"/>
  <c r="I43" i="12" s="1"/>
  <c r="L54" i="11"/>
  <c r="K55" i="11"/>
  <c r="F44" i="12" s="1"/>
  <c r="L55" i="11"/>
  <c r="K56" i="11"/>
  <c r="F45" i="12" s="1"/>
  <c r="L56" i="11"/>
  <c r="C1" i="3"/>
  <c r="A19" i="3"/>
  <c r="A20" i="3"/>
  <c r="A21" i="3"/>
  <c r="A22" i="3"/>
  <c r="A23" i="3"/>
  <c r="A24" i="3"/>
  <c r="A25" i="3"/>
  <c r="A26" i="3"/>
  <c r="A27" i="3"/>
  <c r="A28" i="3"/>
  <c r="A29" i="3"/>
  <c r="A30" i="3"/>
  <c r="A31" i="3"/>
  <c r="A32" i="3"/>
  <c r="A33" i="3"/>
  <c r="A34" i="3"/>
  <c r="A35" i="3"/>
  <c r="A36" i="3"/>
  <c r="A37" i="3"/>
  <c r="A38" i="3"/>
  <c r="A39" i="3"/>
  <c r="A40" i="3"/>
  <c r="A41" i="3"/>
  <c r="A42" i="3"/>
  <c r="A43" i="3"/>
  <c r="A57" i="3"/>
  <c r="A58" i="3"/>
  <c r="E18" i="3"/>
  <c r="F18" i="3"/>
  <c r="G18" i="3" s="1"/>
  <c r="H18" i="3" s="1"/>
  <c r="I18" i="3" s="1"/>
  <c r="J18" i="3" s="1"/>
  <c r="F20" i="3"/>
  <c r="L20" i="3" s="1"/>
  <c r="F21" i="3"/>
  <c r="G21" i="3" s="1"/>
  <c r="H21" i="3" s="1"/>
  <c r="I21" i="3" s="1"/>
  <c r="J21" i="3" s="1"/>
  <c r="F23" i="3"/>
  <c r="G23" i="3" s="1"/>
  <c r="H23" i="3" s="1"/>
  <c r="I23" i="3" s="1"/>
  <c r="J23" i="3" s="1"/>
  <c r="F24" i="3"/>
  <c r="G24" i="3" s="1"/>
  <c r="H24" i="3" s="1"/>
  <c r="I24" i="3" s="1"/>
  <c r="J24" i="3" s="1"/>
  <c r="F25" i="3"/>
  <c r="F27" i="3"/>
  <c r="G27" i="3" s="1"/>
  <c r="H27" i="3" s="1"/>
  <c r="I27" i="3" s="1"/>
  <c r="J27" i="3" s="1"/>
  <c r="F28" i="3"/>
  <c r="F29" i="3"/>
  <c r="G29" i="3" s="1"/>
  <c r="H29" i="3" s="1"/>
  <c r="I29" i="3" s="1"/>
  <c r="J29" i="3" s="1"/>
  <c r="F30" i="3"/>
  <c r="G30" i="3" s="1"/>
  <c r="H30" i="3" s="1"/>
  <c r="I30" i="3" s="1"/>
  <c r="J30" i="3" s="1"/>
  <c r="F31" i="3"/>
  <c r="G31" i="3" s="1"/>
  <c r="H31" i="3" s="1"/>
  <c r="I31" i="3" s="1"/>
  <c r="J31" i="3" s="1"/>
  <c r="F32" i="3"/>
  <c r="G32" i="3" s="1"/>
  <c r="H32" i="3" s="1"/>
  <c r="I32" i="3" s="1"/>
  <c r="J32" i="3" s="1"/>
  <c r="F33" i="3"/>
  <c r="G33" i="3" s="1"/>
  <c r="H33" i="3" s="1"/>
  <c r="I33" i="3" s="1"/>
  <c r="J33" i="3" s="1"/>
  <c r="F34" i="3"/>
  <c r="G34" i="3" s="1"/>
  <c r="H34" i="3" s="1"/>
  <c r="I34" i="3" s="1"/>
  <c r="J34" i="3" s="1"/>
  <c r="F35" i="3"/>
  <c r="G35" i="3" s="1"/>
  <c r="H35" i="3" s="1"/>
  <c r="I35" i="3" s="1"/>
  <c r="J35" i="3" s="1"/>
  <c r="F36" i="3"/>
  <c r="G36" i="3" s="1"/>
  <c r="H36" i="3" s="1"/>
  <c r="I36" i="3" s="1"/>
  <c r="J36" i="3" s="1"/>
  <c r="F37" i="3"/>
  <c r="G37" i="3" s="1"/>
  <c r="H37" i="3" s="1"/>
  <c r="I37" i="3" s="1"/>
  <c r="J37" i="3" s="1"/>
  <c r="F38" i="3"/>
  <c r="G38" i="3" s="1"/>
  <c r="H38" i="3" s="1"/>
  <c r="I38" i="3" s="1"/>
  <c r="J38" i="3" s="1"/>
  <c r="F39" i="3"/>
  <c r="G39" i="3" s="1"/>
  <c r="H39" i="3" s="1"/>
  <c r="I39" i="3" s="1"/>
  <c r="J39" i="3" s="1"/>
  <c r="F40" i="3"/>
  <c r="G40" i="3" s="1"/>
  <c r="H40" i="3" s="1"/>
  <c r="I40" i="3" s="1"/>
  <c r="J40" i="3" s="1"/>
  <c r="F41" i="3"/>
  <c r="G41" i="3" s="1"/>
  <c r="H41" i="3" s="1"/>
  <c r="I41" i="3" s="1"/>
  <c r="J41" i="3" s="1"/>
  <c r="F42" i="3"/>
  <c r="G42" i="3" s="1"/>
  <c r="H42" i="3" s="1"/>
  <c r="I42" i="3" s="1"/>
  <c r="J42" i="3" s="1"/>
  <c r="F43" i="3"/>
  <c r="G43" i="3" s="1"/>
  <c r="H43" i="3" s="1"/>
  <c r="I43" i="3" s="1"/>
  <c r="J43" i="3" s="1"/>
  <c r="F57" i="3"/>
  <c r="G57" i="3" s="1"/>
  <c r="H57" i="3" s="1"/>
  <c r="I57" i="3" s="1"/>
  <c r="J57" i="3" s="1"/>
  <c r="F58" i="3"/>
  <c r="G58" i="3" s="1"/>
  <c r="H58" i="3" s="1"/>
  <c r="I58" i="3" s="1"/>
  <c r="J58" i="3" s="1"/>
  <c r="D12" i="3"/>
  <c r="L19" i="3"/>
  <c r="H12" i="3"/>
  <c r="I12" i="3" s="1"/>
  <c r="K15" i="3"/>
  <c r="G25" i="3" l="1"/>
  <c r="Q12" i="11"/>
  <c r="G28" i="3"/>
  <c r="Q8" i="11"/>
  <c r="F50" i="12"/>
  <c r="G50" i="12" s="1"/>
  <c r="H50" i="12" s="1"/>
  <c r="I50" i="12" s="1"/>
  <c r="F46" i="23"/>
  <c r="I57" i="12"/>
  <c r="K57" i="12"/>
  <c r="G66" i="12"/>
  <c r="H66" i="12" s="1"/>
  <c r="H15" i="3"/>
  <c r="I15" i="3" s="1"/>
  <c r="J15" i="3" s="1"/>
  <c r="F15" i="3" s="1"/>
  <c r="G20" i="3"/>
  <c r="Q7" i="11"/>
  <c r="G19" i="3"/>
  <c r="Q6" i="11"/>
  <c r="F45" i="23"/>
  <c r="E31" i="12"/>
  <c r="N31" i="12" s="1"/>
  <c r="P31" i="12" s="1"/>
  <c r="M18" i="11"/>
  <c r="L18" i="11" s="1"/>
  <c r="B31" i="12" s="1"/>
  <c r="E39" i="12"/>
  <c r="N39" i="12" s="1"/>
  <c r="P39" i="12" s="1"/>
  <c r="M26" i="11"/>
  <c r="L26" i="11" s="1"/>
  <c r="B39" i="12" s="1"/>
  <c r="E23" i="12"/>
  <c r="N23" i="12" s="1"/>
  <c r="P23" i="12" s="1"/>
  <c r="E34" i="12"/>
  <c r="N34" i="12" s="1"/>
  <c r="P34" i="12" s="1"/>
  <c r="M21" i="11"/>
  <c r="L21" i="11" s="1"/>
  <c r="B34" i="12" s="1"/>
  <c r="E26" i="12"/>
  <c r="N26" i="12" s="1"/>
  <c r="P26" i="12" s="1"/>
  <c r="E22" i="12"/>
  <c r="N22" i="12" s="1"/>
  <c r="P22" i="12" s="1"/>
  <c r="E27" i="12"/>
  <c r="N27" i="12" s="1"/>
  <c r="P27" i="12" s="1"/>
  <c r="E38" i="12"/>
  <c r="N38" i="12" s="1"/>
  <c r="P38" i="12" s="1"/>
  <c r="M25" i="11"/>
  <c r="L25" i="11" s="1"/>
  <c r="B38" i="12" s="1"/>
  <c r="E30" i="12"/>
  <c r="N30" i="12" s="1"/>
  <c r="P30" i="12" s="1"/>
  <c r="M17" i="11"/>
  <c r="L17" i="11" s="1"/>
  <c r="B30" i="12" s="1"/>
  <c r="E37" i="12"/>
  <c r="N37" i="12" s="1"/>
  <c r="P37" i="12" s="1"/>
  <c r="M24" i="11"/>
  <c r="L24" i="11" s="1"/>
  <c r="B37" i="12" s="1"/>
  <c r="E33" i="12"/>
  <c r="N33" i="12" s="1"/>
  <c r="P33" i="12" s="1"/>
  <c r="M20" i="11"/>
  <c r="L20" i="11" s="1"/>
  <c r="B33" i="12" s="1"/>
  <c r="E29" i="12"/>
  <c r="N29" i="12" s="1"/>
  <c r="P29" i="12" s="1"/>
  <c r="M16" i="11"/>
  <c r="L16" i="11" s="1"/>
  <c r="B29" i="12" s="1"/>
  <c r="E25" i="12"/>
  <c r="N25" i="12" s="1"/>
  <c r="P25" i="12" s="1"/>
  <c r="E21" i="12"/>
  <c r="N21" i="12" s="1"/>
  <c r="P21" i="12" s="1"/>
  <c r="E36" i="12"/>
  <c r="N36" i="12" s="1"/>
  <c r="P36" i="12" s="1"/>
  <c r="M23" i="11"/>
  <c r="L23" i="11" s="1"/>
  <c r="B36" i="12" s="1"/>
  <c r="E32" i="12"/>
  <c r="N32" i="12" s="1"/>
  <c r="P32" i="12" s="1"/>
  <c r="M19" i="11"/>
  <c r="L19" i="11" s="1"/>
  <c r="B32" i="12" s="1"/>
  <c r="E24" i="12"/>
  <c r="N24" i="12" s="1"/>
  <c r="P24" i="12" s="1"/>
  <c r="E35" i="12"/>
  <c r="N35" i="12" s="1"/>
  <c r="P35" i="12" s="1"/>
  <c r="M22" i="11"/>
  <c r="L22" i="11" s="1"/>
  <c r="B35" i="12" s="1"/>
  <c r="V13" i="11"/>
  <c r="F26" i="12" s="1"/>
  <c r="V24" i="11"/>
  <c r="F37" i="12" s="1"/>
  <c r="V23" i="11"/>
  <c r="F36" i="12" s="1"/>
  <c r="V9" i="11"/>
  <c r="F22" i="12" s="1"/>
  <c r="V25" i="11"/>
  <c r="F38" i="12" s="1"/>
  <c r="V22" i="11"/>
  <c r="F35" i="12" s="1"/>
  <c r="V10" i="11"/>
  <c r="F23" i="12" s="1"/>
  <c r="V14" i="11"/>
  <c r="F27" i="12" s="1"/>
  <c r="V19" i="11"/>
  <c r="F32" i="12" s="1"/>
  <c r="V15" i="11"/>
  <c r="V20" i="11"/>
  <c r="F33" i="12" s="1"/>
  <c r="V21" i="11"/>
  <c r="F34" i="12" s="1"/>
  <c r="V18" i="11"/>
  <c r="F31" i="12" s="1"/>
  <c r="V11" i="11"/>
  <c r="F24" i="12" s="1"/>
  <c r="V17" i="11"/>
  <c r="F30" i="12" s="1"/>
  <c r="V16" i="11"/>
  <c r="F29" i="12" s="1"/>
  <c r="V26" i="11"/>
  <c r="F39" i="12" s="1"/>
  <c r="F44" i="23"/>
  <c r="F47" i="23"/>
  <c r="F36" i="18"/>
  <c r="B4" i="18" s="1"/>
  <c r="K28" i="11"/>
  <c r="L15" i="3"/>
  <c r="K34" i="11"/>
  <c r="K5" i="11"/>
  <c r="G54" i="12"/>
  <c r="H54" i="12" s="1"/>
  <c r="C33" i="12"/>
  <c r="G53" i="12"/>
  <c r="H53" i="12" s="1"/>
  <c r="K53" i="12" s="1"/>
  <c r="I36" i="18"/>
  <c r="D51" i="11" s="1"/>
  <c r="E51" i="11" s="1"/>
  <c r="K51" i="11" s="1"/>
  <c r="F49" i="12"/>
  <c r="G49" i="12" s="1"/>
  <c r="H49" i="12" s="1"/>
  <c r="I49" i="12" s="1"/>
  <c r="C34" i="12"/>
  <c r="C26" i="12"/>
  <c r="C35" i="12"/>
  <c r="K53" i="11"/>
  <c r="C41" i="12" s="1"/>
  <c r="G55" i="12"/>
  <c r="H55" i="12" s="1"/>
  <c r="F48" i="23"/>
  <c r="G56" i="12"/>
  <c r="H56" i="12" s="1"/>
  <c r="F50" i="23"/>
  <c r="F47" i="12"/>
  <c r="C19" i="12"/>
  <c r="B17" i="3"/>
  <c r="C39" i="12"/>
  <c r="C21" i="12"/>
  <c r="C27" i="12"/>
  <c r="C24" i="12"/>
  <c r="C22" i="12"/>
  <c r="C30" i="12"/>
  <c r="C20" i="12"/>
  <c r="C28" i="12"/>
  <c r="C36" i="12"/>
  <c r="C32" i="12"/>
  <c r="D50" i="11"/>
  <c r="J12" i="3"/>
  <c r="K12" i="3" s="1"/>
  <c r="D28" i="12"/>
  <c r="D31" i="12"/>
  <c r="D23" i="12"/>
  <c r="D32" i="12"/>
  <c r="D24" i="12"/>
  <c r="D25" i="12"/>
  <c r="D29" i="12"/>
  <c r="M14" i="11" l="1"/>
  <c r="L14" i="11" s="1"/>
  <c r="B27" i="12" s="1"/>
  <c r="H25" i="3"/>
  <c r="R12" i="11"/>
  <c r="H28" i="3"/>
  <c r="R8" i="11"/>
  <c r="M13" i="11"/>
  <c r="L13" i="11" s="1"/>
  <c r="B26" i="12" s="1"/>
  <c r="M11" i="11"/>
  <c r="L11" i="11" s="1"/>
  <c r="B24" i="12" s="1"/>
  <c r="M12" i="3"/>
  <c r="N12" i="3"/>
  <c r="I56" i="12"/>
  <c r="K56" i="12"/>
  <c r="I54" i="12"/>
  <c r="K54" i="12"/>
  <c r="I55" i="12"/>
  <c r="K55" i="12"/>
  <c r="I66" i="12"/>
  <c r="K66" i="12"/>
  <c r="I53" i="12"/>
  <c r="F4" i="11"/>
  <c r="F50" i="11" s="1"/>
  <c r="F49" i="11" s="1"/>
  <c r="H19" i="3"/>
  <c r="R6" i="11"/>
  <c r="H20" i="3"/>
  <c r="R7" i="11"/>
  <c r="G45" i="12"/>
  <c r="H45" i="12" s="1"/>
  <c r="I45" i="12" s="1"/>
  <c r="F42" i="12"/>
  <c r="L45" i="12" s="1"/>
  <c r="K43" i="12" s="1"/>
  <c r="G44" i="12"/>
  <c r="P16" i="12"/>
  <c r="M9" i="11"/>
  <c r="L9" i="11" s="1"/>
  <c r="B22" i="12" s="1"/>
  <c r="E18" i="12"/>
  <c r="M10" i="11"/>
  <c r="L10" i="11" s="1"/>
  <c r="B23" i="12" s="1"/>
  <c r="F28" i="12"/>
  <c r="G28" i="12" s="1"/>
  <c r="H28" i="12" s="1"/>
  <c r="I28" i="12" s="1"/>
  <c r="M15" i="11"/>
  <c r="L15" i="11" s="1"/>
  <c r="B28" i="12" s="1"/>
  <c r="G38" i="12"/>
  <c r="H38" i="12" s="1"/>
  <c r="I38" i="12" s="1"/>
  <c r="G36" i="12"/>
  <c r="H36" i="12" s="1"/>
  <c r="I36" i="12" s="1"/>
  <c r="G32" i="12"/>
  <c r="H32" i="12" s="1"/>
  <c r="I32" i="12" s="1"/>
  <c r="G34" i="12"/>
  <c r="H34" i="12" s="1"/>
  <c r="I34" i="12" s="1"/>
  <c r="G30" i="12"/>
  <c r="H30" i="12" s="1"/>
  <c r="I30" i="12" s="1"/>
  <c r="G24" i="12"/>
  <c r="H24" i="12" s="1"/>
  <c r="I24" i="12" s="1"/>
  <c r="F52" i="12"/>
  <c r="F51" i="23"/>
  <c r="G52" i="12"/>
  <c r="H52" i="12"/>
  <c r="G47" i="12"/>
  <c r="F46" i="12"/>
  <c r="G22" i="12"/>
  <c r="H22" i="12" s="1"/>
  <c r="I22" i="12" s="1"/>
  <c r="G33" i="12"/>
  <c r="H33" i="12" s="1"/>
  <c r="I33" i="12" s="1"/>
  <c r="G39" i="12"/>
  <c r="H39" i="12" s="1"/>
  <c r="I39" i="12" s="1"/>
  <c r="G23" i="12"/>
  <c r="H23" i="12" s="1"/>
  <c r="I23" i="12" s="1"/>
  <c r="G29" i="12"/>
  <c r="H29" i="12" s="1"/>
  <c r="I29" i="12" s="1"/>
  <c r="G26" i="12"/>
  <c r="H26" i="12" s="1"/>
  <c r="I26" i="12" s="1"/>
  <c r="G27" i="12"/>
  <c r="H27" i="12" s="1"/>
  <c r="I27" i="12" s="1"/>
  <c r="L12" i="3"/>
  <c r="I25" i="3" l="1"/>
  <c r="S12" i="11"/>
  <c r="I28" i="3"/>
  <c r="S8" i="11"/>
  <c r="M53" i="12"/>
  <c r="I52" i="12"/>
  <c r="I20" i="3"/>
  <c r="S7" i="11"/>
  <c r="G4" i="11"/>
  <c r="G50" i="11" s="1"/>
  <c r="G49" i="11" s="1"/>
  <c r="I19" i="3"/>
  <c r="S6" i="11"/>
  <c r="K44" i="12"/>
  <c r="K45" i="12"/>
  <c r="H44" i="12"/>
  <c r="G42" i="12"/>
  <c r="G46" i="12"/>
  <c r="H47" i="12"/>
  <c r="G35" i="12"/>
  <c r="H35" i="12" s="1"/>
  <c r="I35" i="12" s="1"/>
  <c r="G37" i="12"/>
  <c r="H37" i="12" s="1"/>
  <c r="I37" i="12" s="1"/>
  <c r="G31" i="12"/>
  <c r="H31" i="12" s="1"/>
  <c r="I31" i="12" s="1"/>
  <c r="E50" i="11"/>
  <c r="J25" i="3" l="1"/>
  <c r="U12" i="11" s="1"/>
  <c r="T12" i="11"/>
  <c r="V12" i="11" s="1"/>
  <c r="J28" i="3"/>
  <c r="U8" i="11" s="1"/>
  <c r="T8" i="11"/>
  <c r="M55" i="12"/>
  <c r="M57" i="12"/>
  <c r="H4" i="11"/>
  <c r="H50" i="11" s="1"/>
  <c r="H49" i="11" s="1"/>
  <c r="J19" i="3"/>
  <c r="U6" i="11" s="1"/>
  <c r="T6" i="11"/>
  <c r="J20" i="3"/>
  <c r="U7" i="11" s="1"/>
  <c r="T7" i="11"/>
  <c r="I44" i="12"/>
  <c r="I42" i="12" s="1"/>
  <c r="L43" i="12" s="1"/>
  <c r="H42" i="12"/>
  <c r="I47" i="12"/>
  <c r="I46" i="12" s="1"/>
  <c r="H46" i="12"/>
  <c r="E49" i="11"/>
  <c r="F25" i="12" l="1"/>
  <c r="G25" i="12" s="1"/>
  <c r="H25" i="12" s="1"/>
  <c r="I25" i="12" s="1"/>
  <c r="M12" i="11"/>
  <c r="L12" i="11" s="1"/>
  <c r="B25" i="12" s="1"/>
  <c r="V8" i="11"/>
  <c r="F21" i="12" s="1"/>
  <c r="G21" i="12" s="1"/>
  <c r="H21" i="12" s="1"/>
  <c r="I21" i="12" s="1"/>
  <c r="I4" i="11"/>
  <c r="I50" i="11" s="1"/>
  <c r="I49" i="11" s="1"/>
  <c r="V7" i="11"/>
  <c r="F20" i="12" s="1"/>
  <c r="G20" i="12" s="1"/>
  <c r="H20" i="12" s="1"/>
  <c r="I20" i="12" s="1"/>
  <c r="J4" i="11"/>
  <c r="J50" i="11" s="1"/>
  <c r="J49" i="11" s="1"/>
  <c r="V6" i="11"/>
  <c r="M8" i="11" l="1"/>
  <c r="L8" i="11" s="1"/>
  <c r="B21" i="12" s="1"/>
  <c r="M7" i="11"/>
  <c r="L7" i="11" s="1"/>
  <c r="B20" i="12" s="1"/>
  <c r="K4" i="11"/>
  <c r="F43" i="23" s="1"/>
  <c r="K49" i="11"/>
  <c r="F40" i="12" s="1"/>
  <c r="K50" i="11"/>
  <c r="G40" i="12" s="1"/>
  <c r="M6" i="11"/>
  <c r="F19" i="12"/>
  <c r="G19" i="12" s="1"/>
  <c r="H19" i="12" s="1"/>
  <c r="I19" i="12" s="1"/>
  <c r="F52" i="23" l="1"/>
  <c r="H40" i="12"/>
  <c r="L6" i="11"/>
  <c r="B19" i="12" s="1"/>
  <c r="M5" i="11"/>
  <c r="D16" i="12" s="1"/>
  <c r="I18" i="12" l="1"/>
  <c r="G18" i="12"/>
  <c r="F18" i="12"/>
  <c r="H18" i="12"/>
  <c r="I40" i="12"/>
  <c r="H16" i="12" l="1"/>
  <c r="F16" i="12"/>
  <c r="E17" i="12"/>
  <c r="G16" i="12"/>
  <c r="I16" i="12"/>
  <c r="D13" i="12" l="1"/>
  <c r="K14" i="12" l="1"/>
  <c r="G13" i="12" s="1"/>
  <c r="L20" i="12"/>
  <c r="L26" i="12"/>
  <c r="L24" i="12"/>
  <c r="L22" i="12"/>
  <c r="K20" i="12" s="1"/>
  <c r="K32" i="12" l="1"/>
  <c r="K24" i="12"/>
  <c r="K29" i="12"/>
  <c r="K33" i="12"/>
  <c r="K26" i="12"/>
  <c r="K34" i="12"/>
  <c r="K19" i="12"/>
  <c r="K21" i="12"/>
  <c r="K23" i="12"/>
  <c r="K38" i="12"/>
  <c r="K36" i="12"/>
  <c r="K35" i="12"/>
  <c r="K39" i="12"/>
  <c r="I12" i="12"/>
  <c r="F13" i="12"/>
  <c r="X9" i="11" s="1"/>
  <c r="G12" i="12"/>
  <c r="I13" i="12"/>
  <c r="F12" i="12"/>
  <c r="M9" i="12" s="1"/>
  <c r="K27" i="12"/>
  <c r="H13" i="12"/>
  <c r="K28" i="12"/>
  <c r="K25" i="12"/>
  <c r="H12" i="12"/>
  <c r="F42" i="23"/>
  <c r="F54" i="23" s="1"/>
  <c r="K31" i="12"/>
  <c r="D12" i="12"/>
  <c r="K37" i="12"/>
  <c r="K22" i="12"/>
  <c r="K30" i="12"/>
  <c r="K40" i="12" l="1"/>
  <c r="D11" i="12"/>
  <c r="D10" i="12" s="1"/>
  <c r="P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rafael.vazquez</author>
  </authors>
  <commentList>
    <comment ref="B34" authorId="0" shapeId="0" xr:uid="{00000000-0006-0000-0300-000001000000}">
      <text>
        <r>
          <rPr>
            <sz val="9"/>
            <color indexed="81"/>
            <rFont val="Tahoma"/>
            <family val="2"/>
          </rPr>
          <t xml:space="preserve">Consolidar aquí los importes totales para las partidas de compras según las categorías definidas. 
Si se requieren desgloses adicionales, deben incluirse en pestaña aparte y consolidar aquí.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Josu Irureta</author>
  </authors>
  <commentList>
    <comment ref="O18" authorId="0" shapeId="0" xr:uid="{00000000-0006-0000-0600-000001000000}">
      <text>
        <r>
          <rPr>
            <b/>
            <sz val="8"/>
            <color indexed="81"/>
            <rFont val="Tahoma"/>
            <family val="2"/>
          </rPr>
          <t>Tarifa de Venta Indicada en Euros/hora</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Ingelmo Agustin, M Jose</author>
  </authors>
  <commentList>
    <comment ref="G15" authorId="0" shapeId="0" xr:uid="{99BD912B-3375-41A2-A96D-79BD4177C6E0}">
      <text>
        <r>
          <rPr>
            <b/>
            <sz val="9"/>
            <color indexed="81"/>
            <rFont val="Tahoma"/>
            <family val="2"/>
          </rPr>
          <t>Para proyectos de Aplicaciones:
   - Para Fixed Price, deberá exitir un GSE así que en esta columna pondremos nuestra estimación hecha con GSE para poder introducir eficiencias por ADHub (columnas J, K, indicando en la columna M que "SI")
   - Para otros, con pliego, con RFP, se indicará lo requerido por cliente, y se estudiarán sobre esto las eficiencias segun las palancas, (columnas J, K)
Para resto de proyectos, indicar lo requerido por pliego, RFP, ...</t>
        </r>
      </text>
    </comment>
    <comment ref="N15" authorId="0" shapeId="0" xr:uid="{F7B91B40-9AF0-4C3B-92C2-A65612C2B19B}">
      <text>
        <r>
          <rPr>
            <b/>
            <sz val="9"/>
            <color indexed="81"/>
            <rFont val="Tahoma"/>
            <family val="2"/>
          </rPr>
          <t>Las eficiencias entre Estimación (F, G) y Oferta (I, J) se deben al ADHub</t>
        </r>
      </text>
    </comment>
    <comment ref="O15" authorId="0" shapeId="0" xr:uid="{02F90879-9A8C-4F1C-B94A-86C2F7ACD91E}">
      <text>
        <r>
          <rPr>
            <b/>
            <sz val="9"/>
            <color indexed="81"/>
            <rFont val="Tahoma"/>
            <family val="2"/>
          </rPr>
          <t>Para perfiles No offshorizables indicar motivo en comentarios. 
Que se ponga SI no quiere decir que se vaya a hacer. En este campo se informa sobre si es viable o no para que se pueda decidir la mejor estrategia teniendo esta información en cuenta.
Si el coste que se ha tenido en cuenta en parámetros es el coste del perfil en offshore, añadir a la descripción del perfil (columna C) la etiqueta "Offshore"</t>
        </r>
      </text>
    </comment>
    <comment ref="P15" authorId="0" shapeId="0" xr:uid="{290F0AD0-9EE7-446B-A016-4FC5648A4A46}">
      <text>
        <r>
          <rPr>
            <b/>
            <sz val="9"/>
            <color indexed="81"/>
            <rFont val="Tahoma"/>
            <family val="2"/>
          </rPr>
          <t>Para perfiles No subcontratables indicar motivo en comentarios. 
Que se ponga SI no quiere decir que se vaya a hacer. En este campo se informa sobre si es viable o no para que se pueda decidir la mejor estrategia teniendo esta información en cuenta.
Si el coste que se ha tenido en cuenta en parámetros es el coste del perfil en subcontratación añadir a la descripción del perfil (columna C) la etiqueta "Subco"</t>
        </r>
      </text>
    </comment>
    <comment ref="R15" authorId="0" shapeId="0" xr:uid="{B459D48D-3436-49B2-82E6-7A0844AEBF4F}">
      <text>
        <r>
          <rPr>
            <b/>
            <sz val="9"/>
            <color indexed="81"/>
            <rFont val="Tahoma"/>
            <family val="2"/>
          </rPr>
          <t>A partir de qué mes se puede juniorizar el perfil. 
Ej, un perfil senior de desarrollo que a partir del sexto mes de servicio se puede juniorizar</t>
        </r>
        <r>
          <rPr>
            <sz val="9"/>
            <color indexed="81"/>
            <rFont val="Tahoma"/>
            <family val="2"/>
          </rPr>
          <t xml:space="preserve">
</t>
        </r>
      </text>
    </comment>
    <comment ref="S15" authorId="0" shapeId="0" xr:uid="{2C47280F-29B6-4FF9-A580-E0C22349E41F}">
      <text>
        <r>
          <rPr>
            <b/>
            <sz val="9"/>
            <color indexed="81"/>
            <rFont val="Tahoma"/>
            <family val="2"/>
          </rPr>
          <t>Para perfiles junio
rizables se debe indicar el id de fila (columna B) en el que se ha añadido el perfil Junior que sustituye a este perfil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Leal Alonso De Castañeda, José Enrique</author>
  </authors>
  <commentList>
    <comment ref="A3" authorId="0" shapeId="0" xr:uid="{C8EF2A7F-7A61-41AA-8A99-E425EB427731}">
      <text>
        <r>
          <rPr>
            <b/>
            <sz val="9"/>
            <color indexed="81"/>
            <rFont val="Tahoma"/>
            <family val="2"/>
          </rPr>
          <t>Prestaña "Presupuesto" - Mano de Obra</t>
        </r>
      </text>
    </comment>
    <comment ref="A4" authorId="0" shapeId="0" xr:uid="{50FD498F-E466-498B-98B4-54EE5120F805}">
      <text>
        <r>
          <rPr>
            <b/>
            <sz val="9"/>
            <color indexed="81"/>
            <rFont val="Tahoma"/>
            <family val="2"/>
          </rPr>
          <t>Prestaña "Presupuesto" - Gastos</t>
        </r>
      </text>
    </comment>
    <comment ref="A5" authorId="0" shapeId="0" xr:uid="{62D22183-3F39-47D8-BAE3-2EA74ADC5044}">
      <text>
        <r>
          <rPr>
            <b/>
            <sz val="9"/>
            <color indexed="81"/>
            <rFont val="Tahoma"/>
            <family val="2"/>
          </rPr>
          <t>Prestaña "Presupuesto" - Compras</t>
        </r>
      </text>
    </comment>
    <comment ref="A6" authorId="0" shapeId="0" xr:uid="{820CA984-E9DB-4BC8-8C85-0D17AD9ECAB7}">
      <text>
        <r>
          <rPr>
            <b/>
            <sz val="9"/>
            <color indexed="81"/>
            <rFont val="Tahoma"/>
            <family val="2"/>
          </rPr>
          <t>Los ingresos (mes a mes) se computan según los servicios ejecutados (facturables) en el período (mes), durante la duración del contrato. Por ejemplo, en un servicio de mtno de apps, el mtno correctivo puede ser un importe fijo al mes.
Los meses a computar corresponden a la duración del contrato.</t>
        </r>
      </text>
    </comment>
    <comment ref="A7" authorId="0" shapeId="0" xr:uid="{536F4C72-9947-4BF6-9E05-3E776F5ACA41}">
      <text>
        <r>
          <rPr>
            <b/>
            <sz val="9"/>
            <color indexed="81"/>
            <rFont val="Tahoma"/>
            <family val="2"/>
          </rPr>
          <t>Facturación de los servicios (cuándo se emite la factura) correspondiente al período ejecutado: mensual; trimestral; etc.</t>
        </r>
        <r>
          <rPr>
            <sz val="9"/>
            <color indexed="81"/>
            <rFont val="Tahoma"/>
            <family val="2"/>
          </rPr>
          <t xml:space="preserve">
Ver hitos de facturación en pestaña "Facturación y SAP".
A tener en cuenta: la facturación del último período ejecutado (servicios) tendrá lugar una vez finalizado el contrato (mes posterior).</t>
        </r>
      </text>
    </comment>
    <comment ref="A8" authorId="0" shapeId="0" xr:uid="{51803D6E-5E3B-488F-9153-102A53B809D1}">
      <text>
        <r>
          <rPr>
            <b/>
            <sz val="9"/>
            <color indexed="81"/>
            <rFont val="Tahoma"/>
            <family val="2"/>
          </rPr>
          <t xml:space="preserve">El cobro se produce, una vez emitida la factura (período de factcuración), según el período de cobro (30 días; etc.).
</t>
        </r>
        <r>
          <rPr>
            <sz val="9"/>
            <color indexed="81"/>
            <rFont val="Tahoma"/>
            <family val="2"/>
          </rPr>
          <t xml:space="preserve">
Por ejemplo. Los servicios del mesX (ingresos) se facturan mensualmente (mesX+1), y si el período de cobro es de 30 días, el cobro se computa en el mesX+2.</t>
        </r>
      </text>
    </comment>
    <comment ref="A9" authorId="0" shapeId="0" xr:uid="{94152827-5BF2-4C95-A624-8DC30CFAA2C7}">
      <text>
        <r>
          <rPr>
            <b/>
            <sz val="9"/>
            <color indexed="81"/>
            <rFont val="Tahoma"/>
            <family val="2"/>
          </rPr>
          <t>El último mes computado corresponde con el último cobro.</t>
        </r>
      </text>
    </comment>
    <comment ref="A10" authorId="0" shapeId="0" xr:uid="{E3FBE6F0-6E2D-4ABE-9D17-6B4DCFF81721}">
      <text>
        <r>
          <rPr>
            <b/>
            <sz val="9"/>
            <color indexed="81"/>
            <rFont val="Tahoma"/>
            <family val="2"/>
          </rPr>
          <t>El último mes computado corresponde con el último cobro.</t>
        </r>
      </text>
    </comment>
    <comment ref="A12" authorId="0" shapeId="0" xr:uid="{9965FFEE-BA74-447F-B2C5-4C5C8372779F}">
      <text>
        <r>
          <rPr>
            <b/>
            <sz val="9"/>
            <color indexed="81"/>
            <rFont val="Tahoma"/>
            <family val="2"/>
          </rPr>
          <t>El último mes computado corresponde con el último mes del contrato (servicios ejecutados).</t>
        </r>
      </text>
    </comment>
    <comment ref="H16" authorId="0" shapeId="0" xr:uid="{6EBF35C2-128A-4E4C-8793-E79A9031C272}">
      <text>
        <r>
          <rPr>
            <b/>
            <sz val="9"/>
            <color indexed="81"/>
            <rFont val="Tahoma"/>
            <family val="2"/>
          </rPr>
          <t xml:space="preserve">Período de pago al proveedor a partir de la fecha suministro (compra).
</t>
        </r>
        <r>
          <rPr>
            <sz val="9"/>
            <color indexed="81"/>
            <rFont val="Tahoma"/>
            <family val="2"/>
          </rPr>
          <t>Ha de tenerse en cuenta a la hora de computar la compra en la fila "COMPRAS".
Ejemplo: el hw se compra (para su entrega) en mes1, siendo el período de pago al proveedor del hw/sw de 30 días. Entonces, computaremos la compra en el mes2.</t>
        </r>
      </text>
    </comment>
  </commentList>
</comments>
</file>

<file path=xl/sharedStrings.xml><?xml version="1.0" encoding="utf-8"?>
<sst xmlns="http://schemas.openxmlformats.org/spreadsheetml/2006/main" count="1117" uniqueCount="820">
  <si>
    <t>Entidades</t>
  </si>
  <si>
    <t>cod</t>
  </si>
  <si>
    <t>Subpráctica</t>
  </si>
  <si>
    <t>Responsable BID</t>
  </si>
  <si>
    <t>TContrata</t>
  </si>
  <si>
    <t>Riesgo</t>
  </si>
  <si>
    <t>Servicio</t>
  </si>
  <si>
    <t>codser</t>
  </si>
  <si>
    <t>Oficinas</t>
  </si>
  <si>
    <t>Parámetros cálculo costes jornada</t>
  </si>
  <si>
    <t>Connectis-ICT</t>
  </si>
  <si>
    <t>EV</t>
  </si>
  <si>
    <t>Mobility &amp; UX</t>
  </si>
  <si>
    <t>MBSL</t>
  </si>
  <si>
    <t>José Enrique Leal</t>
  </si>
  <si>
    <t>AT</t>
  </si>
  <si>
    <t>Fixed Price (services)</t>
  </si>
  <si>
    <t>A Coruña</t>
  </si>
  <si>
    <t>Parámetros cálculo coste SS: (2025)</t>
  </si>
  <si>
    <t>Global Rosetta</t>
  </si>
  <si>
    <t>EZ</t>
  </si>
  <si>
    <t>Tailored Software</t>
  </si>
  <si>
    <t>TAIL</t>
  </si>
  <si>
    <t>José Luis Ramos</t>
  </si>
  <si>
    <t>PC</t>
  </si>
  <si>
    <t>Fixed Price (services+purchases)</t>
  </si>
  <si>
    <t>Almería</t>
  </si>
  <si>
    <t>%SS para fijos</t>
  </si>
  <si>
    <t>C-FSS</t>
  </si>
  <si>
    <t>EY</t>
  </si>
  <si>
    <t>Smart Spaces/EAI</t>
  </si>
  <si>
    <t>EAI0</t>
  </si>
  <si>
    <t>PE</t>
  </si>
  <si>
    <t>Real AMS (services)</t>
  </si>
  <si>
    <t>Barcelona</t>
  </si>
  <si>
    <t>%SS para temporales</t>
  </si>
  <si>
    <t>CMC</t>
  </si>
  <si>
    <t>EO</t>
  </si>
  <si>
    <t>Manufacturing Solutions</t>
  </si>
  <si>
    <t>MNFT</t>
  </si>
  <si>
    <t>PM</t>
  </si>
  <si>
    <t>Real AMS (services + purchases)</t>
  </si>
  <si>
    <t>Bilbao</t>
  </si>
  <si>
    <t>%SS para temp. y t. parcial</t>
  </si>
  <si>
    <t>Máximo fijo</t>
  </si>
  <si>
    <t>Máximo temp.</t>
  </si>
  <si>
    <t>Máximo t.parcial</t>
  </si>
  <si>
    <t>C-UC Portugal</t>
  </si>
  <si>
    <t>EX</t>
  </si>
  <si>
    <t>E-Admin Solutions</t>
  </si>
  <si>
    <t>TIWO</t>
  </si>
  <si>
    <t>RespOperZona</t>
  </si>
  <si>
    <t>GL</t>
  </si>
  <si>
    <t>Real IMS (services)</t>
  </si>
  <si>
    <t>Madrid</t>
  </si>
  <si>
    <t>Base cotización máxima:</t>
  </si>
  <si>
    <t>Professional Services</t>
  </si>
  <si>
    <t>STAU</t>
  </si>
  <si>
    <t>Elena Martín</t>
  </si>
  <si>
    <t>Real IMS (services+purchases)</t>
  </si>
  <si>
    <t>Murcia</t>
  </si>
  <si>
    <t>unidades</t>
  </si>
  <si>
    <t>CAU</t>
  </si>
  <si>
    <t>APHD</t>
  </si>
  <si>
    <t>José Luis Castellanos</t>
  </si>
  <si>
    <t>Scada services</t>
  </si>
  <si>
    <t>Oviedo</t>
  </si>
  <si>
    <t>Coste seguros y otros</t>
  </si>
  <si>
    <t>ICT</t>
  </si>
  <si>
    <t>0</t>
  </si>
  <si>
    <t>Infrastructure</t>
  </si>
  <si>
    <t>INMS</t>
  </si>
  <si>
    <t>Marta Aladro</t>
  </si>
  <si>
    <t>Internal Product Licences (SFERE, TIWORKS)</t>
  </si>
  <si>
    <t>Salamanca</t>
  </si>
  <si>
    <t>CS</t>
  </si>
  <si>
    <t>W</t>
  </si>
  <si>
    <t>UC</t>
  </si>
  <si>
    <t>UC00</t>
  </si>
  <si>
    <t>José Antonio Redondo</t>
  </si>
  <si>
    <t>Non Addresable Service</t>
  </si>
  <si>
    <t>Sevilla</t>
  </si>
  <si>
    <t>GR</t>
  </si>
  <si>
    <t>PMO</t>
  </si>
  <si>
    <t>PMO0</t>
  </si>
  <si>
    <t>Non Addresable Staff Augmentation</t>
  </si>
  <si>
    <t>Valencia</t>
  </si>
  <si>
    <t>X</t>
  </si>
  <si>
    <t>Data Analytics</t>
  </si>
  <si>
    <t>DAAN</t>
  </si>
  <si>
    <t>Resp. Producto</t>
  </si>
  <si>
    <t>Purchases (product, subco, …)</t>
  </si>
  <si>
    <t>Valladolid</t>
  </si>
  <si>
    <t>Testing &amp; QA</t>
  </si>
  <si>
    <t>TEQA</t>
  </si>
  <si>
    <t>Antoni Montes</t>
  </si>
  <si>
    <t>Otras</t>
  </si>
  <si>
    <t>Automation</t>
  </si>
  <si>
    <t>AUTO</t>
  </si>
  <si>
    <t>Martín Martín</t>
  </si>
  <si>
    <t>Sfere</t>
  </si>
  <si>
    <t>SFER</t>
  </si>
  <si>
    <t>Scadas OT/IT</t>
  </si>
  <si>
    <t>SCAD</t>
  </si>
  <si>
    <t>Productos</t>
  </si>
  <si>
    <t>Vencimiento</t>
  </si>
  <si>
    <t>SFERE</t>
  </si>
  <si>
    <t>N030</t>
  </si>
  <si>
    <t>TiWORKS</t>
  </si>
  <si>
    <t>Kas</t>
  </si>
  <si>
    <t>tipo</t>
  </si>
  <si>
    <t>N060</t>
  </si>
  <si>
    <t>K1</t>
  </si>
  <si>
    <t>K2</t>
  </si>
  <si>
    <t>K3</t>
  </si>
  <si>
    <t>Subsector</t>
  </si>
  <si>
    <t>ZCODE</t>
  </si>
  <si>
    <t>Opportunity Type</t>
  </si>
  <si>
    <t>Extn. Type</t>
  </si>
  <si>
    <t>Private - Finance  &amp; Insurance</t>
  </si>
  <si>
    <t>L</t>
  </si>
  <si>
    <t>Expansion</t>
  </si>
  <si>
    <t>G</t>
  </si>
  <si>
    <t>Portfolio Name</t>
  </si>
  <si>
    <t>Name</t>
  </si>
  <si>
    <t>Portfolio Code</t>
  </si>
  <si>
    <t>Private - Enterprise</t>
  </si>
  <si>
    <t>O</t>
  </si>
  <si>
    <t>Renewal</t>
  </si>
  <si>
    <t>H</t>
  </si>
  <si>
    <t>Security &amp; Compliance</t>
  </si>
  <si>
    <t>_F4F_SEC</t>
  </si>
  <si>
    <t>F4F-SEC</t>
  </si>
  <si>
    <t>Public - AGE</t>
  </si>
  <si>
    <t>P</t>
  </si>
  <si>
    <t>New Logo (customer)</t>
  </si>
  <si>
    <t>I</t>
  </si>
  <si>
    <t>Digital Workplace</t>
  </si>
  <si>
    <t>_F4F_DIGWP</t>
  </si>
  <si>
    <t>F4F-DIGWP</t>
  </si>
  <si>
    <t>Public - Regional</t>
  </si>
  <si>
    <t>Q</t>
  </si>
  <si>
    <t>Network Services</t>
  </si>
  <si>
    <t>_F4F_NWSERV</t>
  </si>
  <si>
    <t>F4F-NWSERV</t>
  </si>
  <si>
    <t>Private - Tourism</t>
  </si>
  <si>
    <t>R</t>
  </si>
  <si>
    <t>Business Solutions and Applications</t>
  </si>
  <si>
    <t>_F4F_APP</t>
  </si>
  <si>
    <t>F4F-APP</t>
  </si>
  <si>
    <t>Private - Health</t>
  </si>
  <si>
    <t>S</t>
  </si>
  <si>
    <t>Smart Spaces</t>
  </si>
  <si>
    <t>_F4F_SMSP</t>
  </si>
  <si>
    <t>F4F-SMSP</t>
  </si>
  <si>
    <t xml:space="preserve">Otros </t>
  </si>
  <si>
    <t>T</t>
  </si>
  <si>
    <t>Field &amp; On-site Support Services</t>
  </si>
  <si>
    <t>_F4F_FOSS</t>
  </si>
  <si>
    <t>F4F-FOSS</t>
  </si>
  <si>
    <t>Cloud Services</t>
  </si>
  <si>
    <t>_F4F_MCM</t>
  </si>
  <si>
    <t>F4F-MCM</t>
  </si>
  <si>
    <t>Service Desk</t>
  </si>
  <si>
    <t>_F4F_SDESK</t>
  </si>
  <si>
    <t>F4F-SDESK</t>
  </si>
  <si>
    <t>Client Management Service</t>
  </si>
  <si>
    <t>_F4F_CMS</t>
  </si>
  <si>
    <t>F4F-CMS</t>
  </si>
  <si>
    <t>_F4F_STAF</t>
  </si>
  <si>
    <t>F4F-STAF</t>
  </si>
  <si>
    <t>VAR and Partnerships</t>
  </si>
  <si>
    <t>_F4F_PROD</t>
  </si>
  <si>
    <t>F4F-PROD</t>
  </si>
  <si>
    <t>Subportfolio Name</t>
  </si>
  <si>
    <t>Subportfolio Code</t>
  </si>
  <si>
    <t>Security Operations Centre</t>
  </si>
  <si>
    <t>F4FSECOPCN</t>
  </si>
  <si>
    <t>Office Services</t>
  </si>
  <si>
    <t xml:space="preserve">User Networking Services </t>
  </si>
  <si>
    <t>Software Development</t>
  </si>
  <si>
    <t>Facilities Optimisation</t>
  </si>
  <si>
    <t>Solution Café</t>
  </si>
  <si>
    <t>Infrastructure as a service</t>
  </si>
  <si>
    <t>Intelligent Automation for Service Desk (RPA services)</t>
  </si>
  <si>
    <t xml:space="preserve">Client Management </t>
  </si>
  <si>
    <t>Programme Management</t>
  </si>
  <si>
    <t>Third Party Hardware</t>
  </si>
  <si>
    <t>Security Assurance</t>
  </si>
  <si>
    <t>F4FSECASS</t>
  </si>
  <si>
    <t>Unified Communication &amp; Collaboration</t>
  </si>
  <si>
    <t>Branch &amp; Retail Network Services</t>
  </si>
  <si>
    <t>Infrastructure Managed Services</t>
  </si>
  <si>
    <t>General Services</t>
  </si>
  <si>
    <t xml:space="preserve">Field &amp; On-site Support </t>
  </si>
  <si>
    <t xml:space="preserve">Data Protection Services </t>
  </si>
  <si>
    <t>Self Service</t>
  </si>
  <si>
    <t>Technical Service</t>
  </si>
  <si>
    <t>Project Management</t>
  </si>
  <si>
    <t>Third Party Software</t>
  </si>
  <si>
    <t>Security Consulting</t>
  </si>
  <si>
    <t>F4FSECCONS</t>
  </si>
  <si>
    <t>Desktop Virtualisation</t>
  </si>
  <si>
    <t>Datacentre and Cloud Services</t>
  </si>
  <si>
    <t>Advanced Services</t>
  </si>
  <si>
    <t>New Normal</t>
  </si>
  <si>
    <t>Warehousing &amp; logistics</t>
  </si>
  <si>
    <t>Datacentre Services</t>
  </si>
  <si>
    <t>Consultancy</t>
  </si>
  <si>
    <t>Project Management Office</t>
  </si>
  <si>
    <t>Third Party Services</t>
  </si>
  <si>
    <t>Security Management</t>
  </si>
  <si>
    <t>F4FSECMAN</t>
  </si>
  <si>
    <t>Workplace Automation</t>
  </si>
  <si>
    <t xml:space="preserve">Network Professional Services </t>
  </si>
  <si>
    <t>SCADAs &amp; OT/IT</t>
  </si>
  <si>
    <t xml:space="preserve">Building Control </t>
  </si>
  <si>
    <t xml:space="preserve">On-site Deployment Projects </t>
  </si>
  <si>
    <t>Private Cloud</t>
  </si>
  <si>
    <t xml:space="preserve">Service Management </t>
  </si>
  <si>
    <t>Bodyshopping</t>
  </si>
  <si>
    <t>Endpoint Security</t>
  </si>
  <si>
    <t>F4FENDSEC</t>
  </si>
  <si>
    <t>Client Platform Services</t>
  </si>
  <si>
    <t>Getronics Products</t>
  </si>
  <si>
    <t>Building Environment Management</t>
  </si>
  <si>
    <t>Public Cloud</t>
  </si>
  <si>
    <t>Project Services</t>
  </si>
  <si>
    <t xml:space="preserve">User Security </t>
  </si>
  <si>
    <t>F4FUSRSEC</t>
  </si>
  <si>
    <t>Workplace Professional Services</t>
  </si>
  <si>
    <t>Cloud Professional Services</t>
  </si>
  <si>
    <t>Security and Compliance Professional Services</t>
  </si>
  <si>
    <t>F4FSECCOMPS</t>
  </si>
  <si>
    <t>F4FOFFSRV</t>
  </si>
  <si>
    <t>F4FUNCOMCL</t>
  </si>
  <si>
    <t>F4FDSKVIRT</t>
  </si>
  <si>
    <t>_F4FSWDV</t>
  </si>
  <si>
    <t>_F4FIMS</t>
  </si>
  <si>
    <t>_F4FADSV</t>
  </si>
  <si>
    <t>_F4FSCAD</t>
  </si>
  <si>
    <t>_F4FGTPR</t>
  </si>
  <si>
    <t>F4FWRKPLAU</t>
  </si>
  <si>
    <t>F4FCLPLSRV</t>
  </si>
  <si>
    <t>F4FWRKPRSRV</t>
  </si>
  <si>
    <t>F4FUSRNTSR</t>
  </si>
  <si>
    <t>F4FBRRTNSV</t>
  </si>
  <si>
    <t>F4FDCCLSRV</t>
  </si>
  <si>
    <t>F4FNTPRFSV</t>
  </si>
  <si>
    <t>Subpractice Origin</t>
  </si>
  <si>
    <t>F4FFACOPT</t>
  </si>
  <si>
    <t>F4FGENSERV</t>
  </si>
  <si>
    <t>F4FNEWNORM</t>
  </si>
  <si>
    <t>F4FBLDCONT</t>
  </si>
  <si>
    <t>F4FBLDENVM</t>
  </si>
  <si>
    <t>F4FSOLCAFE</t>
  </si>
  <si>
    <t>F4FLDOSSUP</t>
  </si>
  <si>
    <t>F4FWRHLOG</t>
  </si>
  <si>
    <t>F4FOSDPLPJ</t>
  </si>
  <si>
    <t>F4FIAAS</t>
  </si>
  <si>
    <t>F4FDPAAS</t>
  </si>
  <si>
    <t>F4FDATASRV</t>
  </si>
  <si>
    <t>F4FPRCLD</t>
  </si>
  <si>
    <t>F4FPUBCLD</t>
  </si>
  <si>
    <t>F4FCLDPRSV</t>
  </si>
  <si>
    <t>F4FINTAUSD</t>
  </si>
  <si>
    <t>F4FSLFSRV</t>
  </si>
  <si>
    <t>F4FSRVDSK</t>
  </si>
  <si>
    <t>F4FSRVMAN</t>
  </si>
  <si>
    <t>F4FCLTMAN</t>
  </si>
  <si>
    <t>F4FTECHSRV</t>
  </si>
  <si>
    <t>F4FCONSULT</t>
  </si>
  <si>
    <t>F4FPRGMAN</t>
  </si>
  <si>
    <t>F4FPRJMAN</t>
  </si>
  <si>
    <t>F4FPRJMANO</t>
  </si>
  <si>
    <t>F4FBDYSHP</t>
  </si>
  <si>
    <t>F4FPRJSRV</t>
  </si>
  <si>
    <t>F4FTPHRD</t>
  </si>
  <si>
    <t>F4FTPSOFT</t>
  </si>
  <si>
    <t>F4FTPSRV</t>
  </si>
  <si>
    <t>versión agosto 2023 - v3</t>
  </si>
  <si>
    <t>Presupuesto Oferta (PPO)</t>
  </si>
  <si>
    <t xml:space="preserve">Company: </t>
  </si>
  <si>
    <t>(mercantil a nombre de la cual se presenta la oferta)</t>
  </si>
  <si>
    <t xml:space="preserve">Unidad Negocio: </t>
  </si>
  <si>
    <t>(la unidad interna donde se quiere imputar la venta)</t>
  </si>
  <si>
    <t xml:space="preserve">Customer Location: </t>
  </si>
  <si>
    <t xml:space="preserve">Project/Service Type: </t>
  </si>
  <si>
    <t xml:space="preserve">PEP Type: </t>
  </si>
  <si>
    <t xml:space="preserve">Subsector: </t>
  </si>
  <si>
    <t xml:space="preserve">Porfolio: </t>
  </si>
  <si>
    <t xml:space="preserve">Practice: </t>
  </si>
  <si>
    <t xml:space="preserve">Subpractice: </t>
  </si>
  <si>
    <t xml:space="preserve">Opportunity Type: </t>
  </si>
  <si>
    <t xml:space="preserve">Account Manager: </t>
  </si>
  <si>
    <t xml:space="preserve">Applicant: </t>
  </si>
  <si>
    <t xml:space="preserve">Subpractice Origin: </t>
  </si>
  <si>
    <t>Mobility</t>
  </si>
  <si>
    <t xml:space="preserve">Bid Manager: </t>
  </si>
  <si>
    <t xml:space="preserve">Opportunity Code (SLFC): </t>
  </si>
  <si>
    <t xml:space="preserve">Customer: </t>
  </si>
  <si>
    <t xml:space="preserve">Invoice Due Date: </t>
  </si>
  <si>
    <t>(obligatorio)</t>
  </si>
  <si>
    <t>Descripción Oferta:</t>
  </si>
  <si>
    <t xml:space="preserve">Date of Proposal Delivery: </t>
  </si>
  <si>
    <t xml:space="preserve">Service Start Month: </t>
  </si>
  <si>
    <t xml:space="preserve">Service Start Year: </t>
  </si>
  <si>
    <t xml:space="preserve">Service Duration (months): </t>
  </si>
  <si>
    <t xml:space="preserve">Bid Cost: </t>
  </si>
  <si>
    <t xml:space="preserve">CEBE: </t>
  </si>
  <si>
    <t>Puede consultar la ayuda detallada para cumplimentar este documento en el siguiente enlace:</t>
  </si>
  <si>
    <t>Codigo Oferta:</t>
  </si>
  <si>
    <t>Coeficientes Gestión</t>
  </si>
  <si>
    <t>Mínimo</t>
  </si>
  <si>
    <t>Riesgo genérico</t>
  </si>
  <si>
    <t>IVA</t>
  </si>
  <si>
    <t>Tasa de utilización</t>
  </si>
  <si>
    <t>Variación Salarios prevista</t>
  </si>
  <si>
    <t>Calculadora salario - coste hora</t>
  </si>
  <si>
    <t>Horas anuales</t>
  </si>
  <si>
    <t>Horas jornada</t>
  </si>
  <si>
    <t>Días anuales</t>
  </si>
  <si>
    <t>Tipo contr</t>
  </si>
  <si>
    <t>Salario Base</t>
  </si>
  <si>
    <t>Variable</t>
  </si>
  <si>
    <t>Total empl.</t>
  </si>
  <si>
    <t>Coste ss</t>
  </si>
  <si>
    <t>Coste max ss</t>
  </si>
  <si>
    <t>Coste total</t>
  </si>
  <si>
    <t>Coste jornada</t>
  </si>
  <si>
    <t>Coste hora</t>
  </si>
  <si>
    <t>F</t>
  </si>
  <si>
    <t>Calculadora inversa:  coste hora --&gt; salario</t>
  </si>
  <si>
    <t>Perfil</t>
  </si>
  <si>
    <t>Entidad</t>
  </si>
  <si>
    <t>Sigla</t>
  </si>
  <si>
    <t>Jefe Proyecto</t>
  </si>
  <si>
    <t>Analista</t>
  </si>
  <si>
    <t>Arquitecto</t>
  </si>
  <si>
    <t>VIAJES</t>
  </si>
  <si>
    <t>Dietas</t>
  </si>
  <si>
    <t>Hotel</t>
  </si>
  <si>
    <t xml:space="preserve">Parking 
Vehiculo </t>
  </si>
  <si>
    <t>Kilometros</t>
  </si>
  <si>
    <t>Vehículo de alquiler</t>
  </si>
  <si>
    <t xml:space="preserve">Desplazamiento </t>
  </si>
  <si>
    <t>TOTAL</t>
  </si>
  <si>
    <t>Origen</t>
  </si>
  <si>
    <t>Destino</t>
  </si>
  <si>
    <t>Medio de 
Transporte</t>
  </si>
  <si>
    <t>*Nº de Viajes</t>
  </si>
  <si>
    <t>Coste 
Unitario</t>
  </si>
  <si>
    <t>Coste 
Total</t>
  </si>
  <si>
    <t>Número
de días</t>
  </si>
  <si>
    <t>Total Dietas</t>
  </si>
  <si>
    <t>Importe
Hotel</t>
  </si>
  <si>
    <t>Total 
Hotel</t>
  </si>
  <si>
    <t>km</t>
  </si>
  <si>
    <t>€/km</t>
  </si>
  <si>
    <t>Total Km</t>
  </si>
  <si>
    <t>Número de semanas</t>
  </si>
  <si>
    <t>Importe</t>
  </si>
  <si>
    <t>Total</t>
  </si>
  <si>
    <t>Número 
de días</t>
  </si>
  <si>
    <t>Importe Taxi</t>
  </si>
  <si>
    <t>TOTAL VIAJES</t>
  </si>
  <si>
    <t xml:space="preserve">Dietas </t>
  </si>
  <si>
    <t xml:space="preserve">€/km </t>
  </si>
  <si>
    <t>Costes de Producción Previsional (CPP Referencia)</t>
  </si>
  <si>
    <t>Estimación Mano de Obra</t>
  </si>
  <si>
    <t>Año</t>
  </si>
  <si>
    <t>Descripción del Item (opcional)</t>
  </si>
  <si>
    <t>Coste Directo Mano de Obra</t>
  </si>
  <si>
    <t>Eur</t>
  </si>
  <si>
    <t>Gastos</t>
  </si>
  <si>
    <t>Descripción Gastos</t>
  </si>
  <si>
    <t>Agencia de Viajes</t>
  </si>
  <si>
    <t>Expenses/Gastos</t>
  </si>
  <si>
    <t>Compras</t>
  </si>
  <si>
    <t>Descripción Compras</t>
  </si>
  <si>
    <t>Licencias SW y HW</t>
  </si>
  <si>
    <t>Mantenimiento SW de terceros</t>
  </si>
  <si>
    <t>Subcontrataciones</t>
  </si>
  <si>
    <t>Mantenimiento de HW</t>
  </si>
  <si>
    <t>Riesgos  (Mano de Obra)</t>
  </si>
  <si>
    <t>Riesgos</t>
  </si>
  <si>
    <t>Riesgo evaluado en chklst</t>
  </si>
  <si>
    <t>Otros</t>
  </si>
  <si>
    <t>Garantía (Mano de Obra)</t>
  </si>
  <si>
    <t>Garantía</t>
  </si>
  <si>
    <t>Revisado y validado por:</t>
  </si>
  <si>
    <t>Fecha de revisión</t>
  </si>
  <si>
    <t>No</t>
  </si>
  <si>
    <t>Cuantificación del Riesgo</t>
  </si>
  <si>
    <t>Listado Riesgos generales</t>
  </si>
  <si>
    <t>Ocurrencia</t>
  </si>
  <si>
    <t>Comentarios</t>
  </si>
  <si>
    <t>rr</t>
  </si>
  <si>
    <t>hay</t>
  </si>
  <si>
    <t>Probabilidad
(%)</t>
  </si>
  <si>
    <t>Impacto
económico</t>
  </si>
  <si>
    <t>Reserva a 
provisionar</t>
  </si>
  <si>
    <t>Del Cliente:</t>
  </si>
  <si>
    <t>Es la primera vez que se trabaja con este cliente?</t>
  </si>
  <si>
    <t>Si</t>
  </si>
  <si>
    <t>si</t>
  </si>
  <si>
    <t>Han existido problemas de cobro, o de algún otro tipo, en proyectos anteriores con este cliente?</t>
  </si>
  <si>
    <t>La situación financiera del cliente es inestable, o nos es desconocida?</t>
  </si>
  <si>
    <t>Es el Cliente de naturaleza problemática, intrínsecos a su sector o al tipo de negocio?</t>
  </si>
  <si>
    <t>Es un cliente extranjero o afectado por las restricciones de exportación?</t>
  </si>
  <si>
    <t>Al cliente se la factura en una divisa distinta del euro?</t>
  </si>
  <si>
    <t>Cliente afectado por condicionantes legales específicas o especiales?</t>
  </si>
  <si>
    <t>Del proyecto/servicio:</t>
  </si>
  <si>
    <t>Se trata de un proyecto o servicio crítico para el negocio del cliente?</t>
  </si>
  <si>
    <t>Es la primera vez que se realiza un proyecto en este entorno de negocio?</t>
  </si>
  <si>
    <t>Es la primera vez que se realiza un proyecto con esta tecnología?</t>
  </si>
  <si>
    <t>Hay limitaciones en el precio de la oferta que condicionen el margen resultante?</t>
  </si>
  <si>
    <t>El importe de la oferta es superior a 500K€</t>
  </si>
  <si>
    <t>Se contemplan Penalizaciones en la oferta?</t>
  </si>
  <si>
    <t>Son necesarios acuerdos previos con algún proveedor/socio antes de tener la oferta aceptada?</t>
  </si>
  <si>
    <t>Es necesaria la constitución de una UTE antes de tener la oferta aceptada?</t>
  </si>
  <si>
    <t>De la Oferta:</t>
  </si>
  <si>
    <t>Hay conocimiento del entorno de Negocio por parte de equipo de oferta?</t>
  </si>
  <si>
    <t>no</t>
  </si>
  <si>
    <t>Hay suficiente personal en el equipo de oferta que conozca las tecnologías implicadas?</t>
  </si>
  <si>
    <t>Hay tiempo/disponibilidad suficiente para preparar la oferta en condiciones optimas?</t>
  </si>
  <si>
    <t>Depende parte de contenido de la oferta de algún socio o proveedor?</t>
  </si>
  <si>
    <t>Otros riesgos específicos</t>
  </si>
  <si>
    <t>Total impacto</t>
  </si>
  <si>
    <t>DATOS FACTURACIÓN</t>
  </si>
  <si>
    <t xml:space="preserve">Fecha Inicio Real: </t>
  </si>
  <si>
    <t xml:space="preserve">Fecha Fin Previsto: </t>
  </si>
  <si>
    <t>Condiciones Facturación contractuales</t>
  </si>
  <si>
    <t>Por la parte de Desarrollo o Servicio</t>
  </si>
  <si>
    <t>Hitos Facturacion</t>
  </si>
  <si>
    <t>Fecha prev. Emisión</t>
  </si>
  <si>
    <t>Días para Vencimiento</t>
  </si>
  <si>
    <t>Por la parte de venta de Producto (propios o de terceros)</t>
  </si>
  <si>
    <t>Por la parte de Soporte a Productos (propios o de terceros)</t>
  </si>
  <si>
    <t>Fecha 1ª Emisión</t>
  </si>
  <si>
    <t>Fecha última emisión</t>
  </si>
  <si>
    <t>Datos de contacto para Facturación</t>
  </si>
  <si>
    <t>Persona de Contacto</t>
  </si>
  <si>
    <t>Forma de presentación de las facturas</t>
  </si>
  <si>
    <t>días de pago</t>
  </si>
  <si>
    <t>a la que se envian las facturas a su atención</t>
  </si>
  <si>
    <t>envio por correo o por e-mail en pdf</t>
  </si>
  <si>
    <t>día x y xx de cada mes</t>
  </si>
  <si>
    <t>Cost Element</t>
  </si>
  <si>
    <t>Text SAP</t>
  </si>
  <si>
    <t>Descripción</t>
  </si>
  <si>
    <t>(ME) PROJECT SERVICE</t>
  </si>
  <si>
    <t>Billing</t>
  </si>
  <si>
    <t>SALARIES</t>
  </si>
  <si>
    <t>Coste Personal</t>
  </si>
  <si>
    <t>THIRD PARTY SW PROD.</t>
  </si>
  <si>
    <t>TRAVELLING EXPENSES</t>
  </si>
  <si>
    <t>LOCAL GEN TRAVEL</t>
  </si>
  <si>
    <t>SOFTWARE - EXPENSED</t>
  </si>
  <si>
    <t>SUB CONTRACTORS</t>
  </si>
  <si>
    <t>Subc Cost fr Affilia</t>
  </si>
  <si>
    <t>Intercos</t>
  </si>
  <si>
    <t>HW MAINTENANCE  I.S.</t>
  </si>
  <si>
    <t>WARRANTY PROVISIONS</t>
  </si>
  <si>
    <t>Garantías</t>
  </si>
  <si>
    <t>accrual future loss</t>
  </si>
  <si>
    <t>Riegos</t>
  </si>
  <si>
    <t>Total Margen</t>
  </si>
  <si>
    <t>Sector</t>
  </si>
  <si>
    <t>Oficina</t>
  </si>
  <si>
    <t>Tipo de Oferta</t>
  </si>
  <si>
    <t>Proyecto/Servicio:</t>
  </si>
  <si>
    <t>Tipo de Contratación:</t>
  </si>
  <si>
    <t>Cliente:</t>
  </si>
  <si>
    <t>Duración (meses)</t>
  </si>
  <si>
    <t xml:space="preserve">Inicio: </t>
  </si>
  <si>
    <t xml:space="preserve">Es necesario Aval: </t>
  </si>
  <si>
    <t xml:space="preserve">Importe Aval: </t>
  </si>
  <si>
    <t xml:space="preserve">¿contrato con penalizaciones?: </t>
  </si>
  <si>
    <t xml:space="preserve">Imp.máx.penalización: </t>
  </si>
  <si>
    <t>Importe licencias Productos Propios</t>
  </si>
  <si>
    <t xml:space="preserve">Producto: </t>
  </si>
  <si>
    <t>Margen teorico contribución
(M.Directo + licencias + cuota soporte)</t>
  </si>
  <si>
    <t xml:space="preserve">Importe anual cuota soporte Producto : </t>
  </si>
  <si>
    <t xml:space="preserve">nº años : </t>
  </si>
  <si>
    <t>Oferta con IVA</t>
  </si>
  <si>
    <t>Margen
Directo (sin TU)</t>
  </si>
  <si>
    <t>Margen
Directo + TU</t>
  </si>
  <si>
    <t>Margen
Bruto</t>
  </si>
  <si>
    <t>Margen
Neto</t>
  </si>
  <si>
    <t xml:space="preserve">IVA </t>
  </si>
  <si>
    <t>Total Oferta sin IVA</t>
  </si>
  <si>
    <t>Precio Total
(sin productos propios)</t>
  </si>
  <si>
    <t>Dto %</t>
  </si>
  <si>
    <t>Precio máx licitación:</t>
  </si>
  <si>
    <t>Coste Directo</t>
  </si>
  <si>
    <t>Coste + impr.</t>
  </si>
  <si>
    <t>Coste +K1</t>
  </si>
  <si>
    <t>Coste Total</t>
  </si>
  <si>
    <t>Cálculo por Tarifas</t>
  </si>
  <si>
    <t>Horas</t>
  </si>
  <si>
    <t>coste medio m.o.:</t>
  </si>
  <si>
    <t>Mano de Obra</t>
  </si>
  <si>
    <t>Mano obra + gastos</t>
  </si>
  <si>
    <t>Tarifa</t>
  </si>
  <si>
    <t>Venta</t>
  </si>
  <si>
    <t>Margen Neto</t>
  </si>
  <si>
    <t>Margen Bruto</t>
  </si>
  <si>
    <t>M.Directo + TU</t>
  </si>
  <si>
    <t>M.Directo sin TU</t>
  </si>
  <si>
    <t xml:space="preserve">Hay periodo Garantía: </t>
  </si>
  <si>
    <t xml:space="preserve">Fecha Inicio Garantia: </t>
  </si>
  <si>
    <t xml:space="preserve">Fecha Fin Garantia: </t>
  </si>
  <si>
    <t>Garantía (M. O.)</t>
  </si>
  <si>
    <t>Margen Directo</t>
  </si>
  <si>
    <t>Margen Por Partida</t>
  </si>
  <si>
    <t>M.Directo (sin TU)</t>
  </si>
  <si>
    <t>BID Manager</t>
  </si>
  <si>
    <t>Gerente operaciones</t>
  </si>
  <si>
    <t>Responsable de Bid</t>
  </si>
  <si>
    <t>Responsable comercial</t>
  </si>
  <si>
    <t>Director operaciones zona</t>
  </si>
  <si>
    <t>Responsable de Producto</t>
  </si>
  <si>
    <t>CUSTOMER/CONTRACT Key Information</t>
  </si>
  <si>
    <t>Project type</t>
  </si>
  <si>
    <t>Customer previous experience in ADHub wow</t>
  </si>
  <si>
    <t>NO</t>
  </si>
  <si>
    <t>Billing way</t>
  </si>
  <si>
    <t>Per milestones</t>
  </si>
  <si>
    <t>Customer flexibility in tracking hours</t>
  </si>
  <si>
    <t>HIGH</t>
  </si>
  <si>
    <t>Customer dev environments</t>
  </si>
  <si>
    <t>Customer project management tool</t>
  </si>
  <si>
    <t>Which one?</t>
  </si>
  <si>
    <t>Customer flexibility in project tooling</t>
  </si>
  <si>
    <t>MEDIUM</t>
  </si>
  <si>
    <t>Details,…</t>
  </si>
  <si>
    <t>PROPOSED TEAM Key Information</t>
  </si>
  <si>
    <t>RFP / GSE</t>
  </si>
  <si>
    <t>GTN proposal</t>
  </si>
  <si>
    <t>Levers</t>
  </si>
  <si>
    <t>Access to customer</t>
  </si>
  <si>
    <t>Requiered solvency</t>
  </si>
  <si>
    <t>Skills</t>
  </si>
  <si>
    <t>ID</t>
  </si>
  <si>
    <t>Role</t>
  </si>
  <si>
    <t>For Applications projects
Type of GSE task</t>
  </si>
  <si>
    <t>Rol Delivery</t>
  </si>
  <si>
    <t>Area Delivery</t>
  </si>
  <si>
    <t>% Required by customer or
% Estimated in GSE</t>
  </si>
  <si>
    <t>Number of hours  required by customer or estimated in GSE</t>
  </si>
  <si>
    <t>% hours / total</t>
  </si>
  <si>
    <t>% Proposed in PPO</t>
  </si>
  <si>
    <t>Proposed number of hours</t>
  </si>
  <si>
    <t>Dif</t>
  </si>
  <si>
    <t>ADHub efficiencies</t>
  </si>
  <si>
    <t>Offshore</t>
  </si>
  <si>
    <t>Subco</t>
  </si>
  <si>
    <t>Juniorizable along the project</t>
  </si>
  <si>
    <t>Since when (month)</t>
  </si>
  <si>
    <t>ID junior role (column B figure)</t>
  </si>
  <si>
    <t>LEVERS</t>
  </si>
  <si>
    <t>Employee location</t>
  </si>
  <si>
    <t>Customer location</t>
  </si>
  <si>
    <t>Nominative access to customer environments</t>
  </si>
  <si>
    <t>LOCATION</t>
  </si>
  <si>
    <t>Official degree</t>
  </si>
  <si>
    <t>Certifications</t>
  </si>
  <si>
    <t>Experience (years/months/…)</t>
  </si>
  <si>
    <t>SOLVENCY</t>
  </si>
  <si>
    <t>Necessary technical and funcional knowledge</t>
  </si>
  <si>
    <t>SKILLS</t>
  </si>
  <si>
    <t>Additional comments</t>
  </si>
  <si>
    <t>Project Manager Senior</t>
  </si>
  <si>
    <t>Aplicaciones</t>
  </si>
  <si>
    <t>I. Informatica</t>
  </si>
  <si>
    <t>Java</t>
  </si>
  <si>
    <t>5 años</t>
  </si>
  <si>
    <t>BA</t>
  </si>
  <si>
    <t>Analista Funcional Senior</t>
  </si>
  <si>
    <t>Architecture</t>
  </si>
  <si>
    <t>Arquitecto senior</t>
  </si>
  <si>
    <t>Development</t>
  </si>
  <si>
    <t>Technical Leader</t>
  </si>
  <si>
    <t>Analista Programador</t>
  </si>
  <si>
    <t>Desarrollador Senior</t>
  </si>
  <si>
    <t>Desarrollador</t>
  </si>
  <si>
    <t>Desarrollador Junior</t>
  </si>
  <si>
    <t>Testing&amp;QA</t>
  </si>
  <si>
    <t>Tester Senior</t>
  </si>
  <si>
    <t>UX</t>
  </si>
  <si>
    <t>UX/UI</t>
  </si>
  <si>
    <t>Becario</t>
  </si>
  <si>
    <t>Other</t>
  </si>
  <si>
    <t>Ingeniero</t>
  </si>
  <si>
    <t>Datos</t>
  </si>
  <si>
    <t>GSE DETAIL</t>
  </si>
  <si>
    <t>Hours</t>
  </si>
  <si>
    <t>%</t>
  </si>
  <si>
    <t>ROLES per maturity</t>
  </si>
  <si>
    <t>LEYENDA</t>
  </si>
  <si>
    <t>Maturity</t>
  </si>
  <si>
    <t>Tipos tareas GSE</t>
  </si>
  <si>
    <t>SI/NO</t>
  </si>
  <si>
    <t>Tipo proyecto</t>
  </si>
  <si>
    <t>Facturación</t>
  </si>
  <si>
    <t>NIVELES</t>
  </si>
  <si>
    <t>Location</t>
  </si>
  <si>
    <t>Administrador</t>
  </si>
  <si>
    <t>YES</t>
  </si>
  <si>
    <t>100% Getronics decision</t>
  </si>
  <si>
    <t>BBDD</t>
  </si>
  <si>
    <t>Per hours</t>
  </si>
  <si>
    <t>Sporadic visits to customer</t>
  </si>
  <si>
    <t>BI</t>
  </si>
  <si>
    <t>LOW</t>
  </si>
  <si>
    <t>Always in customer offices</t>
  </si>
  <si>
    <t>Senior (dev, testing, UX)</t>
  </si>
  <si>
    <t>Analista Funcional</t>
  </si>
  <si>
    <t>Ciber OT</t>
  </si>
  <si>
    <t>Medium (dev, testing, UX)</t>
  </si>
  <si>
    <t>Comunicaciones</t>
  </si>
  <si>
    <t>Junior ( dev, testing)</t>
  </si>
  <si>
    <t>Devops</t>
  </si>
  <si>
    <t>Consultor Senior Smart Spaces</t>
  </si>
  <si>
    <t>OT</t>
  </si>
  <si>
    <t>PLC y Control</t>
  </si>
  <si>
    <t>Consultor Smart Spaces</t>
  </si>
  <si>
    <t>Consultor QA</t>
  </si>
  <si>
    <t>SCADA</t>
  </si>
  <si>
    <t>Consultor SAP</t>
  </si>
  <si>
    <t>Seguridad</t>
  </si>
  <si>
    <t>Consultor Junior</t>
  </si>
  <si>
    <t>Sistemas</t>
  </si>
  <si>
    <t>Consultor</t>
  </si>
  <si>
    <t xml:space="preserve">Soporte Help desk </t>
  </si>
  <si>
    <t>Unified Comunications</t>
  </si>
  <si>
    <t>Coordinador</t>
  </si>
  <si>
    <t>Director PMO senior</t>
  </si>
  <si>
    <t>Director PMO</t>
  </si>
  <si>
    <t>Ingeniero senior</t>
  </si>
  <si>
    <t>Ingeniero junior</t>
  </si>
  <si>
    <t>Project Manager</t>
  </si>
  <si>
    <t>Project Manager Cliente</t>
  </si>
  <si>
    <t>Operador</t>
  </si>
  <si>
    <t>Técnico</t>
  </si>
  <si>
    <t>Técnico audiovisuales</t>
  </si>
  <si>
    <t>Técnico Field Services</t>
  </si>
  <si>
    <t>Técnico funcional</t>
  </si>
  <si>
    <t>Técnico Implantación</t>
  </si>
  <si>
    <t>Técnico soporte</t>
  </si>
  <si>
    <t xml:space="preserve">Tester </t>
  </si>
  <si>
    <t>Tester Junior</t>
  </si>
  <si>
    <t>UX/UI senior</t>
  </si>
  <si>
    <t>MES1</t>
  </si>
  <si>
    <t>MES2</t>
  </si>
  <si>
    <t>MES3</t>
  </si>
  <si>
    <t>MES4</t>
  </si>
  <si>
    <t>MES5</t>
  </si>
  <si>
    <t>MES6</t>
  </si>
  <si>
    <t>MES7</t>
  </si>
  <si>
    <t>MES8</t>
  </si>
  <si>
    <t>MES9</t>
  </si>
  <si>
    <t>MES10</t>
  </si>
  <si>
    <t>MES11</t>
  </si>
  <si>
    <t>MES12</t>
  </si>
  <si>
    <t>MES13</t>
  </si>
  <si>
    <t>MES14</t>
  </si>
  <si>
    <t>MES15</t>
  </si>
  <si>
    <t>MES16</t>
  </si>
  <si>
    <t>MES17</t>
  </si>
  <si>
    <t>MES18</t>
  </si>
  <si>
    <t>MES19</t>
  </si>
  <si>
    <t>MES20</t>
  </si>
  <si>
    <t>MES21</t>
  </si>
  <si>
    <t>MES22</t>
  </si>
  <si>
    <t>MES23</t>
  </si>
  <si>
    <t>MES24</t>
  </si>
  <si>
    <t>MES25</t>
  </si>
  <si>
    <t>MES26</t>
  </si>
  <si>
    <t>MES27</t>
  </si>
  <si>
    <t>COSTES</t>
  </si>
  <si>
    <t xml:space="preserve">   RECURSOS PROPIOS</t>
  </si>
  <si>
    <t xml:space="preserve">   GASTOS</t>
  </si>
  <si>
    <t xml:space="preserve">   COMPRAS</t>
  </si>
  <si>
    <t>INGRESOS</t>
  </si>
  <si>
    <t>FACTURACIÓN</t>
  </si>
  <si>
    <t xml:space="preserve">COBROS </t>
  </si>
  <si>
    <t>CASH-FLOW (acumulado)</t>
  </si>
  <si>
    <t>CASH-FLOW (mensual)</t>
  </si>
  <si>
    <t>P&amp;L (ingresos&amp;costes)</t>
  </si>
  <si>
    <t>COMPRAS (Hw/Sw)</t>
  </si>
  <si>
    <t>PROVEEDOR</t>
  </si>
  <si>
    <t>IMPORTE</t>
  </si>
  <si>
    <t>FORMA PAGO (días)</t>
  </si>
  <si>
    <t>&lt;equipamiento hw/sw&gt;</t>
  </si>
  <si>
    <t>&lt;30 días; 60 días; pago anticipado (0 días)&gt;</t>
  </si>
  <si>
    <t>Propuesta de Escalado validada y presentada por:</t>
  </si>
  <si>
    <t>nombre apellidos</t>
  </si>
  <si>
    <t>Justificación de los motivos por los cuales, pese a no cumplir los requerimientos estándar, el responsable de esta Oferta considera oportuno presentarla, por lo cual la escala a Dirección para su aprobación</t>
  </si>
  <si>
    <t>CONTEXTO DEL CLIENTE Y DEL PROYECTO</t>
  </si>
  <si>
    <r>
      <t xml:space="preserve">Resumen de las principales características del Cliente y del Proyecto, relevantes para evaluar la importancia de esta oferta en su contexto:
</t>
    </r>
    <r>
      <rPr>
        <sz val="10"/>
        <color rgb="FFFF0000"/>
        <rFont val="Arial"/>
        <family val="2"/>
      </rPr>
      <t>- posición nuestra en el cliente
- precedentes históricos
- hitos principales del proyecto
- impacto económico en el cliente
- contexto del mercado
- complejidades significativas
- etc…</t>
    </r>
  </si>
  <si>
    <t>COMPETENCIA CONOCIDA</t>
  </si>
  <si>
    <r>
      <t xml:space="preserve">Describir qué otras empresas están licitando por el mismo proyecto, si las hay y su posición:
</t>
    </r>
    <r>
      <rPr>
        <sz val="10"/>
        <color rgb="FFFF0000"/>
        <rFont val="Arial"/>
        <family val="2"/>
      </rPr>
      <t>- presencia previa en el cliente
- ventajas que tiene
- posición respecto a nosotros
- criterios del cliente respecto a la competencia
- etc…</t>
    </r>
  </si>
  <si>
    <t>CONSIDERACIONES SOBRE LA ESTIMACIÓN DE LOS COSTES</t>
  </si>
  <si>
    <r>
      <t xml:space="preserve">Elementos a destacar o matizar respecto a los costes contemplados en este PPO:
</t>
    </r>
    <r>
      <rPr>
        <sz val="10"/>
        <color rgb="FFFF0000"/>
        <rFont val="Arial"/>
        <family val="2"/>
      </rPr>
      <t>- reutilización
- riesgos
- utilización de personal disponible
- etc…</t>
    </r>
  </si>
  <si>
    <t>CONSIDERACIONES SOBRE EL PRECIO</t>
  </si>
  <si>
    <r>
      <t xml:space="preserve">Justificación sobre el precio presentado:
</t>
    </r>
    <r>
      <rPr>
        <sz val="10"/>
        <color rgb="FFFF0000"/>
        <rFont val="Arial"/>
        <family val="2"/>
      </rPr>
      <t>- expectativas del cliente
- precios del mercado, competencia, ….
- posibles rebajas, descuentos, …
- posibilidad de disminuir descuentos
- etc…</t>
    </r>
  </si>
  <si>
    <t>CONDICIONES DE FACTURACIÓN Y COBRO</t>
  </si>
  <si>
    <r>
      <t xml:space="preserve">indicar las condicones de facturación y cobro con las que se presenta la oferta:
</t>
    </r>
    <r>
      <rPr>
        <sz val="10"/>
        <color rgb="FFFF0000"/>
        <rFont val="Arial"/>
        <family val="2"/>
      </rPr>
      <t>- plan de facturación previsto (hitos, periodicidades,...)
- periodo de vencimiento con el que se emitiran las facturas (remarcarlo especialmente si va a ser superior a 30 días)
- indicar si la facturación será en moneda distinta del euro
- otros condicionantes que puedan ser significativos en estos aspectos (significativa diferencia temporal entre la procucción y la facturación,...)
- etc....</t>
    </r>
  </si>
  <si>
    <t>CRITERIOS DE VALORACIÓN DE LA OFERTA POR PARTE DEL CLIENTE</t>
  </si>
  <si>
    <r>
      <t xml:space="preserve">Exponer los criterios por los cuales el cliente valorará las ofertas recibidas, que consten en el pliego o RFP o se conozcan por otros medios:
</t>
    </r>
    <r>
      <rPr>
        <sz val="10"/>
        <color rgb="FFFF0000"/>
        <rFont val="Arial"/>
        <family val="2"/>
      </rPr>
      <t>- precio: xx%
- técnica: xx%
- mejoras: xx%
- etc…</t>
    </r>
  </si>
  <si>
    <t>MOTIVOS POR EL CUAL SE ESCALA</t>
  </si>
  <si>
    <r>
      <t xml:space="preserve">enumeración del motivo o motivos por el cual es necesario escalar la aprobación de esta oferta:
</t>
    </r>
    <r>
      <rPr>
        <sz val="10"/>
        <color rgb="FFFF0000"/>
        <rFont val="Arial"/>
        <family val="2"/>
      </rPr>
      <t>- márgenes inferiores a los estándar
- riesgos elevados
- importe superior a 500k€
- condiciones de facturación o pago especiales
- importe en divisa distinta de euros
- penalizaciones especiales
- condiciones contractuales especiales</t>
    </r>
  </si>
  <si>
    <t>MOTIVOS POR LOS CUALES SE SOLICITA LA APROBACIÓN DE SU PRESENTACIÓN</t>
  </si>
  <si>
    <r>
      <t xml:space="preserve">Exponer y justificar el motivo por el cual, pese a las condiciones desfavorables indicadas, se pretende que Dirección apruebe la presentación de esta Oferta:
</t>
    </r>
    <r>
      <rPr>
        <sz val="10"/>
        <color rgb="FFFF0000"/>
        <rFont val="Arial"/>
        <family val="2"/>
      </rPr>
      <t>- oportunidad de negocio
- posición en el cliente
- mercado
- disponibles
- etc…</t>
    </r>
  </si>
  <si>
    <t>NORMAS PARA LA APROBACIÓN Y ESCALADO DE LAS OFERTAS</t>
  </si>
  <si>
    <t>El proceso BID y sus normas estan disponibles en :</t>
  </si>
  <si>
    <t>SCI32PR01</t>
  </si>
  <si>
    <t>CRITERIOS PARA EL ESCALADO</t>
  </si>
  <si>
    <t>Portfolio Area</t>
  </si>
  <si>
    <t>Sub Area</t>
  </si>
  <si>
    <t>Owner</t>
  </si>
  <si>
    <t>Standard</t>
  </si>
  <si>
    <t>Regional 
MD</t>
  </si>
  <si>
    <t>Exco -1*</t>
  </si>
  <si>
    <t>End-user (1) HW, SW and services resell</t>
  </si>
  <si>
    <t>Amadeu Martire</t>
  </si>
  <si>
    <t>Infrastructure (2) HW, SW and services resell</t>
  </si>
  <si>
    <t>GWA Services</t>
  </si>
  <si>
    <t>Edward Van Boven</t>
  </si>
  <si>
    <t>Harsha Gowda</t>
  </si>
  <si>
    <t xml:space="preserve"> </t>
  </si>
  <si>
    <t>Philip Hoegee</t>
  </si>
  <si>
    <t>Hosting Only</t>
  </si>
  <si>
    <t>Applications</t>
  </si>
  <si>
    <t>Target Margin Sf Dev - Iberia 2025 - Public</t>
  </si>
  <si>
    <t xml:space="preserve"> +MJ Ingelmo</t>
  </si>
  <si>
    <t>25%-30%</t>
  </si>
  <si>
    <t>Target Margin Sf Dev - Iberia 2025 - Private</t>
  </si>
  <si>
    <t>30%-35%</t>
  </si>
  <si>
    <t>Joeri Barbier</t>
  </si>
  <si>
    <t>Ruben Hernandez</t>
  </si>
  <si>
    <t>Client service management</t>
  </si>
  <si>
    <t>Regional MD</t>
  </si>
  <si>
    <t xml:space="preserve">Service Transition </t>
  </si>
  <si>
    <t>Staffing</t>
  </si>
  <si>
    <t>Project Delivery</t>
  </si>
  <si>
    <t>Total Deal overall</t>
  </si>
  <si>
    <t>Cash Flow</t>
  </si>
  <si>
    <t>Cash flow negative @ Regional MD &lt;=2 months.</t>
  </si>
  <si>
    <t>Cash flow negative @ Exco -1* &gt;2 and &lt;=4 months.</t>
  </si>
  <si>
    <t>Cash flow negative &gt;4 months to Board Of Management</t>
  </si>
  <si>
    <t>AND/OR</t>
  </si>
  <si>
    <t>Where the maximum negative cashflow is &gt;€100k refer to board of management</t>
  </si>
  <si>
    <t xml:space="preserve">Where payments terms is  &gt;45 days refer to board of management </t>
  </si>
  <si>
    <t>Note</t>
  </si>
  <si>
    <t>Total Deal value margin gate can override any individual portfolio margin gate as noted</t>
  </si>
  <si>
    <t>Si el TCV es mayor o igual a 10M alguien del Board deberá participar en el sign-out.</t>
  </si>
  <si>
    <t>Si el cash-flow es negativo por más de cuatro meses deberemos obtener el ok del CFO.</t>
  </si>
  <si>
    <t>Si el contrato no permite actualizar precios con el IPC deberemos obtener el ok del CFO.</t>
  </si>
  <si>
    <t>MATRIZ DE PREAPROBACIONES</t>
  </si>
  <si>
    <t>Disponible en :</t>
  </si>
  <si>
    <t>Matriz actualizada de responsabilidades</t>
  </si>
  <si>
    <t>Carlos Álvarez</t>
  </si>
  <si>
    <t>Joan Marcer</t>
  </si>
  <si>
    <t>GAP</t>
  </si>
  <si>
    <t>Precio en USD</t>
  </si>
  <si>
    <t>Tipo de cambio</t>
  </si>
  <si>
    <t>EUR</t>
  </si>
  <si>
    <t>USD</t>
  </si>
  <si>
    <t>CSS</t>
  </si>
  <si>
    <t>CJSS</t>
  </si>
  <si>
    <t>JP</t>
  </si>
  <si>
    <t>II</t>
  </si>
  <si>
    <t>Precio catálogo</t>
  </si>
  <si>
    <t>Consultor Junior Smart Spaces</t>
  </si>
  <si>
    <t>Fase1</t>
  </si>
  <si>
    <t>Fase2</t>
  </si>
  <si>
    <t>280 USD/jornada</t>
  </si>
  <si>
    <t>1318 USD por dispositivo</t>
  </si>
  <si>
    <t>6100 USD por dispositivo (bajado a 3050 USD en este caso)</t>
  </si>
  <si>
    <t>Smart Airport en la nueva terminal de Puerto Vallarta</t>
  </si>
  <si>
    <t>Ingeniero Integración</t>
  </si>
  <si>
    <t>A</t>
  </si>
  <si>
    <t>Configuración Portal</t>
  </si>
  <si>
    <t>Diseñador gráfico</t>
  </si>
  <si>
    <t>DG</t>
  </si>
  <si>
    <t>Trabajos on site</t>
  </si>
  <si>
    <t>Preparación incorporación nuevo aeropuerto o edificio</t>
  </si>
  <si>
    <t>Desarrollo nuevos interfaces de usuario (Portal 3D)</t>
  </si>
  <si>
    <t>Integración nuevo BMS (i-vu de Carrier)</t>
  </si>
  <si>
    <t>Correlacionar bases de datos operacionales con climatización</t>
  </si>
  <si>
    <t>Antes de apertura terminal</t>
  </si>
  <si>
    <t>Ajuste</t>
  </si>
  <si>
    <t xml:space="preserve">  Integración nuevo BMS (Leviton)</t>
  </si>
  <si>
    <r>
      <t xml:space="preserve">  </t>
    </r>
    <r>
      <rPr>
        <sz val="10"/>
        <color theme="1"/>
        <rFont val="Times New Roman"/>
        <family val="1"/>
      </rPr>
      <t xml:space="preserve"> Integración directa de las UPS mediante tarjetas de red</t>
    </r>
  </si>
  <si>
    <t>Información Operacional</t>
  </si>
  <si>
    <t>Correlacionar bases de datos operacionales con Iluminación</t>
  </si>
  <si>
    <t>Integración nuevo BMS complejidad baja</t>
  </si>
  <si>
    <t xml:space="preserve">  Integración directa complejidad alta</t>
  </si>
  <si>
    <r>
      <t xml:space="preserve">       </t>
    </r>
    <r>
      <rPr>
        <sz val="10"/>
        <color theme="1"/>
        <rFont val="Times New Roman"/>
        <family val="1"/>
      </rPr>
      <t xml:space="preserve">      Configuración integración con BMS ya existente</t>
    </r>
    <r>
      <rPr>
        <sz val="9"/>
        <color theme="1"/>
        <rFont val="Calibri"/>
        <family val="2"/>
        <scheme val="minor"/>
      </rPr>
      <t xml:space="preserve"> (Moroha)</t>
    </r>
  </si>
  <si>
    <t>PTAR</t>
  </si>
  <si>
    <r>
      <t xml:space="preserve">             </t>
    </r>
    <r>
      <rPr>
        <sz val="10"/>
        <color theme="1"/>
        <rFont val="Times New Roman"/>
        <family val="1"/>
      </rPr>
      <t>Configuración integración con BMS ya existente (Avigilon)</t>
    </r>
  </si>
  <si>
    <t xml:space="preserve">           Configuración integración con BMS ya existente (Nuctech)</t>
  </si>
  <si>
    <r>
      <t xml:space="preserve">      </t>
    </r>
    <r>
      <rPr>
        <sz val="10"/>
        <rFont val="Calibri"/>
        <family val="2"/>
        <scheme val="minor"/>
      </rPr>
      <t xml:space="preserve">       Configuración integración con WebService ya existente</t>
    </r>
    <r>
      <rPr>
        <sz val="10"/>
        <rFont val="Times New Roman"/>
        <family val="1"/>
      </rPr>
      <t xml:space="preserve"> (CEIA)</t>
    </r>
  </si>
  <si>
    <t>Integración nuevo BMS complejidad media</t>
  </si>
  <si>
    <t>Bandas Reclamo</t>
  </si>
  <si>
    <r>
      <t xml:space="preserve">      </t>
    </r>
    <r>
      <rPr>
        <sz val="10"/>
        <rFont val="Calibri"/>
        <family val="2"/>
        <scheme val="minor"/>
      </rPr>
      <t xml:space="preserve">       Configuración integración con BMS ya existente</t>
    </r>
    <r>
      <rPr>
        <sz val="10"/>
        <rFont val="Times New Roman"/>
        <family val="1"/>
      </rPr>
      <t xml:space="preserve"> (Matec)</t>
    </r>
  </si>
  <si>
    <t>BHS (Baggage Handling System)</t>
  </si>
  <si>
    <t>Jet Bridges</t>
  </si>
  <si>
    <t>Integración nuevo BMS complejidad alta</t>
  </si>
  <si>
    <t>GPU y PCA de los aeropasillos</t>
  </si>
  <si>
    <t>Asunción de 250 sensores en total de distintos tipos y fabricantes (de los cuales 5 tipos aún no habrían sido integrados con anterioridad)</t>
  </si>
  <si>
    <t>Plantas emergencia</t>
  </si>
  <si>
    <t>Fotovoltaica</t>
  </si>
  <si>
    <t>Ayudas Visuales</t>
  </si>
  <si>
    <t>TOTAL POR FASES</t>
  </si>
  <si>
    <t xml:space="preserve">Consolidación y mejora de plataforma operativa </t>
  </si>
  <si>
    <t>Proyecto Especial de crear área de gestión de la iluminación en el Smart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</si>
</sst>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0.00\ &quot;€&quot;;[Red]\-#,##0.00\ &quot;€&quot;"/>
    <numFmt numFmtId="44" formatCode="_-* #,##0.00\ &quot;€&quot;_-;\-* #,##0.00\ &quot;€&quot;_-;_-* &quot;-&quot;??\ &quot;€&quot;_-;_-@_-"/>
    <numFmt numFmtId="164" formatCode="_-* #,##0.00\ _€_-;\-* #,##0.00\ _€_-;_-* &quot;-&quot;??\ _€_-;_-@_-"/>
    <numFmt numFmtId="165" formatCode="#,##0.0"/>
    <numFmt numFmtId="166" formatCode="0.0%"/>
    <numFmt numFmtId="167" formatCode="#,##0.000"/>
    <numFmt numFmtId="168" formatCode="&quot;£&quot;#,##0;[Red]\-&quot;£&quot;#,##0"/>
    <numFmt numFmtId="169" formatCode="#,##0.00\ \€"/>
    <numFmt numFmtId="170" formatCode="[$-C0A]d\-mmm\-yyyy;@"/>
    <numFmt numFmtId="171" formatCode="#,##0_ ;[Red]\-#,##0\ "/>
    <numFmt numFmtId="172" formatCode="[$-C0A]d\-mmm\-yy;@"/>
    <numFmt numFmtId="173" formatCode="#,##0.00\ &quot;€&quot;"/>
    <numFmt numFmtId="174" formatCode="[$-C0A]mmmm\-yy;@"/>
    <numFmt numFmtId="175" formatCode="[$-C0A]mmm\-yy;@"/>
    <numFmt numFmtId="176" formatCode="[$-C0A]dd\-mmm\-yy;@"/>
    <numFmt numFmtId="177" formatCode="#,##0\ &quot;€&quot;"/>
    <numFmt numFmtId="178" formatCode="#,##0.00\ [$USD]"/>
    <numFmt numFmtId="179" formatCode="#,##0.0000"/>
  </numFmts>
  <fonts count="76" x14ac:knownFonts="1">
    <font>
      <sz val="10"/>
      <name val="Times New Roman"/>
      <family val="1"/>
    </font>
    <font>
      <sz val="11"/>
      <color theme="1"/>
      <name val="Calibri"/>
      <family val="2"/>
      <scheme val="minor"/>
    </font>
    <font>
      <sz val="11"/>
      <color theme="1"/>
      <name val="Calibri"/>
      <family val="2"/>
      <scheme val="minor"/>
    </font>
    <font>
      <sz val="11"/>
      <color theme="1"/>
      <name val="Calibri"/>
      <family val="2"/>
      <scheme val="minor"/>
    </font>
    <font>
      <sz val="10"/>
      <name val="MS Sans Serif"/>
      <family val="2"/>
    </font>
    <font>
      <u/>
      <sz val="10"/>
      <color indexed="12"/>
      <name val="Times New Roman"/>
      <family val="1"/>
    </font>
    <font>
      <sz val="10"/>
      <name val="Courier"/>
      <family val="3"/>
    </font>
    <font>
      <b/>
      <sz val="14"/>
      <name val="Arial"/>
      <family val="2"/>
    </font>
    <font>
      <b/>
      <sz val="12"/>
      <name val="Arial"/>
      <family val="2"/>
    </font>
    <font>
      <sz val="12"/>
      <name val="Arial"/>
      <family val="2"/>
    </font>
    <font>
      <b/>
      <sz val="10"/>
      <name val="Arial"/>
      <family val="2"/>
    </font>
    <font>
      <sz val="10"/>
      <name val="Arial"/>
      <family val="2"/>
    </font>
    <font>
      <sz val="8"/>
      <color indexed="81"/>
      <name val="Tahoma"/>
      <family val="2"/>
    </font>
    <font>
      <b/>
      <sz val="20"/>
      <name val="Arial"/>
      <family val="2"/>
    </font>
    <font>
      <b/>
      <sz val="8"/>
      <color indexed="81"/>
      <name val="Tahoma"/>
      <family val="2"/>
    </font>
    <font>
      <b/>
      <i/>
      <sz val="10"/>
      <name val="Arial"/>
      <family val="2"/>
    </font>
    <font>
      <i/>
      <sz val="10"/>
      <name val="Arial"/>
      <family val="2"/>
    </font>
    <font>
      <sz val="10"/>
      <name val="Arial"/>
      <family val="2"/>
    </font>
    <font>
      <b/>
      <sz val="10"/>
      <color indexed="10"/>
      <name val="Arial"/>
      <family val="2"/>
    </font>
    <font>
      <sz val="8"/>
      <name val="Arial"/>
      <family val="2"/>
    </font>
    <font>
      <b/>
      <sz val="8"/>
      <name val="Arial"/>
      <family val="2"/>
    </font>
    <font>
      <sz val="10"/>
      <color indexed="9"/>
      <name val="Arial"/>
      <family val="2"/>
    </font>
    <font>
      <sz val="10"/>
      <name val="Times New Roman"/>
      <family val="1"/>
    </font>
    <font>
      <b/>
      <sz val="8"/>
      <color theme="0" tint="-0.14999847407452621"/>
      <name val="Arial"/>
      <family val="2"/>
    </font>
    <font>
      <sz val="8"/>
      <color theme="0" tint="-0.14999847407452621"/>
      <name val="Arial"/>
      <family val="2"/>
    </font>
    <font>
      <b/>
      <sz val="10"/>
      <color theme="3" tint="0.39997558519241921"/>
      <name val="Arial"/>
      <family val="2"/>
    </font>
    <font>
      <b/>
      <sz val="9"/>
      <name val="Arial"/>
      <family val="2"/>
    </font>
    <font>
      <b/>
      <sz val="11"/>
      <name val="Arial"/>
      <family val="2"/>
    </font>
    <font>
      <b/>
      <sz val="11"/>
      <color indexed="9"/>
      <name val="Arial"/>
      <family val="2"/>
    </font>
    <font>
      <sz val="11"/>
      <name val="Arial"/>
      <family val="2"/>
    </font>
    <font>
      <b/>
      <u/>
      <sz val="11"/>
      <name val="Arial"/>
      <family val="2"/>
    </font>
    <font>
      <sz val="11"/>
      <color indexed="8"/>
      <name val="Arial"/>
      <family val="2"/>
    </font>
    <font>
      <sz val="10"/>
      <name val="Arial"/>
      <family val="2"/>
    </font>
    <font>
      <sz val="9"/>
      <color indexed="81"/>
      <name val="Tahoma"/>
      <family val="2"/>
    </font>
    <font>
      <i/>
      <sz val="12"/>
      <name val="Arial"/>
      <family val="2"/>
    </font>
    <font>
      <b/>
      <sz val="11"/>
      <color theme="0"/>
      <name val="Arial"/>
      <family val="2"/>
    </font>
    <font>
      <sz val="12"/>
      <name val="Times New Roman"/>
      <family val="1"/>
    </font>
    <font>
      <sz val="11"/>
      <name val="Times New Roman"/>
      <family val="1"/>
    </font>
    <font>
      <sz val="11"/>
      <color rgb="FF262626"/>
      <name val="Arial"/>
      <family val="2"/>
    </font>
    <font>
      <b/>
      <sz val="11"/>
      <color rgb="FF262626"/>
      <name val="Arial"/>
      <family val="2"/>
    </font>
    <font>
      <sz val="14"/>
      <name val="Arial"/>
      <family val="2"/>
    </font>
    <font>
      <sz val="10"/>
      <color rgb="FFFF0000"/>
      <name val="Arial"/>
      <family val="2"/>
    </font>
    <font>
      <sz val="10"/>
      <color theme="0" tint="-0.14999847407452621"/>
      <name val="Arial"/>
      <family val="2"/>
    </font>
    <font>
      <b/>
      <sz val="10"/>
      <color rgb="FF00B050"/>
      <name val="Arial"/>
      <family val="2"/>
    </font>
    <font>
      <sz val="10"/>
      <color rgb="FF00B050"/>
      <name val="Arial"/>
      <family val="2"/>
    </font>
    <font>
      <sz val="10"/>
      <color theme="0" tint="-0.499984740745262"/>
      <name val="Arial"/>
      <family val="2"/>
    </font>
    <font>
      <b/>
      <sz val="10"/>
      <color theme="1"/>
      <name val="Arial"/>
      <family val="2"/>
    </font>
    <font>
      <u/>
      <sz val="10"/>
      <color indexed="12"/>
      <name val="Arial"/>
      <family val="2"/>
    </font>
    <font>
      <sz val="10"/>
      <color theme="0"/>
      <name val="Arial"/>
      <family val="2"/>
    </font>
    <font>
      <b/>
      <sz val="9"/>
      <color indexed="81"/>
      <name val="Tahoma"/>
      <family val="2"/>
    </font>
    <font>
      <sz val="8"/>
      <name val="Times New Roman"/>
      <family val="1"/>
    </font>
    <font>
      <b/>
      <sz val="10"/>
      <color theme="0"/>
      <name val="Arial"/>
      <family val="2"/>
    </font>
    <font>
      <sz val="10"/>
      <color theme="1"/>
      <name val="Arial"/>
      <family val="2"/>
    </font>
    <font>
      <b/>
      <sz val="11"/>
      <color theme="1"/>
      <name val="Arial"/>
      <family val="2"/>
    </font>
    <font>
      <b/>
      <sz val="10"/>
      <color rgb="FFFF0000"/>
      <name val="Arial"/>
      <family val="2"/>
    </font>
    <font>
      <sz val="11"/>
      <color theme="1"/>
      <name val="Aptos"/>
      <family val="2"/>
    </font>
    <font>
      <b/>
      <sz val="16"/>
      <name val="Arial"/>
      <family val="2"/>
    </font>
    <font>
      <sz val="9"/>
      <color theme="1"/>
      <name val="Arial"/>
      <family val="2"/>
    </font>
    <font>
      <b/>
      <i/>
      <sz val="9"/>
      <name val="Arial"/>
      <family val="2"/>
    </font>
    <font>
      <sz val="9"/>
      <name val="Arial"/>
      <family val="2"/>
    </font>
    <font>
      <sz val="9"/>
      <color rgb="FFFF0000"/>
      <name val="Arial"/>
      <family val="2"/>
    </font>
    <font>
      <b/>
      <sz val="11"/>
      <color theme="1"/>
      <name val="Calibri"/>
      <family val="2"/>
      <scheme val="minor"/>
    </font>
    <font>
      <sz val="10"/>
      <color rgb="FF000000"/>
      <name val="Times New Roman"/>
      <family val="1"/>
    </font>
    <font>
      <sz val="9"/>
      <color rgb="FF000000"/>
      <name val="Times New Roman"/>
      <family val="1"/>
    </font>
    <font>
      <sz val="9"/>
      <color theme="1"/>
      <name val="Times New Roman"/>
      <family val="1"/>
    </font>
    <font>
      <sz val="9"/>
      <color theme="1"/>
      <name val="Calibri"/>
      <family val="2"/>
      <scheme val="minor"/>
    </font>
    <font>
      <sz val="9"/>
      <name val="Times New Roman"/>
      <family val="1"/>
    </font>
    <font>
      <sz val="9"/>
      <color rgb="FF0070C0"/>
      <name val="Times New Roman"/>
      <family val="1"/>
    </font>
    <font>
      <sz val="10"/>
      <color theme="1"/>
      <name val="Calibri"/>
      <family val="2"/>
      <scheme val="minor"/>
    </font>
    <font>
      <sz val="10"/>
      <color theme="1"/>
      <name val="Times New Roman"/>
      <family val="1"/>
    </font>
    <font>
      <b/>
      <sz val="12"/>
      <color theme="1"/>
      <name val="Calibri"/>
      <family val="2"/>
      <scheme val="minor"/>
    </font>
    <font>
      <b/>
      <sz val="14"/>
      <color theme="1"/>
      <name val="Calibri"/>
      <family val="2"/>
      <scheme val="minor"/>
    </font>
    <font>
      <sz val="9"/>
      <name val="Calibri"/>
      <family val="2"/>
      <scheme val="minor"/>
    </font>
    <font>
      <sz val="10"/>
      <name val="Calibri"/>
      <family val="2"/>
      <scheme val="minor"/>
    </font>
    <font>
      <sz val="9"/>
      <color rgb="FFFF0000"/>
      <name val="Calibri"/>
      <family val="2"/>
      <scheme val="minor"/>
    </font>
    <font>
      <b/>
      <sz val="18"/>
      <color theme="1"/>
      <name val="Calibri"/>
      <family val="2"/>
      <scheme val="minor"/>
    </font>
  </fonts>
  <fills count="38">
    <fill>
      <patternFill patternType="none"/>
    </fill>
    <fill>
      <patternFill patternType="gray125"/>
    </fill>
    <fill>
      <patternFill patternType="solid">
        <fgColor indexed="42"/>
        <bgColor indexed="64"/>
      </patternFill>
    </fill>
    <fill>
      <patternFill patternType="solid">
        <fgColor indexed="13"/>
        <bgColor indexed="64"/>
      </patternFill>
    </fill>
    <fill>
      <patternFill patternType="solid">
        <fgColor indexed="43"/>
        <bgColor indexed="64"/>
      </patternFill>
    </fill>
    <fill>
      <patternFill patternType="lightGray">
        <fgColor indexed="9"/>
        <bgColor indexed="13"/>
      </patternFill>
    </fill>
    <fill>
      <patternFill patternType="solid">
        <fgColor indexed="41"/>
        <bgColor indexed="64"/>
      </patternFill>
    </fill>
    <fill>
      <patternFill patternType="solid">
        <fgColor indexed="47"/>
        <bgColor indexed="64"/>
      </patternFill>
    </fill>
    <fill>
      <patternFill patternType="solid">
        <fgColor indexed="15"/>
        <bgColor indexed="64"/>
      </patternFill>
    </fill>
    <fill>
      <patternFill patternType="solid">
        <fgColor indexed="49"/>
        <bgColor indexed="64"/>
      </patternFill>
    </fill>
    <fill>
      <patternFill patternType="solid">
        <fgColor indexed="22"/>
        <bgColor indexed="64"/>
      </patternFill>
    </fill>
    <fill>
      <patternFill patternType="lightGray">
        <fgColor indexed="9"/>
        <bgColor indexed="41"/>
      </patternFill>
    </fill>
    <fill>
      <patternFill patternType="solid">
        <fgColor theme="0" tint="-0.14999847407452621"/>
        <bgColor indexed="64"/>
      </patternFill>
    </fill>
    <fill>
      <patternFill patternType="solid">
        <fgColor rgb="FFFFFF00"/>
        <bgColor indexed="64"/>
      </patternFill>
    </fill>
    <fill>
      <patternFill patternType="solid">
        <fgColor theme="6" tint="0.79998168889431442"/>
        <bgColor indexed="64"/>
      </patternFill>
    </fill>
    <fill>
      <patternFill patternType="solid">
        <fgColor rgb="FFFFFF99"/>
        <bgColor indexed="64"/>
      </patternFill>
    </fill>
    <fill>
      <patternFill patternType="solid">
        <fgColor theme="8" tint="0.79998168889431442"/>
        <bgColor indexed="64"/>
      </patternFill>
    </fill>
    <fill>
      <patternFill patternType="solid">
        <fgColor rgb="FFDECBCB"/>
        <bgColor indexed="64"/>
      </patternFill>
    </fill>
    <fill>
      <patternFill patternType="solid">
        <fgColor rgb="FF380624"/>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rgb="FFFFFFCC"/>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34998626667073579"/>
        <bgColor indexed="64"/>
      </patternFill>
    </fill>
    <fill>
      <patternFill patternType="solid">
        <fgColor theme="3" tint="0.89999084444715716"/>
        <bgColor indexed="64"/>
      </patternFill>
    </fill>
    <fill>
      <patternFill patternType="solid">
        <fgColor theme="5" tint="0.39997558519241921"/>
        <bgColor indexed="64"/>
      </patternFill>
    </fill>
    <fill>
      <patternFill patternType="solid">
        <fgColor indexed="44"/>
        <bgColor indexed="64"/>
      </patternFill>
    </fill>
    <fill>
      <patternFill patternType="solid">
        <fgColor theme="3" tint="0.89996032593768116"/>
        <bgColor indexed="64"/>
      </patternFill>
    </fill>
  </fills>
  <borders count="155">
    <border>
      <left/>
      <right/>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thin">
        <color indexed="22"/>
      </left>
      <right style="thin">
        <color indexed="22"/>
      </right>
      <top style="thin">
        <color indexed="22"/>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right style="thin">
        <color indexed="9"/>
      </right>
      <top style="medium">
        <color indexed="64"/>
      </top>
      <bottom/>
      <diagonal/>
    </border>
    <border>
      <left/>
      <right style="thin">
        <color indexed="9"/>
      </right>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9"/>
      </left>
      <right/>
      <top style="medium">
        <color indexed="64"/>
      </top>
      <bottom/>
      <diagonal/>
    </border>
    <border>
      <left style="thin">
        <color indexed="9"/>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9"/>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theme="0"/>
      </right>
      <top style="medium">
        <color indexed="64"/>
      </top>
      <bottom style="thin">
        <color indexed="64"/>
      </bottom>
      <diagonal/>
    </border>
    <border>
      <left style="medium">
        <color theme="0"/>
      </left>
      <right style="medium">
        <color theme="0"/>
      </right>
      <top style="medium">
        <color indexed="64"/>
      </top>
      <bottom style="thin">
        <color indexed="64"/>
      </bottom>
      <diagonal/>
    </border>
    <border>
      <left style="medium">
        <color theme="0"/>
      </left>
      <right style="medium">
        <color indexed="64"/>
      </right>
      <top style="medium">
        <color indexed="64"/>
      </top>
      <bottom style="thin">
        <color indexed="64"/>
      </bottom>
      <diagonal/>
    </border>
    <border>
      <left style="medium">
        <color indexed="64"/>
      </left>
      <right/>
      <top/>
      <bottom style="thin">
        <color indexed="9"/>
      </bottom>
      <diagonal/>
    </border>
    <border>
      <left style="medium">
        <color indexed="64"/>
      </left>
      <right/>
      <top style="thin">
        <color indexed="9"/>
      </top>
      <bottom style="thin">
        <color indexed="9"/>
      </bottom>
      <diagonal/>
    </border>
    <border>
      <left style="thin">
        <color indexed="9"/>
      </left>
      <right style="medium">
        <color indexed="64"/>
      </right>
      <top/>
      <bottom style="thin">
        <color indexed="9"/>
      </bottom>
      <diagonal/>
    </border>
    <border>
      <left style="medium">
        <color indexed="64"/>
      </left>
      <right style="thin">
        <color indexed="9"/>
      </right>
      <top style="thin">
        <color indexed="9"/>
      </top>
      <bottom/>
      <diagonal/>
    </border>
    <border>
      <left style="thin">
        <color indexed="9"/>
      </left>
      <right style="medium">
        <color indexed="64"/>
      </right>
      <top style="thin">
        <color indexed="9"/>
      </top>
      <bottom/>
      <diagonal/>
    </border>
    <border>
      <left style="medium">
        <color indexed="64"/>
      </left>
      <right style="thin">
        <color indexed="9"/>
      </right>
      <top/>
      <bottom/>
      <diagonal/>
    </border>
    <border>
      <left style="medium">
        <color indexed="64"/>
      </left>
      <right style="thin">
        <color theme="0"/>
      </right>
      <top style="thin">
        <color theme="0"/>
      </top>
      <bottom style="thin">
        <color theme="0"/>
      </bottom>
      <diagonal/>
    </border>
    <border>
      <left/>
      <right style="medium">
        <color indexed="64"/>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top style="thin">
        <color theme="0"/>
      </top>
      <bottom style="thin">
        <color theme="0"/>
      </bottom>
      <diagonal/>
    </border>
    <border>
      <left/>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top style="medium">
        <color indexed="64"/>
      </top>
      <bottom/>
      <diagonal/>
    </border>
    <border>
      <left/>
      <right style="thin">
        <color theme="0"/>
      </right>
      <top style="medium">
        <color indexed="64"/>
      </top>
      <bottom/>
      <diagonal/>
    </border>
    <border>
      <left style="thin">
        <color theme="0"/>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top style="thin">
        <color theme="0"/>
      </top>
      <bottom style="medium">
        <color indexed="64"/>
      </bottom>
      <diagonal/>
    </border>
    <border>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indexed="64"/>
      </left>
      <right/>
      <top style="medium">
        <color indexed="64"/>
      </top>
      <bottom style="thin">
        <color indexed="9"/>
      </bottom>
      <diagonal/>
    </border>
    <border>
      <left style="medium">
        <color indexed="64"/>
      </left>
      <right style="thin">
        <color indexed="9"/>
      </right>
      <top style="medium">
        <color indexed="64"/>
      </top>
      <bottom style="medium">
        <color indexed="64"/>
      </bottom>
      <diagonal/>
    </border>
    <border>
      <left style="thin">
        <color indexed="9"/>
      </left>
      <right/>
      <top style="medium">
        <color indexed="64"/>
      </top>
      <bottom style="medium">
        <color indexed="64"/>
      </bottom>
      <diagonal/>
    </border>
    <border>
      <left/>
      <right style="thin">
        <color indexed="9"/>
      </right>
      <top/>
      <bottom style="medium">
        <color indexed="64"/>
      </bottom>
      <diagonal/>
    </border>
    <border>
      <left style="thin">
        <color indexed="9"/>
      </left>
      <right style="thin">
        <color indexed="9"/>
      </right>
      <top/>
      <bottom style="medium">
        <color indexed="64"/>
      </bottom>
      <diagonal/>
    </border>
    <border>
      <left style="thin">
        <color indexed="9"/>
      </left>
      <right style="medium">
        <color indexed="64"/>
      </right>
      <top/>
      <bottom style="medium">
        <color indexed="64"/>
      </bottom>
      <diagonal/>
    </border>
    <border>
      <left/>
      <right style="medium">
        <color theme="0"/>
      </right>
      <top style="medium">
        <color indexed="64"/>
      </top>
      <bottom style="thin">
        <color indexed="64"/>
      </bottom>
      <diagonal/>
    </border>
    <border>
      <left style="medium">
        <color theme="0"/>
      </left>
      <right style="thin">
        <color indexed="64"/>
      </right>
      <top style="medium">
        <color indexed="64"/>
      </top>
      <bottom style="thin">
        <color indexed="64"/>
      </bottom>
      <diagonal/>
    </border>
    <border>
      <left/>
      <right/>
      <top style="thick">
        <color indexed="64"/>
      </top>
      <bottom/>
      <diagonal/>
    </border>
    <border>
      <left style="medium">
        <color indexed="64"/>
      </left>
      <right style="medium">
        <color indexed="64"/>
      </right>
      <top style="thin">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top style="medium">
        <color indexed="64"/>
      </top>
      <bottom style="hair">
        <color indexed="64"/>
      </bottom>
      <diagonal/>
    </border>
    <border>
      <left style="medium">
        <color indexed="64"/>
      </left>
      <right style="medium">
        <color indexed="64"/>
      </right>
      <top style="medium">
        <color indexed="64"/>
      </top>
      <bottom style="hair">
        <color indexed="64"/>
      </bottom>
      <diagonal/>
    </border>
    <border>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thin">
        <color indexed="64"/>
      </right>
      <top/>
      <bottom style="hair">
        <color indexed="64"/>
      </bottom>
      <diagonal/>
    </border>
    <border>
      <left style="medium">
        <color indexed="64"/>
      </left>
      <right style="medium">
        <color indexed="64"/>
      </right>
      <top/>
      <bottom style="hair">
        <color indexed="64"/>
      </bottom>
      <diagonal/>
    </border>
    <border>
      <left style="medium">
        <color indexed="64"/>
      </left>
      <right style="thin">
        <color indexed="64"/>
      </right>
      <top style="hair">
        <color indexed="64"/>
      </top>
      <bottom/>
      <diagonal/>
    </border>
    <border>
      <left style="medium">
        <color indexed="64"/>
      </left>
      <right style="medium">
        <color indexed="64"/>
      </right>
      <top style="hair">
        <color indexed="64"/>
      </top>
      <bottom/>
      <diagonal/>
    </border>
    <border>
      <left style="medium">
        <color indexed="64"/>
      </left>
      <right style="thin">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style="medium">
        <color indexed="64"/>
      </left>
      <right/>
      <top style="medium">
        <color indexed="64"/>
      </top>
      <bottom style="thin">
        <color theme="4" tint="0.39997558519241921"/>
      </bottom>
      <diagonal/>
    </border>
    <border>
      <left style="medium">
        <color indexed="64"/>
      </left>
      <right/>
      <top style="thin">
        <color theme="4" tint="0.39997558519241921"/>
      </top>
      <bottom style="thin">
        <color theme="4" tint="0.39997558519241921"/>
      </bottom>
      <diagonal/>
    </border>
    <border>
      <left style="medium">
        <color indexed="64"/>
      </left>
      <right/>
      <top style="thin">
        <color theme="4" tint="0.39997558519241921"/>
      </top>
      <bottom style="medium">
        <color indexed="64"/>
      </bottom>
      <diagonal/>
    </border>
    <border>
      <left style="medium">
        <color indexed="64"/>
      </left>
      <right style="medium">
        <color indexed="64"/>
      </right>
      <top style="medium">
        <color indexed="64"/>
      </top>
      <bottom style="thin">
        <color theme="4" tint="0.39997558519241921"/>
      </bottom>
      <diagonal/>
    </border>
    <border>
      <left style="medium">
        <color indexed="64"/>
      </left>
      <right style="medium">
        <color indexed="64"/>
      </right>
      <top style="thin">
        <color theme="4" tint="0.39997558519241921"/>
      </top>
      <bottom style="thin">
        <color theme="4" tint="0.39997558519241921"/>
      </bottom>
      <diagonal/>
    </border>
    <border>
      <left style="medium">
        <color indexed="64"/>
      </left>
      <right style="medium">
        <color indexed="64"/>
      </right>
      <top style="thin">
        <color theme="4" tint="0.39997558519241921"/>
      </top>
      <bottom style="medium">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double">
        <color indexed="64"/>
      </left>
      <right/>
      <top style="medium">
        <color indexed="64"/>
      </top>
      <bottom style="double">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double">
        <color indexed="64"/>
      </right>
      <top style="medium">
        <color indexed="64"/>
      </top>
      <bottom style="double">
        <color indexed="64"/>
      </bottom>
      <diagonal/>
    </border>
    <border>
      <left style="thin">
        <color indexed="64"/>
      </left>
      <right/>
      <top/>
      <bottom style="medium">
        <color indexed="64"/>
      </bottom>
      <diagonal/>
    </border>
    <border>
      <left style="thin">
        <color indexed="64"/>
      </left>
      <right/>
      <top style="medium">
        <color indexed="64"/>
      </top>
      <bottom/>
      <diagonal/>
    </border>
  </borders>
  <cellStyleXfs count="17">
    <xf numFmtId="0" fontId="0" fillId="0" borderId="0"/>
    <xf numFmtId="168" fontId="4" fillId="0" borderId="0" applyFont="0" applyFill="0" applyBorder="0" applyAlignment="0" applyProtection="0"/>
    <xf numFmtId="37" fontId="6" fillId="0" borderId="0"/>
    <xf numFmtId="0" fontId="17" fillId="0" borderId="0"/>
    <xf numFmtId="10" fontId="4" fillId="0" borderId="0" applyFont="0" applyFill="0" applyBorder="0" applyAlignment="0" applyProtection="0"/>
    <xf numFmtId="0" fontId="22" fillId="0" borderId="0"/>
    <xf numFmtId="0" fontId="3" fillId="0" borderId="0"/>
    <xf numFmtId="0" fontId="32" fillId="0" borderId="0"/>
    <xf numFmtId="9" fontId="32" fillId="0" borderId="0" applyFont="0" applyFill="0" applyBorder="0" applyAlignment="0" applyProtection="0"/>
    <xf numFmtId="164" fontId="22" fillId="0" borderId="0" applyFont="0" applyFill="0" applyBorder="0" applyAlignment="0" applyProtection="0"/>
    <xf numFmtId="0" fontId="47" fillId="0" borderId="0" applyNumberFormat="0" applyFill="0" applyBorder="0" applyAlignment="0" applyProtection="0">
      <alignment vertical="top"/>
      <protection locked="0"/>
    </xf>
    <xf numFmtId="44" fontId="22"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0" fontId="1" fillId="0" borderId="0"/>
    <xf numFmtId="0" fontId="1" fillId="0" borderId="0"/>
  </cellStyleXfs>
  <cellXfs count="1071">
    <xf numFmtId="3" fontId="0" fillId="0" borderId="0" xfId="0" applyNumberFormat="1"/>
    <xf numFmtId="3" fontId="11" fillId="0" borderId="0" xfId="5" applyNumberFormat="1" applyFont="1"/>
    <xf numFmtId="3" fontId="10" fillId="0" borderId="0" xfId="5" applyNumberFormat="1" applyFont="1" applyAlignment="1">
      <alignment horizontal="center"/>
    </xf>
    <xf numFmtId="3" fontId="11" fillId="0" borderId="0" xfId="5" applyNumberFormat="1" applyFont="1" applyAlignment="1">
      <alignment horizontal="center"/>
    </xf>
    <xf numFmtId="3" fontId="11" fillId="3" borderId="15" xfId="5" applyNumberFormat="1" applyFont="1" applyFill="1" applyBorder="1" applyAlignment="1" applyProtection="1">
      <alignment horizontal="left"/>
      <protection locked="0"/>
    </xf>
    <xf numFmtId="3" fontId="11" fillId="3" borderId="15" xfId="5" applyNumberFormat="1" applyFont="1" applyFill="1" applyBorder="1" applyAlignment="1" applyProtection="1">
      <alignment horizontal="center"/>
      <protection locked="0"/>
    </xf>
    <xf numFmtId="8" fontId="11" fillId="3" borderId="21" xfId="5" applyNumberFormat="1" applyFont="1" applyFill="1" applyBorder="1" applyAlignment="1" applyProtection="1">
      <alignment horizontal="center"/>
      <protection locked="0"/>
    </xf>
    <xf numFmtId="8" fontId="11" fillId="4" borderId="22" xfId="5" applyNumberFormat="1" applyFont="1" applyFill="1" applyBorder="1" applyAlignment="1" applyProtection="1">
      <alignment horizontal="center"/>
      <protection locked="0"/>
    </xf>
    <xf numFmtId="8" fontId="11" fillId="4" borderId="23" xfId="5" applyNumberFormat="1" applyFont="1" applyFill="1" applyBorder="1" applyAlignment="1" applyProtection="1">
      <alignment horizontal="center"/>
      <protection locked="0"/>
    </xf>
    <xf numFmtId="3" fontId="11" fillId="3" borderId="11" xfId="5" applyNumberFormat="1" applyFont="1" applyFill="1" applyBorder="1" applyAlignment="1" applyProtection="1">
      <alignment horizontal="left"/>
      <protection locked="0"/>
    </xf>
    <xf numFmtId="3" fontId="11" fillId="3" borderId="11" xfId="5" applyNumberFormat="1" applyFont="1" applyFill="1" applyBorder="1" applyAlignment="1" applyProtection="1">
      <alignment horizontal="center"/>
      <protection locked="0"/>
    </xf>
    <xf numFmtId="8" fontId="11" fillId="3" borderId="10" xfId="5" applyNumberFormat="1" applyFont="1" applyFill="1" applyBorder="1" applyAlignment="1" applyProtection="1">
      <alignment horizontal="center"/>
      <protection locked="0"/>
    </xf>
    <xf numFmtId="8" fontId="11" fillId="4" borderId="24" xfId="5" applyNumberFormat="1" applyFont="1" applyFill="1" applyBorder="1" applyAlignment="1" applyProtection="1">
      <alignment horizontal="center"/>
      <protection locked="0"/>
    </xf>
    <xf numFmtId="8" fontId="11" fillId="4" borderId="25" xfId="5" applyNumberFormat="1" applyFont="1" applyFill="1" applyBorder="1" applyAlignment="1" applyProtection="1">
      <alignment horizontal="center"/>
      <protection locked="0"/>
    </xf>
    <xf numFmtId="8" fontId="11" fillId="3" borderId="26" xfId="5" applyNumberFormat="1" applyFont="1" applyFill="1" applyBorder="1" applyAlignment="1" applyProtection="1">
      <alignment horizontal="center"/>
      <protection locked="0"/>
    </xf>
    <xf numFmtId="3" fontId="11" fillId="3" borderId="16" xfId="5" applyNumberFormat="1" applyFont="1" applyFill="1" applyBorder="1" applyAlignment="1" applyProtection="1">
      <alignment horizontal="center"/>
      <protection locked="0"/>
    </xf>
    <xf numFmtId="8" fontId="11" fillId="3" borderId="28" xfId="5" applyNumberFormat="1" applyFont="1" applyFill="1" applyBorder="1" applyAlignment="1" applyProtection="1">
      <alignment horizontal="center"/>
      <protection locked="0"/>
    </xf>
    <xf numFmtId="8" fontId="11" fillId="4" borderId="29" xfId="5" applyNumberFormat="1" applyFont="1" applyFill="1" applyBorder="1" applyAlignment="1" applyProtection="1">
      <alignment horizontal="center"/>
      <protection locked="0"/>
    </xf>
    <xf numFmtId="8" fontId="11" fillId="4" borderId="30" xfId="5" applyNumberFormat="1" applyFont="1" applyFill="1" applyBorder="1" applyAlignment="1" applyProtection="1">
      <alignment horizontal="center"/>
      <protection locked="0"/>
    </xf>
    <xf numFmtId="3" fontId="10" fillId="0" borderId="0" xfId="5" applyNumberFormat="1" applyFont="1"/>
    <xf numFmtId="3" fontId="11" fillId="5" borderId="11" xfId="5" applyNumberFormat="1" applyFont="1" applyFill="1" applyBorder="1" applyAlignment="1" applyProtection="1">
      <alignment horizontal="center"/>
      <protection locked="0"/>
    </xf>
    <xf numFmtId="3" fontId="11" fillId="3" borderId="2" xfId="5" applyNumberFormat="1" applyFont="1" applyFill="1" applyBorder="1" applyAlignment="1" applyProtection="1">
      <alignment horizontal="center"/>
      <protection locked="0"/>
    </xf>
    <xf numFmtId="3" fontId="11" fillId="5" borderId="15" xfId="5" applyNumberFormat="1" applyFont="1" applyFill="1" applyBorder="1" applyProtection="1">
      <protection locked="0"/>
    </xf>
    <xf numFmtId="3" fontId="11" fillId="5" borderId="11" xfId="5" applyNumberFormat="1" applyFont="1" applyFill="1" applyBorder="1" applyProtection="1">
      <protection locked="0"/>
    </xf>
    <xf numFmtId="3" fontId="11" fillId="3" borderId="26" xfId="5" applyNumberFormat="1" applyFont="1" applyFill="1" applyBorder="1" applyAlignment="1" applyProtection="1">
      <alignment horizontal="center"/>
      <protection locked="0"/>
    </xf>
    <xf numFmtId="3" fontId="11" fillId="3" borderId="24" xfId="5" applyNumberFormat="1" applyFont="1" applyFill="1" applyBorder="1" applyAlignment="1" applyProtection="1">
      <alignment horizontal="center"/>
      <protection locked="0"/>
    </xf>
    <xf numFmtId="3" fontId="11" fillId="5" borderId="16" xfId="5" applyNumberFormat="1" applyFont="1" applyFill="1" applyBorder="1" applyAlignment="1" applyProtection="1">
      <alignment horizontal="center"/>
      <protection locked="0"/>
    </xf>
    <xf numFmtId="3" fontId="11" fillId="3" borderId="28" xfId="5" applyNumberFormat="1" applyFont="1" applyFill="1" applyBorder="1" applyAlignment="1" applyProtection="1">
      <alignment horizontal="center"/>
      <protection locked="0"/>
    </xf>
    <xf numFmtId="3" fontId="11" fillId="3" borderId="35" xfId="5" applyNumberFormat="1" applyFont="1" applyFill="1" applyBorder="1" applyAlignment="1" applyProtection="1">
      <alignment horizontal="center"/>
      <protection locked="0"/>
    </xf>
    <xf numFmtId="3" fontId="11" fillId="3" borderId="29" xfId="5" applyNumberFormat="1" applyFont="1" applyFill="1" applyBorder="1" applyAlignment="1" applyProtection="1">
      <alignment horizontal="center"/>
      <protection locked="0"/>
    </xf>
    <xf numFmtId="3" fontId="11" fillId="5" borderId="16" xfId="5" applyNumberFormat="1" applyFont="1" applyFill="1" applyBorder="1" applyProtection="1">
      <protection locked="0"/>
    </xf>
    <xf numFmtId="9" fontId="11" fillId="2" borderId="11" xfId="4" applyNumberFormat="1" applyFont="1" applyFill="1" applyBorder="1" applyAlignment="1" applyProtection="1">
      <alignment horizontal="center"/>
    </xf>
    <xf numFmtId="40" fontId="11" fillId="3" borderId="32" xfId="5" applyNumberFormat="1" applyFont="1" applyFill="1" applyBorder="1" applyAlignment="1" applyProtection="1">
      <alignment horizontal="center"/>
      <protection locked="0"/>
    </xf>
    <xf numFmtId="40" fontId="11" fillId="3" borderId="22" xfId="5" applyNumberFormat="1" applyFont="1" applyFill="1" applyBorder="1" applyAlignment="1" applyProtection="1">
      <alignment horizontal="center"/>
      <protection locked="0"/>
    </xf>
    <xf numFmtId="40" fontId="11" fillId="3" borderId="26" xfId="5" applyNumberFormat="1" applyFont="1" applyFill="1" applyBorder="1" applyAlignment="1" applyProtection="1">
      <alignment horizontal="center"/>
      <protection locked="0"/>
    </xf>
    <xf numFmtId="40" fontId="11" fillId="3" borderId="24" xfId="5" applyNumberFormat="1" applyFont="1" applyFill="1" applyBorder="1" applyAlignment="1" applyProtection="1">
      <alignment horizontal="center"/>
      <protection locked="0"/>
    </xf>
    <xf numFmtId="40" fontId="11" fillId="3" borderId="28" xfId="5" applyNumberFormat="1" applyFont="1" applyFill="1" applyBorder="1" applyAlignment="1" applyProtection="1">
      <alignment horizontal="center"/>
      <protection locked="0"/>
    </xf>
    <xf numFmtId="40" fontId="11" fillId="3" borderId="29" xfId="5" applyNumberFormat="1" applyFont="1" applyFill="1" applyBorder="1" applyAlignment="1" applyProtection="1">
      <alignment horizontal="center"/>
      <protection locked="0"/>
    </xf>
    <xf numFmtId="3" fontId="8" fillId="0" borderId="0" xfId="5" applyNumberFormat="1" applyFont="1"/>
    <xf numFmtId="10" fontId="10" fillId="7" borderId="16" xfId="4" applyFont="1" applyFill="1" applyBorder="1" applyAlignment="1" applyProtection="1">
      <alignment horizontal="center"/>
    </xf>
    <xf numFmtId="0" fontId="17" fillId="0" borderId="0" xfId="3" applyProtection="1">
      <protection hidden="1"/>
    </xf>
    <xf numFmtId="0" fontId="17" fillId="0" borderId="0" xfId="3" applyAlignment="1" applyProtection="1">
      <alignment wrapText="1"/>
      <protection hidden="1"/>
    </xf>
    <xf numFmtId="0" fontId="17" fillId="4" borderId="47" xfId="3" applyFill="1" applyBorder="1" applyAlignment="1" applyProtection="1">
      <alignment horizontal="center" vertical="center"/>
      <protection locked="0"/>
    </xf>
    <xf numFmtId="0" fontId="17" fillId="4" borderId="48" xfId="3" applyFill="1" applyBorder="1" applyProtection="1">
      <protection locked="0"/>
    </xf>
    <xf numFmtId="0" fontId="17" fillId="4" borderId="49" xfId="3" applyFill="1" applyBorder="1" applyAlignment="1" applyProtection="1">
      <alignment horizontal="center" vertical="center"/>
      <protection locked="0"/>
    </xf>
    <xf numFmtId="0" fontId="17" fillId="4" borderId="50" xfId="3" applyFill="1" applyBorder="1" applyProtection="1">
      <protection locked="0"/>
    </xf>
    <xf numFmtId="3" fontId="20" fillId="0" borderId="0" xfId="5" applyNumberFormat="1" applyFont="1"/>
    <xf numFmtId="10" fontId="20" fillId="0" borderId="0" xfId="4" applyFont="1" applyFill="1" applyBorder="1" applyAlignment="1" applyProtection="1">
      <alignment horizontal="center"/>
    </xf>
    <xf numFmtId="3" fontId="20" fillId="9" borderId="9" xfId="5" applyNumberFormat="1" applyFont="1" applyFill="1" applyBorder="1" applyAlignment="1">
      <alignment horizontal="center" wrapText="1"/>
    </xf>
    <xf numFmtId="3" fontId="19" fillId="4" borderId="9" xfId="5" applyNumberFormat="1" applyFont="1" applyFill="1" applyBorder="1" applyProtection="1">
      <protection locked="0"/>
    </xf>
    <xf numFmtId="2" fontId="19" fillId="4" borderId="9" xfId="5" applyNumberFormat="1" applyFont="1" applyFill="1" applyBorder="1" applyProtection="1">
      <protection locked="0"/>
    </xf>
    <xf numFmtId="4" fontId="19" fillId="2" borderId="9" xfId="5" applyNumberFormat="1" applyFont="1" applyFill="1" applyBorder="1"/>
    <xf numFmtId="0" fontId="19" fillId="4" borderId="9" xfId="5" applyFont="1" applyFill="1" applyBorder="1" applyAlignment="1" applyProtection="1">
      <alignment horizontal="center"/>
      <protection locked="0"/>
    </xf>
    <xf numFmtId="173" fontId="19" fillId="4" borderId="9" xfId="5" applyNumberFormat="1" applyFont="1" applyFill="1" applyBorder="1" applyProtection="1">
      <protection locked="0"/>
    </xf>
    <xf numFmtId="173" fontId="19" fillId="2" borderId="9" xfId="5" applyNumberFormat="1" applyFont="1" applyFill="1" applyBorder="1"/>
    <xf numFmtId="0" fontId="21" fillId="0" borderId="0" xfId="5" applyFont="1" applyAlignment="1">
      <alignment horizontal="center"/>
    </xf>
    <xf numFmtId="173" fontId="17" fillId="4" borderId="46" xfId="3" applyNumberFormat="1" applyFill="1" applyBorder="1" applyAlignment="1" applyProtection="1">
      <alignment wrapText="1"/>
      <protection locked="0"/>
    </xf>
    <xf numFmtId="173" fontId="17" fillId="4" borderId="54" xfId="3" applyNumberFormat="1" applyFill="1" applyBorder="1" applyAlignment="1" applyProtection="1">
      <alignment wrapText="1"/>
      <protection locked="0"/>
    </xf>
    <xf numFmtId="0" fontId="17" fillId="4" borderId="55" xfId="3" applyFill="1" applyBorder="1" applyProtection="1">
      <protection locked="0"/>
    </xf>
    <xf numFmtId="0" fontId="17" fillId="4" borderId="38" xfId="3" applyFill="1" applyBorder="1" applyAlignment="1" applyProtection="1">
      <alignment horizontal="center" vertical="center"/>
      <protection locked="0"/>
    </xf>
    <xf numFmtId="0" fontId="17" fillId="4" borderId="45" xfId="3" applyFill="1" applyBorder="1" applyProtection="1">
      <protection locked="0"/>
    </xf>
    <xf numFmtId="173" fontId="17" fillId="4" borderId="44" xfId="3" applyNumberFormat="1" applyFill="1" applyBorder="1" applyAlignment="1" applyProtection="1">
      <alignment wrapText="1"/>
      <protection locked="0"/>
    </xf>
    <xf numFmtId="166" fontId="17" fillId="4" borderId="46" xfId="3" applyNumberFormat="1" applyFill="1" applyBorder="1" applyAlignment="1" applyProtection="1">
      <alignment horizontal="center" wrapText="1"/>
      <protection locked="0"/>
    </xf>
    <xf numFmtId="166" fontId="17" fillId="4" borderId="54" xfId="3" applyNumberFormat="1" applyFill="1" applyBorder="1" applyAlignment="1" applyProtection="1">
      <alignment horizontal="center" wrapText="1"/>
      <protection locked="0"/>
    </xf>
    <xf numFmtId="166" fontId="17" fillId="4" borderId="44" xfId="3" applyNumberFormat="1" applyFill="1" applyBorder="1" applyAlignment="1" applyProtection="1">
      <alignment horizontal="center" wrapText="1"/>
      <protection locked="0"/>
    </xf>
    <xf numFmtId="0" fontId="11" fillId="0" borderId="0" xfId="3" applyFont="1" applyProtection="1">
      <protection hidden="1"/>
    </xf>
    <xf numFmtId="3" fontId="19" fillId="0" borderId="0" xfId="5" applyNumberFormat="1" applyFont="1"/>
    <xf numFmtId="173" fontId="19" fillId="13" borderId="9" xfId="5" applyNumberFormat="1" applyFont="1" applyFill="1" applyBorder="1" applyProtection="1">
      <protection locked="0"/>
    </xf>
    <xf numFmtId="173" fontId="19" fillId="2" borderId="52" xfId="5" applyNumberFormat="1" applyFont="1" applyFill="1" applyBorder="1"/>
    <xf numFmtId="3" fontId="23" fillId="12" borderId="9" xfId="5" applyNumberFormat="1" applyFont="1" applyFill="1" applyBorder="1" applyAlignment="1" applyProtection="1">
      <alignment horizontal="center" wrapText="1"/>
      <protection hidden="1"/>
    </xf>
    <xf numFmtId="173" fontId="24" fillId="12" borderId="9" xfId="5" applyNumberFormat="1" applyFont="1" applyFill="1" applyBorder="1" applyProtection="1">
      <protection hidden="1"/>
    </xf>
    <xf numFmtId="0" fontId="19" fillId="10" borderId="0" xfId="5" applyFont="1" applyFill="1"/>
    <xf numFmtId="0" fontId="19" fillId="10" borderId="39" xfId="5" applyFont="1" applyFill="1" applyBorder="1"/>
    <xf numFmtId="0" fontId="19" fillId="2" borderId="11" xfId="5" applyFont="1" applyFill="1" applyBorder="1"/>
    <xf numFmtId="0" fontId="19" fillId="9" borderId="6" xfId="5" applyFont="1" applyFill="1" applyBorder="1"/>
    <xf numFmtId="0" fontId="19" fillId="9" borderId="9" xfId="5" applyFont="1" applyFill="1" applyBorder="1"/>
    <xf numFmtId="0" fontId="19" fillId="2" borderId="16" xfId="5" applyFont="1" applyFill="1" applyBorder="1"/>
    <xf numFmtId="173" fontId="19" fillId="2" borderId="16" xfId="5" applyNumberFormat="1" applyFont="1" applyFill="1" applyBorder="1"/>
    <xf numFmtId="173" fontId="19" fillId="6" borderId="17" xfId="5" applyNumberFormat="1" applyFont="1" applyFill="1" applyBorder="1"/>
    <xf numFmtId="173" fontId="19" fillId="6" borderId="51" xfId="5" applyNumberFormat="1" applyFont="1" applyFill="1" applyBorder="1"/>
    <xf numFmtId="0" fontId="25" fillId="0" borderId="17" xfId="3" applyFont="1" applyBorder="1" applyAlignment="1" applyProtection="1">
      <alignment wrapText="1"/>
      <protection hidden="1"/>
    </xf>
    <xf numFmtId="0" fontId="8" fillId="6" borderId="9" xfId="3" applyFont="1" applyFill="1" applyBorder="1" applyAlignment="1" applyProtection="1">
      <alignment wrapText="1"/>
      <protection hidden="1"/>
    </xf>
    <xf numFmtId="0" fontId="11" fillId="7" borderId="9" xfId="3" applyFont="1" applyFill="1" applyBorder="1" applyAlignment="1" applyProtection="1">
      <alignment horizontal="left" wrapText="1"/>
      <protection locked="0"/>
    </xf>
    <xf numFmtId="0" fontId="10" fillId="14" borderId="9" xfId="3" applyFont="1" applyFill="1" applyBorder="1" applyAlignment="1" applyProtection="1">
      <alignment wrapText="1"/>
      <protection hidden="1"/>
    </xf>
    <xf numFmtId="0" fontId="11" fillId="15" borderId="9" xfId="3" applyFont="1" applyFill="1" applyBorder="1" applyAlignment="1" applyProtection="1">
      <alignment vertical="top" wrapText="1"/>
      <protection locked="0"/>
    </xf>
    <xf numFmtId="0" fontId="11" fillId="4" borderId="47" xfId="3" applyFont="1" applyFill="1" applyBorder="1" applyAlignment="1" applyProtection="1">
      <alignment horizontal="center" vertical="center"/>
      <protection locked="0"/>
    </xf>
    <xf numFmtId="0" fontId="11" fillId="4" borderId="37" xfId="3" applyFont="1" applyFill="1" applyBorder="1" applyAlignment="1" applyProtection="1">
      <alignment horizontal="center" vertical="center"/>
      <protection locked="0"/>
    </xf>
    <xf numFmtId="40" fontId="8" fillId="2" borderId="9" xfId="5" applyNumberFormat="1" applyFont="1" applyFill="1" applyBorder="1" applyAlignment="1">
      <alignment horizontal="center"/>
    </xf>
    <xf numFmtId="40" fontId="8" fillId="2" borderId="31" xfId="5" applyNumberFormat="1" applyFont="1" applyFill="1" applyBorder="1" applyAlignment="1">
      <alignment horizontal="center" vertical="center"/>
    </xf>
    <xf numFmtId="40" fontId="8" fillId="2" borderId="40" xfId="5" applyNumberFormat="1" applyFont="1" applyFill="1" applyBorder="1" applyAlignment="1">
      <alignment horizontal="center"/>
    </xf>
    <xf numFmtId="40" fontId="10" fillId="2" borderId="31" xfId="5" applyNumberFormat="1" applyFont="1" applyFill="1" applyBorder="1" applyAlignment="1">
      <alignment horizontal="center"/>
    </xf>
    <xf numFmtId="3" fontId="11" fillId="0" borderId="0" xfId="0" applyNumberFormat="1" applyFont="1"/>
    <xf numFmtId="3" fontId="10" fillId="0" borderId="0" xfId="0" applyNumberFormat="1" applyFont="1"/>
    <xf numFmtId="3" fontId="11" fillId="15" borderId="15" xfId="0" applyNumberFormat="1" applyFont="1" applyFill="1" applyBorder="1"/>
    <xf numFmtId="3" fontId="11" fillId="15" borderId="11" xfId="0" applyNumberFormat="1" applyFont="1" applyFill="1" applyBorder="1"/>
    <xf numFmtId="3" fontId="11" fillId="15" borderId="16" xfId="0" applyNumberFormat="1" applyFont="1" applyFill="1" applyBorder="1"/>
    <xf numFmtId="3" fontId="11" fillId="15" borderId="21" xfId="0" applyNumberFormat="1" applyFont="1" applyFill="1" applyBorder="1"/>
    <xf numFmtId="3" fontId="11" fillId="15" borderId="10" xfId="0" applyNumberFormat="1" applyFont="1" applyFill="1" applyBorder="1"/>
    <xf numFmtId="3" fontId="11" fillId="15" borderId="27" xfId="0" applyNumberFormat="1" applyFont="1" applyFill="1" applyBorder="1"/>
    <xf numFmtId="3" fontId="10" fillId="16" borderId="9" xfId="0" applyNumberFormat="1" applyFont="1" applyFill="1" applyBorder="1"/>
    <xf numFmtId="10" fontId="11" fillId="15" borderId="31" xfId="4" applyFont="1" applyFill="1" applyBorder="1" applyAlignment="1" applyProtection="1">
      <alignment horizontal="center"/>
      <protection locked="0"/>
    </xf>
    <xf numFmtId="3" fontId="11" fillId="3" borderId="10" xfId="5" applyNumberFormat="1" applyFont="1" applyFill="1" applyBorder="1" applyAlignment="1" applyProtection="1">
      <alignment horizontal="left"/>
      <protection locked="0"/>
    </xf>
    <xf numFmtId="3" fontId="11" fillId="3" borderId="27" xfId="5" applyNumberFormat="1" applyFont="1" applyFill="1" applyBorder="1" applyAlignment="1" applyProtection="1">
      <alignment horizontal="left"/>
      <protection locked="0"/>
    </xf>
    <xf numFmtId="3" fontId="11" fillId="20" borderId="10" xfId="5" applyNumberFormat="1" applyFont="1" applyFill="1" applyBorder="1" applyAlignment="1">
      <alignment horizontal="center" vertical="center"/>
    </xf>
    <xf numFmtId="3" fontId="11" fillId="20" borderId="27" xfId="5" applyNumberFormat="1" applyFont="1" applyFill="1" applyBorder="1" applyAlignment="1">
      <alignment horizontal="center" vertical="center"/>
    </xf>
    <xf numFmtId="9" fontId="11" fillId="15" borderId="31" xfId="4" applyNumberFormat="1" applyFont="1" applyFill="1" applyBorder="1" applyAlignment="1" applyProtection="1">
      <alignment horizontal="center"/>
      <protection locked="0"/>
    </xf>
    <xf numFmtId="40" fontId="11" fillId="15" borderId="47" xfId="5" applyNumberFormat="1" applyFont="1" applyFill="1" applyBorder="1" applyAlignment="1" applyProtection="1">
      <alignment horizontal="center"/>
      <protection locked="0"/>
    </xf>
    <xf numFmtId="0" fontId="17" fillId="0" borderId="0" xfId="3"/>
    <xf numFmtId="175" fontId="29" fillId="0" borderId="77" xfId="0" applyNumberFormat="1" applyFont="1" applyBorder="1"/>
    <xf numFmtId="0" fontId="27" fillId="0" borderId="73" xfId="0" applyFont="1" applyBorder="1"/>
    <xf numFmtId="0" fontId="27" fillId="0" borderId="78" xfId="0" applyFont="1" applyBorder="1"/>
    <xf numFmtId="0" fontId="27" fillId="0" borderId="77" xfId="0" applyFont="1" applyBorder="1"/>
    <xf numFmtId="0" fontId="30" fillId="23" borderId="80" xfId="0" applyFont="1" applyFill="1" applyBorder="1"/>
    <xf numFmtId="0" fontId="29" fillId="15" borderId="48" xfId="0" applyFont="1" applyFill="1" applyBorder="1" applyProtection="1">
      <protection locked="0"/>
    </xf>
    <xf numFmtId="0" fontId="29" fillId="15" borderId="50" xfId="0" applyFont="1" applyFill="1" applyBorder="1" applyProtection="1">
      <protection locked="0"/>
    </xf>
    <xf numFmtId="0" fontId="27" fillId="0" borderId="76" xfId="0" applyFont="1" applyBorder="1"/>
    <xf numFmtId="8" fontId="27" fillId="20" borderId="9" xfId="0" applyNumberFormat="1" applyFont="1" applyFill="1" applyBorder="1" applyAlignment="1">
      <alignment horizontal="center"/>
    </xf>
    <xf numFmtId="0" fontId="30" fillId="23" borderId="88" xfId="0" applyFont="1" applyFill="1" applyBorder="1" applyAlignment="1">
      <alignment horizontal="center"/>
    </xf>
    <xf numFmtId="0" fontId="30" fillId="23" borderId="90" xfId="0" applyFont="1" applyFill="1" applyBorder="1" applyAlignment="1">
      <alignment horizontal="center"/>
    </xf>
    <xf numFmtId="176" fontId="29" fillId="15" borderId="41" xfId="0" applyNumberFormat="1" applyFont="1" applyFill="1" applyBorder="1" applyAlignment="1" applyProtection="1">
      <alignment horizontal="center"/>
      <protection locked="0"/>
    </xf>
    <xf numFmtId="0" fontId="27" fillId="0" borderId="91" xfId="0" applyFont="1" applyBorder="1" applyAlignment="1">
      <alignment horizontal="right"/>
    </xf>
    <xf numFmtId="175" fontId="29" fillId="0" borderId="93" xfId="0" applyNumberFormat="1" applyFont="1" applyBorder="1"/>
    <xf numFmtId="0" fontId="27" fillId="0" borderId="92" xfId="0" applyFont="1" applyBorder="1" applyAlignment="1">
      <alignment horizontal="right"/>
    </xf>
    <xf numFmtId="0" fontId="27" fillId="0" borderId="95" xfId="0" applyFont="1" applyBorder="1"/>
    <xf numFmtId="8" fontId="31" fillId="15" borderId="46" xfId="0" applyNumberFormat="1" applyFont="1" applyFill="1" applyBorder="1" applyAlignment="1" applyProtection="1">
      <alignment horizontal="center"/>
      <protection locked="0"/>
    </xf>
    <xf numFmtId="8" fontId="31" fillId="15" borderId="54" xfId="0" applyNumberFormat="1" applyFont="1" applyFill="1" applyBorder="1" applyAlignment="1" applyProtection="1">
      <alignment horizontal="center"/>
      <protection locked="0"/>
    </xf>
    <xf numFmtId="0" fontId="27" fillId="0" borderId="93" xfId="0" applyFont="1" applyBorder="1"/>
    <xf numFmtId="0" fontId="27" fillId="0" borderId="96" xfId="0" applyFont="1" applyBorder="1"/>
    <xf numFmtId="8" fontId="8" fillId="13" borderId="6" xfId="5" applyNumberFormat="1" applyFont="1" applyFill="1" applyBorder="1" applyAlignment="1" applyProtection="1">
      <alignment horizontal="center"/>
      <protection locked="0"/>
    </xf>
    <xf numFmtId="167" fontId="9" fillId="13" borderId="9" xfId="5" applyNumberFormat="1" applyFont="1" applyFill="1" applyBorder="1" applyAlignment="1" applyProtection="1">
      <alignment horizontal="center"/>
      <protection locked="0"/>
    </xf>
    <xf numFmtId="40" fontId="11" fillId="13" borderId="22" xfId="5" applyNumberFormat="1" applyFont="1" applyFill="1" applyBorder="1" applyAlignment="1" applyProtection="1">
      <alignment horizontal="center"/>
      <protection locked="0"/>
    </xf>
    <xf numFmtId="40" fontId="11" fillId="13" borderId="24" xfId="5" applyNumberFormat="1" applyFont="1" applyFill="1" applyBorder="1" applyAlignment="1" applyProtection="1">
      <alignment horizontal="center"/>
      <protection locked="0"/>
    </xf>
    <xf numFmtId="40" fontId="11" fillId="13" borderId="29" xfId="5" applyNumberFormat="1" applyFont="1" applyFill="1" applyBorder="1" applyAlignment="1" applyProtection="1">
      <alignment horizontal="center"/>
      <protection locked="0"/>
    </xf>
    <xf numFmtId="171" fontId="11" fillId="15" borderId="32" xfId="5" applyNumberFormat="1" applyFont="1" applyFill="1" applyBorder="1" applyAlignment="1" applyProtection="1">
      <alignment horizontal="center"/>
      <protection locked="0"/>
    </xf>
    <xf numFmtId="171" fontId="11" fillId="15" borderId="26" xfId="5" applyNumberFormat="1" applyFont="1" applyFill="1" applyBorder="1" applyAlignment="1" applyProtection="1">
      <alignment horizontal="center"/>
      <protection locked="0"/>
    </xf>
    <xf numFmtId="171" fontId="11" fillId="15" borderId="28" xfId="5" applyNumberFormat="1" applyFont="1" applyFill="1" applyBorder="1" applyAlignment="1" applyProtection="1">
      <alignment horizontal="center"/>
      <protection locked="0"/>
    </xf>
    <xf numFmtId="8" fontId="8" fillId="15" borderId="6" xfId="5" applyNumberFormat="1" applyFont="1" applyFill="1" applyBorder="1" applyAlignment="1" applyProtection="1">
      <alignment horizontal="center"/>
      <protection locked="0"/>
    </xf>
    <xf numFmtId="10" fontId="19" fillId="2" borderId="11" xfId="4" applyFont="1" applyFill="1" applyBorder="1" applyProtection="1"/>
    <xf numFmtId="3" fontId="10" fillId="16" borderId="8" xfId="0" applyNumberFormat="1" applyFont="1" applyFill="1" applyBorder="1"/>
    <xf numFmtId="3" fontId="11" fillId="15" borderId="43" xfId="0" applyNumberFormat="1" applyFont="1" applyFill="1" applyBorder="1"/>
    <xf numFmtId="3" fontId="11" fillId="15" borderId="39" xfId="0" applyNumberFormat="1" applyFont="1" applyFill="1" applyBorder="1"/>
    <xf numFmtId="3" fontId="11" fillId="15" borderId="51" xfId="0" applyNumberFormat="1" applyFont="1" applyFill="1" applyBorder="1"/>
    <xf numFmtId="3" fontId="10" fillId="24" borderId="9" xfId="0" applyNumberFormat="1" applyFont="1" applyFill="1" applyBorder="1"/>
    <xf numFmtId="37" fontId="11" fillId="0" borderId="0" xfId="2" applyFont="1" applyProtection="1">
      <protection locked="0"/>
    </xf>
    <xf numFmtId="3" fontId="0" fillId="0" borderId="0" xfId="0" applyNumberFormat="1" applyProtection="1">
      <protection locked="0"/>
    </xf>
    <xf numFmtId="37" fontId="10" fillId="0" borderId="0" xfId="2" applyFont="1" applyProtection="1">
      <protection locked="0"/>
    </xf>
    <xf numFmtId="37" fontId="11" fillId="0" borderId="3" xfId="2" applyFont="1" applyBorder="1"/>
    <xf numFmtId="37" fontId="11" fillId="0" borderId="4" xfId="2" applyFont="1" applyBorder="1"/>
    <xf numFmtId="37" fontId="11" fillId="0" borderId="1" xfId="2" applyFont="1" applyBorder="1"/>
    <xf numFmtId="37" fontId="11" fillId="0" borderId="0" xfId="2" applyFont="1"/>
    <xf numFmtId="37" fontId="11" fillId="0" borderId="2" xfId="2" applyFont="1" applyBorder="1"/>
    <xf numFmtId="37" fontId="13" fillId="0" borderId="0" xfId="2" applyFont="1" applyAlignment="1">
      <alignment vertical="center"/>
    </xf>
    <xf numFmtId="37" fontId="10" fillId="0" borderId="1" xfId="2" applyFont="1" applyBorder="1" applyAlignment="1">
      <alignment horizontal="right" vertical="center"/>
    </xf>
    <xf numFmtId="37" fontId="10" fillId="0" borderId="4" xfId="2" applyFont="1" applyBorder="1" applyAlignment="1">
      <alignment vertical="center"/>
    </xf>
    <xf numFmtId="37" fontId="10" fillId="0" borderId="4" xfId="2" applyFont="1" applyBorder="1"/>
    <xf numFmtId="37" fontId="10" fillId="0" borderId="5" xfId="2" applyFont="1" applyBorder="1"/>
    <xf numFmtId="37" fontId="11" fillId="0" borderId="13" xfId="2" applyFont="1" applyBorder="1"/>
    <xf numFmtId="37" fontId="11" fillId="0" borderId="14" xfId="2" applyFont="1" applyBorder="1"/>
    <xf numFmtId="3" fontId="11" fillId="12" borderId="0" xfId="5" applyNumberFormat="1" applyFont="1" applyFill="1"/>
    <xf numFmtId="3" fontId="10" fillId="16" borderId="9" xfId="5" applyNumberFormat="1" applyFont="1" applyFill="1" applyBorder="1" applyAlignment="1">
      <alignment horizontal="center" vertical="center"/>
    </xf>
    <xf numFmtId="1" fontId="10" fillId="16" borderId="19" xfId="5" applyNumberFormat="1" applyFont="1" applyFill="1" applyBorder="1" applyAlignment="1">
      <alignment horizontal="center"/>
    </xf>
    <xf numFmtId="1" fontId="10" fillId="16" borderId="20" xfId="5" applyNumberFormat="1" applyFont="1" applyFill="1" applyBorder="1" applyAlignment="1">
      <alignment horizontal="center"/>
    </xf>
    <xf numFmtId="1" fontId="11" fillId="16" borderId="18" xfId="5" applyNumberFormat="1" applyFont="1" applyFill="1" applyBorder="1" applyAlignment="1">
      <alignment horizontal="center"/>
    </xf>
    <xf numFmtId="1" fontId="11" fillId="16" borderId="19" xfId="5" applyNumberFormat="1" applyFont="1" applyFill="1" applyBorder="1" applyAlignment="1">
      <alignment horizontal="center"/>
    </xf>
    <xf numFmtId="1" fontId="11" fillId="16" borderId="20" xfId="5" applyNumberFormat="1" applyFont="1" applyFill="1" applyBorder="1" applyAlignment="1">
      <alignment horizontal="center"/>
    </xf>
    <xf numFmtId="3" fontId="11" fillId="0" borderId="0" xfId="5" applyNumberFormat="1" applyFont="1" applyProtection="1">
      <protection locked="0"/>
    </xf>
    <xf numFmtId="3" fontId="10" fillId="0" borderId="0" xfId="5" applyNumberFormat="1" applyFont="1" applyAlignment="1" applyProtection="1">
      <alignment horizontal="center"/>
      <protection locked="0"/>
    </xf>
    <xf numFmtId="3" fontId="11" fillId="0" borderId="0" xfId="5" applyNumberFormat="1" applyFont="1" applyAlignment="1" applyProtection="1">
      <alignment horizontal="center"/>
      <protection locked="0"/>
    </xf>
    <xf numFmtId="3" fontId="19" fillId="0" borderId="0" xfId="5" applyNumberFormat="1" applyFont="1" applyProtection="1">
      <protection locked="0"/>
    </xf>
    <xf numFmtId="3" fontId="11" fillId="16" borderId="15" xfId="0" applyNumberFormat="1" applyFont="1" applyFill="1" applyBorder="1"/>
    <xf numFmtId="3" fontId="10" fillId="16" borderId="6" xfId="5" applyNumberFormat="1" applyFont="1" applyFill="1" applyBorder="1"/>
    <xf numFmtId="3" fontId="10" fillId="16" borderId="9" xfId="5" applyNumberFormat="1" applyFont="1" applyFill="1" applyBorder="1" applyAlignment="1">
      <alignment horizontal="center"/>
    </xf>
    <xf numFmtId="3" fontId="11" fillId="16" borderId="10" xfId="5" applyNumberFormat="1" applyFont="1" applyFill="1" applyBorder="1"/>
    <xf numFmtId="3" fontId="10" fillId="16" borderId="10" xfId="5" applyNumberFormat="1" applyFont="1" applyFill="1" applyBorder="1" applyAlignment="1">
      <alignment horizontal="center"/>
    </xf>
    <xf numFmtId="9" fontId="11" fillId="16" borderId="15" xfId="4" applyNumberFormat="1" applyFont="1" applyFill="1" applyBorder="1" applyAlignment="1" applyProtection="1">
      <alignment horizontal="center"/>
    </xf>
    <xf numFmtId="3" fontId="11" fillId="16" borderId="10" xfId="5" applyNumberFormat="1" applyFont="1" applyFill="1" applyBorder="1" applyAlignment="1">
      <alignment horizontal="center"/>
    </xf>
    <xf numFmtId="3" fontId="11" fillId="16" borderId="43" xfId="5" applyNumberFormat="1" applyFont="1" applyFill="1" applyBorder="1" applyAlignment="1">
      <alignment horizontal="center"/>
    </xf>
    <xf numFmtId="9" fontId="15" fillId="6" borderId="9" xfId="4" applyNumberFormat="1" applyFont="1" applyFill="1" applyBorder="1" applyAlignment="1" applyProtection="1">
      <alignment horizontal="center" vertical="center"/>
    </xf>
    <xf numFmtId="3" fontId="11" fillId="16" borderId="15" xfId="5" applyNumberFormat="1" applyFont="1" applyFill="1" applyBorder="1" applyAlignment="1">
      <alignment horizontal="center"/>
    </xf>
    <xf numFmtId="1" fontId="11" fillId="16" borderId="32" xfId="5" applyNumberFormat="1" applyFont="1" applyFill="1" applyBorder="1" applyAlignment="1">
      <alignment horizontal="center"/>
    </xf>
    <xf numFmtId="1" fontId="11" fillId="16" borderId="33" xfId="5" applyNumberFormat="1" applyFont="1" applyFill="1" applyBorder="1" applyAlignment="1">
      <alignment horizontal="center"/>
    </xf>
    <xf numFmtId="1" fontId="11" fillId="16" borderId="22" xfId="5" applyNumberFormat="1" applyFont="1" applyFill="1" applyBorder="1" applyAlignment="1">
      <alignment horizontal="center"/>
    </xf>
    <xf numFmtId="3" fontId="10" fillId="16" borderId="9" xfId="5" applyNumberFormat="1" applyFont="1" applyFill="1" applyBorder="1"/>
    <xf numFmtId="3" fontId="11" fillId="16" borderId="6" xfId="5" applyNumberFormat="1" applyFont="1" applyFill="1" applyBorder="1" applyAlignment="1">
      <alignment horizontal="center"/>
    </xf>
    <xf numFmtId="40" fontId="11" fillId="16" borderId="18" xfId="5" applyNumberFormat="1" applyFont="1" applyFill="1" applyBorder="1" applyAlignment="1">
      <alignment horizontal="center"/>
    </xf>
    <xf numFmtId="40" fontId="11" fillId="16" borderId="19" xfId="5" applyNumberFormat="1" applyFont="1" applyFill="1" applyBorder="1" applyAlignment="1">
      <alignment horizontal="center"/>
    </xf>
    <xf numFmtId="40" fontId="11" fillId="16" borderId="9" xfId="5" applyNumberFormat="1" applyFont="1" applyFill="1" applyBorder="1" applyAlignment="1">
      <alignment horizontal="center"/>
    </xf>
    <xf numFmtId="3" fontId="10" fillId="16" borderId="8" xfId="5" applyNumberFormat="1" applyFont="1" applyFill="1" applyBorder="1" applyAlignment="1">
      <alignment horizontal="center"/>
    </xf>
    <xf numFmtId="3" fontId="10" fillId="16" borderId="18" xfId="5" applyNumberFormat="1" applyFont="1" applyFill="1" applyBorder="1" applyAlignment="1">
      <alignment horizontal="center"/>
    </xf>
    <xf numFmtId="3" fontId="10" fillId="16" borderId="34" xfId="5" applyNumberFormat="1" applyFont="1" applyFill="1" applyBorder="1" applyAlignment="1">
      <alignment horizontal="center"/>
    </xf>
    <xf numFmtId="3" fontId="10" fillId="16" borderId="19" xfId="5" applyNumberFormat="1" applyFont="1" applyFill="1" applyBorder="1" applyAlignment="1">
      <alignment horizontal="center"/>
    </xf>
    <xf numFmtId="40" fontId="11" fillId="16" borderId="20" xfId="5" applyNumberFormat="1" applyFont="1" applyFill="1" applyBorder="1" applyAlignment="1">
      <alignment horizontal="center"/>
    </xf>
    <xf numFmtId="3" fontId="10" fillId="16" borderId="9" xfId="5" applyNumberFormat="1" applyFont="1" applyFill="1" applyBorder="1" applyAlignment="1">
      <alignment horizontal="left"/>
    </xf>
    <xf numFmtId="3" fontId="11" fillId="16" borderId="21" xfId="5" applyNumberFormat="1" applyFont="1" applyFill="1" applyBorder="1" applyAlignment="1">
      <alignment horizontal="center"/>
    </xf>
    <xf numFmtId="40" fontId="11" fillId="16" borderId="8" xfId="5" applyNumberFormat="1" applyFont="1" applyFill="1" applyBorder="1" applyAlignment="1">
      <alignment horizontal="center"/>
    </xf>
    <xf numFmtId="40" fontId="10" fillId="16" borderId="28" xfId="5" applyNumberFormat="1" applyFont="1" applyFill="1" applyBorder="1" applyAlignment="1">
      <alignment horizontal="center"/>
    </xf>
    <xf numFmtId="40" fontId="10" fillId="16" borderId="29" xfId="5" applyNumberFormat="1" applyFont="1" applyFill="1" applyBorder="1" applyAlignment="1">
      <alignment horizontal="center"/>
    </xf>
    <xf numFmtId="40" fontId="10" fillId="16" borderId="16" xfId="5" applyNumberFormat="1" applyFont="1" applyFill="1" applyBorder="1" applyAlignment="1">
      <alignment horizontal="center"/>
    </xf>
    <xf numFmtId="40" fontId="11" fillId="16" borderId="26" xfId="5" applyNumberFormat="1" applyFont="1" applyFill="1" applyBorder="1" applyAlignment="1">
      <alignment horizontal="center"/>
    </xf>
    <xf numFmtId="40" fontId="11" fillId="16" borderId="24" xfId="5" applyNumberFormat="1" applyFont="1" applyFill="1" applyBorder="1" applyAlignment="1">
      <alignment horizontal="center"/>
    </xf>
    <xf numFmtId="40" fontId="10" fillId="16" borderId="18" xfId="5" applyNumberFormat="1" applyFont="1" applyFill="1" applyBorder="1" applyAlignment="1">
      <alignment horizontal="center"/>
    </xf>
    <xf numFmtId="40" fontId="10" fillId="16" borderId="19" xfId="5" applyNumberFormat="1" applyFont="1" applyFill="1" applyBorder="1" applyAlignment="1">
      <alignment horizontal="center"/>
    </xf>
    <xf numFmtId="40" fontId="10" fillId="16" borderId="9" xfId="5" applyNumberFormat="1" applyFont="1" applyFill="1" applyBorder="1" applyAlignment="1">
      <alignment horizontal="center"/>
    </xf>
    <xf numFmtId="4" fontId="11" fillId="12" borderId="3" xfId="5" applyNumberFormat="1" applyFont="1" applyFill="1" applyBorder="1"/>
    <xf numFmtId="4" fontId="11" fillId="12" borderId="4" xfId="5" applyNumberFormat="1" applyFont="1" applyFill="1" applyBorder="1"/>
    <xf numFmtId="4" fontId="11" fillId="12" borderId="5" xfId="5" applyNumberFormat="1" applyFont="1" applyFill="1" applyBorder="1"/>
    <xf numFmtId="4" fontId="11" fillId="12" borderId="37" xfId="5" applyNumberFormat="1" applyFont="1" applyFill="1" applyBorder="1" applyAlignment="1">
      <alignment horizontal="center"/>
    </xf>
    <xf numFmtId="3" fontId="11" fillId="12" borderId="3" xfId="5" applyNumberFormat="1" applyFont="1" applyFill="1" applyBorder="1" applyAlignment="1">
      <alignment horizontal="center"/>
    </xf>
    <xf numFmtId="4" fontId="11" fillId="12" borderId="1" xfId="5" applyNumberFormat="1" applyFont="1" applyFill="1" applyBorder="1"/>
    <xf numFmtId="4" fontId="11" fillId="12" borderId="0" xfId="5" applyNumberFormat="1" applyFont="1" applyFill="1"/>
    <xf numFmtId="4" fontId="11" fillId="12" borderId="2" xfId="5" applyNumberFormat="1" applyFont="1" applyFill="1" applyBorder="1"/>
    <xf numFmtId="4" fontId="11" fillId="12" borderId="24" xfId="5" applyNumberFormat="1" applyFont="1" applyFill="1" applyBorder="1" applyAlignment="1">
      <alignment horizontal="center"/>
    </xf>
    <xf numFmtId="3" fontId="11" fillId="12" borderId="1" xfId="5" applyNumberFormat="1" applyFont="1" applyFill="1" applyBorder="1" applyAlignment="1">
      <alignment horizontal="center"/>
    </xf>
    <xf numFmtId="4" fontId="11" fillId="12" borderId="12" xfId="5" applyNumberFormat="1" applyFont="1" applyFill="1" applyBorder="1"/>
    <xf numFmtId="4" fontId="11" fillId="12" borderId="13" xfId="5" applyNumberFormat="1" applyFont="1" applyFill="1" applyBorder="1"/>
    <xf numFmtId="4" fontId="11" fillId="12" borderId="14" xfId="5" applyNumberFormat="1" applyFont="1" applyFill="1" applyBorder="1"/>
    <xf numFmtId="4" fontId="11" fillId="12" borderId="38" xfId="5" applyNumberFormat="1" applyFont="1" applyFill="1" applyBorder="1" applyAlignment="1">
      <alignment horizontal="center"/>
    </xf>
    <xf numFmtId="3" fontId="11" fillId="12" borderId="12" xfId="5" applyNumberFormat="1" applyFont="1" applyFill="1" applyBorder="1" applyAlignment="1">
      <alignment horizontal="center"/>
    </xf>
    <xf numFmtId="3" fontId="11" fillId="12" borderId="0" xfId="5" applyNumberFormat="1" applyFont="1" applyFill="1" applyAlignment="1">
      <alignment horizontal="center"/>
    </xf>
    <xf numFmtId="3" fontId="11" fillId="16" borderId="11" xfId="5" applyNumberFormat="1" applyFont="1" applyFill="1" applyBorder="1" applyAlignment="1">
      <alignment horizontal="center"/>
    </xf>
    <xf numFmtId="3" fontId="11" fillId="16" borderId="16" xfId="5" applyNumberFormat="1" applyFont="1" applyFill="1" applyBorder="1" applyAlignment="1">
      <alignment horizontal="center"/>
    </xf>
    <xf numFmtId="40" fontId="11" fillId="16" borderId="11" xfId="5" applyNumberFormat="1" applyFont="1" applyFill="1" applyBorder="1" applyAlignment="1">
      <alignment horizontal="center"/>
    </xf>
    <xf numFmtId="40" fontId="11" fillId="16" borderId="16" xfId="5" applyNumberFormat="1" applyFont="1" applyFill="1" applyBorder="1" applyAlignment="1">
      <alignment horizontal="center"/>
    </xf>
    <xf numFmtId="9" fontId="11" fillId="16" borderId="11" xfId="4" applyNumberFormat="1" applyFont="1" applyFill="1" applyBorder="1" applyAlignment="1" applyProtection="1">
      <alignment horizontal="center"/>
    </xf>
    <xf numFmtId="0" fontId="21" fillId="12" borderId="0" xfId="5" applyFont="1" applyFill="1" applyAlignment="1">
      <alignment horizontal="center"/>
    </xf>
    <xf numFmtId="3" fontId="11" fillId="16" borderId="11" xfId="5" applyNumberFormat="1" applyFont="1" applyFill="1" applyBorder="1"/>
    <xf numFmtId="3" fontId="11" fillId="16" borderId="16" xfId="5" applyNumberFormat="1" applyFont="1" applyFill="1" applyBorder="1"/>
    <xf numFmtId="3" fontId="0" fillId="12" borderId="0" xfId="0" applyNumberFormat="1" applyFill="1"/>
    <xf numFmtId="3" fontId="9" fillId="0" borderId="0" xfId="5" applyNumberFormat="1" applyFont="1" applyProtection="1">
      <protection locked="0"/>
    </xf>
    <xf numFmtId="3" fontId="8" fillId="0" borderId="0" xfId="5" applyNumberFormat="1" applyFont="1" applyProtection="1">
      <protection locked="0"/>
    </xf>
    <xf numFmtId="3" fontId="29" fillId="0" borderId="0" xfId="5" applyNumberFormat="1" applyFont="1" applyAlignment="1" applyProtection="1">
      <alignment vertical="center"/>
      <protection locked="0"/>
    </xf>
    <xf numFmtId="3" fontId="27" fillId="0" borderId="0" xfId="5" applyNumberFormat="1" applyFont="1" applyAlignment="1" applyProtection="1">
      <alignment vertical="center"/>
      <protection locked="0"/>
    </xf>
    <xf numFmtId="3" fontId="29" fillId="0" borderId="0" xfId="0" applyNumberFormat="1" applyFont="1" applyProtection="1">
      <protection locked="0"/>
    </xf>
    <xf numFmtId="3" fontId="8" fillId="16" borderId="9" xfId="5" applyNumberFormat="1" applyFont="1" applyFill="1" applyBorder="1" applyAlignment="1">
      <alignment horizontal="center"/>
    </xf>
    <xf numFmtId="3" fontId="8" fillId="16" borderId="6" xfId="5" applyNumberFormat="1" applyFont="1" applyFill="1" applyBorder="1"/>
    <xf numFmtId="3" fontId="8" fillId="16" borderId="7" xfId="5" applyNumberFormat="1" applyFont="1" applyFill="1" applyBorder="1"/>
    <xf numFmtId="3" fontId="10" fillId="16" borderId="7" xfId="5" applyNumberFormat="1" applyFont="1" applyFill="1" applyBorder="1" applyAlignment="1">
      <alignment horizontal="center"/>
    </xf>
    <xf numFmtId="40" fontId="11" fillId="0" borderId="0" xfId="5" applyNumberFormat="1" applyFont="1"/>
    <xf numFmtId="3" fontId="8" fillId="16" borderId="7" xfId="5" applyNumberFormat="1" applyFont="1" applyFill="1" applyBorder="1" applyAlignment="1">
      <alignment horizontal="center"/>
    </xf>
    <xf numFmtId="3" fontId="8" fillId="16" borderId="42" xfId="5" applyNumberFormat="1" applyFont="1" applyFill="1" applyBorder="1" applyAlignment="1">
      <alignment horizontal="center"/>
    </xf>
    <xf numFmtId="40" fontId="8" fillId="16" borderId="18" xfId="5" applyNumberFormat="1" applyFont="1" applyFill="1" applyBorder="1" applyAlignment="1">
      <alignment horizontal="center"/>
    </xf>
    <xf numFmtId="40" fontId="8" fillId="16" borderId="19" xfId="5" applyNumberFormat="1" applyFont="1" applyFill="1" applyBorder="1" applyAlignment="1">
      <alignment horizontal="center"/>
    </xf>
    <xf numFmtId="40" fontId="8" fillId="16" borderId="8" xfId="5" applyNumberFormat="1" applyFont="1" applyFill="1" applyBorder="1" applyAlignment="1">
      <alignment horizontal="center"/>
    </xf>
    <xf numFmtId="3" fontId="10" fillId="16" borderId="15" xfId="5" applyNumberFormat="1" applyFont="1" applyFill="1" applyBorder="1" applyAlignment="1">
      <alignment horizontal="center"/>
    </xf>
    <xf numFmtId="3" fontId="11" fillId="25" borderId="10" xfId="5" applyNumberFormat="1" applyFont="1" applyFill="1" applyBorder="1" applyAlignment="1">
      <alignment horizontal="left"/>
    </xf>
    <xf numFmtId="3" fontId="11" fillId="25" borderId="10" xfId="5" applyNumberFormat="1" applyFont="1" applyFill="1" applyBorder="1" applyAlignment="1">
      <alignment horizontal="center"/>
    </xf>
    <xf numFmtId="3" fontId="11" fillId="25" borderId="11" xfId="5" applyNumberFormat="1" applyFont="1" applyFill="1" applyBorder="1" applyAlignment="1">
      <alignment horizontal="center"/>
    </xf>
    <xf numFmtId="40" fontId="11" fillId="25" borderId="26" xfId="5" applyNumberFormat="1" applyFont="1" applyFill="1" applyBorder="1" applyAlignment="1">
      <alignment horizontal="center"/>
    </xf>
    <xf numFmtId="40" fontId="11" fillId="25" borderId="2" xfId="5" applyNumberFormat="1" applyFont="1" applyFill="1" applyBorder="1" applyAlignment="1">
      <alignment horizontal="center"/>
    </xf>
    <xf numFmtId="40" fontId="11" fillId="25" borderId="24" xfId="5" applyNumberFormat="1" applyFont="1" applyFill="1" applyBorder="1" applyAlignment="1">
      <alignment horizontal="center"/>
    </xf>
    <xf numFmtId="40" fontId="11" fillId="25" borderId="39" xfId="5" applyNumberFormat="1" applyFont="1" applyFill="1" applyBorder="1" applyAlignment="1">
      <alignment horizontal="center"/>
    </xf>
    <xf numFmtId="38" fontId="11" fillId="25" borderId="11" xfId="5" applyNumberFormat="1" applyFont="1" applyFill="1" applyBorder="1" applyAlignment="1">
      <alignment horizontal="center"/>
    </xf>
    <xf numFmtId="40" fontId="11" fillId="25" borderId="23" xfId="5" applyNumberFormat="1" applyFont="1" applyFill="1" applyBorder="1" applyAlignment="1">
      <alignment horizontal="center"/>
    </xf>
    <xf numFmtId="3" fontId="11" fillId="25" borderId="11" xfId="5" applyNumberFormat="1" applyFont="1" applyFill="1" applyBorder="1" applyAlignment="1">
      <alignment horizontal="left"/>
    </xf>
    <xf numFmtId="40" fontId="11" fillId="25" borderId="25" xfId="5" applyNumberFormat="1" applyFont="1" applyFill="1" applyBorder="1" applyAlignment="1">
      <alignment horizontal="center"/>
    </xf>
    <xf numFmtId="38" fontId="11" fillId="25" borderId="16" xfId="5" applyNumberFormat="1" applyFont="1" applyFill="1" applyBorder="1" applyAlignment="1">
      <alignment horizontal="center"/>
    </xf>
    <xf numFmtId="40" fontId="11" fillId="25" borderId="30" xfId="5" applyNumberFormat="1" applyFont="1" applyFill="1" applyBorder="1" applyAlignment="1">
      <alignment horizontal="center"/>
    </xf>
    <xf numFmtId="40" fontId="11" fillId="25" borderId="32" xfId="5" applyNumberFormat="1" applyFont="1" applyFill="1" applyBorder="1" applyAlignment="1">
      <alignment horizontal="center"/>
    </xf>
    <xf numFmtId="40" fontId="11" fillId="25" borderId="22" xfId="5" applyNumberFormat="1" applyFont="1" applyFill="1" applyBorder="1" applyAlignment="1">
      <alignment horizontal="center"/>
    </xf>
    <xf numFmtId="40" fontId="11" fillId="25" borderId="43" xfId="5" applyNumberFormat="1" applyFont="1" applyFill="1" applyBorder="1" applyAlignment="1">
      <alignment horizontal="center"/>
    </xf>
    <xf numFmtId="40" fontId="8" fillId="16" borderId="20" xfId="5" applyNumberFormat="1" applyFont="1" applyFill="1" applyBorder="1" applyAlignment="1">
      <alignment horizontal="center"/>
    </xf>
    <xf numFmtId="40" fontId="11" fillId="25" borderId="33" xfId="5" applyNumberFormat="1" applyFont="1" applyFill="1" applyBorder="1" applyAlignment="1">
      <alignment horizontal="center"/>
    </xf>
    <xf numFmtId="40" fontId="11" fillId="25" borderId="28" xfId="5" applyNumberFormat="1" applyFont="1" applyFill="1" applyBorder="1" applyAlignment="1">
      <alignment horizontal="center"/>
    </xf>
    <xf numFmtId="40" fontId="11" fillId="25" borderId="35" xfId="5" applyNumberFormat="1" applyFont="1" applyFill="1" applyBorder="1" applyAlignment="1">
      <alignment horizontal="center"/>
    </xf>
    <xf numFmtId="40" fontId="11" fillId="25" borderId="29" xfId="5" applyNumberFormat="1" applyFont="1" applyFill="1" applyBorder="1" applyAlignment="1">
      <alignment horizontal="center"/>
    </xf>
    <xf numFmtId="38" fontId="11" fillId="25" borderId="15" xfId="5" applyNumberFormat="1" applyFont="1" applyFill="1" applyBorder="1" applyAlignment="1">
      <alignment horizontal="center"/>
    </xf>
    <xf numFmtId="3" fontId="11" fillId="26" borderId="0" xfId="5" applyNumberFormat="1" applyFont="1" applyFill="1"/>
    <xf numFmtId="3" fontId="8" fillId="26" borderId="0" xfId="5" applyNumberFormat="1" applyFont="1" applyFill="1"/>
    <xf numFmtId="3" fontId="8" fillId="26" borderId="0" xfId="5" applyNumberFormat="1" applyFont="1" applyFill="1" applyProtection="1">
      <protection locked="0"/>
    </xf>
    <xf numFmtId="3" fontId="9" fillId="26" borderId="0" xfId="5" applyNumberFormat="1" applyFont="1" applyFill="1"/>
    <xf numFmtId="3" fontId="29" fillId="26" borderId="0" xfId="5" applyNumberFormat="1" applyFont="1" applyFill="1" applyAlignment="1">
      <alignment vertical="center"/>
    </xf>
    <xf numFmtId="3" fontId="16" fillId="26" borderId="0" xfId="5" applyNumberFormat="1" applyFont="1" applyFill="1" applyAlignment="1">
      <alignment horizontal="left"/>
    </xf>
    <xf numFmtId="3" fontId="16" fillId="26" borderId="0" xfId="5" applyNumberFormat="1" applyFont="1" applyFill="1"/>
    <xf numFmtId="0" fontId="11" fillId="0" borderId="0" xfId="3" applyFont="1" applyProtection="1">
      <protection locked="0"/>
    </xf>
    <xf numFmtId="0" fontId="17" fillId="0" borderId="0" xfId="3" applyProtection="1">
      <protection locked="0"/>
    </xf>
    <xf numFmtId="0" fontId="17" fillId="0" borderId="0" xfId="3" applyAlignment="1" applyProtection="1">
      <alignment wrapText="1"/>
      <protection locked="0"/>
    </xf>
    <xf numFmtId="3" fontId="8" fillId="6" borderId="40" xfId="5" applyNumberFormat="1" applyFont="1" applyFill="1" applyBorder="1"/>
    <xf numFmtId="177" fontId="11" fillId="0" borderId="0" xfId="5" applyNumberFormat="1" applyFont="1" applyAlignment="1" applyProtection="1">
      <alignment horizontal="center"/>
      <protection locked="0"/>
    </xf>
    <xf numFmtId="0" fontId="17" fillId="7" borderId="6" xfId="3" applyFill="1" applyBorder="1" applyAlignment="1" applyProtection="1">
      <alignment wrapText="1"/>
      <protection locked="0"/>
    </xf>
    <xf numFmtId="172" fontId="17" fillId="7" borderId="9" xfId="3" applyNumberFormat="1" applyFill="1" applyBorder="1" applyAlignment="1" applyProtection="1">
      <alignment horizontal="center"/>
      <protection locked="0"/>
    </xf>
    <xf numFmtId="3" fontId="11" fillId="26" borderId="0" xfId="5" applyNumberFormat="1" applyFont="1" applyFill="1" applyProtection="1">
      <protection locked="0"/>
    </xf>
    <xf numFmtId="3" fontId="0" fillId="26" borderId="0" xfId="0" applyNumberFormat="1" applyFill="1" applyProtection="1">
      <protection locked="0"/>
    </xf>
    <xf numFmtId="0" fontId="17" fillId="26" borderId="0" xfId="3" applyFill="1" applyProtection="1">
      <protection locked="0"/>
    </xf>
    <xf numFmtId="0" fontId="17" fillId="26" borderId="0" xfId="3" applyFill="1" applyAlignment="1" applyProtection="1">
      <alignment wrapText="1"/>
      <protection locked="0"/>
    </xf>
    <xf numFmtId="0" fontId="8" fillId="6" borderId="10" xfId="3" applyFont="1" applyFill="1" applyBorder="1" applyAlignment="1">
      <alignment wrapText="1"/>
    </xf>
    <xf numFmtId="0" fontId="17" fillId="6" borderId="15" xfId="3" applyFill="1" applyBorder="1"/>
    <xf numFmtId="0" fontId="18" fillId="26" borderId="0" xfId="3" applyFont="1" applyFill="1"/>
    <xf numFmtId="0" fontId="17" fillId="26" borderId="0" xfId="3" applyFill="1"/>
    <xf numFmtId="0" fontId="17" fillId="8" borderId="18" xfId="3" applyFill="1" applyBorder="1" applyAlignment="1">
      <alignment wrapText="1"/>
    </xf>
    <xf numFmtId="0" fontId="17" fillId="8" borderId="19" xfId="3" applyFill="1" applyBorder="1" applyAlignment="1">
      <alignment horizontal="center"/>
    </xf>
    <xf numFmtId="0" fontId="17" fillId="8" borderId="20" xfId="3" applyFill="1" applyBorder="1"/>
    <xf numFmtId="0" fontId="17" fillId="8" borderId="9" xfId="3" applyFill="1" applyBorder="1" applyAlignment="1">
      <alignment horizontal="center" wrapText="1"/>
    </xf>
    <xf numFmtId="0" fontId="17" fillId="8" borderId="20" xfId="3" applyFill="1" applyBorder="1" applyAlignment="1">
      <alignment horizontal="center" wrapText="1"/>
    </xf>
    <xf numFmtId="0" fontId="10" fillId="26" borderId="44" xfId="3" applyFont="1" applyFill="1" applyBorder="1" applyAlignment="1">
      <alignment wrapText="1"/>
    </xf>
    <xf numFmtId="0" fontId="17" fillId="26" borderId="38" xfId="3" applyFill="1" applyBorder="1" applyAlignment="1">
      <alignment horizontal="center" vertical="center"/>
    </xf>
    <xf numFmtId="0" fontId="17" fillId="26" borderId="45" xfId="3" applyFill="1" applyBorder="1"/>
    <xf numFmtId="166" fontId="17" fillId="26" borderId="46" xfId="3" applyNumberFormat="1" applyFill="1" applyBorder="1" applyAlignment="1">
      <alignment horizontal="center" wrapText="1"/>
    </xf>
    <xf numFmtId="173" fontId="17" fillId="26" borderId="46" xfId="3" applyNumberFormat="1" applyFill="1" applyBorder="1" applyAlignment="1">
      <alignment wrapText="1"/>
    </xf>
    <xf numFmtId="0" fontId="17" fillId="0" borderId="46" xfId="3" applyBorder="1" applyAlignment="1">
      <alignment wrapText="1"/>
    </xf>
    <xf numFmtId="0" fontId="10" fillId="26" borderId="46" xfId="3" applyFont="1" applyFill="1" applyBorder="1" applyAlignment="1">
      <alignment wrapText="1"/>
    </xf>
    <xf numFmtId="0" fontId="10" fillId="0" borderId="46" xfId="3" applyFont="1" applyBorder="1" applyAlignment="1">
      <alignment wrapText="1"/>
    </xf>
    <xf numFmtId="0" fontId="17" fillId="0" borderId="54" xfId="3" applyBorder="1" applyAlignment="1">
      <alignment wrapText="1"/>
    </xf>
    <xf numFmtId="0" fontId="17" fillId="0" borderId="38" xfId="3" applyBorder="1" applyAlignment="1">
      <alignment horizontal="center" vertical="center"/>
    </xf>
    <xf numFmtId="0" fontId="17" fillId="0" borderId="45" xfId="3" applyBorder="1"/>
    <xf numFmtId="166" fontId="17" fillId="0" borderId="46" xfId="3" applyNumberFormat="1" applyBorder="1" applyAlignment="1">
      <alignment horizontal="center" wrapText="1"/>
    </xf>
    <xf numFmtId="173" fontId="17" fillId="0" borderId="46" xfId="3" applyNumberFormat="1" applyBorder="1" applyAlignment="1">
      <alignment wrapText="1"/>
    </xf>
    <xf numFmtId="0" fontId="10" fillId="8" borderId="18" xfId="3" applyFont="1" applyFill="1" applyBorder="1" applyAlignment="1">
      <alignment horizontal="center" wrapText="1"/>
    </xf>
    <xf numFmtId="0" fontId="17" fillId="8" borderId="19" xfId="3" applyFill="1" applyBorder="1" applyAlignment="1">
      <alignment horizontal="center" vertical="center"/>
    </xf>
    <xf numFmtId="0" fontId="17" fillId="8" borderId="20" xfId="3" applyFill="1" applyBorder="1" applyAlignment="1">
      <alignment horizontal="center"/>
    </xf>
    <xf numFmtId="0" fontId="17" fillId="8" borderId="7" xfId="3" applyFill="1" applyBorder="1" applyAlignment="1">
      <alignment horizontal="center"/>
    </xf>
    <xf numFmtId="166" fontId="17" fillId="8" borderId="18" xfId="3" applyNumberFormat="1" applyFill="1" applyBorder="1" applyAlignment="1">
      <alignment horizontal="center" wrapText="1"/>
    </xf>
    <xf numFmtId="173" fontId="17" fillId="8" borderId="18" xfId="3" applyNumberFormat="1" applyFill="1" applyBorder="1" applyAlignment="1">
      <alignment horizontal="center" wrapText="1"/>
    </xf>
    <xf numFmtId="173" fontId="17" fillId="8" borderId="9" xfId="3" applyNumberFormat="1" applyFill="1" applyBorder="1" applyAlignment="1">
      <alignment horizontal="center" wrapText="1"/>
    </xf>
    <xf numFmtId="173" fontId="10" fillId="2" borderId="9" xfId="3" applyNumberFormat="1" applyFont="1" applyFill="1" applyBorder="1" applyAlignment="1">
      <alignment wrapText="1"/>
    </xf>
    <xf numFmtId="173" fontId="17" fillId="2" borderId="46" xfId="3" applyNumberFormat="1" applyFill="1" applyBorder="1" applyAlignment="1">
      <alignment wrapText="1"/>
    </xf>
    <xf numFmtId="173" fontId="17" fillId="2" borderId="54" xfId="3" applyNumberFormat="1" applyFill="1" applyBorder="1" applyAlignment="1">
      <alignment wrapText="1"/>
    </xf>
    <xf numFmtId="173" fontId="17" fillId="2" borderId="44" xfId="3" applyNumberFormat="1" applyFill="1" applyBorder="1" applyAlignment="1">
      <alignment wrapText="1"/>
    </xf>
    <xf numFmtId="0" fontId="11" fillId="0" borderId="0" xfId="3" applyFont="1"/>
    <xf numFmtId="8" fontId="11" fillId="15" borderId="9" xfId="0" applyNumberFormat="1" applyFont="1" applyFill="1" applyBorder="1"/>
    <xf numFmtId="176" fontId="29" fillId="15" borderId="9" xfId="0" applyNumberFormat="1" applyFont="1" applyFill="1" applyBorder="1" applyAlignment="1" applyProtection="1">
      <alignment horizontal="center"/>
      <protection locked="0"/>
    </xf>
    <xf numFmtId="40" fontId="11" fillId="16" borderId="15" xfId="5" applyNumberFormat="1" applyFont="1" applyFill="1" applyBorder="1" applyAlignment="1">
      <alignment horizontal="center"/>
    </xf>
    <xf numFmtId="1" fontId="11" fillId="16" borderId="10" xfId="5" applyNumberFormat="1" applyFont="1" applyFill="1" applyBorder="1" applyAlignment="1">
      <alignment horizontal="center"/>
    </xf>
    <xf numFmtId="1" fontId="11" fillId="16" borderId="0" xfId="5" applyNumberFormat="1" applyFont="1" applyFill="1" applyAlignment="1">
      <alignment horizontal="center"/>
    </xf>
    <xf numFmtId="3" fontId="11" fillId="16" borderId="27" xfId="5" applyNumberFormat="1" applyFont="1" applyFill="1" applyBorder="1" applyAlignment="1">
      <alignment horizontal="center"/>
    </xf>
    <xf numFmtId="3" fontId="11" fillId="15" borderId="11" xfId="5" applyNumberFormat="1" applyFont="1" applyFill="1" applyBorder="1" applyProtection="1">
      <protection locked="0"/>
    </xf>
    <xf numFmtId="3" fontId="11" fillId="15" borderId="15" xfId="5" applyNumberFormat="1" applyFont="1" applyFill="1" applyBorder="1" applyProtection="1">
      <protection locked="0"/>
    </xf>
    <xf numFmtId="3" fontId="11" fillId="15" borderId="16" xfId="5" applyNumberFormat="1" applyFont="1" applyFill="1" applyBorder="1" applyProtection="1">
      <protection locked="0"/>
    </xf>
    <xf numFmtId="40" fontId="9" fillId="25" borderId="9" xfId="5" applyNumberFormat="1" applyFont="1" applyFill="1" applyBorder="1"/>
    <xf numFmtId="3" fontId="11" fillId="28" borderId="11" xfId="5" applyNumberFormat="1" applyFont="1" applyFill="1" applyBorder="1" applyProtection="1">
      <protection locked="0"/>
    </xf>
    <xf numFmtId="3" fontId="9" fillId="16" borderId="9" xfId="5" applyNumberFormat="1" applyFont="1" applyFill="1" applyBorder="1"/>
    <xf numFmtId="40" fontId="34" fillId="26" borderId="0" xfId="5" applyNumberFormat="1" applyFont="1" applyFill="1" applyAlignment="1">
      <alignment horizontal="right"/>
    </xf>
    <xf numFmtId="40" fontId="8" fillId="16" borderId="7" xfId="5" applyNumberFormat="1" applyFont="1" applyFill="1" applyBorder="1" applyAlignment="1">
      <alignment horizontal="center"/>
    </xf>
    <xf numFmtId="40" fontId="8" fillId="16" borderId="42" xfId="5" applyNumberFormat="1" applyFont="1" applyFill="1" applyBorder="1" applyAlignment="1">
      <alignment horizontal="center"/>
    </xf>
    <xf numFmtId="40" fontId="8" fillId="16" borderId="9" xfId="5" applyNumberFormat="1" applyFont="1" applyFill="1" applyBorder="1" applyAlignment="1">
      <alignment horizontal="center"/>
    </xf>
    <xf numFmtId="172" fontId="31" fillId="15" borderId="82" xfId="0" applyNumberFormat="1" applyFont="1" applyFill="1" applyBorder="1" applyAlignment="1" applyProtection="1">
      <alignment horizontal="center"/>
      <protection locked="0"/>
    </xf>
    <xf numFmtId="3" fontId="9" fillId="6" borderId="9" xfId="5" applyNumberFormat="1" applyFont="1" applyFill="1" applyBorder="1" applyAlignment="1">
      <alignment horizontal="center"/>
    </xf>
    <xf numFmtId="3" fontId="9" fillId="16" borderId="6" xfId="5" applyNumberFormat="1" applyFont="1" applyFill="1" applyBorder="1" applyAlignment="1">
      <alignment horizontal="center" vertical="center"/>
    </xf>
    <xf numFmtId="3" fontId="9" fillId="0" borderId="0" xfId="5" applyNumberFormat="1" applyFont="1" applyAlignment="1" applyProtection="1">
      <alignment horizontal="center"/>
      <protection locked="0"/>
    </xf>
    <xf numFmtId="3" fontId="36" fillId="0" borderId="0" xfId="0" applyNumberFormat="1" applyFont="1"/>
    <xf numFmtId="3" fontId="9" fillId="11" borderId="9" xfId="5" applyNumberFormat="1" applyFont="1" applyFill="1" applyBorder="1" applyAlignment="1">
      <alignment horizontal="center"/>
    </xf>
    <xf numFmtId="3" fontId="9" fillId="16" borderId="9" xfId="5" applyNumberFormat="1" applyFont="1" applyFill="1" applyBorder="1" applyAlignment="1">
      <alignment horizontal="right"/>
    </xf>
    <xf numFmtId="40" fontId="8" fillId="16" borderId="28" xfId="5" applyNumberFormat="1" applyFont="1" applyFill="1" applyBorder="1" applyAlignment="1">
      <alignment horizontal="center"/>
    </xf>
    <xf numFmtId="40" fontId="8" fillId="16" borderId="29" xfId="5" applyNumberFormat="1" applyFont="1" applyFill="1" applyBorder="1" applyAlignment="1">
      <alignment horizontal="center"/>
    </xf>
    <xf numFmtId="40" fontId="8" fillId="16" borderId="30" xfId="5" applyNumberFormat="1" applyFont="1" applyFill="1" applyBorder="1" applyAlignment="1">
      <alignment horizontal="center"/>
    </xf>
    <xf numFmtId="0" fontId="9" fillId="25" borderId="58" xfId="0" applyFont="1" applyFill="1" applyBorder="1" applyAlignment="1">
      <alignment horizontal="center"/>
    </xf>
    <xf numFmtId="174" fontId="9" fillId="15" borderId="20" xfId="0" applyNumberFormat="1" applyFont="1" applyFill="1" applyBorder="1" applyAlignment="1" applyProtection="1">
      <alignment horizontal="center"/>
      <protection locked="0"/>
    </xf>
    <xf numFmtId="0" fontId="27" fillId="16" borderId="6" xfId="0" applyFont="1" applyFill="1" applyBorder="1" applyAlignment="1">
      <alignment horizontal="right"/>
    </xf>
    <xf numFmtId="0" fontId="29" fillId="0" borderId="0" xfId="3" applyFont="1" applyProtection="1">
      <protection locked="0"/>
    </xf>
    <xf numFmtId="3" fontId="29" fillId="0" borderId="0" xfId="0" applyNumberFormat="1" applyFont="1"/>
    <xf numFmtId="0" fontId="29" fillId="0" borderId="94" xfId="0" applyFont="1" applyBorder="1"/>
    <xf numFmtId="3" fontId="27" fillId="29" borderId="21" xfId="0" applyNumberFormat="1" applyFont="1" applyFill="1" applyBorder="1"/>
    <xf numFmtId="3" fontId="29" fillId="29" borderId="36" xfId="0" applyNumberFormat="1" applyFont="1" applyFill="1" applyBorder="1"/>
    <xf numFmtId="3" fontId="29" fillId="29" borderId="43" xfId="0" applyNumberFormat="1" applyFont="1" applyFill="1" applyBorder="1"/>
    <xf numFmtId="0" fontId="27" fillId="0" borderId="113" xfId="0" applyFont="1" applyBorder="1"/>
    <xf numFmtId="0" fontId="27" fillId="0" borderId="114" xfId="0" applyFont="1" applyBorder="1"/>
    <xf numFmtId="0" fontId="27" fillId="0" borderId="115" xfId="0" applyFont="1" applyBorder="1"/>
    <xf numFmtId="3" fontId="37" fillId="0" borderId="0" xfId="0" applyNumberFormat="1" applyFont="1"/>
    <xf numFmtId="0" fontId="29" fillId="0" borderId="0" xfId="3" applyFont="1" applyAlignment="1">
      <alignment wrapText="1"/>
    </xf>
    <xf numFmtId="0" fontId="29" fillId="0" borderId="0" xfId="3" applyFont="1"/>
    <xf numFmtId="0" fontId="29" fillId="0" borderId="0" xfId="3" applyFont="1" applyAlignment="1" applyProtection="1">
      <alignment wrapText="1"/>
      <protection locked="0"/>
    </xf>
    <xf numFmtId="0" fontId="35" fillId="18" borderId="102" xfId="0" applyFont="1" applyFill="1" applyBorder="1" applyAlignment="1">
      <alignment horizontal="center" vertical="center" wrapText="1" readingOrder="1"/>
    </xf>
    <xf numFmtId="0" fontId="35" fillId="18" borderId="105" xfId="0" applyFont="1" applyFill="1" applyBorder="1" applyAlignment="1">
      <alignment horizontal="center" vertical="center" wrapText="1" readingOrder="1"/>
    </xf>
    <xf numFmtId="0" fontId="35" fillId="18" borderId="106" xfId="0" applyFont="1" applyFill="1" applyBorder="1" applyAlignment="1">
      <alignment horizontal="center" vertical="center" wrapText="1" readingOrder="1"/>
    </xf>
    <xf numFmtId="0" fontId="38" fillId="17" borderId="97" xfId="9" applyNumberFormat="1" applyFont="1" applyFill="1" applyBorder="1" applyAlignment="1" applyProtection="1">
      <alignment horizontal="center" vertical="center" readingOrder="1"/>
    </xf>
    <xf numFmtId="0" fontId="38" fillId="17" borderId="66" xfId="0" applyFont="1" applyFill="1" applyBorder="1" applyAlignment="1">
      <alignment horizontal="left" vertical="center" readingOrder="1"/>
    </xf>
    <xf numFmtId="40" fontId="38" fillId="17" borderId="99" xfId="9" applyNumberFormat="1" applyFont="1" applyFill="1" applyBorder="1" applyAlignment="1">
      <alignment horizontal="right" vertical="center" wrapText="1" readingOrder="1"/>
    </xf>
    <xf numFmtId="0" fontId="29" fillId="17" borderId="97" xfId="9" applyNumberFormat="1" applyFont="1" applyFill="1" applyBorder="1" applyAlignment="1">
      <alignment horizontal="center" vertical="center" wrapText="1" readingOrder="1"/>
    </xf>
    <xf numFmtId="0" fontId="29" fillId="17" borderId="66" xfId="0" applyFont="1" applyFill="1" applyBorder="1" applyAlignment="1">
      <alignment horizontal="left" vertical="center" readingOrder="1"/>
    </xf>
    <xf numFmtId="40" fontId="38" fillId="17" borderId="109" xfId="9" applyNumberFormat="1" applyFont="1" applyFill="1" applyBorder="1" applyAlignment="1">
      <alignment horizontal="right" vertical="center" wrapText="1" readingOrder="1"/>
    </xf>
    <xf numFmtId="0" fontId="30" fillId="23" borderId="116" xfId="0" applyFont="1" applyFill="1" applyBorder="1"/>
    <xf numFmtId="0" fontId="30" fillId="23" borderId="117" xfId="0" applyFont="1" applyFill="1" applyBorder="1"/>
    <xf numFmtId="172" fontId="31" fillId="15" borderId="47" xfId="0" applyNumberFormat="1" applyFont="1" applyFill="1" applyBorder="1" applyAlignment="1" applyProtection="1">
      <alignment horizontal="center"/>
      <protection locked="0"/>
    </xf>
    <xf numFmtId="3" fontId="10" fillId="30" borderId="17" xfId="5" applyNumberFormat="1" applyFont="1" applyFill="1" applyBorder="1" applyAlignment="1">
      <alignment horizontal="center"/>
    </xf>
    <xf numFmtId="3" fontId="11" fillId="30" borderId="0" xfId="5" applyNumberFormat="1" applyFont="1" applyFill="1"/>
    <xf numFmtId="175" fontId="29" fillId="16" borderId="111" xfId="0" applyNumberFormat="1" applyFont="1" applyFill="1" applyBorder="1"/>
    <xf numFmtId="175" fontId="27" fillId="16" borderId="112" xfId="0" applyNumberFormat="1" applyFont="1" applyFill="1" applyBorder="1" applyAlignment="1">
      <alignment horizontal="right"/>
    </xf>
    <xf numFmtId="0" fontId="27" fillId="16" borderId="42" xfId="0" applyFont="1" applyFill="1" applyBorder="1" applyAlignment="1">
      <alignment horizontal="right"/>
    </xf>
    <xf numFmtId="0" fontId="9" fillId="16" borderId="110" xfId="0" applyFont="1" applyFill="1" applyBorder="1" applyAlignment="1">
      <alignment horizontal="right"/>
    </xf>
    <xf numFmtId="8" fontId="8" fillId="13" borderId="9" xfId="5" applyNumberFormat="1" applyFont="1" applyFill="1" applyBorder="1" applyAlignment="1" applyProtection="1">
      <alignment horizontal="center"/>
      <protection locked="0"/>
    </xf>
    <xf numFmtId="3" fontId="29" fillId="16" borderId="7" xfId="5" applyNumberFormat="1" applyFont="1" applyFill="1" applyBorder="1"/>
    <xf numFmtId="3" fontId="0" fillId="26" borderId="0" xfId="0" applyNumberFormat="1" applyFill="1"/>
    <xf numFmtId="3" fontId="9" fillId="26" borderId="0" xfId="5" applyNumberFormat="1" applyFont="1" applyFill="1" applyProtection="1">
      <protection locked="0"/>
    </xf>
    <xf numFmtId="3" fontId="0" fillId="31" borderId="0" xfId="0" applyNumberFormat="1" applyFill="1" applyProtection="1">
      <protection locked="0"/>
    </xf>
    <xf numFmtId="8" fontId="29" fillId="13" borderId="20" xfId="0" applyNumberFormat="1" applyFont="1" applyFill="1" applyBorder="1" applyProtection="1">
      <protection locked="0"/>
    </xf>
    <xf numFmtId="0" fontId="27" fillId="13" borderId="20" xfId="0" applyFont="1" applyFill="1" applyBorder="1" applyAlignment="1" applyProtection="1">
      <alignment horizontal="center"/>
      <protection locked="0"/>
    </xf>
    <xf numFmtId="40" fontId="29" fillId="16" borderId="7" xfId="5" applyNumberFormat="1" applyFont="1" applyFill="1" applyBorder="1" applyAlignment="1">
      <alignment horizontal="right"/>
    </xf>
    <xf numFmtId="3" fontId="29" fillId="16" borderId="7" xfId="0" applyNumberFormat="1" applyFont="1" applyFill="1" applyBorder="1" applyAlignment="1">
      <alignment horizontal="right"/>
    </xf>
    <xf numFmtId="40" fontId="10" fillId="28" borderId="9" xfId="5" applyNumberFormat="1" applyFont="1" applyFill="1" applyBorder="1" applyAlignment="1" applyProtection="1">
      <alignment horizontal="center"/>
      <protection locked="0"/>
    </xf>
    <xf numFmtId="3" fontId="11" fillId="16" borderId="9" xfId="5" applyNumberFormat="1" applyFont="1" applyFill="1" applyBorder="1" applyAlignment="1">
      <alignment horizontal="right"/>
    </xf>
    <xf numFmtId="0" fontId="8" fillId="13" borderId="9" xfId="5" applyFont="1" applyFill="1" applyBorder="1" applyAlignment="1" applyProtection="1">
      <alignment horizontal="center"/>
      <protection locked="0"/>
    </xf>
    <xf numFmtId="3" fontId="36" fillId="0" borderId="0" xfId="0" applyNumberFormat="1" applyFont="1" applyProtection="1">
      <protection locked="0"/>
    </xf>
    <xf numFmtId="165" fontId="8" fillId="26" borderId="0" xfId="5" applyNumberFormat="1" applyFont="1" applyFill="1" applyAlignment="1" applyProtection="1">
      <alignment horizontal="center"/>
      <protection locked="0"/>
    </xf>
    <xf numFmtId="3" fontId="11" fillId="31" borderId="0" xfId="5" applyNumberFormat="1" applyFont="1" applyFill="1" applyProtection="1">
      <protection locked="0"/>
    </xf>
    <xf numFmtId="3" fontId="29" fillId="26" borderId="0" xfId="5" applyNumberFormat="1" applyFont="1" applyFill="1" applyAlignment="1" applyProtection="1">
      <alignment vertical="center"/>
      <protection locked="0"/>
    </xf>
    <xf numFmtId="3" fontId="11" fillId="26" borderId="0" xfId="5" applyNumberFormat="1" applyFont="1" applyFill="1" applyAlignment="1" applyProtection="1">
      <alignment horizontal="center"/>
      <protection locked="0"/>
    </xf>
    <xf numFmtId="3" fontId="7" fillId="16" borderId="6" xfId="5" applyNumberFormat="1" applyFont="1" applyFill="1" applyBorder="1" applyAlignment="1">
      <alignment horizontal="left"/>
    </xf>
    <xf numFmtId="166" fontId="11" fillId="13" borderId="11" xfId="4" applyNumberFormat="1" applyFont="1" applyFill="1" applyBorder="1" applyAlignment="1" applyProtection="1">
      <alignment horizontal="center"/>
      <protection locked="0"/>
    </xf>
    <xf numFmtId="166" fontId="11" fillId="13" borderId="16" xfId="4" applyNumberFormat="1" applyFont="1" applyFill="1" applyBorder="1" applyAlignment="1" applyProtection="1">
      <alignment horizontal="center"/>
      <protection locked="0"/>
    </xf>
    <xf numFmtId="3" fontId="11" fillId="16" borderId="6" xfId="0" applyNumberFormat="1" applyFont="1" applyFill="1" applyBorder="1"/>
    <xf numFmtId="3" fontId="11" fillId="16" borderId="8" xfId="0" applyNumberFormat="1" applyFont="1" applyFill="1" applyBorder="1"/>
    <xf numFmtId="3" fontId="11" fillId="19" borderId="10" xfId="5" applyNumberFormat="1" applyFont="1" applyFill="1" applyBorder="1" applyAlignment="1">
      <alignment horizontal="center"/>
    </xf>
    <xf numFmtId="3" fontId="11" fillId="19" borderId="27" xfId="5" applyNumberFormat="1" applyFont="1" applyFill="1" applyBorder="1" applyAlignment="1">
      <alignment horizontal="center"/>
    </xf>
    <xf numFmtId="3" fontId="11" fillId="0" borderId="21" xfId="5" applyNumberFormat="1" applyFont="1" applyBorder="1"/>
    <xf numFmtId="3" fontId="11" fillId="0" borderId="36" xfId="5" applyNumberFormat="1" applyFont="1" applyBorder="1"/>
    <xf numFmtId="3" fontId="11" fillId="0" borderId="36" xfId="5" applyNumberFormat="1" applyFont="1" applyBorder="1" applyAlignment="1">
      <alignment horizontal="center"/>
    </xf>
    <xf numFmtId="3" fontId="11" fillId="0" borderId="43" xfId="5" applyNumberFormat="1" applyFont="1" applyBorder="1" applyAlignment="1">
      <alignment horizontal="center"/>
    </xf>
    <xf numFmtId="3" fontId="11" fillId="0" borderId="118" xfId="5" applyNumberFormat="1" applyFont="1" applyBorder="1" applyProtection="1">
      <protection locked="0"/>
    </xf>
    <xf numFmtId="3" fontId="11" fillId="0" borderId="118" xfId="5" applyNumberFormat="1" applyFont="1" applyBorder="1" applyAlignment="1" applyProtection="1">
      <alignment horizontal="center"/>
      <protection locked="0"/>
    </xf>
    <xf numFmtId="0" fontId="11" fillId="4" borderId="44" xfId="3" applyFont="1" applyFill="1" applyBorder="1" applyAlignment="1" applyProtection="1">
      <alignment wrapText="1"/>
      <protection locked="0"/>
    </xf>
    <xf numFmtId="0" fontId="11" fillId="4" borderId="46" xfId="3" applyFont="1" applyFill="1" applyBorder="1" applyAlignment="1" applyProtection="1">
      <alignment wrapText="1"/>
      <protection locked="0"/>
    </xf>
    <xf numFmtId="0" fontId="11" fillId="4" borderId="53" xfId="3" applyFont="1" applyFill="1" applyBorder="1" applyAlignment="1" applyProtection="1">
      <alignment wrapText="1"/>
      <protection locked="0"/>
    </xf>
    <xf numFmtId="0" fontId="40" fillId="0" borderId="0" xfId="3" applyFont="1" applyProtection="1">
      <protection locked="0"/>
    </xf>
    <xf numFmtId="3" fontId="7" fillId="6" borderId="40" xfId="5" applyNumberFormat="1" applyFont="1" applyFill="1" applyBorder="1" applyProtection="1">
      <protection hidden="1"/>
    </xf>
    <xf numFmtId="3" fontId="9" fillId="0" borderId="0" xfId="5" applyNumberFormat="1" applyFont="1"/>
    <xf numFmtId="3" fontId="29" fillId="0" borderId="0" xfId="5" applyNumberFormat="1" applyFont="1" applyAlignment="1">
      <alignment vertical="center"/>
    </xf>
    <xf numFmtId="3" fontId="27" fillId="0" borderId="0" xfId="5" applyNumberFormat="1" applyFont="1" applyAlignment="1">
      <alignment vertical="center"/>
    </xf>
    <xf numFmtId="0" fontId="40" fillId="0" borderId="0" xfId="3" applyFont="1"/>
    <xf numFmtId="3" fontId="26" fillId="22" borderId="9" xfId="5" applyNumberFormat="1" applyFont="1" applyFill="1" applyBorder="1" applyProtection="1">
      <protection locked="0"/>
    </xf>
    <xf numFmtId="40" fontId="11" fillId="25" borderId="51" xfId="5" applyNumberFormat="1" applyFont="1" applyFill="1" applyBorder="1" applyAlignment="1">
      <alignment horizontal="center"/>
    </xf>
    <xf numFmtId="10" fontId="10" fillId="7" borderId="16" xfId="4" applyFont="1" applyFill="1" applyBorder="1" applyAlignment="1" applyProtection="1">
      <alignment horizontal="center" vertical="center"/>
    </xf>
    <xf numFmtId="3" fontId="11" fillId="31" borderId="0" xfId="0" applyNumberFormat="1" applyFont="1" applyFill="1" applyProtection="1">
      <protection locked="0"/>
    </xf>
    <xf numFmtId="3" fontId="10" fillId="16" borderId="9" xfId="0" applyNumberFormat="1" applyFont="1" applyFill="1" applyBorder="1" applyAlignment="1">
      <alignment horizontal="center" vertical="center"/>
    </xf>
    <xf numFmtId="10" fontId="11" fillId="19" borderId="9" xfId="0" applyNumberFormat="1" applyFont="1" applyFill="1" applyBorder="1" applyAlignment="1">
      <alignment horizontal="center" vertical="center"/>
    </xf>
    <xf numFmtId="40" fontId="27" fillId="15" borderId="9" xfId="0" applyNumberFormat="1" applyFont="1" applyFill="1" applyBorder="1" applyAlignment="1" applyProtection="1">
      <alignment horizontal="center" vertical="center"/>
      <protection locked="0"/>
    </xf>
    <xf numFmtId="3" fontId="11" fillId="24" borderId="6" xfId="5" applyNumberFormat="1" applyFont="1" applyFill="1" applyBorder="1" applyAlignment="1">
      <alignment horizontal="right"/>
    </xf>
    <xf numFmtId="40" fontId="11" fillId="19" borderId="9" xfId="5" applyNumberFormat="1" applyFont="1" applyFill="1" applyBorder="1"/>
    <xf numFmtId="10" fontId="8" fillId="7" borderId="16" xfId="4" applyFont="1" applyFill="1" applyBorder="1" applyAlignment="1" applyProtection="1">
      <alignment horizontal="center" vertical="center"/>
    </xf>
    <xf numFmtId="37" fontId="42" fillId="0" borderId="5" xfId="2" applyFont="1" applyBorder="1"/>
    <xf numFmtId="0" fontId="11" fillId="26" borderId="58" xfId="0" applyFont="1" applyFill="1" applyBorder="1"/>
    <xf numFmtId="9" fontId="11" fillId="32" borderId="63" xfId="0" applyNumberFormat="1" applyFont="1" applyFill="1" applyBorder="1" applyAlignment="1">
      <alignment horizontal="center"/>
    </xf>
    <xf numFmtId="10" fontId="11" fillId="26" borderId="57" xfId="4" applyFont="1" applyFill="1" applyBorder="1" applyAlignment="1">
      <alignment horizontal="center"/>
    </xf>
    <xf numFmtId="10" fontId="11" fillId="26" borderId="58" xfId="4" applyFont="1" applyFill="1" applyBorder="1" applyAlignment="1">
      <alignment horizontal="center"/>
    </xf>
    <xf numFmtId="10" fontId="11" fillId="26" borderId="47" xfId="4" applyFont="1" applyFill="1" applyBorder="1" applyAlignment="1">
      <alignment horizontal="center"/>
    </xf>
    <xf numFmtId="10" fontId="11" fillId="26" borderId="48" xfId="4" applyFont="1" applyFill="1" applyBorder="1" applyAlignment="1">
      <alignment horizontal="center"/>
    </xf>
    <xf numFmtId="9" fontId="11" fillId="32" borderId="87" xfId="0" applyNumberFormat="1" applyFont="1" applyFill="1" applyBorder="1" applyAlignment="1">
      <alignment horizontal="center"/>
    </xf>
    <xf numFmtId="10" fontId="11" fillId="26" borderId="49" xfId="4" applyFont="1" applyFill="1" applyBorder="1" applyAlignment="1">
      <alignment horizontal="center"/>
    </xf>
    <xf numFmtId="10" fontId="11" fillId="26" borderId="50" xfId="4" applyFont="1" applyFill="1" applyBorder="1" applyAlignment="1">
      <alignment horizontal="center"/>
    </xf>
    <xf numFmtId="0" fontId="11" fillId="26" borderId="58" xfId="0" applyFont="1" applyFill="1" applyBorder="1" applyAlignment="1">
      <alignment horizontal="left" vertical="center"/>
    </xf>
    <xf numFmtId="0" fontId="11" fillId="26" borderId="23" xfId="0" applyFont="1" applyFill="1" applyBorder="1"/>
    <xf numFmtId="0" fontId="11" fillId="26" borderId="20" xfId="0" applyFont="1" applyFill="1" applyBorder="1"/>
    <xf numFmtId="9" fontId="11" fillId="32" borderId="34" xfId="0" applyNumberFormat="1" applyFont="1" applyFill="1" applyBorder="1" applyAlignment="1">
      <alignment horizontal="center"/>
    </xf>
    <xf numFmtId="10" fontId="11" fillId="26" borderId="19" xfId="4" applyFont="1" applyFill="1" applyBorder="1" applyAlignment="1">
      <alignment horizontal="center"/>
    </xf>
    <xf numFmtId="10" fontId="11" fillId="26" borderId="20" xfId="4" applyFont="1" applyFill="1" applyBorder="1" applyAlignment="1">
      <alignment horizontal="center"/>
    </xf>
    <xf numFmtId="0" fontId="11" fillId="26" borderId="1" xfId="0" applyFont="1" applyFill="1" applyBorder="1"/>
    <xf numFmtId="0" fontId="11" fillId="26" borderId="2" xfId="0" applyFont="1" applyFill="1" applyBorder="1"/>
    <xf numFmtId="0" fontId="11" fillId="26" borderId="13" xfId="0" applyFont="1" applyFill="1" applyBorder="1"/>
    <xf numFmtId="0" fontId="11" fillId="26" borderId="14" xfId="0" applyFont="1" applyFill="1" applyBorder="1"/>
    <xf numFmtId="0" fontId="43" fillId="26" borderId="18" xfId="0" applyFont="1" applyFill="1" applyBorder="1" applyAlignment="1">
      <alignment horizontal="center" vertical="center"/>
    </xf>
    <xf numFmtId="0" fontId="44" fillId="26" borderId="74" xfId="0" applyFont="1" applyFill="1" applyBorder="1" applyAlignment="1">
      <alignment vertical="center"/>
    </xf>
    <xf numFmtId="0" fontId="44" fillId="26" borderId="46" xfId="0" applyFont="1" applyFill="1" applyBorder="1" applyAlignment="1">
      <alignment vertical="center"/>
    </xf>
    <xf numFmtId="0" fontId="44" fillId="26" borderId="53" xfId="0" applyFont="1" applyFill="1" applyBorder="1" applyAlignment="1">
      <alignment vertical="center"/>
    </xf>
    <xf numFmtId="0" fontId="44" fillId="26" borderId="18" xfId="0" applyFont="1" applyFill="1" applyBorder="1" applyAlignment="1">
      <alignment vertical="center"/>
    </xf>
    <xf numFmtId="0" fontId="46" fillId="26" borderId="13" xfId="0" applyFont="1" applyFill="1" applyBorder="1" applyAlignment="1">
      <alignment vertical="center"/>
    </xf>
    <xf numFmtId="3" fontId="11" fillId="0" borderId="10" xfId="0" applyNumberFormat="1" applyFont="1" applyBorder="1"/>
    <xf numFmtId="0" fontId="11" fillId="26" borderId="10" xfId="0" applyFont="1" applyFill="1" applyBorder="1"/>
    <xf numFmtId="0" fontId="11" fillId="26" borderId="39" xfId="0" applyFont="1" applyFill="1" applyBorder="1"/>
    <xf numFmtId="0" fontId="11" fillId="26" borderId="27" xfId="0" applyFont="1" applyFill="1" applyBorder="1"/>
    <xf numFmtId="0" fontId="11" fillId="26" borderId="17" xfId="0" applyFont="1" applyFill="1" applyBorder="1"/>
    <xf numFmtId="0" fontId="11" fillId="26" borderId="51" xfId="0" applyFont="1" applyFill="1" applyBorder="1"/>
    <xf numFmtId="0" fontId="45" fillId="26" borderId="39" xfId="0" applyFont="1" applyFill="1" applyBorder="1"/>
    <xf numFmtId="3" fontId="11" fillId="15" borderId="39" xfId="0" quotePrefix="1" applyNumberFormat="1" applyFont="1" applyFill="1" applyBorder="1"/>
    <xf numFmtId="37" fontId="10" fillId="0" borderId="0" xfId="2" applyFont="1" applyAlignment="1">
      <alignment horizontal="right" vertical="center"/>
    </xf>
    <xf numFmtId="3" fontId="10" fillId="24" borderId="8" xfId="0" applyNumberFormat="1" applyFont="1" applyFill="1" applyBorder="1"/>
    <xf numFmtId="3" fontId="11" fillId="24" borderId="8" xfId="0" applyNumberFormat="1" applyFont="1" applyFill="1" applyBorder="1"/>
    <xf numFmtId="3" fontId="11" fillId="16" borderId="9" xfId="0" applyNumberFormat="1" applyFont="1" applyFill="1" applyBorder="1"/>
    <xf numFmtId="3" fontId="11" fillId="28" borderId="10" xfId="0" applyNumberFormat="1" applyFont="1" applyFill="1" applyBorder="1"/>
    <xf numFmtId="3" fontId="11" fillId="28" borderId="0" xfId="0" applyNumberFormat="1" applyFont="1" applyFill="1"/>
    <xf numFmtId="3" fontId="11" fillId="28" borderId="39" xfId="0" applyNumberFormat="1" applyFont="1" applyFill="1" applyBorder="1"/>
    <xf numFmtId="3" fontId="11" fillId="28" borderId="27" xfId="0" applyNumberFormat="1" applyFont="1" applyFill="1" applyBorder="1"/>
    <xf numFmtId="3" fontId="11" fillId="28" borderId="51" xfId="0" applyNumberFormat="1" applyFont="1" applyFill="1" applyBorder="1"/>
    <xf numFmtId="3" fontId="11" fillId="28" borderId="36" xfId="0" applyNumberFormat="1" applyFont="1" applyFill="1" applyBorder="1"/>
    <xf numFmtId="3" fontId="11" fillId="16" borderId="17" xfId="0" applyNumberFormat="1" applyFont="1" applyFill="1" applyBorder="1"/>
    <xf numFmtId="10" fontId="11" fillId="2" borderId="7" xfId="4" applyFont="1" applyFill="1" applyBorder="1" applyAlignment="1" applyProtection="1">
      <alignment horizontal="center"/>
      <protection locked="0"/>
    </xf>
    <xf numFmtId="10" fontId="11" fillId="2" borderId="8" xfId="4" applyFont="1" applyFill="1" applyBorder="1" applyAlignment="1" applyProtection="1">
      <alignment horizontal="center"/>
      <protection locked="0"/>
    </xf>
    <xf numFmtId="1" fontId="20" fillId="16" borderId="18" xfId="5" applyNumberFormat="1" applyFont="1" applyFill="1" applyBorder="1" applyAlignment="1">
      <alignment horizontal="center" wrapText="1"/>
    </xf>
    <xf numFmtId="3" fontId="11" fillId="0" borderId="17" xfId="0" applyNumberFormat="1" applyFont="1" applyBorder="1" applyAlignment="1">
      <alignment horizontal="center"/>
    </xf>
    <xf numFmtId="10" fontId="19" fillId="0" borderId="0" xfId="4" applyFont="1" applyProtection="1">
      <protection locked="0"/>
    </xf>
    <xf numFmtId="3" fontId="11" fillId="13" borderId="17" xfId="0" applyNumberFormat="1" applyFont="1" applyFill="1" applyBorder="1" applyAlignment="1">
      <alignment horizontal="center"/>
    </xf>
    <xf numFmtId="3" fontId="47" fillId="13" borderId="51" xfId="10" applyNumberFormat="1" applyFill="1" applyBorder="1" applyAlignment="1" applyProtection="1"/>
    <xf numFmtId="0" fontId="11" fillId="26" borderId="71" xfId="0" applyFont="1" applyFill="1" applyBorder="1"/>
    <xf numFmtId="0" fontId="11" fillId="26" borderId="0" xfId="0" applyFont="1" applyFill="1"/>
    <xf numFmtId="0" fontId="11" fillId="26" borderId="120" xfId="0" applyFont="1" applyFill="1" applyBorder="1"/>
    <xf numFmtId="0" fontId="11" fillId="26" borderId="47" xfId="0" applyFont="1" applyFill="1" applyBorder="1"/>
    <xf numFmtId="0" fontId="11" fillId="26" borderId="57" xfId="0" applyFont="1" applyFill="1" applyBorder="1"/>
    <xf numFmtId="0" fontId="11" fillId="26" borderId="49" xfId="0" applyFont="1" applyFill="1" applyBorder="1"/>
    <xf numFmtId="9" fontId="11" fillId="32" borderId="35" xfId="0" applyNumberFormat="1" applyFont="1" applyFill="1" applyBorder="1" applyAlignment="1">
      <alignment horizontal="center"/>
    </xf>
    <xf numFmtId="10" fontId="11" fillId="26" borderId="29" xfId="4" applyFont="1" applyFill="1" applyBorder="1" applyAlignment="1">
      <alignment horizontal="center"/>
    </xf>
    <xf numFmtId="10" fontId="11" fillId="26" borderId="30" xfId="4" applyFont="1" applyFill="1" applyBorder="1" applyAlignment="1">
      <alignment horizontal="center"/>
    </xf>
    <xf numFmtId="0" fontId="11" fillId="26" borderId="19" xfId="0" applyFont="1" applyFill="1" applyBorder="1"/>
    <xf numFmtId="0" fontId="44" fillId="26" borderId="54" xfId="0" applyFont="1" applyFill="1" applyBorder="1" applyAlignment="1">
      <alignment vertical="center"/>
    </xf>
    <xf numFmtId="0" fontId="11" fillId="26" borderId="37" xfId="0" applyFont="1" applyFill="1" applyBorder="1"/>
    <xf numFmtId="0" fontId="11" fillId="26" borderId="55" xfId="0" applyFont="1" applyFill="1" applyBorder="1"/>
    <xf numFmtId="0" fontId="44" fillId="26" borderId="32" xfId="0" applyFont="1" applyFill="1" applyBorder="1" applyAlignment="1">
      <alignment vertical="center"/>
    </xf>
    <xf numFmtId="0" fontId="11" fillId="26" borderId="22" xfId="0" applyFont="1" applyFill="1" applyBorder="1"/>
    <xf numFmtId="0" fontId="44" fillId="26" borderId="74" xfId="0" applyFont="1" applyFill="1" applyBorder="1"/>
    <xf numFmtId="0" fontId="11" fillId="26" borderId="22" xfId="0" applyFont="1" applyFill="1" applyBorder="1" applyAlignment="1">
      <alignment horizontal="left" vertical="center"/>
    </xf>
    <xf numFmtId="0" fontId="11" fillId="26" borderId="23" xfId="0" applyFont="1" applyFill="1" applyBorder="1" applyAlignment="1">
      <alignment horizontal="left" vertical="center"/>
    </xf>
    <xf numFmtId="0" fontId="11" fillId="26" borderId="57" xfId="0" applyFont="1" applyFill="1" applyBorder="1" applyAlignment="1">
      <alignment horizontal="left" vertical="center"/>
    </xf>
    <xf numFmtId="0" fontId="44" fillId="26" borderId="54" xfId="0" applyFont="1" applyFill="1" applyBorder="1"/>
    <xf numFmtId="0" fontId="11" fillId="26" borderId="37" xfId="0" applyFont="1" applyFill="1" applyBorder="1" applyAlignment="1">
      <alignment horizontal="left" vertical="center"/>
    </xf>
    <xf numFmtId="0" fontId="11" fillId="26" borderId="55" xfId="0" applyFont="1" applyFill="1" applyBorder="1" applyAlignment="1">
      <alignment horizontal="left" vertical="center"/>
    </xf>
    <xf numFmtId="0" fontId="11" fillId="26" borderId="64" xfId="0" applyFont="1" applyFill="1" applyBorder="1"/>
    <xf numFmtId="0" fontId="11" fillId="26" borderId="81" xfId="0" applyFont="1" applyFill="1" applyBorder="1"/>
    <xf numFmtId="0" fontId="11" fillId="26" borderId="59" xfId="0" applyFont="1" applyFill="1" applyBorder="1"/>
    <xf numFmtId="9" fontId="11" fillId="32" borderId="33" xfId="0" applyNumberFormat="1" applyFont="1" applyFill="1" applyBorder="1" applyAlignment="1">
      <alignment horizontal="center"/>
    </xf>
    <xf numFmtId="10" fontId="11" fillId="26" borderId="22" xfId="4" applyFont="1" applyFill="1" applyBorder="1" applyAlignment="1">
      <alignment horizontal="center"/>
    </xf>
    <xf numFmtId="10" fontId="11" fillId="26" borderId="23" xfId="4" applyFont="1" applyFill="1" applyBorder="1" applyAlignment="1">
      <alignment horizontal="center"/>
    </xf>
    <xf numFmtId="9" fontId="11" fillId="32" borderId="74" xfId="0" applyNumberFormat="1" applyFont="1" applyFill="1" applyBorder="1" applyAlignment="1">
      <alignment horizontal="center"/>
    </xf>
    <xf numFmtId="9" fontId="11" fillId="32" borderId="46" xfId="0" applyNumberFormat="1" applyFont="1" applyFill="1" applyBorder="1" applyAlignment="1">
      <alignment horizontal="center"/>
    </xf>
    <xf numFmtId="9" fontId="11" fillId="32" borderId="53" xfId="0" applyNumberFormat="1" applyFont="1" applyFill="1" applyBorder="1" applyAlignment="1">
      <alignment horizontal="center"/>
    </xf>
    <xf numFmtId="0" fontId="43" fillId="26" borderId="19" xfId="0" applyFont="1" applyFill="1" applyBorder="1" applyAlignment="1">
      <alignment horizontal="center" vertical="center" wrapText="1"/>
    </xf>
    <xf numFmtId="0" fontId="43" fillId="26" borderId="20" xfId="0" applyFont="1" applyFill="1" applyBorder="1" applyAlignment="1">
      <alignment horizontal="center" vertical="center"/>
    </xf>
    <xf numFmtId="3" fontId="11" fillId="0" borderId="27" xfId="0" applyNumberFormat="1" applyFont="1" applyBorder="1"/>
    <xf numFmtId="3" fontId="10" fillId="19" borderId="21" xfId="0" applyNumberFormat="1" applyFont="1" applyFill="1" applyBorder="1" applyAlignment="1">
      <alignment horizontal="left"/>
    </xf>
    <xf numFmtId="3" fontId="10" fillId="19" borderId="36" xfId="0" applyNumberFormat="1" applyFont="1" applyFill="1" applyBorder="1" applyAlignment="1">
      <alignment horizontal="left"/>
    </xf>
    <xf numFmtId="3" fontId="10" fillId="19" borderId="43" xfId="0" applyNumberFormat="1" applyFont="1" applyFill="1" applyBorder="1" applyAlignment="1">
      <alignment horizontal="left"/>
    </xf>
    <xf numFmtId="3" fontId="11" fillId="0" borderId="21" xfId="0" applyNumberFormat="1" applyFont="1" applyBorder="1" applyAlignment="1">
      <alignment horizontal="left"/>
    </xf>
    <xf numFmtId="3" fontId="10" fillId="0" borderId="36" xfId="0" applyNumberFormat="1" applyFont="1" applyBorder="1" applyAlignment="1">
      <alignment horizontal="left"/>
    </xf>
    <xf numFmtId="3" fontId="10" fillId="0" borderId="43" xfId="0" applyNumberFormat="1" applyFont="1" applyBorder="1" applyAlignment="1">
      <alignment horizontal="left"/>
    </xf>
    <xf numFmtId="3" fontId="11" fillId="0" borderId="21" xfId="0" applyNumberFormat="1" applyFont="1" applyBorder="1"/>
    <xf numFmtId="3" fontId="11" fillId="0" borderId="36" xfId="0" applyNumberFormat="1" applyFont="1" applyBorder="1"/>
    <xf numFmtId="3" fontId="11" fillId="0" borderId="43" xfId="0" applyNumberFormat="1" applyFont="1" applyBorder="1"/>
    <xf numFmtId="0" fontId="43" fillId="26" borderId="0" xfId="0" applyFont="1" applyFill="1"/>
    <xf numFmtId="0" fontId="11" fillId="26" borderId="0" xfId="0" applyFont="1" applyFill="1" applyAlignment="1">
      <alignment horizontal="center"/>
    </xf>
    <xf numFmtId="3" fontId="11" fillId="26" borderId="39" xfId="0" applyNumberFormat="1" applyFont="1" applyFill="1" applyBorder="1"/>
    <xf numFmtId="0" fontId="43" fillId="26" borderId="72" xfId="0" applyFont="1" applyFill="1" applyBorder="1" applyAlignment="1">
      <alignment vertical="center"/>
    </xf>
    <xf numFmtId="0" fontId="11" fillId="26" borderId="39" xfId="0" applyFont="1" applyFill="1" applyBorder="1" applyAlignment="1">
      <alignment horizontal="center"/>
    </xf>
    <xf numFmtId="0" fontId="11" fillId="26" borderId="3" xfId="0" applyFont="1" applyFill="1" applyBorder="1"/>
    <xf numFmtId="0" fontId="11" fillId="26" borderId="4" xfId="0" applyFont="1" applyFill="1" applyBorder="1"/>
    <xf numFmtId="0" fontId="11" fillId="26" borderId="5" xfId="0" applyFont="1" applyFill="1" applyBorder="1"/>
    <xf numFmtId="44" fontId="11" fillId="21" borderId="0" xfId="11" applyFont="1" applyFill="1"/>
    <xf numFmtId="3" fontId="9" fillId="0" borderId="0" xfId="0" applyNumberFormat="1" applyFont="1"/>
    <xf numFmtId="3" fontId="9" fillId="0" borderId="11" xfId="0" applyNumberFormat="1" applyFont="1" applyBorder="1"/>
    <xf numFmtId="3" fontId="8" fillId="21" borderId="0" xfId="0" applyNumberFormat="1" applyFont="1" applyFill="1"/>
    <xf numFmtId="44" fontId="9" fillId="0" borderId="0" xfId="11" applyFont="1"/>
    <xf numFmtId="44" fontId="8" fillId="0" borderId="16" xfId="11" applyFont="1" applyBorder="1"/>
    <xf numFmtId="171" fontId="8" fillId="15" borderId="9" xfId="5" applyNumberFormat="1" applyFont="1" applyFill="1" applyBorder="1" applyProtection="1">
      <protection locked="0"/>
    </xf>
    <xf numFmtId="171" fontId="8" fillId="15" borderId="9" xfId="5" applyNumberFormat="1" applyFont="1" applyFill="1" applyBorder="1" applyAlignment="1" applyProtection="1">
      <alignment horizontal="center"/>
      <protection locked="0"/>
    </xf>
    <xf numFmtId="171" fontId="9" fillId="15" borderId="57" xfId="5" applyNumberFormat="1" applyFont="1" applyFill="1" applyBorder="1" applyProtection="1">
      <protection locked="0"/>
    </xf>
    <xf numFmtId="44" fontId="9" fillId="15" borderId="57" xfId="11" applyFont="1" applyFill="1" applyBorder="1" applyAlignment="1" applyProtection="1">
      <alignment horizontal="center"/>
      <protection locked="0"/>
    </xf>
    <xf numFmtId="171" fontId="9" fillId="15" borderId="47" xfId="5" applyNumberFormat="1" applyFont="1" applyFill="1" applyBorder="1" applyProtection="1">
      <protection locked="0"/>
    </xf>
    <xf numFmtId="44" fontId="9" fillId="15" borderId="47" xfId="11" applyFont="1" applyFill="1" applyBorder="1" applyAlignment="1" applyProtection="1">
      <alignment horizontal="center"/>
      <protection locked="0"/>
    </xf>
    <xf numFmtId="171" fontId="9" fillId="15" borderId="49" xfId="5" applyNumberFormat="1" applyFont="1" applyFill="1" applyBorder="1" applyProtection="1">
      <protection locked="0"/>
    </xf>
    <xf numFmtId="44" fontId="9" fillId="15" borderId="49" xfId="11" applyFont="1" applyFill="1" applyBorder="1" applyAlignment="1" applyProtection="1">
      <alignment horizontal="center"/>
      <protection locked="0"/>
    </xf>
    <xf numFmtId="3" fontId="8" fillId="16" borderId="15" xfId="5" applyNumberFormat="1" applyFont="1" applyFill="1" applyBorder="1" applyAlignment="1">
      <alignment horizontal="center"/>
    </xf>
    <xf numFmtId="44" fontId="10" fillId="7" borderId="16" xfId="11" applyFont="1" applyFill="1" applyBorder="1" applyAlignment="1" applyProtection="1">
      <alignment horizontal="center" vertical="center"/>
    </xf>
    <xf numFmtId="44" fontId="8" fillId="7" borderId="16" xfId="11" applyFont="1" applyFill="1" applyBorder="1" applyAlignment="1" applyProtection="1">
      <alignment horizontal="left" vertical="center"/>
    </xf>
    <xf numFmtId="44" fontId="11" fillId="15" borderId="40" xfId="11" applyFont="1" applyFill="1" applyBorder="1" applyAlignment="1" applyProtection="1">
      <alignment horizontal="center"/>
      <protection locked="0"/>
    </xf>
    <xf numFmtId="44" fontId="11" fillId="15" borderId="9" xfId="11" applyFont="1" applyFill="1" applyBorder="1" applyAlignment="1" applyProtection="1">
      <alignment horizontal="center"/>
      <protection locked="0"/>
    </xf>
    <xf numFmtId="3" fontId="8" fillId="16" borderId="21" xfId="5" applyNumberFormat="1" applyFont="1" applyFill="1" applyBorder="1" applyAlignment="1">
      <alignment horizontal="left" vertical="top"/>
    </xf>
    <xf numFmtId="3" fontId="9" fillId="16" borderId="10" xfId="5" applyNumberFormat="1" applyFont="1" applyFill="1" applyBorder="1" applyAlignment="1">
      <alignment horizontal="left" vertical="top"/>
    </xf>
    <xf numFmtId="44" fontId="11" fillId="15" borderId="31" xfId="11" applyFont="1" applyFill="1" applyBorder="1" applyAlignment="1" applyProtection="1">
      <alignment horizontal="center"/>
      <protection locked="0"/>
    </xf>
    <xf numFmtId="44" fontId="11" fillId="15" borderId="119" xfId="11" applyFont="1" applyFill="1" applyBorder="1" applyAlignment="1" applyProtection="1">
      <alignment horizontal="center"/>
      <protection locked="0"/>
    </xf>
    <xf numFmtId="3" fontId="8" fillId="16" borderId="10" xfId="5" applyNumberFormat="1" applyFont="1" applyFill="1" applyBorder="1" applyAlignment="1">
      <alignment horizontal="left" vertical="top"/>
    </xf>
    <xf numFmtId="3" fontId="8" fillId="16" borderId="6" xfId="5" applyNumberFormat="1" applyFont="1" applyFill="1" applyBorder="1" applyAlignment="1">
      <alignment horizontal="left" vertical="top"/>
    </xf>
    <xf numFmtId="44" fontId="11" fillId="15" borderId="16" xfId="11" applyFont="1" applyFill="1" applyBorder="1" applyAlignment="1" applyProtection="1">
      <alignment horizontal="center"/>
      <protection locked="0"/>
    </xf>
    <xf numFmtId="44" fontId="8" fillId="7" borderId="9" xfId="11" applyFont="1" applyFill="1" applyBorder="1" applyAlignment="1" applyProtection="1">
      <alignment horizontal="left" vertical="center"/>
    </xf>
    <xf numFmtId="171" fontId="9" fillId="15" borderId="58" xfId="5" applyNumberFormat="1" applyFont="1" applyFill="1" applyBorder="1" applyProtection="1">
      <protection locked="0"/>
    </xf>
    <xf numFmtId="171" fontId="9" fillId="15" borderId="48" xfId="5" applyNumberFormat="1" applyFont="1" applyFill="1" applyBorder="1" applyProtection="1">
      <protection locked="0"/>
    </xf>
    <xf numFmtId="171" fontId="9" fillId="15" borderId="50" xfId="5" applyNumberFormat="1" applyFont="1" applyFill="1" applyBorder="1" applyProtection="1">
      <protection locked="0"/>
    </xf>
    <xf numFmtId="44" fontId="8" fillId="2" borderId="31" xfId="11" applyFont="1" applyFill="1" applyBorder="1" applyAlignment="1">
      <alignment horizontal="center" vertical="center"/>
    </xf>
    <xf numFmtId="38" fontId="11" fillId="25" borderId="10" xfId="5" applyNumberFormat="1" applyFont="1" applyFill="1" applyBorder="1" applyAlignment="1">
      <alignment horizontal="center"/>
    </xf>
    <xf numFmtId="38" fontId="11" fillId="25" borderId="27" xfId="5" applyNumberFormat="1" applyFont="1" applyFill="1" applyBorder="1" applyAlignment="1">
      <alignment horizontal="center"/>
    </xf>
    <xf numFmtId="3" fontId="10" fillId="16" borderId="15" xfId="5" applyNumberFormat="1" applyFont="1" applyFill="1" applyBorder="1" applyAlignment="1" applyProtection="1">
      <alignment horizontal="center"/>
      <protection locked="0"/>
    </xf>
    <xf numFmtId="10" fontId="10" fillId="13" borderId="15" xfId="4" applyFont="1" applyFill="1" applyBorder="1" applyAlignment="1" applyProtection="1">
      <alignment horizontal="center"/>
      <protection locked="0"/>
    </xf>
    <xf numFmtId="10" fontId="10" fillId="13" borderId="11" xfId="4" applyFont="1" applyFill="1" applyBorder="1" applyAlignment="1" applyProtection="1">
      <alignment horizontal="center"/>
      <protection locked="0"/>
    </xf>
    <xf numFmtId="10" fontId="10" fillId="13" borderId="16" xfId="4" applyFont="1" applyFill="1" applyBorder="1" applyAlignment="1" applyProtection="1">
      <alignment horizontal="center"/>
      <protection locked="0"/>
    </xf>
    <xf numFmtId="0" fontId="52" fillId="0" borderId="0" xfId="12" applyFont="1"/>
    <xf numFmtId="0" fontId="51" fillId="33" borderId="0" xfId="12" applyFont="1" applyFill="1"/>
    <xf numFmtId="0" fontId="52" fillId="33" borderId="0" xfId="12" applyFont="1" applyFill="1"/>
    <xf numFmtId="0" fontId="51" fillId="0" borderId="0" xfId="12" applyFont="1"/>
    <xf numFmtId="0" fontId="52" fillId="0" borderId="0" xfId="12" applyFont="1" applyAlignment="1">
      <alignment horizontal="left" vertical="center"/>
    </xf>
    <xf numFmtId="0" fontId="52" fillId="34" borderId="81" xfId="12" applyFont="1" applyFill="1" applyBorder="1" applyAlignment="1">
      <alignment horizontal="left" vertical="center"/>
    </xf>
    <xf numFmtId="0" fontId="52" fillId="13" borderId="82" xfId="12" applyFont="1" applyFill="1" applyBorder="1" applyAlignment="1">
      <alignment horizontal="left" vertical="center"/>
    </xf>
    <xf numFmtId="0" fontId="35" fillId="33" borderId="0" xfId="12" applyFont="1" applyFill="1" applyAlignment="1">
      <alignment vertical="center"/>
    </xf>
    <xf numFmtId="0" fontId="53" fillId="19" borderId="7" xfId="12" applyFont="1" applyFill="1" applyBorder="1" applyAlignment="1">
      <alignment horizontal="center" vertical="center"/>
    </xf>
    <xf numFmtId="0" fontId="53" fillId="19" borderId="8" xfId="12" applyFont="1" applyFill="1" applyBorder="1" applyAlignment="1">
      <alignment horizontal="center" vertical="center"/>
    </xf>
    <xf numFmtId="0" fontId="53" fillId="19" borderId="9" xfId="12" applyFont="1" applyFill="1" applyBorder="1" applyAlignment="1">
      <alignment horizontal="center" vertical="center"/>
    </xf>
    <xf numFmtId="3" fontId="10" fillId="34" borderId="6" xfId="5" applyNumberFormat="1" applyFont="1" applyFill="1" applyBorder="1" applyAlignment="1">
      <alignment horizontal="center" vertical="center"/>
    </xf>
    <xf numFmtId="3" fontId="10" fillId="20" borderId="6" xfId="5" applyNumberFormat="1" applyFont="1" applyFill="1" applyBorder="1" applyAlignment="1">
      <alignment horizontal="center" vertical="center" wrapText="1"/>
    </xf>
    <xf numFmtId="3" fontId="10" fillId="34" borderId="18" xfId="5" applyNumberFormat="1" applyFont="1" applyFill="1" applyBorder="1" applyAlignment="1">
      <alignment horizontal="center" vertical="center"/>
    </xf>
    <xf numFmtId="3" fontId="10" fillId="34" borderId="8" xfId="5" applyNumberFormat="1" applyFont="1" applyFill="1" applyBorder="1" applyAlignment="1">
      <alignment horizontal="center" vertical="center"/>
    </xf>
    <xf numFmtId="3" fontId="10" fillId="34" borderId="18" xfId="5" applyNumberFormat="1" applyFont="1" applyFill="1" applyBorder="1" applyAlignment="1">
      <alignment horizontal="center" vertical="center" wrapText="1"/>
    </xf>
    <xf numFmtId="3" fontId="10" fillId="34" borderId="8" xfId="5" applyNumberFormat="1" applyFont="1" applyFill="1" applyBorder="1" applyAlignment="1">
      <alignment horizontal="center" vertical="center" wrapText="1"/>
    </xf>
    <xf numFmtId="3" fontId="10" fillId="34" borderId="6" xfId="5" applyNumberFormat="1" applyFont="1" applyFill="1" applyBorder="1" applyAlignment="1">
      <alignment horizontal="center" vertical="center" wrapText="1"/>
    </xf>
    <xf numFmtId="3" fontId="54" fillId="34" borderId="9" xfId="5" applyNumberFormat="1" applyFont="1" applyFill="1" applyBorder="1" applyAlignment="1">
      <alignment horizontal="center" vertical="center" wrapText="1"/>
    </xf>
    <xf numFmtId="3" fontId="10" fillId="34" borderId="34" xfId="5" applyNumberFormat="1" applyFont="1" applyFill="1" applyBorder="1" applyAlignment="1">
      <alignment horizontal="center" vertical="center" wrapText="1"/>
    </xf>
    <xf numFmtId="3" fontId="10" fillId="34" borderId="9" xfId="5" applyNumberFormat="1" applyFont="1" applyFill="1" applyBorder="1" applyAlignment="1">
      <alignment horizontal="center" vertical="center" textRotation="90" wrapText="1"/>
    </xf>
    <xf numFmtId="3" fontId="10" fillId="34" borderId="19" xfId="5" applyNumberFormat="1" applyFont="1" applyFill="1" applyBorder="1" applyAlignment="1">
      <alignment horizontal="center" vertical="center" wrapText="1"/>
    </xf>
    <xf numFmtId="3" fontId="10" fillId="34" borderId="9" xfId="5" applyNumberFormat="1" applyFont="1" applyFill="1" applyBorder="1" applyAlignment="1">
      <alignment horizontal="center" vertical="center"/>
    </xf>
    <xf numFmtId="3" fontId="10" fillId="34" borderId="9" xfId="5" applyNumberFormat="1" applyFont="1" applyFill="1" applyBorder="1" applyAlignment="1">
      <alignment horizontal="center" vertical="center" wrapText="1"/>
    </xf>
    <xf numFmtId="3" fontId="10" fillId="25" borderId="9" xfId="5" applyNumberFormat="1" applyFont="1" applyFill="1" applyBorder="1" applyAlignment="1">
      <alignment horizontal="center" vertical="center" wrapText="1"/>
    </xf>
    <xf numFmtId="3" fontId="11" fillId="3" borderId="121" xfId="5" applyNumberFormat="1" applyFont="1" applyFill="1" applyBorder="1" applyAlignment="1" applyProtection="1">
      <alignment horizontal="left"/>
      <protection locked="0"/>
    </xf>
    <xf numFmtId="3" fontId="11" fillId="0" borderId="122" xfId="5" applyNumberFormat="1" applyFont="1" applyBorder="1" applyAlignment="1" applyProtection="1">
      <alignment horizontal="center"/>
      <protection locked="0"/>
    </xf>
    <xf numFmtId="3" fontId="11" fillId="0" borderId="123" xfId="5" applyNumberFormat="1" applyFont="1" applyBorder="1" applyAlignment="1" applyProtection="1">
      <alignment horizontal="center"/>
      <protection locked="0"/>
    </xf>
    <xf numFmtId="9" fontId="11" fillId="0" borderId="122" xfId="13" applyFont="1" applyBorder="1" applyAlignment="1" applyProtection="1">
      <alignment horizontal="center"/>
      <protection locked="0"/>
    </xf>
    <xf numFmtId="10" fontId="11" fillId="0" borderId="124" xfId="13" applyNumberFormat="1" applyFont="1" applyFill="1" applyBorder="1" applyAlignment="1" applyProtection="1">
      <alignment horizontal="center"/>
      <protection locked="0"/>
    </xf>
    <xf numFmtId="171" fontId="11" fillId="0" borderId="125" xfId="5" applyNumberFormat="1" applyFont="1" applyBorder="1" applyAlignment="1" applyProtection="1">
      <alignment horizontal="center"/>
      <protection locked="0"/>
    </xf>
    <xf numFmtId="3" fontId="11" fillId="0" borderId="126" xfId="5" applyNumberFormat="1" applyFont="1" applyBorder="1" applyAlignment="1" applyProtection="1">
      <alignment horizontal="center"/>
      <protection locked="0"/>
    </xf>
    <xf numFmtId="1" fontId="11" fillId="0" borderId="127" xfId="5" applyNumberFormat="1" applyFont="1" applyBorder="1" applyAlignment="1" applyProtection="1">
      <alignment horizontal="center"/>
      <protection locked="0"/>
    </xf>
    <xf numFmtId="1" fontId="11" fillId="12" borderId="124" xfId="5" applyNumberFormat="1" applyFont="1" applyFill="1" applyBorder="1" applyAlignment="1" applyProtection="1">
      <alignment horizontal="center"/>
      <protection locked="0"/>
    </xf>
    <xf numFmtId="1" fontId="11" fillId="12" borderId="127" xfId="5" applyNumberFormat="1" applyFont="1" applyFill="1" applyBorder="1" applyAlignment="1" applyProtection="1">
      <alignment horizontal="center"/>
      <protection locked="0"/>
    </xf>
    <xf numFmtId="3" fontId="11" fillId="0" borderId="125" xfId="5" applyNumberFormat="1" applyFont="1" applyBorder="1" applyProtection="1">
      <protection locked="0"/>
    </xf>
    <xf numFmtId="3" fontId="11" fillId="3" borderId="128" xfId="5" applyNumberFormat="1" applyFont="1" applyFill="1" applyBorder="1" applyAlignment="1" applyProtection="1">
      <alignment horizontal="left"/>
      <protection locked="0"/>
    </xf>
    <xf numFmtId="3" fontId="11" fillId="0" borderId="129" xfId="5" applyNumberFormat="1" applyFont="1" applyBorder="1" applyAlignment="1" applyProtection="1">
      <alignment horizontal="center"/>
      <protection locked="0"/>
    </xf>
    <xf numFmtId="3" fontId="11" fillId="0" borderId="130" xfId="5" applyNumberFormat="1" applyFont="1" applyBorder="1" applyAlignment="1" applyProtection="1">
      <alignment horizontal="center"/>
      <protection locked="0"/>
    </xf>
    <xf numFmtId="9" fontId="11" fillId="0" borderId="129" xfId="13" applyFont="1" applyBorder="1" applyAlignment="1" applyProtection="1">
      <alignment horizontal="center"/>
      <protection locked="0"/>
    </xf>
    <xf numFmtId="10" fontId="11" fillId="0" borderId="131" xfId="13" applyNumberFormat="1" applyFont="1" applyFill="1" applyBorder="1" applyAlignment="1" applyProtection="1">
      <alignment horizontal="center"/>
      <protection locked="0"/>
    </xf>
    <xf numFmtId="171" fontId="11" fillId="0" borderId="132" xfId="5" applyNumberFormat="1" applyFont="1" applyBorder="1" applyAlignment="1" applyProtection="1">
      <alignment horizontal="center"/>
      <protection locked="0"/>
    </xf>
    <xf numFmtId="3" fontId="11" fillId="0" borderId="133" xfId="5" applyNumberFormat="1" applyFont="1" applyBorder="1" applyAlignment="1" applyProtection="1">
      <alignment horizontal="center"/>
      <protection locked="0"/>
    </xf>
    <xf numFmtId="1" fontId="11" fillId="0" borderId="134" xfId="5" applyNumberFormat="1" applyFont="1" applyBorder="1" applyAlignment="1" applyProtection="1">
      <alignment horizontal="center"/>
      <protection locked="0"/>
    </xf>
    <xf numFmtId="1" fontId="11" fillId="12" borderId="131" xfId="5" applyNumberFormat="1" applyFont="1" applyFill="1" applyBorder="1" applyAlignment="1" applyProtection="1">
      <alignment horizontal="center"/>
      <protection locked="0"/>
    </xf>
    <xf numFmtId="1" fontId="11" fillId="12" borderId="134" xfId="5" applyNumberFormat="1" applyFont="1" applyFill="1" applyBorder="1" applyAlignment="1" applyProtection="1">
      <alignment horizontal="center"/>
      <protection locked="0"/>
    </xf>
    <xf numFmtId="3" fontId="11" fillId="0" borderId="132" xfId="5" applyNumberFormat="1" applyFont="1" applyBorder="1" applyProtection="1">
      <protection locked="0"/>
    </xf>
    <xf numFmtId="3" fontId="11" fillId="0" borderId="28" xfId="5" applyNumberFormat="1" applyFont="1" applyBorder="1" applyAlignment="1" applyProtection="1">
      <alignment horizontal="center"/>
      <protection locked="0"/>
    </xf>
    <xf numFmtId="3" fontId="11" fillId="0" borderId="29" xfId="5" applyNumberFormat="1" applyFont="1" applyBorder="1" applyAlignment="1" applyProtection="1">
      <alignment horizontal="center"/>
      <protection locked="0"/>
    </xf>
    <xf numFmtId="9" fontId="11" fillId="0" borderId="28" xfId="13" applyFont="1" applyBorder="1" applyAlignment="1" applyProtection="1">
      <alignment horizontal="center"/>
      <protection locked="0"/>
    </xf>
    <xf numFmtId="10" fontId="11" fillId="0" borderId="17" xfId="13" applyNumberFormat="1" applyFont="1" applyFill="1" applyBorder="1" applyAlignment="1" applyProtection="1">
      <alignment horizontal="center"/>
      <protection locked="0"/>
    </xf>
    <xf numFmtId="171" fontId="11" fillId="0" borderId="16" xfId="5" applyNumberFormat="1" applyFont="1" applyBorder="1" applyAlignment="1" applyProtection="1">
      <alignment horizontal="center"/>
      <protection locked="0"/>
    </xf>
    <xf numFmtId="3" fontId="11" fillId="0" borderId="35" xfId="5" applyNumberFormat="1" applyFont="1" applyBorder="1" applyAlignment="1" applyProtection="1">
      <alignment horizontal="center"/>
      <protection locked="0"/>
    </xf>
    <xf numFmtId="1" fontId="11" fillId="0" borderId="51" xfId="5" applyNumberFormat="1" applyFont="1" applyBorder="1" applyAlignment="1" applyProtection="1">
      <alignment horizontal="center"/>
      <protection locked="0"/>
    </xf>
    <xf numFmtId="1" fontId="11" fillId="12" borderId="17" xfId="5" applyNumberFormat="1" applyFont="1" applyFill="1" applyBorder="1" applyAlignment="1" applyProtection="1">
      <alignment horizontal="center"/>
      <protection locked="0"/>
    </xf>
    <xf numFmtId="1" fontId="11" fillId="12" borderId="51" xfId="5" applyNumberFormat="1" applyFont="1" applyFill="1" applyBorder="1" applyAlignment="1" applyProtection="1">
      <alignment horizontal="center"/>
      <protection locked="0"/>
    </xf>
    <xf numFmtId="3" fontId="11" fillId="0" borderId="16" xfId="5" applyNumberFormat="1" applyFont="1" applyBorder="1" applyProtection="1">
      <protection locked="0"/>
    </xf>
    <xf numFmtId="3" fontId="52" fillId="0" borderId="0" xfId="12" applyNumberFormat="1" applyFont="1"/>
    <xf numFmtId="0" fontId="35" fillId="20" borderId="6" xfId="12" applyFont="1" applyFill="1" applyBorder="1" applyAlignment="1">
      <alignment vertical="center"/>
    </xf>
    <xf numFmtId="0" fontId="35" fillId="20" borderId="7" xfId="12" applyFont="1" applyFill="1" applyBorder="1" applyAlignment="1">
      <alignment vertical="center"/>
    </xf>
    <xf numFmtId="0" fontId="35" fillId="20" borderId="8" xfId="12" applyFont="1" applyFill="1" applyBorder="1" applyAlignment="1">
      <alignment vertical="center"/>
    </xf>
    <xf numFmtId="3" fontId="11" fillId="0" borderId="135" xfId="5" applyNumberFormat="1" applyFont="1" applyBorder="1" applyAlignment="1" applyProtection="1">
      <alignment horizontal="center"/>
      <protection locked="0"/>
    </xf>
    <xf numFmtId="3" fontId="11" fillId="0" borderId="136" xfId="5" applyNumberFormat="1" applyFont="1" applyBorder="1" applyAlignment="1" applyProtection="1">
      <alignment horizontal="center"/>
      <protection locked="0"/>
    </xf>
    <xf numFmtId="3" fontId="11" fillId="0" borderId="132" xfId="5" applyNumberFormat="1" applyFont="1" applyBorder="1" applyAlignment="1" applyProtection="1">
      <alignment horizontal="center"/>
      <protection locked="0"/>
    </xf>
    <xf numFmtId="3" fontId="11" fillId="0" borderId="137" xfId="5" applyNumberFormat="1" applyFont="1" applyBorder="1" applyAlignment="1" applyProtection="1">
      <alignment horizontal="center"/>
      <protection locked="0"/>
    </xf>
    <xf numFmtId="3" fontId="11" fillId="0" borderId="138" xfId="5" applyNumberFormat="1" applyFont="1" applyBorder="1" applyAlignment="1" applyProtection="1">
      <alignment horizontal="center"/>
      <protection locked="0"/>
    </xf>
    <xf numFmtId="3" fontId="11" fillId="0" borderId="139" xfId="5" applyNumberFormat="1" applyFont="1" applyBorder="1" applyAlignment="1" applyProtection="1">
      <alignment horizontal="center"/>
      <protection locked="0"/>
    </xf>
    <xf numFmtId="3" fontId="11" fillId="0" borderId="140" xfId="5" applyNumberFormat="1" applyFont="1" applyBorder="1" applyAlignment="1" applyProtection="1">
      <alignment horizontal="center"/>
      <protection locked="0"/>
    </xf>
    <xf numFmtId="0" fontId="2" fillId="22" borderId="37" xfId="12" applyFill="1" applyBorder="1"/>
    <xf numFmtId="0" fontId="2" fillId="0" borderId="47" xfId="12" applyBorder="1"/>
    <xf numFmtId="0" fontId="55" fillId="0" borderId="47" xfId="12" applyFont="1" applyBorder="1" applyAlignment="1">
      <alignment vertical="center"/>
    </xf>
    <xf numFmtId="37" fontId="19" fillId="0" borderId="4" xfId="2" applyFont="1" applyBorder="1"/>
    <xf numFmtId="37" fontId="19" fillId="0" borderId="0" xfId="2" applyFont="1"/>
    <xf numFmtId="37" fontId="20" fillId="0" borderId="0" xfId="2" applyFont="1" applyAlignment="1">
      <alignment vertical="center"/>
    </xf>
    <xf numFmtId="3" fontId="50" fillId="0" borderId="0" xfId="0" applyNumberFormat="1" applyFont="1"/>
    <xf numFmtId="37" fontId="20" fillId="0" borderId="4" xfId="2" applyFont="1" applyBorder="1"/>
    <xf numFmtId="37" fontId="19" fillId="0" borderId="13" xfId="2" applyFont="1" applyBorder="1"/>
    <xf numFmtId="37" fontId="19" fillId="0" borderId="0" xfId="2" applyFont="1" applyProtection="1">
      <protection locked="0"/>
    </xf>
    <xf numFmtId="3" fontId="50" fillId="0" borderId="0" xfId="0" applyNumberFormat="1" applyFont="1" applyAlignment="1" applyProtection="1">
      <alignment vertical="center"/>
      <protection hidden="1"/>
    </xf>
    <xf numFmtId="37" fontId="11" fillId="0" borderId="2" xfId="2" applyFont="1" applyBorder="1" applyAlignment="1" applyProtection="1">
      <alignment vertical="center"/>
      <protection hidden="1"/>
    </xf>
    <xf numFmtId="37" fontId="11" fillId="0" borderId="0" xfId="2" applyFont="1" applyAlignment="1" applyProtection="1">
      <alignment vertical="center"/>
      <protection locked="0"/>
    </xf>
    <xf numFmtId="3" fontId="19" fillId="0" borderId="0" xfId="0" applyNumberFormat="1" applyFont="1" applyAlignment="1" applyProtection="1">
      <alignment vertical="center"/>
      <protection hidden="1"/>
    </xf>
    <xf numFmtId="37" fontId="11" fillId="27" borderId="11" xfId="2" applyFont="1" applyFill="1" applyBorder="1" applyAlignment="1" applyProtection="1">
      <alignment vertical="center"/>
      <protection locked="0"/>
    </xf>
    <xf numFmtId="37" fontId="48" fillId="0" borderId="2" xfId="2" applyFont="1" applyBorder="1" applyAlignment="1" applyProtection="1">
      <alignment vertical="center"/>
      <protection hidden="1"/>
    </xf>
    <xf numFmtId="3" fontId="20" fillId="0" borderId="0" xfId="0" applyNumberFormat="1" applyFont="1" applyAlignment="1" applyProtection="1">
      <alignment vertical="center"/>
      <protection hidden="1"/>
    </xf>
    <xf numFmtId="3" fontId="0" fillId="0" borderId="0" xfId="0" applyNumberFormat="1" applyAlignment="1">
      <alignment vertical="center"/>
    </xf>
    <xf numFmtId="3" fontId="50" fillId="0" borderId="0" xfId="0" applyNumberFormat="1" applyFont="1" applyAlignment="1">
      <alignment vertical="center"/>
    </xf>
    <xf numFmtId="37" fontId="11" fillId="0" borderId="2" xfId="2" applyFont="1" applyBorder="1" applyAlignment="1">
      <alignment vertical="center"/>
    </xf>
    <xf numFmtId="3" fontId="11" fillId="0" borderId="0" xfId="0" applyNumberFormat="1" applyFont="1" applyAlignment="1">
      <alignment horizontal="right" vertical="center"/>
    </xf>
    <xf numFmtId="3" fontId="56" fillId="16" borderId="9" xfId="0" applyNumberFormat="1" applyFont="1" applyFill="1" applyBorder="1" applyAlignment="1">
      <alignment horizontal="center" vertical="center"/>
    </xf>
    <xf numFmtId="9" fontId="11" fillId="32" borderId="54" xfId="0" applyNumberFormat="1" applyFont="1" applyFill="1" applyBorder="1" applyAlignment="1">
      <alignment horizontal="center"/>
    </xf>
    <xf numFmtId="10" fontId="11" fillId="26" borderId="37" xfId="4" applyFont="1" applyFill="1" applyBorder="1" applyAlignment="1">
      <alignment horizontal="center"/>
    </xf>
    <xf numFmtId="10" fontId="11" fillId="26" borderId="55" xfId="4" applyFont="1" applyFill="1" applyBorder="1" applyAlignment="1">
      <alignment horizontal="center"/>
    </xf>
    <xf numFmtId="0" fontId="44" fillId="26" borderId="28" xfId="0" applyFont="1" applyFill="1" applyBorder="1" applyAlignment="1">
      <alignment vertical="center"/>
    </xf>
    <xf numFmtId="0" fontId="11" fillId="26" borderId="29" xfId="0" applyFont="1" applyFill="1" applyBorder="1"/>
    <xf numFmtId="0" fontId="11" fillId="26" borderId="30" xfId="0" applyFont="1" applyFill="1" applyBorder="1"/>
    <xf numFmtId="0" fontId="11" fillId="26" borderId="47" xfId="0" applyFont="1" applyFill="1" applyBorder="1" applyAlignment="1">
      <alignment horizontal="left" vertical="center"/>
    </xf>
    <xf numFmtId="9" fontId="11" fillId="32" borderId="47" xfId="0" applyNumberFormat="1" applyFont="1" applyFill="1" applyBorder="1" applyAlignment="1">
      <alignment horizontal="center"/>
    </xf>
    <xf numFmtId="0" fontId="44" fillId="26" borderId="74" xfId="0" applyFont="1" applyFill="1" applyBorder="1" applyAlignment="1">
      <alignment wrapText="1"/>
    </xf>
    <xf numFmtId="9" fontId="11" fillId="32" borderId="57" xfId="0" applyNumberFormat="1" applyFont="1" applyFill="1" applyBorder="1" applyAlignment="1">
      <alignment horizontal="center" vertical="center"/>
    </xf>
    <xf numFmtId="10" fontId="11" fillId="26" borderId="57" xfId="4" applyFont="1" applyFill="1" applyBorder="1" applyAlignment="1">
      <alignment horizontal="center" vertical="center"/>
    </xf>
    <xf numFmtId="10" fontId="11" fillId="26" borderId="58" xfId="4" applyFont="1" applyFill="1" applyBorder="1" applyAlignment="1">
      <alignment horizontal="center" vertical="center"/>
    </xf>
    <xf numFmtId="0" fontId="44" fillId="26" borderId="46" xfId="0" applyFont="1" applyFill="1" applyBorder="1"/>
    <xf numFmtId="0" fontId="44" fillId="26" borderId="53" xfId="0" applyFont="1" applyFill="1" applyBorder="1" applyAlignment="1">
      <alignment wrapText="1"/>
    </xf>
    <xf numFmtId="9" fontId="11" fillId="32" borderId="49" xfId="0" applyNumberFormat="1" applyFont="1" applyFill="1" applyBorder="1" applyAlignment="1">
      <alignment horizontal="center" vertical="center"/>
    </xf>
    <xf numFmtId="10" fontId="11" fillId="26" borderId="49" xfId="4" applyFont="1" applyFill="1" applyBorder="1" applyAlignment="1">
      <alignment horizontal="center" vertical="center"/>
    </xf>
    <xf numFmtId="10" fontId="11" fillId="26" borderId="50" xfId="4" applyFont="1" applyFill="1" applyBorder="1" applyAlignment="1">
      <alignment horizontal="center" vertical="center"/>
    </xf>
    <xf numFmtId="0" fontId="11" fillId="0" borderId="17" xfId="0" applyFont="1" applyBorder="1"/>
    <xf numFmtId="3" fontId="10" fillId="0" borderId="10" xfId="0" applyNumberFormat="1" applyFont="1" applyBorder="1" applyAlignment="1">
      <alignment horizontal="left"/>
    </xf>
    <xf numFmtId="166" fontId="11" fillId="14" borderId="21" xfId="4" applyNumberFormat="1" applyFont="1" applyFill="1" applyBorder="1"/>
    <xf numFmtId="166" fontId="11" fillId="14" borderId="10" xfId="4" applyNumberFormat="1" applyFont="1" applyFill="1" applyBorder="1"/>
    <xf numFmtId="166" fontId="11" fillId="14" borderId="27" xfId="4" applyNumberFormat="1" applyFont="1" applyFill="1" applyBorder="1"/>
    <xf numFmtId="3" fontId="10" fillId="16" borderId="15" xfId="0" applyNumberFormat="1" applyFont="1" applyFill="1" applyBorder="1"/>
    <xf numFmtId="3" fontId="52" fillId="28" borderId="142" xfId="0" applyNumberFormat="1" applyFont="1" applyFill="1" applyBorder="1"/>
    <xf numFmtId="3" fontId="51" fillId="16" borderId="6" xfId="0" applyNumberFormat="1" applyFont="1" applyFill="1" applyBorder="1"/>
    <xf numFmtId="3" fontId="52" fillId="28" borderId="141" xfId="0" applyNumberFormat="1" applyFont="1" applyFill="1" applyBorder="1"/>
    <xf numFmtId="3" fontId="52" fillId="28" borderId="143" xfId="0" applyNumberFormat="1" applyFont="1" applyFill="1" applyBorder="1"/>
    <xf numFmtId="3" fontId="51" fillId="16" borderId="9" xfId="0" applyNumberFormat="1" applyFont="1" applyFill="1" applyBorder="1"/>
    <xf numFmtId="3" fontId="52" fillId="28" borderId="144" xfId="0" applyNumberFormat="1" applyFont="1" applyFill="1" applyBorder="1"/>
    <xf numFmtId="3" fontId="52" fillId="28" borderId="145" xfId="0" applyNumberFormat="1" applyFont="1" applyFill="1" applyBorder="1"/>
    <xf numFmtId="3" fontId="52" fillId="28" borderId="146" xfId="0" applyNumberFormat="1" applyFont="1" applyFill="1" applyBorder="1"/>
    <xf numFmtId="37" fontId="10" fillId="0" borderId="3" xfId="2" applyFont="1" applyBorder="1" applyAlignment="1">
      <alignment horizontal="right" vertical="center"/>
    </xf>
    <xf numFmtId="37" fontId="10" fillId="0" borderId="12" xfId="2" applyFont="1" applyBorder="1" applyAlignment="1">
      <alignment horizontal="right" vertical="center"/>
    </xf>
    <xf numFmtId="37" fontId="11" fillId="3" borderId="15" xfId="2" applyFont="1" applyFill="1" applyBorder="1" applyAlignment="1" applyProtection="1">
      <alignment vertical="center"/>
      <protection locked="0"/>
    </xf>
    <xf numFmtId="37" fontId="11" fillId="3" borderId="11" xfId="2" applyFont="1" applyFill="1" applyBorder="1" applyAlignment="1" applyProtection="1">
      <alignment vertical="center"/>
      <protection locked="0"/>
    </xf>
    <xf numFmtId="37" fontId="11" fillId="3" borderId="119" xfId="2" applyFont="1" applyFill="1" applyBorder="1" applyAlignment="1" applyProtection="1">
      <alignment vertical="center"/>
      <protection locked="0"/>
    </xf>
    <xf numFmtId="0" fontId="40" fillId="15" borderId="9" xfId="2" applyNumberFormat="1" applyFont="1" applyFill="1" applyBorder="1" applyAlignment="1" applyProtection="1">
      <alignment horizontal="center" vertical="center"/>
      <protection locked="0"/>
    </xf>
    <xf numFmtId="37" fontId="11" fillId="3" borderId="11" xfId="2" applyFont="1" applyFill="1" applyBorder="1" applyAlignment="1" applyProtection="1">
      <alignment horizontal="center" vertical="center"/>
      <protection locked="0"/>
    </xf>
    <xf numFmtId="170" fontId="11" fillId="3" borderId="11" xfId="2" applyNumberFormat="1" applyFont="1" applyFill="1" applyBorder="1" applyAlignment="1" applyProtection="1">
      <alignment horizontal="left" vertical="center"/>
      <protection locked="0"/>
    </xf>
    <xf numFmtId="1" fontId="11" fillId="3" borderId="11" xfId="2" applyNumberFormat="1" applyFont="1" applyFill="1" applyBorder="1" applyAlignment="1" applyProtection="1">
      <alignment horizontal="left" vertical="center"/>
      <protection locked="0"/>
    </xf>
    <xf numFmtId="169" fontId="11" fillId="3" borderId="16" xfId="1" applyNumberFormat="1" applyFont="1" applyFill="1" applyBorder="1" applyAlignment="1" applyProtection="1">
      <alignment horizontal="left" vertical="center"/>
      <protection locked="0"/>
    </xf>
    <xf numFmtId="3" fontId="11" fillId="28" borderId="11" xfId="0" applyNumberFormat="1" applyFont="1" applyFill="1" applyBorder="1"/>
    <xf numFmtId="3" fontId="11" fillId="28" borderId="16" xfId="0" applyNumberFormat="1" applyFont="1" applyFill="1" applyBorder="1"/>
    <xf numFmtId="3" fontId="26" fillId="0" borderId="0" xfId="14" applyNumberFormat="1" applyFont="1"/>
    <xf numFmtId="3" fontId="26" fillId="0" borderId="0" xfId="14" applyNumberFormat="1" applyFont="1" applyAlignment="1">
      <alignment horizontal="center" vertical="center"/>
    </xf>
    <xf numFmtId="0" fontId="57" fillId="0" borderId="0" xfId="14" applyFont="1" applyAlignment="1">
      <alignment horizontal="left" vertical="center"/>
    </xf>
    <xf numFmtId="0" fontId="57" fillId="0" borderId="0" xfId="14" applyFont="1"/>
    <xf numFmtId="3" fontId="57" fillId="0" borderId="0" xfId="14" applyNumberFormat="1" applyFont="1"/>
    <xf numFmtId="0" fontId="26" fillId="10" borderId="61" xfId="15" applyFont="1" applyFill="1" applyBorder="1" applyAlignment="1">
      <alignment horizontal="left" vertical="center"/>
    </xf>
    <xf numFmtId="0" fontId="26" fillId="10" borderId="13" xfId="15" applyFont="1" applyFill="1" applyBorder="1" applyAlignment="1">
      <alignment horizontal="left" vertical="center"/>
    </xf>
    <xf numFmtId="4" fontId="26" fillId="10" borderId="13" xfId="15" applyNumberFormat="1" applyFont="1" applyFill="1" applyBorder="1" applyAlignment="1">
      <alignment horizontal="center" vertical="center"/>
    </xf>
    <xf numFmtId="0" fontId="58" fillId="10" borderId="46" xfId="15" applyFont="1" applyFill="1" applyBorder="1" applyAlignment="1">
      <alignment horizontal="center"/>
    </xf>
    <xf numFmtId="0" fontId="58" fillId="10" borderId="47" xfId="15" applyFont="1" applyFill="1" applyBorder="1" applyAlignment="1">
      <alignment horizontal="center"/>
    </xf>
    <xf numFmtId="0" fontId="58" fillId="10" borderId="47" xfId="15" applyFont="1" applyFill="1" applyBorder="1" applyAlignment="1">
      <alignment horizontal="center" vertical="center" wrapText="1"/>
    </xf>
    <xf numFmtId="4" fontId="58" fillId="10" borderId="47" xfId="15" applyNumberFormat="1" applyFont="1" applyFill="1" applyBorder="1" applyAlignment="1">
      <alignment horizontal="center" vertical="center" wrapText="1"/>
    </xf>
    <xf numFmtId="4" fontId="58" fillId="10" borderId="81" xfId="15" applyNumberFormat="1" applyFont="1" applyFill="1" applyBorder="1" applyAlignment="1">
      <alignment horizontal="center" vertical="center" wrapText="1"/>
    </xf>
    <xf numFmtId="4" fontId="58" fillId="10" borderId="46" xfId="15" applyNumberFormat="1" applyFont="1" applyFill="1" applyBorder="1" applyAlignment="1">
      <alignment horizontal="center" vertical="center"/>
    </xf>
    <xf numFmtId="4" fontId="58" fillId="10" borderId="48" xfId="15" applyNumberFormat="1" applyFont="1" applyFill="1" applyBorder="1" applyAlignment="1">
      <alignment horizontal="center" vertical="center"/>
    </xf>
    <xf numFmtId="4" fontId="58" fillId="10" borderId="46" xfId="15" applyNumberFormat="1" applyFont="1" applyFill="1" applyBorder="1" applyAlignment="1">
      <alignment horizontal="center" vertical="center" wrapText="1"/>
    </xf>
    <xf numFmtId="4" fontId="58" fillId="10" borderId="48" xfId="15" applyNumberFormat="1" applyFont="1" applyFill="1" applyBorder="1" applyAlignment="1">
      <alignment horizontal="center" vertical="center" wrapText="1"/>
    </xf>
    <xf numFmtId="4" fontId="58" fillId="10" borderId="47" xfId="15" applyNumberFormat="1" applyFont="1" applyFill="1" applyBorder="1" applyAlignment="1">
      <alignment horizontal="center" vertical="center"/>
    </xf>
    <xf numFmtId="0" fontId="58" fillId="10" borderId="46" xfId="15" applyFont="1" applyFill="1" applyBorder="1" applyAlignment="1">
      <alignment horizontal="center" vertical="center" wrapText="1"/>
    </xf>
    <xf numFmtId="0" fontId="59" fillId="0" borderId="46" xfId="15" applyFont="1" applyBorder="1" applyAlignment="1">
      <alignment horizontal="center"/>
    </xf>
    <xf numFmtId="0" fontId="59" fillId="0" borderId="47" xfId="15" applyFont="1" applyBorder="1"/>
    <xf numFmtId="0" fontId="59" fillId="0" borderId="47" xfId="15" applyFont="1" applyBorder="1" applyAlignment="1">
      <alignment horizontal="center" vertical="center"/>
    </xf>
    <xf numFmtId="3" fontId="59" fillId="0" borderId="47" xfId="15" applyNumberFormat="1" applyFont="1" applyBorder="1" applyAlignment="1">
      <alignment horizontal="center" vertical="center"/>
    </xf>
    <xf numFmtId="4" fontId="59" fillId="0" borderId="47" xfId="15" applyNumberFormat="1" applyFont="1" applyBorder="1" applyAlignment="1">
      <alignment horizontal="center" vertical="center"/>
    </xf>
    <xf numFmtId="4" fontId="59" fillId="0" borderId="81" xfId="16" applyNumberFormat="1" applyFont="1" applyBorder="1" applyAlignment="1">
      <alignment horizontal="center" vertical="center"/>
    </xf>
    <xf numFmtId="4" fontId="59" fillId="19" borderId="46" xfId="16" applyNumberFormat="1" applyFont="1" applyFill="1" applyBorder="1" applyAlignment="1">
      <alignment horizontal="center" vertical="center"/>
    </xf>
    <xf numFmtId="3" fontId="59" fillId="0" borderId="47" xfId="16" applyNumberFormat="1" applyFont="1" applyBorder="1" applyAlignment="1">
      <alignment horizontal="center" vertical="center"/>
    </xf>
    <xf numFmtId="4" fontId="59" fillId="0" borderId="48" xfId="15" applyNumberFormat="1" applyFont="1" applyBorder="1" applyAlignment="1">
      <alignment horizontal="center" vertical="center"/>
    </xf>
    <xf numFmtId="4" fontId="59" fillId="0" borderId="46" xfId="16" applyNumberFormat="1" applyFont="1" applyBorder="1" applyAlignment="1">
      <alignment horizontal="center" vertical="center"/>
    </xf>
    <xf numFmtId="4" fontId="59" fillId="0" borderId="31" xfId="15" applyNumberFormat="1" applyFont="1" applyBorder="1" applyAlignment="1">
      <alignment horizontal="center" vertical="center"/>
    </xf>
    <xf numFmtId="4" fontId="59" fillId="0" borderId="46" xfId="15" applyNumberFormat="1" applyFont="1" applyBorder="1" applyAlignment="1">
      <alignment horizontal="center" vertical="center"/>
    </xf>
    <xf numFmtId="4" fontId="59" fillId="14" borderId="47" xfId="15" applyNumberFormat="1" applyFont="1" applyFill="1" applyBorder="1" applyAlignment="1">
      <alignment horizontal="center" vertical="center"/>
    </xf>
    <xf numFmtId="4" fontId="59" fillId="0" borderId="148" xfId="15" applyNumberFormat="1" applyFont="1" applyBorder="1" applyAlignment="1">
      <alignment horizontal="center" vertical="center"/>
    </xf>
    <xf numFmtId="0" fontId="60" fillId="0" borderId="0" xfId="14" applyFont="1" applyAlignment="1">
      <alignment horizontal="left" vertical="center"/>
    </xf>
    <xf numFmtId="4" fontId="59" fillId="0" borderId="46" xfId="16" applyNumberFormat="1" applyFont="1" applyBorder="1" applyAlignment="1">
      <alignment horizontal="center"/>
    </xf>
    <xf numFmtId="0" fontId="59" fillId="0" borderId="47" xfId="16" applyFont="1" applyBorder="1"/>
    <xf numFmtId="0" fontId="59" fillId="0" borderId="47" xfId="16" applyFont="1" applyBorder="1" applyAlignment="1">
      <alignment horizontal="center" vertical="center"/>
    </xf>
    <xf numFmtId="4" fontId="59" fillId="0" borderId="47" xfId="16" applyNumberFormat="1" applyFont="1" applyBorder="1" applyAlignment="1">
      <alignment horizontal="center" vertical="center"/>
    </xf>
    <xf numFmtId="0" fontId="59" fillId="0" borderId="46" xfId="16" applyFont="1" applyBorder="1" applyAlignment="1">
      <alignment horizontal="center"/>
    </xf>
    <xf numFmtId="4" fontId="59" fillId="19" borderId="53" xfId="16" applyNumberFormat="1" applyFont="1" applyFill="1" applyBorder="1" applyAlignment="1">
      <alignment horizontal="center" vertical="center"/>
    </xf>
    <xf numFmtId="3" fontId="59" fillId="0" borderId="49" xfId="16" applyNumberFormat="1" applyFont="1" applyBorder="1" applyAlignment="1">
      <alignment horizontal="center" vertical="center"/>
    </xf>
    <xf numFmtId="4" fontId="59" fillId="0" borderId="53" xfId="16" applyNumberFormat="1" applyFont="1" applyBorder="1" applyAlignment="1">
      <alignment horizontal="center" vertical="center"/>
    </xf>
    <xf numFmtId="3" fontId="59" fillId="0" borderId="49" xfId="15" applyNumberFormat="1" applyFont="1" applyBorder="1" applyAlignment="1">
      <alignment horizontal="center" vertical="center"/>
    </xf>
    <xf numFmtId="4" fontId="59" fillId="0" borderId="41" xfId="15" applyNumberFormat="1" applyFont="1" applyBorder="1" applyAlignment="1">
      <alignment horizontal="center" vertical="center"/>
    </xf>
    <xf numFmtId="4" fontId="59" fillId="0" borderId="53" xfId="15" applyNumberFormat="1" applyFont="1" applyBorder="1" applyAlignment="1">
      <alignment horizontal="center" vertical="center"/>
    </xf>
    <xf numFmtId="4" fontId="59" fillId="14" borderId="49" xfId="15" applyNumberFormat="1" applyFont="1" applyFill="1" applyBorder="1" applyAlignment="1">
      <alignment horizontal="center" vertical="center"/>
    </xf>
    <xf numFmtId="4" fontId="59" fillId="0" borderId="50" xfId="15" applyNumberFormat="1" applyFont="1" applyBorder="1" applyAlignment="1">
      <alignment horizontal="center" vertical="center"/>
    </xf>
    <xf numFmtId="4" fontId="59" fillId="0" borderId="49" xfId="15" applyNumberFormat="1" applyFont="1" applyBorder="1" applyAlignment="1">
      <alignment horizontal="center" vertical="center"/>
    </xf>
    <xf numFmtId="4" fontId="26" fillId="36" borderId="152" xfId="15" applyNumberFormat="1" applyFont="1" applyFill="1" applyBorder="1" applyAlignment="1">
      <alignment horizontal="center" vertical="center"/>
    </xf>
    <xf numFmtId="3" fontId="57" fillId="0" borderId="0" xfId="14" applyNumberFormat="1" applyFont="1" applyAlignment="1">
      <alignment horizontal="center" vertical="center"/>
    </xf>
    <xf numFmtId="3" fontId="60" fillId="0" borderId="0" xfId="14" applyNumberFormat="1" applyFont="1" applyAlignment="1">
      <alignment horizontal="center" vertical="center"/>
    </xf>
    <xf numFmtId="3" fontId="57" fillId="19" borderId="0" xfId="14" applyNumberFormat="1" applyFont="1" applyFill="1"/>
    <xf numFmtId="4" fontId="57" fillId="19" borderId="0" xfId="14" applyNumberFormat="1" applyFont="1" applyFill="1" applyAlignment="1">
      <alignment horizontal="center" vertical="center"/>
    </xf>
    <xf numFmtId="3" fontId="57" fillId="14" borderId="0" xfId="14" applyNumberFormat="1" applyFont="1" applyFill="1"/>
    <xf numFmtId="4" fontId="57" fillId="14" borderId="0" xfId="14" applyNumberFormat="1" applyFont="1" applyFill="1" applyAlignment="1">
      <alignment horizontal="center" vertical="center"/>
    </xf>
    <xf numFmtId="3" fontId="11" fillId="13" borderId="32" xfId="5" applyNumberFormat="1" applyFont="1" applyFill="1" applyBorder="1" applyAlignment="1" applyProtection="1">
      <alignment horizontal="center"/>
      <protection locked="0"/>
    </xf>
    <xf numFmtId="3" fontId="11" fillId="13" borderId="26" xfId="5" applyNumberFormat="1" applyFont="1" applyFill="1" applyBorder="1" applyAlignment="1" applyProtection="1">
      <alignment horizontal="center"/>
      <protection locked="0"/>
    </xf>
    <xf numFmtId="3" fontId="11" fillId="13" borderId="28" xfId="5" applyNumberFormat="1" applyFont="1" applyFill="1" applyBorder="1" applyAlignment="1" applyProtection="1">
      <alignment horizontal="center"/>
      <protection locked="0"/>
    </xf>
    <xf numFmtId="0" fontId="1" fillId="0" borderId="47" xfId="12" applyFont="1" applyBorder="1"/>
    <xf numFmtId="10" fontId="11" fillId="0" borderId="0" xfId="4" applyFont="1" applyProtection="1">
      <protection locked="0"/>
    </xf>
    <xf numFmtId="3" fontId="11" fillId="0" borderId="0" xfId="5" applyNumberFormat="1" applyFont="1" applyAlignment="1" applyProtection="1">
      <alignment horizontal="right"/>
      <protection locked="0"/>
    </xf>
    <xf numFmtId="3" fontId="10" fillId="0" borderId="0" xfId="5" applyNumberFormat="1" applyFont="1" applyAlignment="1" applyProtection="1">
      <alignment horizontal="right"/>
      <protection locked="0"/>
    </xf>
    <xf numFmtId="173" fontId="11" fillId="0" borderId="0" xfId="5" applyNumberFormat="1" applyFont="1" applyAlignment="1" applyProtection="1">
      <alignment horizontal="right"/>
      <protection locked="0"/>
    </xf>
    <xf numFmtId="10" fontId="11" fillId="0" borderId="0" xfId="4" applyFont="1" applyAlignment="1" applyProtection="1">
      <alignment horizontal="right"/>
      <protection locked="0"/>
    </xf>
    <xf numFmtId="177" fontId="11" fillId="0" borderId="0" xfId="4" applyNumberFormat="1" applyFont="1" applyProtection="1">
      <protection locked="0"/>
    </xf>
    <xf numFmtId="4" fontId="0" fillId="0" borderId="0" xfId="0" applyNumberFormat="1" applyProtection="1">
      <protection locked="0"/>
    </xf>
    <xf numFmtId="0" fontId="61" fillId="0" borderId="74" xfId="0" applyFont="1" applyBorder="1"/>
    <xf numFmtId="0" fontId="65" fillId="0" borderId="64" xfId="0" applyFont="1" applyBorder="1" applyAlignment="1">
      <alignment horizontal="center"/>
    </xf>
    <xf numFmtId="0" fontId="64" fillId="0" borderId="64" xfId="0" applyFont="1" applyBorder="1" applyAlignment="1">
      <alignment horizontal="center" vertical="center"/>
    </xf>
    <xf numFmtId="0" fontId="65" fillId="0" borderId="57" xfId="0" applyFont="1" applyBorder="1" applyAlignment="1">
      <alignment horizontal="center" vertical="center"/>
    </xf>
    <xf numFmtId="0" fontId="65" fillId="0" borderId="58" xfId="0" applyFont="1" applyBorder="1" applyAlignment="1">
      <alignment horizontal="center"/>
    </xf>
    <xf numFmtId="0" fontId="22" fillId="0" borderId="28" xfId="0" applyFont="1" applyBorder="1" applyAlignment="1">
      <alignment horizontal="left" vertical="center" wrapText="1" indent="5"/>
    </xf>
    <xf numFmtId="178" fontId="66" fillId="0" borderId="153" xfId="0" applyNumberFormat="1" applyFont="1" applyBorder="1" applyAlignment="1">
      <alignment horizontal="center" vertical="center" wrapText="1"/>
    </xf>
    <xf numFmtId="178" fontId="64" fillId="0" borderId="59" xfId="0" applyNumberFormat="1" applyFont="1" applyBorder="1" applyAlignment="1">
      <alignment horizontal="center" vertical="center"/>
    </xf>
    <xf numFmtId="178" fontId="65" fillId="0" borderId="49" xfId="0" applyNumberFormat="1" applyFont="1" applyBorder="1" applyAlignment="1">
      <alignment horizontal="center" vertical="center"/>
    </xf>
    <xf numFmtId="0" fontId="65" fillId="0" borderId="50" xfId="0" applyFont="1" applyBorder="1" applyAlignment="1">
      <alignment horizontal="center"/>
    </xf>
    <xf numFmtId="0" fontId="66" fillId="0" borderId="57" xfId="0" applyFont="1" applyBorder="1" applyAlignment="1">
      <alignment horizontal="center" vertical="center" wrapText="1"/>
    </xf>
    <xf numFmtId="178" fontId="66" fillId="0" borderId="58" xfId="0" applyNumberFormat="1" applyFont="1" applyBorder="1" applyAlignment="1">
      <alignment horizontal="center" vertical="center" wrapText="1"/>
    </xf>
    <xf numFmtId="0" fontId="66" fillId="0" borderId="46" xfId="0" applyFont="1" applyBorder="1" applyAlignment="1">
      <alignment horizontal="left" vertical="center" wrapText="1" indent="4"/>
    </xf>
    <xf numFmtId="178" fontId="66" fillId="0" borderId="81" xfId="0" applyNumberFormat="1" applyFont="1" applyBorder="1" applyAlignment="1">
      <alignment horizontal="center" vertical="center" wrapText="1"/>
    </xf>
    <xf numFmtId="178" fontId="64" fillId="0" borderId="81" xfId="0" applyNumberFormat="1" applyFont="1" applyBorder="1" applyAlignment="1">
      <alignment horizontal="center" vertical="center"/>
    </xf>
    <xf numFmtId="178" fontId="66" fillId="0" borderId="47" xfId="0" applyNumberFormat="1" applyFont="1" applyBorder="1" applyAlignment="1">
      <alignment horizontal="center" vertical="center" wrapText="1"/>
    </xf>
    <xf numFmtId="178" fontId="66" fillId="0" borderId="48" xfId="0" applyNumberFormat="1" applyFont="1" applyBorder="1" applyAlignment="1">
      <alignment horizontal="center" vertical="center" wrapText="1"/>
    </xf>
    <xf numFmtId="178" fontId="67" fillId="0" borderId="153" xfId="0" applyNumberFormat="1" applyFont="1" applyBorder="1" applyAlignment="1">
      <alignment horizontal="center" vertical="center" wrapText="1"/>
    </xf>
    <xf numFmtId="178" fontId="67" fillId="0" borderId="59" xfId="0" applyNumberFormat="1" applyFont="1" applyBorder="1" applyAlignment="1">
      <alignment horizontal="center" vertical="center"/>
    </xf>
    <xf numFmtId="178" fontId="67" fillId="0" borderId="49" xfId="0" applyNumberFormat="1" applyFont="1" applyBorder="1" applyAlignment="1">
      <alignment horizontal="center" vertical="center" wrapText="1"/>
    </xf>
    <xf numFmtId="178" fontId="66" fillId="0" borderId="50" xfId="0" applyNumberFormat="1" applyFont="1" applyBorder="1" applyAlignment="1">
      <alignment horizontal="center" vertical="center" wrapText="1"/>
    </xf>
    <xf numFmtId="0" fontId="65" fillId="0" borderId="59" xfId="0" applyFont="1" applyBorder="1" applyAlignment="1">
      <alignment horizontal="center"/>
    </xf>
    <xf numFmtId="0" fontId="65" fillId="0" borderId="57" xfId="0" applyFont="1" applyBorder="1" applyAlignment="1">
      <alignment horizontal="center"/>
    </xf>
    <xf numFmtId="178" fontId="66" fillId="0" borderId="59" xfId="0" applyNumberFormat="1" applyFont="1" applyBorder="1" applyAlignment="1">
      <alignment horizontal="center" vertical="center" wrapText="1"/>
    </xf>
    <xf numFmtId="178" fontId="66" fillId="0" borderId="64" xfId="0" applyNumberFormat="1" applyFont="1" applyBorder="1" applyAlignment="1">
      <alignment horizontal="center" vertical="center" wrapText="1"/>
    </xf>
    <xf numFmtId="0" fontId="65" fillId="0" borderId="49" xfId="0" applyFont="1" applyBorder="1" applyAlignment="1">
      <alignment horizontal="center"/>
    </xf>
    <xf numFmtId="178" fontId="64" fillId="0" borderId="50" xfId="0" applyNumberFormat="1" applyFont="1" applyBorder="1" applyAlignment="1">
      <alignment horizontal="center"/>
    </xf>
    <xf numFmtId="0" fontId="64" fillId="0" borderId="58" xfId="0" applyFont="1" applyBorder="1" applyAlignment="1">
      <alignment horizontal="center"/>
    </xf>
    <xf numFmtId="0" fontId="69" fillId="0" borderId="53" xfId="0" applyFont="1" applyBorder="1" applyAlignment="1">
      <alignment horizontal="left" vertical="center" indent="4"/>
    </xf>
    <xf numFmtId="0" fontId="65" fillId="0" borderId="59" xfId="0" applyFont="1" applyBorder="1" applyAlignment="1">
      <alignment horizontal="center" vertical="center" wrapText="1"/>
    </xf>
    <xf numFmtId="178" fontId="64" fillId="0" borderId="50" xfId="0" applyNumberFormat="1" applyFont="1" applyBorder="1" applyAlignment="1">
      <alignment horizontal="center" vertical="center"/>
    </xf>
    <xf numFmtId="178" fontId="66" fillId="0" borderId="59" xfId="0" applyNumberFormat="1" applyFont="1" applyBorder="1" applyAlignment="1">
      <alignment horizontal="center" vertical="center"/>
    </xf>
    <xf numFmtId="0" fontId="65" fillId="0" borderId="36" xfId="0" applyFont="1" applyBorder="1" applyAlignment="1">
      <alignment horizontal="center"/>
    </xf>
    <xf numFmtId="0" fontId="65" fillId="0" borderId="36" xfId="0" applyFont="1" applyBorder="1"/>
    <xf numFmtId="178" fontId="66" fillId="0" borderId="49" xfId="0" applyNumberFormat="1" applyFont="1" applyBorder="1" applyAlignment="1">
      <alignment horizontal="center" vertical="center" wrapText="1"/>
    </xf>
    <xf numFmtId="178" fontId="66" fillId="0" borderId="50" xfId="0" applyNumberFormat="1" applyFont="1" applyBorder="1" applyAlignment="1">
      <alignment horizontal="center" vertical="center"/>
    </xf>
    <xf numFmtId="0" fontId="70" fillId="0" borderId="18" xfId="0" applyFont="1" applyBorder="1" applyAlignment="1">
      <alignment vertical="center"/>
    </xf>
    <xf numFmtId="0" fontId="70" fillId="0" borderId="19" xfId="0" applyFont="1" applyBorder="1" applyAlignment="1">
      <alignment horizontal="center" vertical="center"/>
    </xf>
    <xf numFmtId="178" fontId="70" fillId="0" borderId="19" xfId="0" applyNumberFormat="1" applyFont="1" applyBorder="1" applyAlignment="1">
      <alignment horizontal="center" vertical="center"/>
    </xf>
    <xf numFmtId="178" fontId="70" fillId="0" borderId="20" xfId="0" applyNumberFormat="1" applyFont="1" applyBorder="1" applyAlignment="1">
      <alignment horizontal="center" vertical="center"/>
    </xf>
    <xf numFmtId="0" fontId="0" fillId="0" borderId="0" xfId="0"/>
    <xf numFmtId="0" fontId="0" fillId="0" borderId="0" xfId="0" applyAlignment="1">
      <alignment horizontal="center"/>
    </xf>
    <xf numFmtId="0" fontId="0" fillId="37" borderId="18" xfId="0" applyFill="1" applyBorder="1" applyAlignment="1">
      <alignment vertical="center"/>
    </xf>
    <xf numFmtId="0" fontId="0" fillId="37" borderId="42" xfId="0" applyFill="1" applyBorder="1" applyAlignment="1">
      <alignment horizontal="center" vertical="center"/>
    </xf>
    <xf numFmtId="0" fontId="0" fillId="37" borderId="19" xfId="0" applyFill="1" applyBorder="1" applyAlignment="1">
      <alignment horizontal="center" vertical="center"/>
    </xf>
    <xf numFmtId="0" fontId="0" fillId="37" borderId="20" xfId="0" applyFill="1" applyBorder="1" applyAlignment="1">
      <alignment horizontal="center" vertical="center"/>
    </xf>
    <xf numFmtId="0" fontId="62" fillId="0" borderId="74" xfId="0" applyFont="1" applyBorder="1" applyAlignment="1">
      <alignment horizontal="left" vertical="center" wrapText="1" indent="5"/>
    </xf>
    <xf numFmtId="178" fontId="63" fillId="0" borderId="57" xfId="0" applyNumberFormat="1" applyFont="1" applyBorder="1" applyAlignment="1">
      <alignment horizontal="center" vertical="center" wrapText="1"/>
    </xf>
    <xf numFmtId="178" fontId="64" fillId="0" borderId="57" xfId="0" applyNumberFormat="1" applyFont="1" applyBorder="1" applyAlignment="1">
      <alignment horizontal="center" vertical="center"/>
    </xf>
    <xf numFmtId="178" fontId="65" fillId="0" borderId="57" xfId="0" applyNumberFormat="1" applyFont="1" applyBorder="1" applyAlignment="1">
      <alignment horizontal="center" vertical="center"/>
    </xf>
    <xf numFmtId="0" fontId="62" fillId="0" borderId="53" xfId="0" applyFont="1" applyBorder="1" applyAlignment="1">
      <alignment horizontal="left" vertical="center" wrapText="1" indent="5"/>
    </xf>
    <xf numFmtId="178" fontId="63" fillId="0" borderId="49" xfId="0" applyNumberFormat="1" applyFont="1" applyBorder="1" applyAlignment="1">
      <alignment horizontal="center" vertical="center" wrapText="1"/>
    </xf>
    <xf numFmtId="178" fontId="64" fillId="0" borderId="49" xfId="0" applyNumberFormat="1" applyFont="1" applyBorder="1" applyAlignment="1">
      <alignment horizontal="center" vertical="center"/>
    </xf>
    <xf numFmtId="0" fontId="68" fillId="0" borderId="53" xfId="0" applyFont="1" applyBorder="1" applyAlignment="1">
      <alignment horizontal="left" indent="4"/>
    </xf>
    <xf numFmtId="0" fontId="22" fillId="0" borderId="46" xfId="0" applyFont="1" applyBorder="1" applyAlignment="1">
      <alignment horizontal="left" vertical="center" wrapText="1" indent="5"/>
    </xf>
    <xf numFmtId="178" fontId="64" fillId="0" borderId="47" xfId="0" applyNumberFormat="1" applyFont="1" applyBorder="1" applyAlignment="1">
      <alignment horizontal="center" vertical="center"/>
    </xf>
    <xf numFmtId="0" fontId="65" fillId="0" borderId="48" xfId="0" applyFont="1" applyBorder="1" applyAlignment="1">
      <alignment horizontal="center"/>
    </xf>
    <xf numFmtId="0" fontId="22" fillId="0" borderId="53" xfId="0" applyFont="1" applyBorder="1" applyAlignment="1">
      <alignment horizontal="left" vertical="center" wrapText="1" indent="5"/>
    </xf>
    <xf numFmtId="0" fontId="22" fillId="0" borderId="53" xfId="0" applyFont="1" applyBorder="1" applyAlignment="1">
      <alignment horizontal="left" vertical="center" wrapText="1"/>
    </xf>
    <xf numFmtId="178" fontId="66" fillId="0" borderId="57" xfId="0" applyNumberFormat="1" applyFont="1" applyBorder="1" applyAlignment="1">
      <alignment horizontal="center" vertical="center" wrapText="1"/>
    </xf>
    <xf numFmtId="178" fontId="66" fillId="0" borderId="57" xfId="0" applyNumberFormat="1" applyFont="1" applyBorder="1" applyAlignment="1">
      <alignment horizontal="center" vertical="center"/>
    </xf>
    <xf numFmtId="178" fontId="66" fillId="0" borderId="58" xfId="0" applyNumberFormat="1" applyFont="1" applyBorder="1" applyAlignment="1">
      <alignment horizontal="center" vertical="center"/>
    </xf>
    <xf numFmtId="178" fontId="66" fillId="0" borderId="49" xfId="0" applyNumberFormat="1" applyFont="1" applyBorder="1" applyAlignment="1">
      <alignment horizontal="center" vertical="center"/>
    </xf>
    <xf numFmtId="178" fontId="72" fillId="0" borderId="50" xfId="0" applyNumberFormat="1" applyFont="1" applyBorder="1" applyAlignment="1">
      <alignment horizontal="center"/>
    </xf>
    <xf numFmtId="0" fontId="69" fillId="0" borderId="53" xfId="0" applyFont="1" applyBorder="1"/>
    <xf numFmtId="0" fontId="22" fillId="0" borderId="53" xfId="0" applyFont="1" applyBorder="1"/>
    <xf numFmtId="178" fontId="64" fillId="0" borderId="58" xfId="0" applyNumberFormat="1" applyFont="1" applyBorder="1" applyAlignment="1">
      <alignment horizontal="center"/>
    </xf>
    <xf numFmtId="0" fontId="65" fillId="0" borderId="154" xfId="0" applyFont="1" applyBorder="1" applyAlignment="1">
      <alignment horizontal="center"/>
    </xf>
    <xf numFmtId="178" fontId="64" fillId="0" borderId="154" xfId="0" applyNumberFormat="1" applyFont="1" applyBorder="1" applyAlignment="1">
      <alignment horizontal="center" vertical="center"/>
    </xf>
    <xf numFmtId="0" fontId="65" fillId="0" borderId="22" xfId="0" applyFont="1" applyBorder="1" applyAlignment="1">
      <alignment horizontal="center"/>
    </xf>
    <xf numFmtId="0" fontId="69" fillId="0" borderId="53" xfId="0" applyFont="1" applyBorder="1" applyAlignment="1">
      <alignment horizontal="left" wrapText="1" indent="4"/>
    </xf>
    <xf numFmtId="0" fontId="74" fillId="0" borderId="58" xfId="0" applyFont="1" applyBorder="1" applyAlignment="1">
      <alignment horizontal="center"/>
    </xf>
    <xf numFmtId="0" fontId="70" fillId="0" borderId="26" xfId="0" applyFont="1" applyBorder="1" applyAlignment="1">
      <alignment vertical="center"/>
    </xf>
    <xf numFmtId="0" fontId="70" fillId="0" borderId="24" xfId="0" applyFont="1" applyBorder="1" applyAlignment="1">
      <alignment horizontal="center" vertical="center"/>
    </xf>
    <xf numFmtId="178" fontId="70" fillId="0" borderId="24" xfId="0" applyNumberFormat="1" applyFont="1" applyBorder="1" applyAlignment="1">
      <alignment horizontal="center" vertical="center"/>
    </xf>
    <xf numFmtId="0" fontId="75" fillId="0" borderId="18" xfId="0" applyFont="1" applyBorder="1" applyAlignment="1">
      <alignment vertical="center"/>
    </xf>
    <xf numFmtId="0" fontId="75" fillId="0" borderId="19" xfId="0" applyFont="1" applyBorder="1" applyAlignment="1">
      <alignment horizontal="center" vertical="center"/>
    </xf>
    <xf numFmtId="178" fontId="75" fillId="0" borderId="19" xfId="0" applyNumberFormat="1" applyFont="1" applyBorder="1" applyAlignment="1">
      <alignment horizontal="center" vertical="center"/>
    </xf>
    <xf numFmtId="179" fontId="0" fillId="0" borderId="0" xfId="0" applyNumberFormat="1" applyProtection="1">
      <protection locked="0"/>
    </xf>
    <xf numFmtId="4" fontId="9" fillId="0" borderId="0" xfId="5" applyNumberFormat="1" applyFont="1" applyProtection="1">
      <protection locked="0"/>
    </xf>
    <xf numFmtId="179" fontId="9" fillId="0" borderId="0" xfId="5" applyNumberFormat="1" applyFont="1" applyProtection="1">
      <protection locked="0"/>
    </xf>
    <xf numFmtId="167" fontId="0" fillId="0" borderId="0" xfId="0" applyNumberFormat="1" applyProtection="1">
      <protection locked="0"/>
    </xf>
    <xf numFmtId="4" fontId="8" fillId="0" borderId="0" xfId="5" applyNumberFormat="1" applyFont="1" applyProtection="1">
      <protection locked="0"/>
    </xf>
    <xf numFmtId="3" fontId="27" fillId="14" borderId="21" xfId="5" applyNumberFormat="1" applyFont="1" applyFill="1" applyBorder="1" applyAlignment="1">
      <alignment horizontal="center" vertical="center"/>
    </xf>
    <xf numFmtId="3" fontId="27" fillId="14" borderId="43" xfId="5" applyNumberFormat="1" applyFont="1" applyFill="1" applyBorder="1" applyAlignment="1">
      <alignment horizontal="center" vertical="center"/>
    </xf>
    <xf numFmtId="3" fontId="29" fillId="25" borderId="21" xfId="5" applyNumberFormat="1" applyFont="1" applyFill="1" applyBorder="1" applyAlignment="1">
      <alignment horizontal="center" vertical="center"/>
    </xf>
    <xf numFmtId="3" fontId="29" fillId="25" borderId="36" xfId="5" applyNumberFormat="1" applyFont="1" applyFill="1" applyBorder="1" applyAlignment="1">
      <alignment horizontal="center" vertical="center"/>
    </xf>
    <xf numFmtId="3" fontId="29" fillId="25" borderId="43" xfId="5" applyNumberFormat="1" applyFont="1" applyFill="1" applyBorder="1" applyAlignment="1">
      <alignment horizontal="center" vertical="center"/>
    </xf>
    <xf numFmtId="3" fontId="27" fillId="14" borderId="74" xfId="5" applyNumberFormat="1" applyFont="1" applyFill="1" applyBorder="1" applyAlignment="1">
      <alignment horizontal="center" vertical="center"/>
    </xf>
    <xf numFmtId="3" fontId="27" fillId="14" borderId="57" xfId="5" applyNumberFormat="1" applyFont="1" applyFill="1" applyBorder="1" applyAlignment="1">
      <alignment horizontal="center" vertical="center"/>
    </xf>
    <xf numFmtId="3" fontId="27" fillId="14" borderId="64" xfId="5" applyNumberFormat="1" applyFont="1" applyFill="1" applyBorder="1" applyAlignment="1">
      <alignment horizontal="center" vertical="center"/>
    </xf>
    <xf numFmtId="0" fontId="9" fillId="16" borderId="6" xfId="0" applyFont="1" applyFill="1" applyBorder="1" applyAlignment="1">
      <alignment horizontal="right"/>
    </xf>
    <xf numFmtId="0" fontId="9" fillId="16" borderId="34" xfId="0" applyFont="1" applyFill="1" applyBorder="1" applyAlignment="1">
      <alignment horizontal="right"/>
    </xf>
    <xf numFmtId="3" fontId="8" fillId="16" borderId="6" xfId="5" applyNumberFormat="1" applyFont="1" applyFill="1" applyBorder="1" applyAlignment="1">
      <alignment horizontal="center"/>
    </xf>
    <xf numFmtId="3" fontId="8" fillId="16" borderId="7" xfId="5" applyNumberFormat="1" applyFont="1" applyFill="1" applyBorder="1" applyAlignment="1">
      <alignment horizontal="center"/>
    </xf>
    <xf numFmtId="3" fontId="8" fillId="16" borderId="51" xfId="5" applyNumberFormat="1" applyFont="1" applyFill="1" applyBorder="1" applyAlignment="1">
      <alignment horizontal="center"/>
    </xf>
    <xf numFmtId="3" fontId="11" fillId="25" borderId="10" xfId="5" applyNumberFormat="1" applyFont="1" applyFill="1" applyBorder="1" applyAlignment="1">
      <alignment horizontal="left"/>
    </xf>
    <xf numFmtId="3" fontId="11" fillId="25" borderId="0" xfId="5" applyNumberFormat="1" applyFont="1" applyFill="1" applyAlignment="1">
      <alignment horizontal="left"/>
    </xf>
    <xf numFmtId="3" fontId="11" fillId="25" borderId="39" xfId="5" applyNumberFormat="1" applyFont="1" applyFill="1" applyBorder="1" applyAlignment="1">
      <alignment horizontal="left"/>
    </xf>
    <xf numFmtId="3" fontId="11" fillId="25" borderId="27" xfId="5" applyNumberFormat="1" applyFont="1" applyFill="1" applyBorder="1" applyAlignment="1">
      <alignment horizontal="left"/>
    </xf>
    <xf numFmtId="3" fontId="11" fillId="25" borderId="17" xfId="5" applyNumberFormat="1" applyFont="1" applyFill="1" applyBorder="1" applyAlignment="1">
      <alignment horizontal="left"/>
    </xf>
    <xf numFmtId="3" fontId="11" fillId="25" borderId="51" xfId="5" applyNumberFormat="1" applyFont="1" applyFill="1" applyBorder="1" applyAlignment="1">
      <alignment horizontal="left"/>
    </xf>
    <xf numFmtId="3" fontId="8" fillId="16" borderId="8" xfId="5" applyNumberFormat="1" applyFont="1" applyFill="1" applyBorder="1" applyAlignment="1">
      <alignment horizontal="center"/>
    </xf>
    <xf numFmtId="3" fontId="11" fillId="25" borderId="21" xfId="5" applyNumberFormat="1" applyFont="1" applyFill="1" applyBorder="1" applyAlignment="1">
      <alignment horizontal="left"/>
    </xf>
    <xf numFmtId="3" fontId="11" fillId="25" borderId="36" xfId="5" applyNumberFormat="1" applyFont="1" applyFill="1" applyBorder="1" applyAlignment="1">
      <alignment horizontal="left"/>
    </xf>
    <xf numFmtId="3" fontId="11" fillId="25" borderId="43" xfId="5" applyNumberFormat="1" applyFont="1" applyFill="1" applyBorder="1" applyAlignment="1">
      <alignment horizontal="left"/>
    </xf>
    <xf numFmtId="14" fontId="29" fillId="15" borderId="53" xfId="5" applyNumberFormat="1" applyFont="1" applyFill="1" applyBorder="1" applyAlignment="1" applyProtection="1">
      <alignment horizontal="center" vertical="center"/>
      <protection locked="0"/>
    </xf>
    <xf numFmtId="14" fontId="29" fillId="15" borderId="49" xfId="5" applyNumberFormat="1" applyFont="1" applyFill="1" applyBorder="1" applyAlignment="1" applyProtection="1">
      <alignment horizontal="center" vertical="center"/>
      <protection locked="0"/>
    </xf>
    <xf numFmtId="14" fontId="29" fillId="15" borderId="59" xfId="5" applyNumberFormat="1" applyFont="1" applyFill="1" applyBorder="1" applyAlignment="1" applyProtection="1">
      <alignment horizontal="center" vertical="center"/>
      <protection locked="0"/>
    </xf>
    <xf numFmtId="3" fontId="27" fillId="14" borderId="58" xfId="5" applyNumberFormat="1" applyFont="1" applyFill="1" applyBorder="1" applyAlignment="1">
      <alignment horizontal="center" vertical="center"/>
    </xf>
    <xf numFmtId="3" fontId="29" fillId="15" borderId="46" xfId="5" applyNumberFormat="1" applyFont="1" applyFill="1" applyBorder="1" applyAlignment="1" applyProtection="1">
      <alignment horizontal="center" vertical="center" shrinkToFit="1"/>
      <protection locked="0"/>
    </xf>
    <xf numFmtId="3" fontId="29" fillId="15" borderId="47" xfId="5" applyNumberFormat="1" applyFont="1" applyFill="1" applyBorder="1" applyAlignment="1" applyProtection="1">
      <alignment horizontal="center" vertical="center" shrinkToFit="1"/>
      <protection locked="0"/>
    </xf>
    <xf numFmtId="3" fontId="29" fillId="15" borderId="48" xfId="5" applyNumberFormat="1" applyFont="1" applyFill="1" applyBorder="1" applyAlignment="1" applyProtection="1">
      <alignment horizontal="center" vertical="center" shrinkToFit="1"/>
      <protection locked="0"/>
    </xf>
    <xf numFmtId="14" fontId="29" fillId="15" borderId="50" xfId="5" applyNumberFormat="1" applyFont="1" applyFill="1" applyBorder="1" applyAlignment="1" applyProtection="1">
      <alignment horizontal="center" vertical="center"/>
      <protection locked="0"/>
    </xf>
    <xf numFmtId="3" fontId="29" fillId="15" borderId="46" xfId="5" applyNumberFormat="1" applyFont="1" applyFill="1" applyBorder="1" applyAlignment="1" applyProtection="1">
      <alignment horizontal="center" vertical="center"/>
      <protection locked="0"/>
    </xf>
    <xf numFmtId="3" fontId="29" fillId="15" borderId="47" xfId="5" applyNumberFormat="1" applyFont="1" applyFill="1" applyBorder="1" applyAlignment="1" applyProtection="1">
      <alignment horizontal="center" vertical="center"/>
      <protection locked="0"/>
    </xf>
    <xf numFmtId="3" fontId="29" fillId="15" borderId="81" xfId="5" applyNumberFormat="1" applyFont="1" applyFill="1" applyBorder="1" applyAlignment="1" applyProtection="1">
      <alignment horizontal="center" vertical="center"/>
      <protection locked="0"/>
    </xf>
    <xf numFmtId="3" fontId="9" fillId="6" borderId="6" xfId="5" applyNumberFormat="1" applyFont="1" applyFill="1" applyBorder="1" applyAlignment="1">
      <alignment horizontal="left" vertical="center"/>
    </xf>
    <xf numFmtId="3" fontId="9" fillId="6" borderId="7" xfId="5" applyNumberFormat="1" applyFont="1" applyFill="1" applyBorder="1" applyAlignment="1">
      <alignment horizontal="left" vertical="center"/>
    </xf>
    <xf numFmtId="3" fontId="9" fillId="6" borderId="8" xfId="5" applyNumberFormat="1" applyFont="1" applyFill="1" applyBorder="1" applyAlignment="1">
      <alignment horizontal="left" vertical="center"/>
    </xf>
    <xf numFmtId="3" fontId="29" fillId="15" borderId="81" xfId="5" applyNumberFormat="1" applyFont="1" applyFill="1" applyBorder="1" applyAlignment="1" applyProtection="1">
      <alignment horizontal="center" vertical="center" shrinkToFit="1"/>
      <protection locked="0"/>
    </xf>
    <xf numFmtId="3" fontId="9" fillId="6" borderId="6" xfId="5" applyNumberFormat="1" applyFont="1" applyFill="1" applyBorder="1" applyAlignment="1">
      <alignment horizontal="center" vertical="center"/>
    </xf>
    <xf numFmtId="3" fontId="9" fillId="6" borderId="8" xfId="5" applyNumberFormat="1" applyFont="1" applyFill="1" applyBorder="1" applyAlignment="1">
      <alignment horizontal="center" vertical="center"/>
    </xf>
    <xf numFmtId="3" fontId="8" fillId="16" borderId="40" xfId="5" applyNumberFormat="1" applyFont="1" applyFill="1" applyBorder="1" applyAlignment="1">
      <alignment horizontal="center" vertical="center" wrapText="1"/>
    </xf>
    <xf numFmtId="3" fontId="8" fillId="16" borderId="31" xfId="5" applyNumberFormat="1" applyFont="1" applyFill="1" applyBorder="1" applyAlignment="1">
      <alignment horizontal="center" vertical="center"/>
    </xf>
    <xf numFmtId="3" fontId="10" fillId="16" borderId="21" xfId="5" applyNumberFormat="1" applyFont="1" applyFill="1" applyBorder="1" applyAlignment="1">
      <alignment horizontal="center" vertical="center" wrapText="1"/>
    </xf>
    <xf numFmtId="3" fontId="10" fillId="16" borderId="36" xfId="5" applyNumberFormat="1" applyFont="1" applyFill="1" applyBorder="1" applyAlignment="1">
      <alignment horizontal="center" vertical="center" wrapText="1"/>
    </xf>
    <xf numFmtId="3" fontId="10" fillId="16" borderId="43" xfId="5" applyNumberFormat="1" applyFont="1" applyFill="1" applyBorder="1" applyAlignment="1">
      <alignment horizontal="center" vertical="center" wrapText="1"/>
    </xf>
    <xf numFmtId="3" fontId="10" fillId="16" borderId="27" xfId="5" applyNumberFormat="1" applyFont="1" applyFill="1" applyBorder="1" applyAlignment="1">
      <alignment horizontal="center" vertical="center" wrapText="1"/>
    </xf>
    <xf numFmtId="3" fontId="10" fillId="16" borderId="17" xfId="5" applyNumberFormat="1" applyFont="1" applyFill="1" applyBorder="1" applyAlignment="1">
      <alignment horizontal="center" vertical="center" wrapText="1"/>
    </xf>
    <xf numFmtId="3" fontId="10" fillId="16" borderId="51" xfId="5" applyNumberFormat="1" applyFont="1" applyFill="1" applyBorder="1" applyAlignment="1">
      <alignment horizontal="center" vertical="center" wrapText="1"/>
    </xf>
    <xf numFmtId="40" fontId="8" fillId="2" borderId="21" xfId="5" applyNumberFormat="1" applyFont="1" applyFill="1" applyBorder="1" applyAlignment="1">
      <alignment horizontal="center" vertical="center"/>
    </xf>
    <xf numFmtId="40" fontId="8" fillId="2" borderId="36" xfId="5" applyNumberFormat="1" applyFont="1" applyFill="1" applyBorder="1" applyAlignment="1">
      <alignment horizontal="center" vertical="center"/>
    </xf>
    <xf numFmtId="40" fontId="8" fillId="2" borderId="43" xfId="5" applyNumberFormat="1" applyFont="1" applyFill="1" applyBorder="1" applyAlignment="1">
      <alignment horizontal="center" vertical="center"/>
    </xf>
    <xf numFmtId="40" fontId="8" fillId="2" borderId="27" xfId="5" applyNumberFormat="1" applyFont="1" applyFill="1" applyBorder="1" applyAlignment="1">
      <alignment horizontal="center" vertical="center"/>
    </xf>
    <xf numFmtId="40" fontId="8" fillId="2" borderId="17" xfId="5" applyNumberFormat="1" applyFont="1" applyFill="1" applyBorder="1" applyAlignment="1">
      <alignment horizontal="center" vertical="center"/>
    </xf>
    <xf numFmtId="40" fontId="8" fillId="2" borderId="51" xfId="5" applyNumberFormat="1" applyFont="1" applyFill="1" applyBorder="1" applyAlignment="1">
      <alignment horizontal="center" vertical="center"/>
    </xf>
    <xf numFmtId="10" fontId="8" fillId="7" borderId="15" xfId="4" applyFont="1" applyFill="1" applyBorder="1" applyAlignment="1" applyProtection="1">
      <alignment horizontal="center" vertical="center"/>
    </xf>
    <xf numFmtId="10" fontId="8" fillId="7" borderId="16" xfId="4" applyFont="1" applyFill="1" applyBorder="1" applyAlignment="1" applyProtection="1">
      <alignment horizontal="center" vertical="center"/>
    </xf>
    <xf numFmtId="3" fontId="8" fillId="16" borderId="21" xfId="5" applyNumberFormat="1" applyFont="1" applyFill="1" applyBorder="1" applyAlignment="1">
      <alignment horizontal="center" vertical="center" wrapText="1"/>
    </xf>
    <xf numFmtId="3" fontId="8" fillId="16" borderId="43" xfId="5" applyNumberFormat="1" applyFont="1" applyFill="1" applyBorder="1" applyAlignment="1">
      <alignment horizontal="center" vertical="center" wrapText="1"/>
    </xf>
    <xf numFmtId="3" fontId="8" fillId="16" borderId="61" xfId="5" applyNumberFormat="1" applyFont="1" applyFill="1" applyBorder="1" applyAlignment="1">
      <alignment horizontal="center" vertical="center" wrapText="1"/>
    </xf>
    <xf numFmtId="3" fontId="8" fillId="16" borderId="62" xfId="5" applyNumberFormat="1" applyFont="1" applyFill="1" applyBorder="1" applyAlignment="1">
      <alignment horizontal="center" vertical="center" wrapText="1"/>
    </xf>
    <xf numFmtId="40" fontId="13" fillId="2" borderId="60" xfId="5" applyNumberFormat="1" applyFont="1" applyFill="1" applyBorder="1" applyAlignment="1">
      <alignment horizontal="center" vertical="center"/>
    </xf>
    <xf numFmtId="40" fontId="13" fillId="2" borderId="56" xfId="5" applyNumberFormat="1" applyFont="1" applyFill="1" applyBorder="1" applyAlignment="1">
      <alignment horizontal="center" vertical="center"/>
    </xf>
    <xf numFmtId="40" fontId="13" fillId="2" borderId="27" xfId="5" applyNumberFormat="1" applyFont="1" applyFill="1" applyBorder="1" applyAlignment="1">
      <alignment horizontal="center" vertical="center"/>
    </xf>
    <xf numFmtId="40" fontId="13" fillId="2" borderId="51" xfId="5" applyNumberFormat="1" applyFont="1" applyFill="1" applyBorder="1" applyAlignment="1">
      <alignment horizontal="center" vertical="center"/>
    </xf>
    <xf numFmtId="8" fontId="8" fillId="13" borderId="6" xfId="0" applyNumberFormat="1" applyFont="1" applyFill="1" applyBorder="1" applyAlignment="1" applyProtection="1">
      <alignment horizontal="center"/>
      <protection locked="0"/>
    </xf>
    <xf numFmtId="8" fontId="8" fillId="13" borderId="8" xfId="0" applyNumberFormat="1" applyFont="1" applyFill="1" applyBorder="1" applyAlignment="1" applyProtection="1">
      <alignment horizontal="center"/>
      <protection locked="0"/>
    </xf>
    <xf numFmtId="8" fontId="8" fillId="25" borderId="6" xfId="5" applyNumberFormat="1" applyFont="1" applyFill="1" applyBorder="1" applyAlignment="1">
      <alignment horizontal="center"/>
    </xf>
    <xf numFmtId="8" fontId="8" fillId="25" borderId="8" xfId="5" applyNumberFormat="1" applyFont="1" applyFill="1" applyBorder="1" applyAlignment="1">
      <alignment horizontal="center"/>
    </xf>
    <xf numFmtId="3" fontId="9" fillId="16" borderId="6" xfId="5" applyNumberFormat="1" applyFont="1" applyFill="1" applyBorder="1" applyAlignment="1">
      <alignment horizontal="center"/>
    </xf>
    <xf numFmtId="3" fontId="9" fillId="16" borderId="8" xfId="5" applyNumberFormat="1" applyFont="1" applyFill="1" applyBorder="1" applyAlignment="1">
      <alignment horizontal="center"/>
    </xf>
    <xf numFmtId="3" fontId="9" fillId="11" borderId="53" xfId="5" applyNumberFormat="1" applyFont="1" applyFill="1" applyBorder="1" applyAlignment="1">
      <alignment horizontal="center"/>
    </xf>
    <xf numFmtId="3" fontId="9" fillId="11" borderId="49" xfId="5" applyNumberFormat="1" applyFont="1" applyFill="1" applyBorder="1" applyAlignment="1">
      <alignment horizontal="center"/>
    </xf>
    <xf numFmtId="3" fontId="9" fillId="11" borderId="59" xfId="5" applyNumberFormat="1" applyFont="1" applyFill="1" applyBorder="1" applyAlignment="1">
      <alignment horizontal="center"/>
    </xf>
    <xf numFmtId="3" fontId="11" fillId="11" borderId="50" xfId="5" applyNumberFormat="1" applyFont="1" applyFill="1" applyBorder="1" applyAlignment="1">
      <alignment horizontal="center"/>
    </xf>
    <xf numFmtId="8" fontId="29" fillId="13" borderId="42" xfId="0" applyNumberFormat="1" applyFont="1" applyFill="1" applyBorder="1" applyAlignment="1" applyProtection="1">
      <alignment horizontal="center"/>
      <protection locked="0"/>
    </xf>
    <xf numFmtId="8" fontId="29" fillId="13" borderId="8" xfId="0" applyNumberFormat="1" applyFont="1" applyFill="1" applyBorder="1" applyAlignment="1" applyProtection="1">
      <alignment horizontal="center"/>
      <protection locked="0"/>
    </xf>
    <xf numFmtId="3" fontId="9" fillId="16" borderId="6" xfId="5" applyNumberFormat="1" applyFont="1" applyFill="1" applyBorder="1" applyAlignment="1">
      <alignment horizontal="center" vertical="center"/>
    </xf>
    <xf numFmtId="3" fontId="9" fillId="16" borderId="8" xfId="5" applyNumberFormat="1" applyFont="1" applyFill="1" applyBorder="1" applyAlignment="1">
      <alignment horizontal="center" vertical="center"/>
    </xf>
    <xf numFmtId="3" fontId="9" fillId="11" borderId="63" xfId="5" applyNumberFormat="1" applyFont="1" applyFill="1" applyBorder="1" applyAlignment="1">
      <alignment horizontal="center"/>
    </xf>
    <xf numFmtId="3" fontId="11" fillId="11" borderId="57" xfId="5" applyNumberFormat="1" applyFont="1" applyFill="1" applyBorder="1" applyAlignment="1">
      <alignment horizontal="center"/>
    </xf>
    <xf numFmtId="3" fontId="11" fillId="11" borderId="64" xfId="5" applyNumberFormat="1" applyFont="1" applyFill="1" applyBorder="1" applyAlignment="1">
      <alignment horizontal="center"/>
    </xf>
    <xf numFmtId="3" fontId="11" fillId="11" borderId="58" xfId="5" applyNumberFormat="1" applyFont="1" applyFill="1" applyBorder="1" applyAlignment="1">
      <alignment horizontal="center"/>
    </xf>
    <xf numFmtId="3" fontId="29" fillId="16" borderId="6" xfId="0" applyNumberFormat="1" applyFont="1" applyFill="1" applyBorder="1" applyAlignment="1">
      <alignment horizontal="right"/>
    </xf>
    <xf numFmtId="3" fontId="29" fillId="16" borderId="7" xfId="0" applyNumberFormat="1" applyFont="1" applyFill="1" applyBorder="1" applyAlignment="1">
      <alignment horizontal="right"/>
    </xf>
    <xf numFmtId="3" fontId="29" fillId="16" borderId="8" xfId="0" applyNumberFormat="1" applyFont="1" applyFill="1" applyBorder="1" applyAlignment="1">
      <alignment horizontal="right"/>
    </xf>
    <xf numFmtId="40" fontId="29" fillId="16" borderId="6" xfId="5" applyNumberFormat="1" applyFont="1" applyFill="1" applyBorder="1" applyAlignment="1">
      <alignment horizontal="right"/>
    </xf>
    <xf numFmtId="40" fontId="29" fillId="16" borderId="7" xfId="5" applyNumberFormat="1" applyFont="1" applyFill="1" applyBorder="1" applyAlignment="1">
      <alignment horizontal="right"/>
    </xf>
    <xf numFmtId="3" fontId="8" fillId="16" borderId="21" xfId="5" applyNumberFormat="1" applyFont="1" applyFill="1" applyBorder="1" applyAlignment="1">
      <alignment horizontal="center"/>
    </xf>
    <xf numFmtId="3" fontId="8" fillId="16" borderId="43" xfId="5" applyNumberFormat="1" applyFont="1" applyFill="1" applyBorder="1" applyAlignment="1">
      <alignment horizontal="center"/>
    </xf>
    <xf numFmtId="3" fontId="8" fillId="16" borderId="6" xfId="0" applyNumberFormat="1" applyFont="1" applyFill="1" applyBorder="1" applyAlignment="1">
      <alignment horizontal="center" vertical="center"/>
    </xf>
    <xf numFmtId="3" fontId="8" fillId="16" borderId="7" xfId="0" applyNumberFormat="1" applyFont="1" applyFill="1" applyBorder="1" applyAlignment="1">
      <alignment horizontal="center" vertical="center"/>
    </xf>
    <xf numFmtId="3" fontId="9" fillId="6" borderId="7" xfId="5" applyNumberFormat="1" applyFont="1" applyFill="1" applyBorder="1" applyAlignment="1">
      <alignment horizontal="center" vertical="center"/>
    </xf>
    <xf numFmtId="3" fontId="8" fillId="16" borderId="27" xfId="5" applyNumberFormat="1" applyFont="1" applyFill="1" applyBorder="1" applyAlignment="1">
      <alignment horizontal="center"/>
    </xf>
    <xf numFmtId="3" fontId="9" fillId="16" borderId="7" xfId="5" applyNumberFormat="1" applyFont="1" applyFill="1" applyBorder="1" applyAlignment="1">
      <alignment horizontal="center" vertical="center"/>
    </xf>
    <xf numFmtId="0" fontId="19" fillId="9" borderId="6" xfId="5" applyFont="1" applyFill="1" applyBorder="1" applyAlignment="1">
      <alignment horizontal="center"/>
    </xf>
    <xf numFmtId="0" fontId="19" fillId="9" borderId="7" xfId="5" applyFont="1" applyFill="1" applyBorder="1" applyAlignment="1">
      <alignment horizontal="center"/>
    </xf>
    <xf numFmtId="0" fontId="19" fillId="9" borderId="8" xfId="5" applyFont="1" applyFill="1" applyBorder="1" applyAlignment="1">
      <alignment horizontal="center"/>
    </xf>
    <xf numFmtId="3" fontId="18" fillId="30" borderId="17" xfId="5" applyNumberFormat="1" applyFont="1" applyFill="1" applyBorder="1" applyAlignment="1" applyProtection="1">
      <alignment horizontal="left"/>
      <protection hidden="1"/>
    </xf>
    <xf numFmtId="3" fontId="7" fillId="11" borderId="6" xfId="5" applyNumberFormat="1" applyFont="1" applyFill="1" applyBorder="1" applyAlignment="1">
      <alignment horizontal="center"/>
    </xf>
    <xf numFmtId="3" fontId="7" fillId="11" borderId="8" xfId="5" applyNumberFormat="1" applyFont="1" applyFill="1" applyBorder="1" applyAlignment="1">
      <alignment horizontal="center"/>
    </xf>
    <xf numFmtId="3" fontId="11" fillId="16" borderId="6" xfId="5" applyNumberFormat="1" applyFont="1" applyFill="1" applyBorder="1" applyAlignment="1">
      <alignment horizontal="center"/>
    </xf>
    <xf numFmtId="3" fontId="11" fillId="16" borderId="7" xfId="5" applyNumberFormat="1" applyFont="1" applyFill="1" applyBorder="1" applyAlignment="1">
      <alignment horizontal="center"/>
    </xf>
    <xf numFmtId="3" fontId="11" fillId="16" borderId="8" xfId="5" applyNumberFormat="1" applyFont="1" applyFill="1" applyBorder="1" applyAlignment="1">
      <alignment horizontal="center"/>
    </xf>
    <xf numFmtId="4" fontId="26" fillId="36" borderId="149" xfId="15" applyNumberFormat="1" applyFont="1" applyFill="1" applyBorder="1" applyAlignment="1">
      <alignment horizontal="right"/>
    </xf>
    <xf numFmtId="4" fontId="26" fillId="36" borderId="150" xfId="15" applyNumberFormat="1" applyFont="1" applyFill="1" applyBorder="1" applyAlignment="1">
      <alignment horizontal="right"/>
    </xf>
    <xf numFmtId="4" fontId="26" fillId="36" borderId="151" xfId="15" applyNumberFormat="1" applyFont="1" applyFill="1" applyBorder="1" applyAlignment="1">
      <alignment horizontal="right"/>
    </xf>
    <xf numFmtId="3" fontId="57" fillId="0" borderId="0" xfId="14" applyNumberFormat="1" applyFont="1" applyAlignment="1">
      <alignment horizontal="left" wrapText="1"/>
    </xf>
    <xf numFmtId="0" fontId="26" fillId="35" borderId="72" xfId="15" applyFont="1" applyFill="1" applyBorder="1" applyAlignment="1">
      <alignment horizontal="left" vertical="center"/>
    </xf>
    <xf numFmtId="0" fontId="26" fillId="35" borderId="71" xfId="15" applyFont="1" applyFill="1" applyBorder="1" applyAlignment="1">
      <alignment horizontal="left" vertical="center"/>
    </xf>
    <xf numFmtId="4" fontId="26" fillId="35" borderId="71" xfId="15" applyNumberFormat="1" applyFont="1" applyFill="1" applyBorder="1" applyAlignment="1">
      <alignment horizontal="center" vertical="center"/>
    </xf>
    <xf numFmtId="4" fontId="26" fillId="35" borderId="36" xfId="15" applyNumberFormat="1" applyFont="1" applyFill="1" applyBorder="1" applyAlignment="1">
      <alignment horizontal="center" vertical="center"/>
    </xf>
    <xf numFmtId="4" fontId="26" fillId="35" borderId="120" xfId="15" applyNumberFormat="1" applyFont="1" applyFill="1" applyBorder="1" applyAlignment="1">
      <alignment horizontal="center" vertical="center"/>
    </xf>
    <xf numFmtId="0" fontId="58" fillId="10" borderId="72" xfId="15" applyFont="1" applyFill="1" applyBorder="1" applyAlignment="1">
      <alignment horizontal="center" vertical="center" wrapText="1"/>
    </xf>
    <xf numFmtId="0" fontId="58" fillId="10" borderId="71" xfId="15" applyFont="1" applyFill="1" applyBorder="1" applyAlignment="1">
      <alignment horizontal="center" vertical="center" wrapText="1"/>
    </xf>
    <xf numFmtId="0" fontId="58" fillId="10" borderId="120" xfId="15" applyFont="1" applyFill="1" applyBorder="1" applyAlignment="1">
      <alignment horizontal="center" vertical="center" wrapText="1"/>
    </xf>
    <xf numFmtId="4" fontId="58" fillId="10" borderId="15" xfId="15" applyNumberFormat="1" applyFont="1" applyFill="1" applyBorder="1" applyAlignment="1">
      <alignment horizontal="center" vertical="center" wrapText="1"/>
    </xf>
    <xf numFmtId="4" fontId="58" fillId="10" borderId="147" xfId="15" applyNumberFormat="1" applyFont="1" applyFill="1" applyBorder="1" applyAlignment="1">
      <alignment horizontal="center" vertical="center" wrapText="1"/>
    </xf>
    <xf numFmtId="4" fontId="26" fillId="10" borderId="56" xfId="15" applyNumberFormat="1" applyFont="1" applyFill="1" applyBorder="1" applyAlignment="1">
      <alignment horizontal="center" vertical="center"/>
    </xf>
    <xf numFmtId="4" fontId="26" fillId="10" borderId="62" xfId="15" applyNumberFormat="1" applyFont="1" applyFill="1" applyBorder="1" applyAlignment="1">
      <alignment horizontal="center" vertical="center"/>
    </xf>
    <xf numFmtId="3" fontId="11" fillId="15" borderId="10" xfId="5" applyNumberFormat="1" applyFont="1" applyFill="1" applyBorder="1" applyAlignment="1" applyProtection="1">
      <alignment horizontal="left"/>
      <protection locked="0"/>
    </xf>
    <xf numFmtId="3" fontId="11" fillId="15" borderId="39" xfId="5" applyNumberFormat="1" applyFont="1" applyFill="1" applyBorder="1" applyAlignment="1" applyProtection="1">
      <alignment horizontal="left"/>
      <protection locked="0"/>
    </xf>
    <xf numFmtId="3" fontId="11" fillId="3" borderId="27" xfId="5" applyNumberFormat="1" applyFont="1" applyFill="1" applyBorder="1" applyAlignment="1" applyProtection="1">
      <alignment horizontal="left"/>
      <protection locked="0"/>
    </xf>
    <xf numFmtId="3" fontId="11" fillId="3" borderId="51" xfId="5" applyNumberFormat="1" applyFont="1" applyFill="1" applyBorder="1" applyAlignment="1" applyProtection="1">
      <alignment horizontal="left"/>
      <protection locked="0"/>
    </xf>
    <xf numFmtId="3" fontId="11" fillId="3" borderId="69" xfId="5" applyNumberFormat="1" applyFont="1" applyFill="1" applyBorder="1" applyAlignment="1" applyProtection="1">
      <alignment horizontal="left"/>
      <protection locked="0"/>
    </xf>
    <xf numFmtId="3" fontId="11" fillId="3" borderId="70" xfId="5" applyNumberFormat="1" applyFont="1" applyFill="1" applyBorder="1" applyAlignment="1" applyProtection="1">
      <alignment horizontal="left"/>
      <protection locked="0"/>
    </xf>
    <xf numFmtId="3" fontId="11" fillId="16" borderId="21" xfId="5" applyNumberFormat="1" applyFont="1" applyFill="1" applyBorder="1" applyAlignment="1">
      <alignment horizontal="left"/>
    </xf>
    <xf numFmtId="3" fontId="11" fillId="16" borderId="43" xfId="5" applyNumberFormat="1" applyFont="1" applyFill="1" applyBorder="1" applyAlignment="1">
      <alignment horizontal="left"/>
    </xf>
    <xf numFmtId="3" fontId="11" fillId="16" borderId="10" xfId="5" applyNumberFormat="1" applyFont="1" applyFill="1" applyBorder="1" applyAlignment="1">
      <alignment horizontal="left"/>
    </xf>
    <xf numFmtId="3" fontId="11" fillId="16" borderId="39" xfId="5" applyNumberFormat="1" applyFont="1" applyFill="1" applyBorder="1" applyAlignment="1">
      <alignment horizontal="left"/>
    </xf>
    <xf numFmtId="3" fontId="11" fillId="3" borderId="21" xfId="5" applyNumberFormat="1" applyFont="1" applyFill="1" applyBorder="1" applyAlignment="1" applyProtection="1">
      <alignment horizontal="left"/>
      <protection locked="0"/>
    </xf>
    <xf numFmtId="3" fontId="11" fillId="3" borderId="43" xfId="5" applyNumberFormat="1" applyFont="1" applyFill="1" applyBorder="1" applyAlignment="1" applyProtection="1">
      <alignment horizontal="left"/>
      <protection locked="0"/>
    </xf>
    <xf numFmtId="3" fontId="11" fillId="3" borderId="10" xfId="5" applyNumberFormat="1" applyFont="1" applyFill="1" applyBorder="1" applyAlignment="1" applyProtection="1">
      <alignment horizontal="left"/>
      <protection locked="0"/>
    </xf>
    <xf numFmtId="3" fontId="11" fillId="3" borderId="39" xfId="5" applyNumberFormat="1" applyFont="1" applyFill="1" applyBorder="1" applyAlignment="1" applyProtection="1">
      <alignment horizontal="left"/>
      <protection locked="0"/>
    </xf>
    <xf numFmtId="3" fontId="10" fillId="16" borderId="6" xfId="5" applyNumberFormat="1" applyFont="1" applyFill="1" applyBorder="1" applyAlignment="1">
      <alignment horizontal="center"/>
    </xf>
    <xf numFmtId="3" fontId="10" fillId="16" borderId="8" xfId="5" applyNumberFormat="1" applyFont="1" applyFill="1" applyBorder="1" applyAlignment="1">
      <alignment horizontal="center"/>
    </xf>
    <xf numFmtId="3" fontId="11" fillId="15" borderId="27" xfId="5" applyNumberFormat="1" applyFont="1" applyFill="1" applyBorder="1" applyAlignment="1" applyProtection="1">
      <alignment horizontal="left"/>
      <protection locked="0"/>
    </xf>
    <xf numFmtId="3" fontId="11" fillId="15" borderId="51" xfId="5" applyNumberFormat="1" applyFont="1" applyFill="1" applyBorder="1" applyAlignment="1" applyProtection="1">
      <alignment horizontal="left"/>
      <protection locked="0"/>
    </xf>
    <xf numFmtId="3" fontId="11" fillId="16" borderId="27" xfId="5" applyNumberFormat="1" applyFont="1" applyFill="1" applyBorder="1" applyAlignment="1">
      <alignment horizontal="center"/>
    </xf>
    <xf numFmtId="3" fontId="11" fillId="16" borderId="51" xfId="5" applyNumberFormat="1" applyFont="1" applyFill="1" applyBorder="1" applyAlignment="1">
      <alignment horizontal="center"/>
    </xf>
    <xf numFmtId="3" fontId="11" fillId="15" borderId="21" xfId="5" applyNumberFormat="1" applyFont="1" applyFill="1" applyBorder="1" applyAlignment="1" applyProtection="1">
      <alignment horizontal="left"/>
      <protection locked="0"/>
    </xf>
    <xf numFmtId="3" fontId="11" fillId="15" borderId="43" xfId="5" applyNumberFormat="1" applyFont="1" applyFill="1" applyBorder="1" applyAlignment="1" applyProtection="1">
      <alignment horizontal="left"/>
      <protection locked="0"/>
    </xf>
    <xf numFmtId="3" fontId="7" fillId="11" borderId="6" xfId="5" applyNumberFormat="1" applyFont="1" applyFill="1" applyBorder="1" applyAlignment="1">
      <alignment horizontal="left"/>
    </xf>
    <xf numFmtId="3" fontId="7" fillId="11" borderId="8" xfId="5" applyNumberFormat="1" applyFont="1" applyFill="1" applyBorder="1" applyAlignment="1">
      <alignment horizontal="left"/>
    </xf>
    <xf numFmtId="3" fontId="7" fillId="0" borderId="7" xfId="5" applyNumberFormat="1" applyFont="1" applyBorder="1" applyAlignment="1">
      <alignment horizontal="center"/>
    </xf>
    <xf numFmtId="3" fontId="7" fillId="16" borderId="6" xfId="5" applyNumberFormat="1" applyFont="1" applyFill="1" applyBorder="1" applyAlignment="1">
      <alignment horizontal="center"/>
    </xf>
    <xf numFmtId="3" fontId="7" fillId="16" borderId="8" xfId="5" applyNumberFormat="1" applyFont="1" applyFill="1" applyBorder="1" applyAlignment="1">
      <alignment horizontal="center"/>
    </xf>
    <xf numFmtId="10" fontId="10" fillId="6" borderId="6" xfId="3" applyNumberFormat="1" applyFont="1" applyFill="1" applyBorder="1" applyAlignment="1">
      <alignment horizontal="center" wrapText="1"/>
    </xf>
    <xf numFmtId="10" fontId="10" fillId="6" borderId="8" xfId="3" applyNumberFormat="1" applyFont="1" applyFill="1" applyBorder="1" applyAlignment="1">
      <alignment horizontal="center" wrapText="1"/>
    </xf>
    <xf numFmtId="0" fontId="10" fillId="8" borderId="6" xfId="3" applyFont="1" applyFill="1" applyBorder="1" applyAlignment="1">
      <alignment horizontal="center"/>
    </xf>
    <xf numFmtId="0" fontId="10" fillId="8" borderId="7" xfId="3" applyFont="1" applyFill="1" applyBorder="1" applyAlignment="1">
      <alignment horizontal="center"/>
    </xf>
    <xf numFmtId="0" fontId="10" fillId="8" borderId="8" xfId="3" applyFont="1" applyFill="1" applyBorder="1" applyAlignment="1">
      <alignment horizontal="center"/>
    </xf>
    <xf numFmtId="0" fontId="31" fillId="15" borderId="47" xfId="0" applyFont="1" applyFill="1" applyBorder="1" applyAlignment="1" applyProtection="1">
      <alignment horizontal="left"/>
      <protection locked="0"/>
    </xf>
    <xf numFmtId="172" fontId="31" fillId="15" borderId="81" xfId="0" applyNumberFormat="1" applyFont="1" applyFill="1" applyBorder="1" applyAlignment="1" applyProtection="1">
      <alignment horizontal="center"/>
      <protection locked="0"/>
    </xf>
    <xf numFmtId="172" fontId="31" fillId="15" borderId="82" xfId="0" applyNumberFormat="1" applyFont="1" applyFill="1" applyBorder="1" applyAlignment="1" applyProtection="1">
      <alignment horizontal="center"/>
      <protection locked="0"/>
    </xf>
    <xf numFmtId="0" fontId="30" fillId="23" borderId="89" xfId="0" applyFont="1" applyFill="1" applyBorder="1" applyAlignment="1">
      <alignment horizontal="center"/>
    </xf>
    <xf numFmtId="3" fontId="7" fillId="6" borderId="74" xfId="5" applyNumberFormat="1" applyFont="1" applyFill="1" applyBorder="1" applyAlignment="1">
      <alignment horizontal="left"/>
    </xf>
    <xf numFmtId="3" fontId="7" fillId="6" borderId="57" xfId="5" applyNumberFormat="1" applyFont="1" applyFill="1" applyBorder="1" applyAlignment="1">
      <alignment horizontal="left"/>
    </xf>
    <xf numFmtId="3" fontId="7" fillId="6" borderId="58" xfId="5" applyNumberFormat="1" applyFont="1" applyFill="1" applyBorder="1" applyAlignment="1">
      <alignment horizontal="left"/>
    </xf>
    <xf numFmtId="0" fontId="28" fillId="21" borderId="6" xfId="0" applyFont="1" applyFill="1" applyBorder="1" applyAlignment="1">
      <alignment horizontal="center"/>
    </xf>
    <xf numFmtId="0" fontId="28" fillId="21" borderId="7" xfId="0" applyFont="1" applyFill="1" applyBorder="1" applyAlignment="1">
      <alignment horizontal="center"/>
    </xf>
    <xf numFmtId="0" fontId="28" fillId="21" borderId="8" xfId="0" applyFont="1" applyFill="1" applyBorder="1" applyAlignment="1">
      <alignment horizontal="center"/>
    </xf>
    <xf numFmtId="0" fontId="39" fillId="17" borderId="107" xfId="0" applyFont="1" applyFill="1" applyBorder="1" applyAlignment="1">
      <alignment horizontal="right" vertical="center" wrapText="1" readingOrder="1"/>
    </xf>
    <xf numFmtId="0" fontId="39" fillId="17" borderId="101" xfId="0" applyFont="1" applyFill="1" applyBorder="1" applyAlignment="1">
      <alignment horizontal="right" vertical="center" wrapText="1" readingOrder="1"/>
    </xf>
    <xf numFmtId="0" fontId="39" fillId="17" borderId="108" xfId="0" applyFont="1" applyFill="1" applyBorder="1" applyAlignment="1">
      <alignment horizontal="right" vertical="center" wrapText="1" readingOrder="1"/>
    </xf>
    <xf numFmtId="0" fontId="38" fillId="17" borderId="67" xfId="0" applyFont="1" applyFill="1" applyBorder="1" applyAlignment="1">
      <alignment horizontal="left" vertical="center" readingOrder="1"/>
    </xf>
    <xf numFmtId="0" fontId="38" fillId="17" borderId="68" xfId="0" applyFont="1" applyFill="1" applyBorder="1" applyAlignment="1">
      <alignment horizontal="left" vertical="center" readingOrder="1"/>
    </xf>
    <xf numFmtId="0" fontId="35" fillId="18" borderId="100" xfId="0" applyFont="1" applyFill="1" applyBorder="1" applyAlignment="1">
      <alignment horizontal="center" vertical="center" wrapText="1" readingOrder="1"/>
    </xf>
    <xf numFmtId="0" fontId="35" fillId="18" borderId="65" xfId="0" applyFont="1" applyFill="1" applyBorder="1" applyAlignment="1">
      <alignment horizontal="center" vertical="center" wrapText="1" readingOrder="1"/>
    </xf>
    <xf numFmtId="0" fontId="35" fillId="18" borderId="98" xfId="0" applyFont="1" applyFill="1" applyBorder="1" applyAlignment="1">
      <alignment horizontal="center" vertical="center" wrapText="1" readingOrder="1"/>
    </xf>
    <xf numFmtId="0" fontId="29" fillId="17" borderId="67" xfId="0" applyFont="1" applyFill="1" applyBorder="1" applyAlignment="1">
      <alignment horizontal="left" vertical="center" readingOrder="1"/>
    </xf>
    <xf numFmtId="0" fontId="29" fillId="17" borderId="68" xfId="0" applyFont="1" applyFill="1" applyBorder="1" applyAlignment="1">
      <alignment horizontal="left" vertical="center" readingOrder="1"/>
    </xf>
    <xf numFmtId="0" fontId="29" fillId="15" borderId="85" xfId="0" applyFont="1" applyFill="1" applyBorder="1" applyAlignment="1" applyProtection="1">
      <alignment horizontal="left"/>
      <protection locked="0"/>
    </xf>
    <xf numFmtId="0" fontId="29" fillId="15" borderId="83" xfId="0" applyFont="1" applyFill="1" applyBorder="1" applyAlignment="1" applyProtection="1">
      <alignment horizontal="left"/>
      <protection locked="0"/>
    </xf>
    <xf numFmtId="0" fontId="29" fillId="15" borderId="82" xfId="0" applyFont="1" applyFill="1" applyBorder="1" applyAlignment="1" applyProtection="1">
      <alignment horizontal="left"/>
      <protection locked="0"/>
    </xf>
    <xf numFmtId="0" fontId="29" fillId="15" borderId="81" xfId="0" applyFont="1" applyFill="1" applyBorder="1" applyAlignment="1" applyProtection="1">
      <alignment horizontal="left"/>
      <protection locked="0"/>
    </xf>
    <xf numFmtId="0" fontId="35" fillId="18" borderId="103" xfId="0" applyFont="1" applyFill="1" applyBorder="1" applyAlignment="1">
      <alignment horizontal="center" vertical="center" wrapText="1" readingOrder="1"/>
    </xf>
    <xf numFmtId="0" fontId="35" fillId="18" borderId="104" xfId="0" applyFont="1" applyFill="1" applyBorder="1" applyAlignment="1">
      <alignment horizontal="center" vertical="center" wrapText="1" readingOrder="1"/>
    </xf>
    <xf numFmtId="0" fontId="30" fillId="23" borderId="79" xfId="0" applyFont="1" applyFill="1" applyBorder="1" applyAlignment="1">
      <alignment horizontal="center"/>
    </xf>
    <xf numFmtId="0" fontId="30" fillId="23" borderId="36" xfId="0" applyFont="1" applyFill="1" applyBorder="1" applyAlignment="1">
      <alignment horizontal="center"/>
    </xf>
    <xf numFmtId="0" fontId="30" fillId="23" borderId="75" xfId="0" applyFont="1" applyFill="1" applyBorder="1" applyAlignment="1">
      <alignment horizontal="center"/>
    </xf>
    <xf numFmtId="0" fontId="29" fillId="15" borderId="69" xfId="0" applyFont="1" applyFill="1" applyBorder="1" applyAlignment="1" applyProtection="1">
      <alignment horizontal="left"/>
      <protection locked="0"/>
    </xf>
    <xf numFmtId="0" fontId="29" fillId="15" borderId="86" xfId="0" applyFont="1" applyFill="1" applyBorder="1" applyAlignment="1" applyProtection="1">
      <alignment horizontal="left"/>
      <protection locked="0"/>
    </xf>
    <xf numFmtId="0" fontId="29" fillId="15" borderId="87" xfId="0" applyFont="1" applyFill="1" applyBorder="1" applyAlignment="1" applyProtection="1">
      <alignment horizontal="left"/>
      <protection locked="0"/>
    </xf>
    <xf numFmtId="0" fontId="29" fillId="15" borderId="59" xfId="0" applyFont="1" applyFill="1" applyBorder="1" applyAlignment="1" applyProtection="1">
      <alignment horizontal="left"/>
      <protection locked="0"/>
    </xf>
    <xf numFmtId="0" fontId="30" fillId="23" borderId="72" xfId="0" applyFont="1" applyFill="1" applyBorder="1" applyAlignment="1">
      <alignment horizontal="center"/>
    </xf>
    <xf numFmtId="0" fontId="30" fillId="23" borderId="71" xfId="0" applyFont="1" applyFill="1" applyBorder="1" applyAlignment="1">
      <alignment horizontal="center"/>
    </xf>
    <xf numFmtId="0" fontId="30" fillId="23" borderId="84" xfId="0" applyFont="1" applyFill="1" applyBorder="1" applyAlignment="1">
      <alignment horizontal="center"/>
    </xf>
    <xf numFmtId="0" fontId="71" fillId="0" borderId="21" xfId="0" applyFont="1" applyBorder="1" applyAlignment="1">
      <alignment horizontal="center" vertical="center"/>
    </xf>
    <xf numFmtId="0" fontId="71" fillId="0" borderId="43" xfId="0" applyFont="1" applyBorder="1" applyAlignment="1">
      <alignment horizontal="center" vertical="center"/>
    </xf>
    <xf numFmtId="178" fontId="70" fillId="0" borderId="42" xfId="0" applyNumberFormat="1" applyFont="1" applyBorder="1" applyAlignment="1">
      <alignment horizontal="center" vertical="center"/>
    </xf>
    <xf numFmtId="178" fontId="70" fillId="0" borderId="8" xfId="0" applyNumberFormat="1" applyFont="1" applyBorder="1" applyAlignment="1">
      <alignment horizontal="center" vertical="center"/>
    </xf>
    <xf numFmtId="178" fontId="75" fillId="0" borderId="42" xfId="0" applyNumberFormat="1" applyFont="1" applyBorder="1" applyAlignment="1">
      <alignment horizontal="center" vertical="center"/>
    </xf>
    <xf numFmtId="178" fontId="75" fillId="0" borderId="8" xfId="0" applyNumberFormat="1" applyFont="1" applyBorder="1" applyAlignment="1">
      <alignment horizontal="center" vertical="center"/>
    </xf>
    <xf numFmtId="0" fontId="53" fillId="19" borderId="6" xfId="12" applyFont="1" applyFill="1" applyBorder="1" applyAlignment="1">
      <alignment horizontal="center" vertical="center"/>
    </xf>
    <xf numFmtId="0" fontId="53" fillId="19" borderId="7" xfId="12" applyFont="1" applyFill="1" applyBorder="1" applyAlignment="1">
      <alignment horizontal="center" vertical="center"/>
    </xf>
    <xf numFmtId="0" fontId="53" fillId="19" borderId="8" xfId="12" applyFont="1" applyFill="1" applyBorder="1" applyAlignment="1">
      <alignment horizontal="center" vertical="center"/>
    </xf>
    <xf numFmtId="0" fontId="52" fillId="13" borderId="83" xfId="12" applyFont="1" applyFill="1" applyBorder="1" applyAlignment="1">
      <alignment horizontal="center" vertical="center"/>
    </xf>
    <xf numFmtId="0" fontId="52" fillId="13" borderId="82" xfId="12" applyFont="1" applyFill="1" applyBorder="1" applyAlignment="1">
      <alignment horizontal="center" vertical="center"/>
    </xf>
    <xf numFmtId="0" fontId="52" fillId="34" borderId="81" xfId="12" applyFont="1" applyFill="1" applyBorder="1" applyAlignment="1">
      <alignment horizontal="left" vertical="center"/>
    </xf>
    <xf numFmtId="0" fontId="52" fillId="34" borderId="83" xfId="12" applyFont="1" applyFill="1" applyBorder="1" applyAlignment="1">
      <alignment horizontal="left" vertical="center"/>
    </xf>
    <xf numFmtId="0" fontId="52" fillId="34" borderId="82" xfId="12" applyFont="1" applyFill="1" applyBorder="1" applyAlignment="1">
      <alignment horizontal="left" vertical="center"/>
    </xf>
    <xf numFmtId="0" fontId="53" fillId="19" borderId="6" xfId="12" applyFont="1" applyFill="1" applyBorder="1" applyAlignment="1">
      <alignment horizontal="center" vertical="center" wrapText="1"/>
    </xf>
    <xf numFmtId="0" fontId="53" fillId="19" borderId="7" xfId="12" applyFont="1" applyFill="1" applyBorder="1" applyAlignment="1">
      <alignment horizontal="center" vertical="center" wrapText="1"/>
    </xf>
    <xf numFmtId="0" fontId="53" fillId="19" borderId="8" xfId="12" applyFont="1" applyFill="1" applyBorder="1" applyAlignment="1">
      <alignment horizontal="center" vertical="center" wrapText="1"/>
    </xf>
    <xf numFmtId="171" fontId="9" fillId="15" borderId="85" xfId="5" applyNumberFormat="1" applyFont="1" applyFill="1" applyBorder="1" applyProtection="1">
      <protection locked="0"/>
    </xf>
    <xf numFmtId="171" fontId="9" fillId="15" borderId="83" xfId="5" applyNumberFormat="1" applyFont="1" applyFill="1" applyBorder="1" applyProtection="1">
      <protection locked="0"/>
    </xf>
    <xf numFmtId="171" fontId="9" fillId="15" borderId="82" xfId="5" applyNumberFormat="1" applyFont="1" applyFill="1" applyBorder="1" applyProtection="1">
      <protection locked="0"/>
    </xf>
    <xf numFmtId="171" fontId="9" fillId="15" borderId="53" xfId="5" applyNumberFormat="1" applyFont="1" applyFill="1" applyBorder="1" applyProtection="1">
      <protection locked="0"/>
    </xf>
    <xf numFmtId="3" fontId="9" fillId="0" borderId="49" xfId="0" applyNumberFormat="1" applyFont="1" applyBorder="1" applyProtection="1">
      <protection locked="0"/>
    </xf>
    <xf numFmtId="171" fontId="8" fillId="15" borderId="6" xfId="5" applyNumberFormat="1" applyFont="1" applyFill="1" applyBorder="1" applyProtection="1">
      <protection locked="0"/>
    </xf>
    <xf numFmtId="3" fontId="8" fillId="0" borderId="7" xfId="0" applyNumberFormat="1" applyFont="1" applyBorder="1"/>
    <xf numFmtId="3" fontId="8" fillId="0" borderId="8" xfId="0" applyNumberFormat="1" applyFont="1" applyBorder="1"/>
    <xf numFmtId="171" fontId="9" fillId="15" borderId="74" xfId="5" applyNumberFormat="1" applyFont="1" applyFill="1" applyBorder="1" applyProtection="1">
      <protection locked="0"/>
    </xf>
    <xf numFmtId="3" fontId="9" fillId="0" borderId="57" xfId="0" applyNumberFormat="1" applyFont="1" applyBorder="1" applyProtection="1">
      <protection locked="0"/>
    </xf>
    <xf numFmtId="0" fontId="47" fillId="0" borderId="17" xfId="10" applyFill="1" applyBorder="1" applyAlignment="1" applyProtection="1"/>
    <xf numFmtId="0" fontId="47" fillId="0" borderId="51" xfId="10" applyFill="1" applyBorder="1" applyAlignment="1" applyProtection="1"/>
    <xf numFmtId="3" fontId="11" fillId="13" borderId="27" xfId="0" applyNumberFormat="1" applyFont="1" applyFill="1" applyBorder="1" applyAlignment="1">
      <alignment horizontal="center"/>
    </xf>
    <xf numFmtId="3" fontId="11" fillId="13" borderId="17" xfId="0" applyNumberFormat="1" applyFont="1" applyFill="1" applyBorder="1" applyAlignment="1">
      <alignment horizontal="center"/>
    </xf>
    <xf numFmtId="3" fontId="10" fillId="19" borderId="6" xfId="0" applyNumberFormat="1" applyFont="1" applyFill="1" applyBorder="1" applyAlignment="1">
      <alignment horizontal="left"/>
    </xf>
    <xf numFmtId="3" fontId="10" fillId="19" borderId="7" xfId="0" applyNumberFormat="1" applyFont="1" applyFill="1" applyBorder="1" applyAlignment="1">
      <alignment horizontal="left"/>
    </xf>
    <xf numFmtId="3" fontId="10" fillId="19" borderId="8" xfId="0" applyNumberFormat="1" applyFont="1" applyFill="1" applyBorder="1" applyAlignment="1">
      <alignment horizontal="left"/>
    </xf>
    <xf numFmtId="0" fontId="44" fillId="26" borderId="0" xfId="0" applyFont="1" applyFill="1" applyAlignment="1">
      <alignment horizontal="center"/>
    </xf>
  </cellXfs>
  <cellStyles count="17">
    <cellStyle name=" 3]_x000d__x000a_Zoomed=0_x000d__x000a_Row=155_x000d__x000a_Column=-10_x000d__x000a_Height=392_x000d__x000a_Width=1027_x000d__x000a_FontName=Arial_x000d__x000a_FontStyle=0_x000d__x000a_FontSize=10_x000d__x000a_PrtFontNa" xfId="5" xr:uid="{00000000-0005-0000-0000-000000000000}"/>
    <cellStyle name="Hipervínculo" xfId="10" builtinId="8"/>
    <cellStyle name="Millares" xfId="9" builtinId="3"/>
    <cellStyle name="Moneda" xfId="11" builtinId="4"/>
    <cellStyle name="Moneda [0]_Libro-Oferta_euros" xfId="1" xr:uid="{00000000-0005-0000-0000-000002000000}"/>
    <cellStyle name="Normal" xfId="0" builtinId="0"/>
    <cellStyle name="Normal 2" xfId="6" xr:uid="{00000000-0005-0000-0000-000004000000}"/>
    <cellStyle name="Normal 2 2 2 2" xfId="16" xr:uid="{EEC14D49-673D-4FA9-BC88-C84BDBEEBF08}"/>
    <cellStyle name="Normal 2 4 2" xfId="15" xr:uid="{60C09264-F29B-48B2-A816-8929E8DC019D}"/>
    <cellStyle name="Normal 3" xfId="7" xr:uid="{00000000-0005-0000-0000-000005000000}"/>
    <cellStyle name="Normal 4" xfId="12" xr:uid="{DC3F3C01-BD47-4442-AF2C-73A8F2DA2942}"/>
    <cellStyle name="Normal 5" xfId="14" xr:uid="{4F06ABB3-2B61-4A9F-8328-E837804E25CA}"/>
    <cellStyle name="Normal_Libro-Oferta_euros" xfId="2" xr:uid="{00000000-0005-0000-0000-000006000000}"/>
    <cellStyle name="Normal_MET51PT03_chklst_riesgos_BID" xfId="3" xr:uid="{00000000-0005-0000-0000-000007000000}"/>
    <cellStyle name="Porcentaje" xfId="4" builtinId="5"/>
    <cellStyle name="Porcentaje 2" xfId="8" xr:uid="{00000000-0005-0000-0000-000009000000}"/>
    <cellStyle name="Porcentaje 3" xfId="13" xr:uid="{354B4609-D5B4-4D7C-A934-C47D12C70516}"/>
  </cellStyles>
  <dxfs count="72">
    <dxf>
      <font>
        <color rgb="FF9C0006"/>
      </font>
    </dxf>
    <dxf>
      <fill>
        <patternFill>
          <bgColor indexed="11"/>
        </patternFill>
      </fill>
    </dxf>
    <dxf>
      <fill>
        <patternFill>
          <bgColor indexed="45"/>
        </patternFill>
      </fill>
    </dxf>
    <dxf>
      <fill>
        <patternFill>
          <bgColor indexed="11"/>
        </patternFill>
      </fill>
    </dxf>
    <dxf>
      <fill>
        <patternFill>
          <bgColor indexed="45"/>
        </patternFill>
      </fill>
    </dxf>
    <dxf>
      <fill>
        <patternFill>
          <bgColor indexed="11"/>
        </patternFill>
      </fill>
    </dxf>
    <dxf>
      <fill>
        <patternFill>
          <bgColor indexed="45"/>
        </patternFill>
      </fill>
    </dxf>
    <dxf>
      <fill>
        <patternFill>
          <bgColor indexed="11"/>
        </patternFill>
      </fill>
    </dxf>
    <dxf>
      <fill>
        <patternFill>
          <bgColor indexed="45"/>
        </patternFill>
      </fill>
    </dxf>
    <dxf>
      <fill>
        <patternFill>
          <bgColor theme="9" tint="-0.24994659260841701"/>
        </patternFill>
      </fill>
    </dxf>
    <dxf>
      <fill>
        <patternFill patternType="solid">
          <bgColor indexed="10"/>
        </patternFill>
      </fill>
    </dxf>
    <dxf>
      <fill>
        <patternFill>
          <bgColor theme="5" tint="0.39994506668294322"/>
        </patternFill>
      </fill>
    </dxf>
    <dxf>
      <fill>
        <patternFill>
          <bgColor theme="9" tint="-0.24994659260841701"/>
        </patternFill>
      </fill>
    </dxf>
    <dxf>
      <fill>
        <patternFill patternType="solid">
          <bgColor indexed="10"/>
        </patternFill>
      </fill>
    </dxf>
    <dxf>
      <fill>
        <patternFill>
          <bgColor theme="5" tint="0.39994506668294322"/>
        </patternFill>
      </fill>
    </dxf>
    <dxf>
      <fill>
        <patternFill>
          <bgColor theme="9" tint="-0.24994659260841701"/>
        </patternFill>
      </fill>
    </dxf>
    <dxf>
      <fill>
        <patternFill>
          <bgColor theme="9" tint="-0.24994659260841701"/>
        </patternFill>
      </fill>
    </dxf>
    <dxf>
      <fill>
        <patternFill patternType="solid">
          <bgColor indexed="10"/>
        </patternFill>
      </fill>
    </dxf>
    <dxf>
      <fill>
        <patternFill>
          <bgColor theme="5" tint="0.39994506668294322"/>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ont>
        <b/>
        <i/>
        <color rgb="FFFF0000"/>
      </font>
    </dxf>
    <dxf>
      <font>
        <strike val="0"/>
        <color auto="1"/>
      </font>
      <fill>
        <patternFill>
          <bgColor rgb="FFFF0000"/>
        </patternFill>
      </fill>
    </dxf>
    <dxf>
      <font>
        <b/>
        <i val="0"/>
        <strike val="0"/>
        <color theme="3"/>
      </font>
    </dxf>
    <dxf>
      <font>
        <b/>
        <i val="0"/>
        <strike val="0"/>
        <color theme="3"/>
      </font>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dxf>
    <dxf>
      <border outline="0">
        <bottom style="medium">
          <color indexed="64"/>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8" tint="0.79998168889431442"/>
        </patternFill>
      </fill>
    </dxf>
    <dxf>
      <fill>
        <patternFill>
          <bgColor indexed="10"/>
        </patternFill>
      </fill>
    </dxf>
    <dxf>
      <font>
        <condense val="0"/>
        <extend val="0"/>
        <color indexed="9"/>
      </font>
      <fill>
        <patternFill>
          <bgColor indexed="10"/>
        </patternFill>
      </fill>
    </dxf>
  </dxfs>
  <tableStyles count="0" defaultTableStyle="TableStyleMedium2" defaultPivotStyle="PivotStyleLight16"/>
  <colors>
    <mruColors>
      <color rgb="FFFFFFCC"/>
      <color rgb="FFFFFF99"/>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alcChain" Target="calcChain.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GSE distribution per role</cx:v>
        </cx:txData>
      </cx:tx>
      <cx:txPr>
        <a:bodyPr spcFirstLastPara="1" vertOverflow="ellipsis" horzOverflow="overflow" wrap="square" lIns="0" tIns="0" rIns="0" bIns="0" anchor="ctr" anchorCtr="1"/>
        <a:lstStyle/>
        <a:p>
          <a:pPr algn="ctr" rtl="0">
            <a:defRPr/>
          </a:pPr>
          <a:r>
            <a:rPr lang="es-ES" sz="1400" b="0" i="0" u="none" strike="noStrike" baseline="0">
              <a:solidFill>
                <a:sysClr val="windowText" lastClr="000000">
                  <a:lumMod val="65000"/>
                  <a:lumOff val="35000"/>
                </a:sysClr>
              </a:solidFill>
              <a:latin typeface="Aptos Narrow" panose="02110004020202020204"/>
            </a:rPr>
            <a:t>GSE distribution per role</a:t>
          </a:r>
        </a:p>
      </cx:txPr>
    </cx:title>
    <cx:plotArea>
      <cx:plotAreaRegion>
        <cx:series layoutId="funnel" uniqueId="{6EDB4868-D5E3-4C57-80C8-6EAB3BA7CACF}">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tx>
        <cx:txData>
          <cx:v>Distribution per roles maturity</cx:v>
        </cx:txData>
      </cx:tx>
      <cx:txPr>
        <a:bodyPr spcFirstLastPara="1" vertOverflow="ellipsis" horzOverflow="overflow" wrap="square" lIns="0" tIns="0" rIns="0" bIns="0" anchor="ctr" anchorCtr="1"/>
        <a:lstStyle/>
        <a:p>
          <a:pPr algn="ctr" rtl="0">
            <a:defRPr/>
          </a:pPr>
          <a:r>
            <a:rPr lang="es-ES" sz="1400" b="0" i="0" u="none" strike="noStrike" baseline="0">
              <a:solidFill>
                <a:sysClr val="windowText" lastClr="000000">
                  <a:lumMod val="65000"/>
                  <a:lumOff val="35000"/>
                </a:sysClr>
              </a:solidFill>
              <a:latin typeface="Aptos Narrow" panose="02110004020202020204"/>
            </a:rPr>
            <a:t>Distribution per roles maturity</a:t>
          </a:r>
        </a:p>
      </cx:txPr>
    </cx:title>
    <cx:plotArea>
      <cx:plotAreaRegion>
        <cx:series layoutId="funnel" uniqueId="{6EDB4868-D5E3-4C57-80C8-6EAB3BA7CACF}">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gtn.sharepoint.com/sites/Connectis-ES/espaciocorporativo/calidad/Referencial_SICASST/32_Gestion_Oferta/SCI32TE02_Guia_PPO.pdf"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34</xdr:row>
      <xdr:rowOff>57150</xdr:rowOff>
    </xdr:from>
    <xdr:to>
      <xdr:col>3</xdr:col>
      <xdr:colOff>666750</xdr:colOff>
      <xdr:row>34</xdr:row>
      <xdr:rowOff>695325</xdr:rowOff>
    </xdr:to>
    <xdr:sp macro="" textlink="">
      <xdr:nvSpPr>
        <xdr:cNvPr id="2" name="Cara sonriente 1">
          <a:hlinkClick xmlns:r="http://schemas.openxmlformats.org/officeDocument/2006/relationships" r:id="rId1"/>
          <a:extLst>
            <a:ext uri="{FF2B5EF4-FFF2-40B4-BE49-F238E27FC236}">
              <a16:creationId xmlns:a16="http://schemas.microsoft.com/office/drawing/2014/main" id="{00000000-0008-0000-0100-000002000000}"/>
            </a:ext>
          </a:extLst>
        </xdr:cNvPr>
        <xdr:cNvSpPr>
          <a:spLocks noChangeAspect="1"/>
        </xdr:cNvSpPr>
      </xdr:nvSpPr>
      <xdr:spPr bwMode="auto">
        <a:xfrm>
          <a:off x="5895975" y="4933950"/>
          <a:ext cx="638175" cy="638175"/>
        </a:xfrm>
        <a:prstGeom prst="smileyFace">
          <a:avLst/>
        </a:prstGeom>
        <a:solidFill>
          <a:srgbClr val="FFC000"/>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s-ES" sz="1100">
            <a:solidFill>
              <a:srgbClr val="FFC000"/>
            </a:solidFill>
          </a:endParaRPr>
        </a:p>
      </xdr:txBody>
    </xdr:sp>
    <xdr:clientData/>
  </xdr:twoCellAnchor>
  <xdr:twoCellAnchor editAs="oneCell">
    <xdr:from>
      <xdr:col>0</xdr:col>
      <xdr:colOff>0</xdr:colOff>
      <xdr:row>0</xdr:row>
      <xdr:rowOff>0</xdr:rowOff>
    </xdr:from>
    <xdr:to>
      <xdr:col>1</xdr:col>
      <xdr:colOff>39370</xdr:colOff>
      <xdr:row>7</xdr:row>
      <xdr:rowOff>8255</xdr:rowOff>
    </xdr:to>
    <xdr:pic>
      <xdr:nvPicPr>
        <xdr:cNvPr id="5" name="Picture 1">
          <a:extLst>
            <a:ext uri="{FF2B5EF4-FFF2-40B4-BE49-F238E27FC236}">
              <a16:creationId xmlns:a16="http://schemas.microsoft.com/office/drawing/2014/main" id="{8D8C5A9C-7093-410D-A6B1-0E8DFAFB134F}"/>
            </a:ext>
          </a:extLst>
        </xdr:cNvPr>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r="-12635" b="-22272"/>
        <a:stretch/>
      </xdr:blipFill>
      <xdr:spPr bwMode="auto">
        <a:xfrm>
          <a:off x="0" y="0"/>
          <a:ext cx="2573020" cy="117030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60</xdr:row>
      <xdr:rowOff>0</xdr:rowOff>
    </xdr:from>
    <xdr:to>
      <xdr:col>2</xdr:col>
      <xdr:colOff>238125</xdr:colOff>
      <xdr:row>60</xdr:row>
      <xdr:rowOff>142875</xdr:rowOff>
    </xdr:to>
    <xdr:sp macro="[0]!Hoja2.inslinpar" textlink="">
      <xdr:nvSpPr>
        <xdr:cNvPr id="6" name="AutoShape 70">
          <a:extLst>
            <a:ext uri="{FF2B5EF4-FFF2-40B4-BE49-F238E27FC236}">
              <a16:creationId xmlns:a16="http://schemas.microsoft.com/office/drawing/2014/main" id="{BC6E71D3-0940-421E-8D74-0BA171BC7F65}"/>
            </a:ext>
          </a:extLst>
        </xdr:cNvPr>
        <xdr:cNvSpPr>
          <a:spLocks noChangeArrowheads="1"/>
        </xdr:cNvSpPr>
      </xdr:nvSpPr>
      <xdr:spPr bwMode="auto">
        <a:xfrm>
          <a:off x="1407583" y="12096750"/>
          <a:ext cx="238125" cy="142875"/>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13</xdr:col>
      <xdr:colOff>202402</xdr:colOff>
      <xdr:row>25</xdr:row>
      <xdr:rowOff>71441</xdr:rowOff>
    </xdr:from>
    <xdr:to>
      <xdr:col>13</xdr:col>
      <xdr:colOff>547683</xdr:colOff>
      <xdr:row>27</xdr:row>
      <xdr:rowOff>59533</xdr:rowOff>
    </xdr:to>
    <xdr:sp macro="[0]!inslinma" textlink="">
      <xdr:nvSpPr>
        <xdr:cNvPr id="2" name="AutoShape 70">
          <a:extLst>
            <a:ext uri="{FF2B5EF4-FFF2-40B4-BE49-F238E27FC236}">
              <a16:creationId xmlns:a16="http://schemas.microsoft.com/office/drawing/2014/main" id="{E2EF1D84-D18F-4F7A-BFFF-18FEDBDACE00}"/>
            </a:ext>
          </a:extLst>
        </xdr:cNvPr>
        <xdr:cNvSpPr>
          <a:spLocks noChangeArrowheads="1"/>
        </xdr:cNvSpPr>
      </xdr:nvSpPr>
      <xdr:spPr bwMode="auto">
        <a:xfrm>
          <a:off x="12501558" y="5083972"/>
          <a:ext cx="345281" cy="250030"/>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13</xdr:col>
      <xdr:colOff>202402</xdr:colOff>
      <xdr:row>31</xdr:row>
      <xdr:rowOff>95258</xdr:rowOff>
    </xdr:from>
    <xdr:to>
      <xdr:col>13</xdr:col>
      <xdr:colOff>547683</xdr:colOff>
      <xdr:row>33</xdr:row>
      <xdr:rowOff>11913</xdr:rowOff>
    </xdr:to>
    <xdr:sp macro="[0]!inslingas" textlink="">
      <xdr:nvSpPr>
        <xdr:cNvPr id="3" name="AutoShape 70">
          <a:extLst>
            <a:ext uri="{FF2B5EF4-FFF2-40B4-BE49-F238E27FC236}">
              <a16:creationId xmlns:a16="http://schemas.microsoft.com/office/drawing/2014/main" id="{30B67BFB-122D-469B-8C7E-85EE675C83E8}"/>
            </a:ext>
          </a:extLst>
        </xdr:cNvPr>
        <xdr:cNvSpPr>
          <a:spLocks noChangeArrowheads="1"/>
        </xdr:cNvSpPr>
      </xdr:nvSpPr>
      <xdr:spPr bwMode="auto">
        <a:xfrm>
          <a:off x="12501558" y="5869789"/>
          <a:ext cx="345281" cy="250030"/>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13</xdr:col>
      <xdr:colOff>223836</xdr:colOff>
      <xdr:row>47</xdr:row>
      <xdr:rowOff>92866</xdr:rowOff>
    </xdr:from>
    <xdr:to>
      <xdr:col>13</xdr:col>
      <xdr:colOff>569117</xdr:colOff>
      <xdr:row>49</xdr:row>
      <xdr:rowOff>9521</xdr:rowOff>
    </xdr:to>
    <xdr:sp macro="[0]!inslincom" textlink="">
      <xdr:nvSpPr>
        <xdr:cNvPr id="4" name="AutoShape 70">
          <a:extLst>
            <a:ext uri="{FF2B5EF4-FFF2-40B4-BE49-F238E27FC236}">
              <a16:creationId xmlns:a16="http://schemas.microsoft.com/office/drawing/2014/main" id="{92A58B34-F37C-44E0-B5A7-800BCD741573}"/>
            </a:ext>
          </a:extLst>
        </xdr:cNvPr>
        <xdr:cNvSpPr>
          <a:spLocks noChangeArrowheads="1"/>
        </xdr:cNvSpPr>
      </xdr:nvSpPr>
      <xdr:spPr bwMode="auto">
        <a:xfrm>
          <a:off x="12522992" y="7867647"/>
          <a:ext cx="345281" cy="250030"/>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9</xdr:col>
      <xdr:colOff>116414</xdr:colOff>
      <xdr:row>34</xdr:row>
      <xdr:rowOff>105833</xdr:rowOff>
    </xdr:from>
    <xdr:to>
      <xdr:col>9</xdr:col>
      <xdr:colOff>328083</xdr:colOff>
      <xdr:row>36</xdr:row>
      <xdr:rowOff>100541</xdr:rowOff>
    </xdr:to>
    <xdr:sp macro="[0]!Hoja5.inslinris" textlink="">
      <xdr:nvSpPr>
        <xdr:cNvPr id="2" name="AutoShape 70">
          <a:extLst>
            <a:ext uri="{FF2B5EF4-FFF2-40B4-BE49-F238E27FC236}">
              <a16:creationId xmlns:a16="http://schemas.microsoft.com/office/drawing/2014/main" id="{3AD65BD1-2749-4F8A-BCE5-255B6C8D5E20}"/>
            </a:ext>
          </a:extLst>
        </xdr:cNvPr>
        <xdr:cNvSpPr>
          <a:spLocks noChangeArrowheads="1"/>
        </xdr:cNvSpPr>
      </xdr:nvSpPr>
      <xdr:spPr bwMode="auto">
        <a:xfrm>
          <a:off x="12562414" y="6752166"/>
          <a:ext cx="211669" cy="333375"/>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8</xdr:col>
      <xdr:colOff>154781</xdr:colOff>
      <xdr:row>24</xdr:row>
      <xdr:rowOff>71438</xdr:rowOff>
    </xdr:from>
    <xdr:to>
      <xdr:col>8</xdr:col>
      <xdr:colOff>440532</xdr:colOff>
      <xdr:row>25</xdr:row>
      <xdr:rowOff>154784</xdr:rowOff>
    </xdr:to>
    <xdr:sp macro="[0]!Hoja9.inslinf2" textlink="">
      <xdr:nvSpPr>
        <xdr:cNvPr id="3" name="AutoShape 70">
          <a:extLst>
            <a:ext uri="{FF2B5EF4-FFF2-40B4-BE49-F238E27FC236}">
              <a16:creationId xmlns:a16="http://schemas.microsoft.com/office/drawing/2014/main" id="{0095A3DF-0311-42BE-A491-0E7F99730903}"/>
            </a:ext>
          </a:extLst>
        </xdr:cNvPr>
        <xdr:cNvSpPr>
          <a:spLocks noChangeArrowheads="1"/>
        </xdr:cNvSpPr>
      </xdr:nvSpPr>
      <xdr:spPr bwMode="auto">
        <a:xfrm>
          <a:off x="11144250" y="4929188"/>
          <a:ext cx="285751" cy="273846"/>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8</xdr:col>
      <xdr:colOff>154781</xdr:colOff>
      <xdr:row>31</xdr:row>
      <xdr:rowOff>83343</xdr:rowOff>
    </xdr:from>
    <xdr:to>
      <xdr:col>8</xdr:col>
      <xdr:colOff>416720</xdr:colOff>
      <xdr:row>32</xdr:row>
      <xdr:rowOff>121446</xdr:rowOff>
    </xdr:to>
    <xdr:sp macro="[0]!Hoja9.inslinf3" textlink="">
      <xdr:nvSpPr>
        <xdr:cNvPr id="4" name="AutoShape 70">
          <a:extLst>
            <a:ext uri="{FF2B5EF4-FFF2-40B4-BE49-F238E27FC236}">
              <a16:creationId xmlns:a16="http://schemas.microsoft.com/office/drawing/2014/main" id="{8FE972FD-B72F-4007-B395-0E741E8EE067}"/>
            </a:ext>
          </a:extLst>
        </xdr:cNvPr>
        <xdr:cNvSpPr>
          <a:spLocks noChangeArrowheads="1"/>
        </xdr:cNvSpPr>
      </xdr:nvSpPr>
      <xdr:spPr bwMode="auto">
        <a:xfrm>
          <a:off x="11144250" y="6369843"/>
          <a:ext cx="261939" cy="228603"/>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8</xdr:col>
      <xdr:colOff>154781</xdr:colOff>
      <xdr:row>38</xdr:row>
      <xdr:rowOff>59531</xdr:rowOff>
    </xdr:from>
    <xdr:to>
      <xdr:col>8</xdr:col>
      <xdr:colOff>447407</xdr:colOff>
      <xdr:row>39</xdr:row>
      <xdr:rowOff>126210</xdr:rowOff>
    </xdr:to>
    <xdr:sp macro="[0]!Hoja9.inslinf4" textlink="">
      <xdr:nvSpPr>
        <xdr:cNvPr id="5" name="AutoShape 70">
          <a:extLst>
            <a:ext uri="{FF2B5EF4-FFF2-40B4-BE49-F238E27FC236}">
              <a16:creationId xmlns:a16="http://schemas.microsoft.com/office/drawing/2014/main" id="{3D09D037-89AF-45A3-8787-AC2F040E7260}"/>
            </a:ext>
          </a:extLst>
        </xdr:cNvPr>
        <xdr:cNvSpPr>
          <a:spLocks noChangeArrowheads="1"/>
        </xdr:cNvSpPr>
      </xdr:nvSpPr>
      <xdr:spPr bwMode="auto">
        <a:xfrm>
          <a:off x="11144250" y="7739062"/>
          <a:ext cx="292626" cy="257179"/>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8</xdr:col>
      <xdr:colOff>190501</xdr:colOff>
      <xdr:row>16</xdr:row>
      <xdr:rowOff>130968</xdr:rowOff>
    </xdr:from>
    <xdr:to>
      <xdr:col>8</xdr:col>
      <xdr:colOff>471225</xdr:colOff>
      <xdr:row>17</xdr:row>
      <xdr:rowOff>185736</xdr:rowOff>
    </xdr:to>
    <xdr:sp macro="[0]!Hoja9.inslinf1" textlink="">
      <xdr:nvSpPr>
        <xdr:cNvPr id="7" name="AutoShape 70">
          <a:extLst>
            <a:ext uri="{FF2B5EF4-FFF2-40B4-BE49-F238E27FC236}">
              <a16:creationId xmlns:a16="http://schemas.microsoft.com/office/drawing/2014/main" id="{EA3E59C9-83F6-482B-8D34-6CF4640EE30A}"/>
            </a:ext>
          </a:extLst>
        </xdr:cNvPr>
        <xdr:cNvSpPr>
          <a:spLocks noChangeArrowheads="1"/>
        </xdr:cNvSpPr>
      </xdr:nvSpPr>
      <xdr:spPr bwMode="auto">
        <a:xfrm>
          <a:off x="11179970" y="3405187"/>
          <a:ext cx="280724" cy="245268"/>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17</xdr:col>
      <xdr:colOff>301625</xdr:colOff>
      <xdr:row>15</xdr:row>
      <xdr:rowOff>103187</xdr:rowOff>
    </xdr:from>
    <xdr:to>
      <xdr:col>20</xdr:col>
      <xdr:colOff>60325</xdr:colOff>
      <xdr:row>18</xdr:row>
      <xdr:rowOff>112712</xdr:rowOff>
    </xdr:to>
    <xdr:pic>
      <xdr:nvPicPr>
        <xdr:cNvPr id="2" name="Imagen 1">
          <a:extLst>
            <a:ext uri="{FF2B5EF4-FFF2-40B4-BE49-F238E27FC236}">
              <a16:creationId xmlns:a16="http://schemas.microsoft.com/office/drawing/2014/main" id="{AC288596-9582-3A43-FCF1-8F7AE6B45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843750" y="3048000"/>
          <a:ext cx="2965450"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538371</xdr:colOff>
      <xdr:row>36</xdr:row>
      <xdr:rowOff>82827</xdr:rowOff>
    </xdr:from>
    <xdr:to>
      <xdr:col>9</xdr:col>
      <xdr:colOff>78441</xdr:colOff>
      <xdr:row>46</xdr:row>
      <xdr:rowOff>56029</xdr:rowOff>
    </xdr:to>
    <mc:AlternateContent xmlns:mc="http://schemas.openxmlformats.org/markup-compatibility/2006">
      <mc:Choice xmlns:cx2="http://schemas.microsoft.com/office/drawing/2015/10/21/chartex" Requires="cx2">
        <xdr:graphicFrame macro="">
          <xdr:nvGraphicFramePr>
            <xdr:cNvPr id="2" name="Gráfico 1">
              <a:extLst>
                <a:ext uri="{FF2B5EF4-FFF2-40B4-BE49-F238E27FC236}">
                  <a16:creationId xmlns:a16="http://schemas.microsoft.com/office/drawing/2014/main" id="{2EF9C51F-3C88-476A-B6AA-4D544D0C4E1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656596" y="6582052"/>
              <a:ext cx="3985070" cy="1703577"/>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5</xdr:col>
      <xdr:colOff>481853</xdr:colOff>
      <xdr:row>49</xdr:row>
      <xdr:rowOff>67236</xdr:rowOff>
    </xdr:from>
    <xdr:to>
      <xdr:col>9</xdr:col>
      <xdr:colOff>21923</xdr:colOff>
      <xdr:row>59</xdr:row>
      <xdr:rowOff>118880</xdr:rowOff>
    </xdr:to>
    <mc:AlternateContent xmlns:mc="http://schemas.openxmlformats.org/markup-compatibility/2006">
      <mc:Choice xmlns:cx2="http://schemas.microsoft.com/office/drawing/2015/10/21/chartex" Requires="cx2">
        <xdr:graphicFrame macro="">
          <xdr:nvGraphicFramePr>
            <xdr:cNvPr id="3" name="Gráfico 2">
              <a:extLst>
                <a:ext uri="{FF2B5EF4-FFF2-40B4-BE49-F238E27FC236}">
                  <a16:creationId xmlns:a16="http://schemas.microsoft.com/office/drawing/2014/main" id="{13410016-2492-4F45-A068-4498528C422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600078" y="8779436"/>
              <a:ext cx="3985070" cy="1696294"/>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n-my.sharepoint.com/Users/jleal/CONNECTIS/2_OUTSOURCING/5_OFERTAS/2021/5_NO%20ADJUDICADO/INSS/20210536389%20INSS%20-%20AM/Valoraci&#243;n/20210536389_PPO_INSS-AM%20V05.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le:///C:\Users\jramos2\AppData\Local\Microsoft\Olk\Attachments\ooa-5d27681a-3be1-44a2-ae10-d9a48901cb1d\1fe5f80fda40f6afc07f71d4c4478dd96510b0a2a57c3d7200310d04f5a378bb\20250256554_PPO_ELECNOR_PIPRA%20RGS%20v1.xlsm" TargetMode="External"/><Relationship Id="rId2" Type="http://schemas.microsoft.com/office/2019/04/relationships/externalLinkLongPath" Target="https://gtn-my.sharepoint.com/Users/jramos2/AppData/Local/Microsoft/Olk/Attachments/ooa-5d27681a-3be1-44a2-ae10-d9a48901cb1d/1fe5f80fda40f6afc07f71d4c4478dd96510b0a2a57c3d7200310d04f5a378bb/20250256554_PPO_ELECNOR_PIPRA%20RGS%20v1.xlsm?9503BA64" TargetMode="External"/><Relationship Id="rId1" Type="http://schemas.openxmlformats.org/officeDocument/2006/relationships/externalLinkPath" Target="file:///\\9503BA64\20250256554_PPO_ELECNOR_PIPRA%20RGS%20v1.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jleal\CONNECTIS\2_OUTSOURCING\5_OFERTAS\2023\5_NO_ADJUDICADO\RED.ES\20190615634%20RED.ES%20(SmartMostoles)\Valoraci&#243;n\20190615634_PPO_SMART%20CITY%20(MOSTOLES)_GLOBAL%20V10.xlsm" TargetMode="External"/><Relationship Id="rId1" Type="http://schemas.openxmlformats.org/officeDocument/2006/relationships/externalLinkPath" Target="https://gtn-my.sharepoint.com/Users/jleal/CONNECTIS/2_OUTSOURCING/5_OFERTAS/2023/5_NO_ADJUDICADO/RED.ES/20190615634%20RED.ES%20(SmartMostoles)/Valoraci&#243;n/20190615634_PPO_SMART%20CITY%20(MOSTOLES)_GLOBAL%20V10.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jleal\CONNECTIS\X-FORMATOS%20Y%20PLANTILLAS\Plantilla%20Estructura%20Oferta\Oxxxx%20Nombre%20Oferta\Valoraci&#243;n\SCI32PT01_plantilla_PPO%202023.xlsx" TargetMode="External"/><Relationship Id="rId1" Type="http://schemas.openxmlformats.org/officeDocument/2006/relationships/externalLinkPath" Target="https://gtn-my.sharepoint.com/personal/joan_vilaseca_getronics_com/Documents/Vilaseca/_en_curso/modelos/SCI32PT01_plantilla_PPO%202023.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gtn-my.sharepoint.com/personal/carlos_alvarez_getronics_com/Documents/Documents/getronics/service%20capabilities/Oportunidades%20comerciales/GAP/Nuevo%20Puerto%20Vallarta/Oferta/PVR%20T2%20V24nov.xlsx" TargetMode="External"/><Relationship Id="rId1" Type="http://schemas.openxmlformats.org/officeDocument/2006/relationships/externalLinkPath" Target="https://gtn-my.sharepoint.com/personal/carlos_alvarez_getronics_com/Documents/Documents/getronics/service%20capabilities/Oportunidades%20comerciales/GAP/Nuevo%20Puerto%20Vallarta/Oferta/PVR%20T2%20V24nov.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Hoja de datos"/>
      <sheetName val="Parametros"/>
      <sheetName val="Presupuesto"/>
      <sheetName val="Riesgos"/>
      <sheetName val="Facturación y SAP"/>
      <sheetName val="Sintesis Precio"/>
      <sheetName val="Valoración"/>
      <sheetName val="CashFlow"/>
      <sheetName val="Datos"/>
      <sheetName val="Escalado"/>
      <sheetName val="Criterios Escalado"/>
    </sheetNames>
    <sheetDataSet>
      <sheetData sheetId="0">
        <row r="2">
          <cell r="A2" t="str">
            <v>Connectis-ICT</v>
          </cell>
          <cell r="E2" t="str">
            <v>José Enrique Leal</v>
          </cell>
          <cell r="F2" t="str">
            <v>PC</v>
          </cell>
          <cell r="G2">
            <v>0.05</v>
          </cell>
          <cell r="H2" t="str">
            <v>Servicios profesionales (AT)</v>
          </cell>
          <cell r="I2">
            <v>1</v>
          </cell>
          <cell r="J2" t="str">
            <v>A Coruña</v>
          </cell>
          <cell r="K2" t="str">
            <v>Norte</v>
          </cell>
        </row>
        <row r="3">
          <cell r="E3" t="str">
            <v>José Luis Ramos</v>
          </cell>
          <cell r="F3" t="str">
            <v>AT</v>
          </cell>
          <cell r="G3">
            <v>0.03</v>
          </cell>
          <cell r="H3" t="str">
            <v>PC (inc implantación)</v>
          </cell>
          <cell r="I3">
            <v>2</v>
          </cell>
          <cell r="J3" t="str">
            <v>Almeria</v>
          </cell>
          <cell r="K3" t="str">
            <v>Sur</v>
          </cell>
        </row>
        <row r="4">
          <cell r="E4"/>
          <cell r="F4" t="str">
            <v>HW/SW</v>
          </cell>
          <cell r="G4">
            <v>0</v>
          </cell>
          <cell r="H4" t="str">
            <v>GL</v>
          </cell>
          <cell r="I4">
            <v>3</v>
          </cell>
          <cell r="J4" t="str">
            <v>Barcelona</v>
          </cell>
          <cell r="K4" t="str">
            <v>Este</v>
          </cell>
        </row>
        <row r="5">
          <cell r="H5" t="str">
            <v>PE (hardware otras compras)</v>
          </cell>
          <cell r="I5">
            <v>4</v>
          </cell>
          <cell r="J5" t="str">
            <v>Bilbao</v>
          </cell>
          <cell r="K5" t="str">
            <v>Norte</v>
          </cell>
        </row>
        <row r="6">
          <cell r="H6" t="str">
            <v>PM (Mant &amp; Soporte)</v>
          </cell>
          <cell r="I6">
            <v>5</v>
          </cell>
          <cell r="J6" t="str">
            <v>Madrid</v>
          </cell>
          <cell r="K6" t="str">
            <v>Centro</v>
          </cell>
          <cell r="N6">
            <v>4070.1</v>
          </cell>
          <cell r="O6">
            <v>15262.875</v>
          </cell>
          <cell r="P6">
            <v>15848.9694</v>
          </cell>
          <cell r="Q6">
            <v>15848.9694</v>
          </cell>
        </row>
        <row r="7">
          <cell r="E7" t="str">
            <v>Antoni Montes</v>
          </cell>
          <cell r="H7" t="str">
            <v>Licencias (Liq. Tipo PE)</v>
          </cell>
          <cell r="I7">
            <v>6</v>
          </cell>
          <cell r="J7" t="str">
            <v>Murcia</v>
          </cell>
          <cell r="K7" t="str">
            <v>Este</v>
          </cell>
        </row>
        <row r="8">
          <cell r="A8" t="str">
            <v>ICT</v>
          </cell>
          <cell r="B8" t="str">
            <v>0</v>
          </cell>
          <cell r="E8" t="str">
            <v>José Carracedo</v>
          </cell>
          <cell r="H8" t="str">
            <v>PR Reparaciones</v>
          </cell>
          <cell r="I8">
            <v>7</v>
          </cell>
          <cell r="J8" t="str">
            <v>Oviedo</v>
          </cell>
          <cell r="K8" t="str">
            <v>Norte</v>
          </cell>
        </row>
        <row r="9">
          <cell r="A9" t="str">
            <v>CS</v>
          </cell>
          <cell r="B9" t="str">
            <v>W</v>
          </cell>
          <cell r="E9" t="str">
            <v>Raul de Luis</v>
          </cell>
          <cell r="J9" t="str">
            <v>Sevilla</v>
          </cell>
          <cell r="K9" t="str">
            <v>Sur</v>
          </cell>
          <cell r="M9">
            <v>338.33333333333331</v>
          </cell>
        </row>
        <row r="10">
          <cell r="A10" t="str">
            <v>GR</v>
          </cell>
          <cell r="B10" t="str">
            <v>0</v>
          </cell>
          <cell r="E10"/>
          <cell r="J10" t="str">
            <v>Valencia</v>
          </cell>
          <cell r="K10" t="str">
            <v>Este</v>
          </cell>
        </row>
        <row r="11">
          <cell r="A11" t="str">
            <v>UC</v>
          </cell>
          <cell r="B11" t="str">
            <v>X</v>
          </cell>
          <cell r="H11" t="str">
            <v>SFERE</v>
          </cell>
          <cell r="J11" t="str">
            <v>Valladolid</v>
          </cell>
          <cell r="K11" t="str">
            <v>Norte</v>
          </cell>
        </row>
        <row r="12">
          <cell r="A12" t="str">
            <v>CMC</v>
          </cell>
          <cell r="B12" t="str">
            <v>X</v>
          </cell>
          <cell r="H12" t="str">
            <v>TiWORKS</v>
          </cell>
          <cell r="J12" t="str">
            <v>Vigo</v>
          </cell>
          <cell r="K12" t="str">
            <v>Norte</v>
          </cell>
        </row>
        <row r="13">
          <cell r="E13" t="str">
            <v>Cesar Wagener</v>
          </cell>
          <cell r="H13" t="str">
            <v>TiFLOWS</v>
          </cell>
          <cell r="J13" t="str">
            <v>Zaragoza</v>
          </cell>
          <cell r="K13" t="str">
            <v>Este</v>
          </cell>
        </row>
        <row r="14">
          <cell r="E14" t="str">
            <v>Luis Lozano</v>
          </cell>
          <cell r="H14" t="str">
            <v>GEMA</v>
          </cell>
          <cell r="J14" t="str">
            <v>sin oficina</v>
          </cell>
          <cell r="K14" t="str">
            <v>n/a</v>
          </cell>
        </row>
        <row r="15">
          <cell r="E15"/>
          <cell r="J15"/>
          <cell r="K15"/>
        </row>
        <row r="17">
          <cell r="H17" t="str">
            <v>Sin producto</v>
          </cell>
          <cell r="I17" t="str">
            <v>A</v>
          </cell>
        </row>
        <row r="18">
          <cell r="E18" t="str">
            <v>N030</v>
          </cell>
          <cell r="H18" t="str">
            <v>UC</v>
          </cell>
          <cell r="I18" t="str">
            <v>B</v>
          </cell>
        </row>
        <row r="19">
          <cell r="B19">
            <v>0</v>
          </cell>
          <cell r="E19" t="str">
            <v>N060</v>
          </cell>
          <cell r="H19" t="str">
            <v>SFERE</v>
          </cell>
          <cell r="I19" t="str">
            <v>C</v>
          </cell>
        </row>
        <row r="20">
          <cell r="B20">
            <v>0</v>
          </cell>
          <cell r="E20"/>
          <cell r="H20" t="str">
            <v>EADMIN</v>
          </cell>
          <cell r="I20" t="str">
            <v>D</v>
          </cell>
        </row>
        <row r="21">
          <cell r="B21">
            <v>0</v>
          </cell>
          <cell r="H21" t="str">
            <v>ERP</v>
          </cell>
          <cell r="I21" t="str">
            <v>E</v>
          </cell>
        </row>
        <row r="22">
          <cell r="H22" t="str">
            <v>Movility</v>
          </cell>
          <cell r="I22" t="str">
            <v>F</v>
          </cell>
        </row>
        <row r="23">
          <cell r="H23" t="str">
            <v>Seguridad</v>
          </cell>
          <cell r="I23" t="str">
            <v>G</v>
          </cell>
        </row>
        <row r="24">
          <cell r="H24" t="str">
            <v>Sol. Industriales</v>
          </cell>
          <cell r="I24" t="str">
            <v>H</v>
          </cell>
        </row>
      </sheetData>
      <sheetData sheetId="1">
        <row r="8">
          <cell r="B8" t="str">
            <v>Sector Público</v>
          </cell>
        </row>
        <row r="11">
          <cell r="B11" t="str">
            <v>Madrid</v>
          </cell>
        </row>
        <row r="14">
          <cell r="B14" t="str">
            <v>Sin producto</v>
          </cell>
        </row>
        <row r="15">
          <cell r="B15" t="str">
            <v>PC</v>
          </cell>
        </row>
        <row r="17">
          <cell r="B17" t="str">
            <v>José Enrique Leal</v>
          </cell>
        </row>
        <row r="19">
          <cell r="B19" t="str">
            <v>Servicio AM de las apps de la INSS</v>
          </cell>
        </row>
        <row r="20">
          <cell r="B20" t="str">
            <v>N030</v>
          </cell>
        </row>
        <row r="21">
          <cell r="B21" t="str">
            <v>Servicio AM de las apps de la INSS</v>
          </cell>
        </row>
        <row r="23">
          <cell r="B23">
            <v>2</v>
          </cell>
        </row>
        <row r="24">
          <cell r="B24">
            <v>2022</v>
          </cell>
        </row>
        <row r="25">
          <cell r="B25">
            <v>27</v>
          </cell>
        </row>
      </sheetData>
      <sheetData sheetId="2">
        <row r="5">
          <cell r="D5">
            <v>0.05</v>
          </cell>
          <cell r="E5">
            <v>0.05</v>
          </cell>
        </row>
        <row r="6">
          <cell r="D6">
            <v>0.21</v>
          </cell>
        </row>
        <row r="7">
          <cell r="D7">
            <v>0.93</v>
          </cell>
        </row>
        <row r="19">
          <cell r="B19" t="str">
            <v>Coordinador Técnico Global/AT</v>
          </cell>
          <cell r="C19" t="str">
            <v>Connectis-ICT</v>
          </cell>
          <cell r="D19" t="str">
            <v>CT</v>
          </cell>
          <cell r="E19">
            <v>38</v>
          </cell>
          <cell r="F19">
            <v>38.76</v>
          </cell>
          <cell r="G19">
            <v>39.922799999999995</v>
          </cell>
          <cell r="H19">
            <v>41.120483999999998</v>
          </cell>
          <cell r="I19">
            <v>42.354098520000001</v>
          </cell>
          <cell r="J19">
            <v>43.624721475599998</v>
          </cell>
        </row>
        <row r="20">
          <cell r="B20" t="str">
            <v>TSX – TECNICO EXPERTO</v>
          </cell>
          <cell r="C20" t="str">
            <v>Connectis-ICT</v>
          </cell>
          <cell r="D20" t="str">
            <v>TSX</v>
          </cell>
          <cell r="E20">
            <v>35</v>
          </cell>
          <cell r="F20">
            <v>35.700000000000003</v>
          </cell>
          <cell r="G20">
            <v>36.771000000000001</v>
          </cell>
          <cell r="H20">
            <v>37.874130000000001</v>
          </cell>
          <cell r="I20">
            <v>39.010353899999998</v>
          </cell>
          <cell r="J20">
            <v>40.180664516999997</v>
          </cell>
        </row>
        <row r="21">
          <cell r="B21" t="str">
            <v>TSA – TECNICO SUPERIOR A</v>
          </cell>
          <cell r="C21" t="str">
            <v>Connectis-ICT</v>
          </cell>
          <cell r="D21" t="str">
            <v>TSA</v>
          </cell>
          <cell r="E21">
            <v>31</v>
          </cell>
          <cell r="F21">
            <v>31.62</v>
          </cell>
          <cell r="G21">
            <v>32.568600000000004</v>
          </cell>
          <cell r="H21">
            <v>33.545658000000003</v>
          </cell>
          <cell r="I21">
            <v>34.55202774</v>
          </cell>
          <cell r="J21">
            <v>35.588588572200003</v>
          </cell>
        </row>
        <row r="22">
          <cell r="B22" t="str">
            <v>TSB – TECNICO SUPERIOR B</v>
          </cell>
          <cell r="C22" t="str">
            <v>Connectis-ICT</v>
          </cell>
          <cell r="D22" t="str">
            <v>TSB</v>
          </cell>
          <cell r="E22">
            <v>26</v>
          </cell>
          <cell r="F22">
            <v>26.52</v>
          </cell>
          <cell r="G22">
            <v>27.3156</v>
          </cell>
          <cell r="H22">
            <v>28.135068</v>
          </cell>
          <cell r="I22">
            <v>28.979120040000002</v>
          </cell>
          <cell r="J22">
            <v>29.848493641200001</v>
          </cell>
        </row>
        <row r="23">
          <cell r="B23" t="str">
            <v>TSC – TECNICO SUPERIOR C</v>
          </cell>
          <cell r="C23" t="str">
            <v>Connectis-ICT</v>
          </cell>
          <cell r="D23" t="str">
            <v>TSC</v>
          </cell>
          <cell r="E23">
            <v>24</v>
          </cell>
          <cell r="F23">
            <v>24.48</v>
          </cell>
          <cell r="G23">
            <v>25.214400000000001</v>
          </cell>
          <cell r="H23">
            <v>25.970832000000001</v>
          </cell>
          <cell r="I23">
            <v>26.749956960000002</v>
          </cell>
          <cell r="J23">
            <v>27.552455668800004</v>
          </cell>
        </row>
        <row r="24">
          <cell r="B24" t="str">
            <v>TMA – TECNICO MEDIO A</v>
          </cell>
          <cell r="C24" t="str">
            <v>Connectis-ICT</v>
          </cell>
          <cell r="D24" t="str">
            <v>TMA</v>
          </cell>
          <cell r="E24">
            <v>23</v>
          </cell>
          <cell r="F24">
            <v>23.46</v>
          </cell>
          <cell r="G24">
            <v>24.163800000000002</v>
          </cell>
          <cell r="H24">
            <v>24.888714</v>
          </cell>
          <cell r="I24">
            <v>25.635375419999999</v>
          </cell>
          <cell r="J24">
            <v>26.4044366826</v>
          </cell>
        </row>
        <row r="25">
          <cell r="B25" t="str">
            <v>TMB – TECNICO MEDIO B</v>
          </cell>
          <cell r="C25" t="str">
            <v>Connectis-ICT</v>
          </cell>
          <cell r="D25" t="str">
            <v>TMB</v>
          </cell>
          <cell r="E25">
            <v>21</v>
          </cell>
          <cell r="F25">
            <v>21.42</v>
          </cell>
          <cell r="G25">
            <v>22.062600000000003</v>
          </cell>
          <cell r="H25">
            <v>22.724478000000005</v>
          </cell>
          <cell r="I25">
            <v>23.406212340000003</v>
          </cell>
          <cell r="J25">
            <v>24.108398710200003</v>
          </cell>
        </row>
        <row r="26">
          <cell r="B26"/>
          <cell r="C26"/>
          <cell r="D26"/>
          <cell r="E26"/>
          <cell r="F26">
            <v>0</v>
          </cell>
          <cell r="G26">
            <v>0</v>
          </cell>
          <cell r="H26">
            <v>0</v>
          </cell>
          <cell r="I26">
            <v>0</v>
          </cell>
          <cell r="J26">
            <v>0</v>
          </cell>
        </row>
        <row r="27">
          <cell r="B27" t="str">
            <v>TSA - DESARROLLO AGILE</v>
          </cell>
          <cell r="C27" t="str">
            <v>Connectis-ICT</v>
          </cell>
          <cell r="D27" t="str">
            <v>TAS-DA</v>
          </cell>
          <cell r="E27">
            <v>28</v>
          </cell>
          <cell r="F27">
            <v>28.56</v>
          </cell>
          <cell r="G27">
            <v>29.416799999999999</v>
          </cell>
          <cell r="H27">
            <v>30.299303999999999</v>
          </cell>
          <cell r="I27">
            <v>31.208283120000001</v>
          </cell>
          <cell r="J27">
            <v>32.144531613600002</v>
          </cell>
        </row>
        <row r="28">
          <cell r="B28" t="str">
            <v>TSB - DESARROLLO AGILE</v>
          </cell>
          <cell r="C28" t="str">
            <v>Connectis-ICT</v>
          </cell>
          <cell r="D28" t="str">
            <v>TSA-DA</v>
          </cell>
          <cell r="E28">
            <v>26</v>
          </cell>
          <cell r="F28">
            <v>26.52</v>
          </cell>
          <cell r="G28">
            <v>27.3156</v>
          </cell>
          <cell r="H28">
            <v>28.135068</v>
          </cell>
          <cell r="I28">
            <v>28.979120040000002</v>
          </cell>
          <cell r="J28">
            <v>29.848493641200001</v>
          </cell>
        </row>
        <row r="29">
          <cell r="B29" t="str">
            <v>Perfil Horas Analisis</v>
          </cell>
          <cell r="C29" t="str">
            <v>Connectis-ICT</v>
          </cell>
          <cell r="D29" t="str">
            <v>PHA</v>
          </cell>
          <cell r="E29">
            <v>28</v>
          </cell>
          <cell r="F29">
            <v>28.56</v>
          </cell>
          <cell r="G29">
            <v>29.416799999999999</v>
          </cell>
          <cell r="H29">
            <v>30.299303999999999</v>
          </cell>
          <cell r="I29">
            <v>31.208283120000001</v>
          </cell>
          <cell r="J29">
            <v>32.144531613600002</v>
          </cell>
        </row>
        <row r="30">
          <cell r="B30"/>
          <cell r="C30"/>
          <cell r="D30"/>
          <cell r="E30"/>
          <cell r="F30">
            <v>0</v>
          </cell>
          <cell r="G30">
            <v>0</v>
          </cell>
          <cell r="H30">
            <v>0</v>
          </cell>
          <cell r="I30">
            <v>0</v>
          </cell>
          <cell r="J30">
            <v>0</v>
          </cell>
        </row>
        <row r="31">
          <cell r="B31" t="str">
            <v>Perfil Servicio Gestionado</v>
          </cell>
          <cell r="C31" t="str">
            <v>Connectis-ICT</v>
          </cell>
          <cell r="D31" t="str">
            <v>PSG</v>
          </cell>
          <cell r="E31">
            <v>18.420500000000001</v>
          </cell>
          <cell r="F31">
            <v>18.788910000000001</v>
          </cell>
          <cell r="G31">
            <v>19.3525773</v>
          </cell>
          <cell r="H31">
            <v>19.933154619</v>
          </cell>
          <cell r="I31">
            <v>20.53114925757</v>
          </cell>
          <cell r="J31">
            <v>21.147083735297102</v>
          </cell>
        </row>
        <row r="32">
          <cell r="B32" t="str">
            <v>Coordinador Técnico SG</v>
          </cell>
          <cell r="C32" t="str">
            <v>Connectis-ICT</v>
          </cell>
          <cell r="D32" t="str">
            <v>CTSG</v>
          </cell>
          <cell r="E32">
            <v>30</v>
          </cell>
          <cell r="F32">
            <v>30.6</v>
          </cell>
          <cell r="G32">
            <v>31.518000000000001</v>
          </cell>
          <cell r="H32">
            <v>32.463540000000002</v>
          </cell>
          <cell r="I32">
            <v>33.437446200000004</v>
          </cell>
          <cell r="J32">
            <v>34.440569586000002</v>
          </cell>
        </row>
        <row r="33">
          <cell r="B33"/>
          <cell r="C33"/>
          <cell r="D33"/>
          <cell r="E33"/>
          <cell r="F33">
            <v>0</v>
          </cell>
          <cell r="G33">
            <v>0</v>
          </cell>
          <cell r="H33">
            <v>0</v>
          </cell>
          <cell r="I33">
            <v>0</v>
          </cell>
          <cell r="J33">
            <v>0</v>
          </cell>
        </row>
        <row r="34">
          <cell r="B34"/>
          <cell r="C34"/>
          <cell r="D34"/>
          <cell r="E34"/>
          <cell r="F34">
            <v>0</v>
          </cell>
          <cell r="G34">
            <v>0</v>
          </cell>
          <cell r="H34">
            <v>0</v>
          </cell>
          <cell r="I34">
            <v>0</v>
          </cell>
          <cell r="J34">
            <v>0</v>
          </cell>
        </row>
        <row r="35">
          <cell r="B35"/>
          <cell r="C35"/>
          <cell r="D35"/>
          <cell r="E35"/>
          <cell r="F35">
            <v>0</v>
          </cell>
          <cell r="G35">
            <v>0</v>
          </cell>
          <cell r="H35">
            <v>0</v>
          </cell>
          <cell r="I35">
            <v>0</v>
          </cell>
          <cell r="J35">
            <v>0</v>
          </cell>
        </row>
        <row r="36">
          <cell r="B36"/>
          <cell r="C36"/>
          <cell r="D36"/>
          <cell r="E36"/>
          <cell r="F36">
            <v>0</v>
          </cell>
          <cell r="G36">
            <v>0</v>
          </cell>
          <cell r="H36">
            <v>0</v>
          </cell>
          <cell r="I36">
            <v>0</v>
          </cell>
          <cell r="J36">
            <v>0</v>
          </cell>
        </row>
        <row r="37">
          <cell r="B37"/>
          <cell r="C37"/>
          <cell r="D37"/>
          <cell r="E37"/>
          <cell r="F37">
            <v>0</v>
          </cell>
          <cell r="G37">
            <v>0</v>
          </cell>
          <cell r="H37">
            <v>0</v>
          </cell>
          <cell r="I37">
            <v>0</v>
          </cell>
          <cell r="J37">
            <v>0</v>
          </cell>
        </row>
        <row r="38">
          <cell r="B38"/>
          <cell r="C38"/>
          <cell r="D38"/>
          <cell r="E38"/>
          <cell r="F38">
            <v>0</v>
          </cell>
          <cell r="G38">
            <v>0</v>
          </cell>
          <cell r="H38">
            <v>0</v>
          </cell>
          <cell r="I38">
            <v>0</v>
          </cell>
          <cell r="J38">
            <v>0</v>
          </cell>
        </row>
        <row r="39">
          <cell r="B39"/>
          <cell r="C39"/>
          <cell r="D39"/>
          <cell r="E39"/>
          <cell r="F39">
            <v>0</v>
          </cell>
          <cell r="G39">
            <v>0</v>
          </cell>
          <cell r="H39">
            <v>0</v>
          </cell>
          <cell r="I39">
            <v>0</v>
          </cell>
          <cell r="J39">
            <v>0</v>
          </cell>
        </row>
        <row r="40">
          <cell r="B40"/>
          <cell r="C40"/>
          <cell r="D40"/>
          <cell r="E40"/>
          <cell r="F40">
            <v>0</v>
          </cell>
          <cell r="G40">
            <v>0</v>
          </cell>
          <cell r="H40">
            <v>0</v>
          </cell>
          <cell r="I40">
            <v>0</v>
          </cell>
          <cell r="J40">
            <v>0</v>
          </cell>
        </row>
        <row r="41">
          <cell r="B41"/>
          <cell r="C41"/>
          <cell r="D41"/>
          <cell r="E41"/>
          <cell r="F41">
            <v>0</v>
          </cell>
          <cell r="G41">
            <v>0</v>
          </cell>
          <cell r="H41">
            <v>0</v>
          </cell>
          <cell r="I41">
            <v>0</v>
          </cell>
          <cell r="J41">
            <v>0</v>
          </cell>
        </row>
        <row r="42">
          <cell r="B42"/>
          <cell r="C42"/>
          <cell r="D42"/>
          <cell r="E42"/>
          <cell r="F42">
            <v>0</v>
          </cell>
          <cell r="G42">
            <v>0</v>
          </cell>
          <cell r="H42">
            <v>0</v>
          </cell>
          <cell r="I42">
            <v>0</v>
          </cell>
          <cell r="J42">
            <v>0</v>
          </cell>
        </row>
        <row r="43">
          <cell r="B43"/>
          <cell r="C43"/>
          <cell r="D43"/>
          <cell r="E43"/>
          <cell r="F43">
            <v>0</v>
          </cell>
          <cell r="G43">
            <v>0</v>
          </cell>
          <cell r="H43">
            <v>0</v>
          </cell>
          <cell r="I43">
            <v>0</v>
          </cell>
          <cell r="J43">
            <v>0</v>
          </cell>
        </row>
        <row r="44">
          <cell r="B44"/>
          <cell r="C44"/>
          <cell r="D44"/>
          <cell r="E44"/>
          <cell r="F44">
            <v>0</v>
          </cell>
          <cell r="G44">
            <v>0</v>
          </cell>
          <cell r="H44">
            <v>0</v>
          </cell>
          <cell r="I44">
            <v>0</v>
          </cell>
          <cell r="J44">
            <v>0</v>
          </cell>
        </row>
        <row r="45">
          <cell r="B45"/>
          <cell r="C45"/>
          <cell r="D45"/>
          <cell r="E45"/>
          <cell r="F45">
            <v>0</v>
          </cell>
          <cell r="G45">
            <v>0</v>
          </cell>
          <cell r="H45">
            <v>0</v>
          </cell>
          <cell r="I45">
            <v>0</v>
          </cell>
          <cell r="J45">
            <v>0</v>
          </cell>
        </row>
        <row r="46">
          <cell r="B46"/>
          <cell r="C46"/>
          <cell r="D46"/>
          <cell r="E46"/>
          <cell r="F46">
            <v>0</v>
          </cell>
          <cell r="G46">
            <v>0</v>
          </cell>
          <cell r="H46">
            <v>0</v>
          </cell>
          <cell r="I46">
            <v>0</v>
          </cell>
          <cell r="J46">
            <v>0</v>
          </cell>
        </row>
        <row r="47">
          <cell r="B47"/>
          <cell r="C47"/>
          <cell r="D47"/>
          <cell r="E47"/>
          <cell r="F47">
            <v>0</v>
          </cell>
          <cell r="G47">
            <v>0</v>
          </cell>
          <cell r="H47">
            <v>0</v>
          </cell>
          <cell r="I47">
            <v>0</v>
          </cell>
          <cell r="J47">
            <v>0</v>
          </cell>
        </row>
        <row r="48">
          <cell r="B48"/>
          <cell r="C48"/>
          <cell r="D48"/>
          <cell r="E48"/>
          <cell r="F48">
            <v>0</v>
          </cell>
          <cell r="G48">
            <v>0</v>
          </cell>
          <cell r="H48">
            <v>0</v>
          </cell>
          <cell r="I48">
            <v>0</v>
          </cell>
          <cell r="J48">
            <v>0</v>
          </cell>
        </row>
        <row r="49">
          <cell r="B49"/>
          <cell r="C49"/>
          <cell r="D49"/>
          <cell r="E49"/>
          <cell r="F49">
            <v>0</v>
          </cell>
          <cell r="G49">
            <v>0</v>
          </cell>
          <cell r="H49">
            <v>0</v>
          </cell>
          <cell r="I49">
            <v>0</v>
          </cell>
          <cell r="J49">
            <v>0</v>
          </cell>
        </row>
        <row r="50">
          <cell r="B50"/>
          <cell r="C50"/>
          <cell r="D50"/>
          <cell r="E50"/>
          <cell r="F50">
            <v>0</v>
          </cell>
          <cell r="G50">
            <v>0</v>
          </cell>
          <cell r="H50">
            <v>0</v>
          </cell>
          <cell r="I50">
            <v>0</v>
          </cell>
          <cell r="J50">
            <v>0</v>
          </cell>
        </row>
        <row r="51">
          <cell r="B51"/>
          <cell r="C51"/>
          <cell r="D51"/>
          <cell r="E51"/>
          <cell r="F51">
            <v>0</v>
          </cell>
          <cell r="G51">
            <v>0</v>
          </cell>
          <cell r="H51">
            <v>0</v>
          </cell>
          <cell r="I51">
            <v>0</v>
          </cell>
          <cell r="J51">
            <v>0</v>
          </cell>
        </row>
        <row r="52">
          <cell r="B52"/>
          <cell r="C52"/>
          <cell r="D52"/>
          <cell r="E52"/>
          <cell r="F52">
            <v>0</v>
          </cell>
          <cell r="G52">
            <v>0</v>
          </cell>
          <cell r="H52">
            <v>0</v>
          </cell>
          <cell r="I52">
            <v>0</v>
          </cell>
          <cell r="J52">
            <v>0</v>
          </cell>
        </row>
        <row r="53">
          <cell r="B53"/>
          <cell r="C53"/>
          <cell r="D53"/>
          <cell r="E53"/>
          <cell r="F53">
            <v>0</v>
          </cell>
          <cell r="G53">
            <v>0</v>
          </cell>
          <cell r="H53">
            <v>0</v>
          </cell>
          <cell r="I53">
            <v>0</v>
          </cell>
          <cell r="J53">
            <v>0</v>
          </cell>
        </row>
        <row r="54">
          <cell r="B54"/>
          <cell r="C54"/>
          <cell r="D54"/>
          <cell r="E54"/>
          <cell r="F54">
            <v>0</v>
          </cell>
          <cell r="G54">
            <v>0</v>
          </cell>
          <cell r="H54">
            <v>0</v>
          </cell>
          <cell r="I54">
            <v>0</v>
          </cell>
          <cell r="J54">
            <v>0</v>
          </cell>
        </row>
        <row r="55">
          <cell r="B55"/>
          <cell r="C55"/>
          <cell r="D55"/>
          <cell r="E55"/>
          <cell r="F55">
            <v>0</v>
          </cell>
          <cell r="G55">
            <v>0</v>
          </cell>
          <cell r="H55">
            <v>0</v>
          </cell>
          <cell r="I55">
            <v>0</v>
          </cell>
          <cell r="J55">
            <v>0</v>
          </cell>
        </row>
        <row r="56">
          <cell r="B56"/>
          <cell r="C56"/>
          <cell r="D56"/>
          <cell r="E56"/>
          <cell r="F56">
            <v>0</v>
          </cell>
          <cell r="G56">
            <v>0</v>
          </cell>
          <cell r="H56">
            <v>0</v>
          </cell>
          <cell r="I56">
            <v>0</v>
          </cell>
          <cell r="J56">
            <v>0</v>
          </cell>
        </row>
        <row r="57">
          <cell r="B57"/>
          <cell r="C57"/>
          <cell r="D57"/>
          <cell r="E57"/>
          <cell r="F57">
            <v>0</v>
          </cell>
          <cell r="G57">
            <v>0</v>
          </cell>
          <cell r="H57">
            <v>0</v>
          </cell>
          <cell r="I57">
            <v>0</v>
          </cell>
          <cell r="J57">
            <v>0</v>
          </cell>
        </row>
        <row r="58">
          <cell r="B58"/>
          <cell r="C58"/>
          <cell r="D58"/>
          <cell r="E58"/>
          <cell r="F58">
            <v>0</v>
          </cell>
          <cell r="G58">
            <v>0</v>
          </cell>
          <cell r="H58">
            <v>0</v>
          </cell>
          <cell r="I58">
            <v>0</v>
          </cell>
          <cell r="J58">
            <v>0</v>
          </cell>
        </row>
      </sheetData>
      <sheetData sheetId="3">
        <row r="5">
          <cell r="M5">
            <v>0</v>
          </cell>
        </row>
        <row r="47">
          <cell r="K47">
            <v>0</v>
          </cell>
        </row>
      </sheetData>
      <sheetData sheetId="4">
        <row r="4">
          <cell r="E4"/>
        </row>
        <row r="5">
          <cell r="E5" t="str">
            <v>No</v>
          </cell>
        </row>
        <row r="36">
          <cell r="I36">
            <v>0</v>
          </cell>
        </row>
      </sheetData>
      <sheetData sheetId="5">
        <row r="57">
          <cell r="B57" t="str">
            <v>Licencias SW y HW</v>
          </cell>
        </row>
        <row r="58">
          <cell r="B58" t="str">
            <v>Mantenimiento SW de terceros</v>
          </cell>
        </row>
        <row r="59">
          <cell r="B59" t="str">
            <v>Subcontrataciones</v>
          </cell>
        </row>
        <row r="60">
          <cell r="B60" t="str">
            <v>Mantenimiento de HW</v>
          </cell>
        </row>
      </sheetData>
      <sheetData sheetId="6">
        <row r="9">
          <cell r="S9">
            <v>0.4</v>
          </cell>
        </row>
        <row r="12">
          <cell r="D12">
            <v>14108748.18</v>
          </cell>
        </row>
      </sheetData>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tablas"/>
      <sheetName val="Hoja de datos"/>
      <sheetName val="Parametros"/>
      <sheetName val="Presupuesto"/>
      <sheetName val="Presupuesto GET"/>
      <sheetName val="Viajes"/>
      <sheetName val="Riesgos"/>
      <sheetName val="Facturación y SAP"/>
      <sheetName val="Sintesis Precio"/>
      <sheetName val="Detailed analysis"/>
      <sheetName val="CashFlow"/>
      <sheetName val="Escalado"/>
      <sheetName val="Criterios Escalado"/>
    </sheetNames>
    <sheetDataSet>
      <sheetData sheetId="0">
        <row r="2">
          <cell r="A2" t="str">
            <v>Connectis-ICT</v>
          </cell>
          <cell r="B2" t="str">
            <v>EV</v>
          </cell>
          <cell r="E2" t="str">
            <v>José Enrique Leal</v>
          </cell>
          <cell r="F2" t="str">
            <v>AT</v>
          </cell>
          <cell r="G2">
            <v>0.03</v>
          </cell>
          <cell r="H2" t="str">
            <v>Fixed Price (services)</v>
          </cell>
          <cell r="J2" t="str">
            <v>A Coruña</v>
          </cell>
        </row>
        <row r="3">
          <cell r="A3" t="str">
            <v>Global Rosetta</v>
          </cell>
          <cell r="B3" t="str">
            <v>EZ</v>
          </cell>
          <cell r="E3" t="str">
            <v>José Luis Ramos</v>
          </cell>
          <cell r="F3" t="str">
            <v>PC</v>
          </cell>
          <cell r="G3">
            <v>0.05</v>
          </cell>
          <cell r="H3" t="str">
            <v>Fixed Price (services+purchases)</v>
          </cell>
          <cell r="J3" t="str">
            <v>Almería</v>
          </cell>
          <cell r="N3">
            <v>0.32069999999999999</v>
          </cell>
        </row>
        <row r="4">
          <cell r="A4" t="str">
            <v>C-FSS</v>
          </cell>
          <cell r="B4" t="str">
            <v>EY</v>
          </cell>
          <cell r="F4" t="str">
            <v>PE</v>
          </cell>
          <cell r="G4">
            <v>0.03</v>
          </cell>
          <cell r="H4" t="str">
            <v>Real AMS (services)</v>
          </cell>
          <cell r="J4" t="str">
            <v>Barcelona</v>
          </cell>
          <cell r="N4">
            <v>0.3327</v>
          </cell>
        </row>
        <row r="5">
          <cell r="A5" t="str">
            <v>CMC</v>
          </cell>
          <cell r="B5" t="str">
            <v>EO</v>
          </cell>
          <cell r="F5" t="str">
            <v>PM</v>
          </cell>
          <cell r="G5">
            <v>0.03</v>
          </cell>
          <cell r="H5" t="str">
            <v>Real AMS (services + purchases)</v>
          </cell>
          <cell r="J5" t="str">
            <v>Bilbao</v>
          </cell>
          <cell r="N5">
            <v>0.3327</v>
          </cell>
        </row>
        <row r="6">
          <cell r="A6" t="str">
            <v>C-UC Portugal</v>
          </cell>
          <cell r="B6" t="str">
            <v>EX</v>
          </cell>
          <cell r="F6" t="str">
            <v>GL</v>
          </cell>
          <cell r="G6">
            <v>0.03</v>
          </cell>
          <cell r="H6" t="str">
            <v>Real IMS (services)</v>
          </cell>
          <cell r="J6" t="str">
            <v>Madrid</v>
          </cell>
          <cell r="N6">
            <v>4909.5</v>
          </cell>
          <cell r="O6">
            <v>18893.719799999999</v>
          </cell>
          <cell r="P6">
            <v>19600.6878</v>
          </cell>
          <cell r="Q6">
            <v>19600.6878</v>
          </cell>
        </row>
        <row r="7">
          <cell r="E7" t="str">
            <v>Elena Martín</v>
          </cell>
          <cell r="H7" t="str">
            <v>Real IMS (services+purchases)</v>
          </cell>
          <cell r="J7" t="str">
            <v>Murcia</v>
          </cell>
        </row>
        <row r="8">
          <cell r="E8" t="str">
            <v>José Luis Castellanos</v>
          </cell>
          <cell r="H8" t="str">
            <v>Scada services</v>
          </cell>
          <cell r="J8" t="str">
            <v>Oviedo</v>
          </cell>
        </row>
        <row r="9">
          <cell r="A9" t="str">
            <v>ICT</v>
          </cell>
          <cell r="E9" t="str">
            <v>Marta Aladro</v>
          </cell>
          <cell r="H9" t="str">
            <v>Internal Product Licences (SFERE, TIWORKS)</v>
          </cell>
          <cell r="J9" t="str">
            <v>Salamanca</v>
          </cell>
          <cell r="M9">
            <v>338.33333333333331</v>
          </cell>
        </row>
        <row r="10">
          <cell r="A10" t="str">
            <v>CS</v>
          </cell>
          <cell r="E10" t="str">
            <v>José Antonio Redondo</v>
          </cell>
          <cell r="H10" t="str">
            <v>Non Addresable Service</v>
          </cell>
          <cell r="J10" t="str">
            <v>Sevilla</v>
          </cell>
        </row>
        <row r="11">
          <cell r="A11" t="str">
            <v>GR</v>
          </cell>
          <cell r="H11" t="str">
            <v>Non Addresable Staff Augmentation</v>
          </cell>
          <cell r="J11" t="str">
            <v>Valencia</v>
          </cell>
        </row>
        <row r="12">
          <cell r="A12" t="str">
            <v>UC</v>
          </cell>
          <cell r="H12" t="str">
            <v>Purchases (product, subco, …)</v>
          </cell>
          <cell r="J12" t="str">
            <v>Valladolid</v>
          </cell>
        </row>
        <row r="13">
          <cell r="A13" t="str">
            <v>CMC</v>
          </cell>
          <cell r="E13" t="str">
            <v>Antoni Montes</v>
          </cell>
          <cell r="J13" t="str">
            <v>Otras</v>
          </cell>
        </row>
        <row r="14">
          <cell r="E14" t="str">
            <v>Martín Martín</v>
          </cell>
        </row>
        <row r="17">
          <cell r="H17" t="str">
            <v>SFERE</v>
          </cell>
        </row>
        <row r="18">
          <cell r="E18" t="str">
            <v>N030</v>
          </cell>
          <cell r="H18" t="str">
            <v>TiWORKS</v>
          </cell>
        </row>
        <row r="19">
          <cell r="E19" t="str">
            <v>N060</v>
          </cell>
        </row>
        <row r="20">
          <cell r="B20">
            <v>0</v>
          </cell>
        </row>
        <row r="21">
          <cell r="B21">
            <v>0</v>
          </cell>
        </row>
        <row r="22">
          <cell r="B22">
            <v>0</v>
          </cell>
        </row>
        <row r="25">
          <cell r="C25" t="str">
            <v>Subsector</v>
          </cell>
          <cell r="D25" t="str">
            <v>ZCODE</v>
          </cell>
        </row>
        <row r="26">
          <cell r="C26" t="str">
            <v xml:space="preserve">Finance </v>
          </cell>
          <cell r="D26" t="str">
            <v>L</v>
          </cell>
          <cell r="E26" t="str">
            <v>Expansion</v>
          </cell>
        </row>
        <row r="27">
          <cell r="C27" t="str">
            <v xml:space="preserve">Manufacturing &amp; CI </v>
          </cell>
          <cell r="D27" t="str">
            <v>O</v>
          </cell>
          <cell r="E27" t="str">
            <v>Renewal</v>
          </cell>
          <cell r="H27" t="str">
            <v>Security &amp; Compliance</v>
          </cell>
          <cell r="I27" t="str">
            <v>_F4F_SEC</v>
          </cell>
          <cell r="J27" t="str">
            <v>F4F-SEC</v>
          </cell>
        </row>
        <row r="28">
          <cell r="C28" t="str">
            <v xml:space="preserve">Central Government </v>
          </cell>
          <cell r="D28" t="str">
            <v>P</v>
          </cell>
          <cell r="E28" t="str">
            <v>New Logo (customer)</v>
          </cell>
          <cell r="H28" t="str">
            <v>Digital Workplace</v>
          </cell>
          <cell r="I28" t="str">
            <v>_F4F_DIGWP</v>
          </cell>
          <cell r="J28" t="str">
            <v>F4F-DIGWP</v>
          </cell>
        </row>
        <row r="29">
          <cell r="C29" t="str">
            <v xml:space="preserve">Regional Government </v>
          </cell>
          <cell r="D29" t="str">
            <v>Q</v>
          </cell>
          <cell r="H29" t="str">
            <v>Network Services</v>
          </cell>
          <cell r="I29" t="str">
            <v>_F4F_NWSERV</v>
          </cell>
          <cell r="J29" t="str">
            <v>F4F-NWSERV</v>
          </cell>
        </row>
        <row r="30">
          <cell r="C30" t="str">
            <v xml:space="preserve">Workplace &amp; Cloud </v>
          </cell>
          <cell r="D30" t="str">
            <v>R</v>
          </cell>
          <cell r="H30" t="str">
            <v>Business Solutions and Applications</v>
          </cell>
          <cell r="I30" t="str">
            <v>_F4F_APP</v>
          </cell>
          <cell r="J30" t="str">
            <v>F4F-APP</v>
          </cell>
        </row>
        <row r="31">
          <cell r="C31" t="str">
            <v xml:space="preserve">Security </v>
          </cell>
          <cell r="D31" t="str">
            <v>S</v>
          </cell>
          <cell r="H31" t="str">
            <v>Smart Spaces</v>
          </cell>
          <cell r="I31" t="str">
            <v>_F4F_SMSP</v>
          </cell>
          <cell r="J31" t="str">
            <v>F4F-SMSP</v>
          </cell>
        </row>
        <row r="32">
          <cell r="C32" t="str">
            <v xml:space="preserve">Otros </v>
          </cell>
          <cell r="D32" t="str">
            <v>T</v>
          </cell>
          <cell r="H32" t="str">
            <v>Field &amp; On-site Support Services</v>
          </cell>
          <cell r="I32" t="str">
            <v>_F4F_FOSS</v>
          </cell>
          <cell r="J32" t="str">
            <v>F4F-FOSS</v>
          </cell>
        </row>
        <row r="33">
          <cell r="C33" t="str">
            <v xml:space="preserve">New Business </v>
          </cell>
          <cell r="D33" t="str">
            <v>U</v>
          </cell>
          <cell r="H33" t="str">
            <v>Cloud Services</v>
          </cell>
          <cell r="I33" t="str">
            <v>_F4F_MCM</v>
          </cell>
          <cell r="J33" t="str">
            <v>F4F-MCM</v>
          </cell>
        </row>
        <row r="34">
          <cell r="C34" t="str">
            <v xml:space="preserve">Internal Getronics </v>
          </cell>
          <cell r="D34" t="str">
            <v>V</v>
          </cell>
          <cell r="H34" t="str">
            <v>Service Desk</v>
          </cell>
          <cell r="I34" t="str">
            <v>_F4F_SDESK</v>
          </cell>
          <cell r="J34" t="str">
            <v>F4F-SDESK</v>
          </cell>
        </row>
        <row r="35">
          <cell r="C35" t="str">
            <v xml:space="preserve">Internal Iberia </v>
          </cell>
          <cell r="D35" t="str">
            <v>W</v>
          </cell>
          <cell r="H35" t="str">
            <v>Client Management Service</v>
          </cell>
          <cell r="I35" t="str">
            <v>_F4F_CMS</v>
          </cell>
          <cell r="J35" t="str">
            <v>F4F-CMS</v>
          </cell>
        </row>
        <row r="36">
          <cell r="H36" t="str">
            <v>Professional Services</v>
          </cell>
          <cell r="I36" t="str">
            <v>_F4F_STAF</v>
          </cell>
          <cell r="J36" t="str">
            <v>F4F-STAF</v>
          </cell>
        </row>
        <row r="37">
          <cell r="H37" t="str">
            <v>VAR and Partnerships</v>
          </cell>
          <cell r="I37" t="str">
            <v>_F4F_PROD</v>
          </cell>
          <cell r="J37" t="str">
            <v>F4F-PROD</v>
          </cell>
        </row>
        <row r="40">
          <cell r="C40" t="str">
            <v>Subportfolio Name</v>
          </cell>
          <cell r="D40" t="str">
            <v>Subportfolio Code</v>
          </cell>
        </row>
        <row r="41">
          <cell r="C41" t="str">
            <v>Security Operations Centre</v>
          </cell>
          <cell r="D41" t="str">
            <v>F4FSECOPCN</v>
          </cell>
        </row>
        <row r="42">
          <cell r="C42" t="str">
            <v>Security Assurance</v>
          </cell>
          <cell r="D42" t="str">
            <v>F4FSECASS</v>
          </cell>
        </row>
        <row r="43">
          <cell r="C43" t="str">
            <v>Security Consulting</v>
          </cell>
          <cell r="D43" t="str">
            <v>F4FSECCONS</v>
          </cell>
        </row>
        <row r="44">
          <cell r="C44" t="str">
            <v>Security Management</v>
          </cell>
          <cell r="D44" t="str">
            <v>F4FSECMAN</v>
          </cell>
        </row>
        <row r="45">
          <cell r="C45" t="str">
            <v>Endpoint Security</v>
          </cell>
          <cell r="D45" t="str">
            <v>F4FENDSEC</v>
          </cell>
        </row>
        <row r="46">
          <cell r="C46" t="str">
            <v xml:space="preserve">User Security </v>
          </cell>
          <cell r="D46" t="str">
            <v>F4FUSRSEC</v>
          </cell>
        </row>
        <row r="47">
          <cell r="C47" t="str">
            <v>Security and Compliance Professional Services</v>
          </cell>
          <cell r="D47" t="str">
            <v>F4FSECCOMPS</v>
          </cell>
        </row>
        <row r="48">
          <cell r="C48" t="str">
            <v>Office Services</v>
          </cell>
          <cell r="D48" t="str">
            <v>F4FOFFSRV</v>
          </cell>
        </row>
        <row r="49">
          <cell r="C49" t="str">
            <v>Unified Communication &amp; Collaboration</v>
          </cell>
          <cell r="D49" t="str">
            <v>F4FUNCOMCL</v>
          </cell>
        </row>
        <row r="50">
          <cell r="C50" t="str">
            <v>Desktop Virtualisation</v>
          </cell>
          <cell r="D50" t="str">
            <v>F4FDSKVIRT</v>
          </cell>
        </row>
        <row r="51">
          <cell r="C51" t="str">
            <v>Workplace Automation</v>
          </cell>
          <cell r="D51" t="str">
            <v>F4FWRKPLAU</v>
          </cell>
        </row>
        <row r="52">
          <cell r="C52" t="str">
            <v>Client Platform Services</v>
          </cell>
          <cell r="D52" t="str">
            <v>F4FCLPLSRV</v>
          </cell>
        </row>
        <row r="53">
          <cell r="C53" t="str">
            <v>Workplace Professional Services</v>
          </cell>
          <cell r="D53" t="str">
            <v>F4FWRKPRSRV</v>
          </cell>
        </row>
        <row r="54">
          <cell r="C54" t="str">
            <v xml:space="preserve">User Networking Services </v>
          </cell>
          <cell r="D54" t="str">
            <v>F4FUSRNTSR</v>
          </cell>
        </row>
        <row r="55">
          <cell r="C55" t="str">
            <v>Branch &amp; Retail Network Services</v>
          </cell>
          <cell r="D55" t="str">
            <v>F4FBRRTNSV</v>
          </cell>
        </row>
        <row r="56">
          <cell r="C56" t="str">
            <v>Datacentre and Cloud Services</v>
          </cell>
          <cell r="D56" t="str">
            <v>F4FDCCLSRV</v>
          </cell>
        </row>
        <row r="57">
          <cell r="C57" t="str">
            <v xml:space="preserve">Network Professional Services </v>
          </cell>
          <cell r="D57" t="str">
            <v>F4FNTPRFSV</v>
          </cell>
        </row>
        <row r="58">
          <cell r="C58" t="str">
            <v>Software Development</v>
          </cell>
          <cell r="D58" t="str">
            <v>_F4FSWDV</v>
          </cell>
        </row>
        <row r="59">
          <cell r="C59" t="str">
            <v>Infrastructure Managed Services</v>
          </cell>
          <cell r="D59" t="str">
            <v>_F4FIMS</v>
          </cell>
        </row>
        <row r="60">
          <cell r="C60" t="str">
            <v>Advanced Services</v>
          </cell>
          <cell r="D60" t="str">
            <v>_F4FADSV</v>
          </cell>
        </row>
        <row r="61">
          <cell r="C61" t="str">
            <v>SCADAs &amp; OT/IT</v>
          </cell>
          <cell r="D61" t="str">
            <v>_F4FSCAD</v>
          </cell>
        </row>
        <row r="62">
          <cell r="C62" t="str">
            <v>Getronics Products</v>
          </cell>
          <cell r="D62" t="str">
            <v>_F4FGTPR</v>
          </cell>
        </row>
        <row r="63">
          <cell r="C63" t="str">
            <v>Facilities Optimisation</v>
          </cell>
          <cell r="D63" t="str">
            <v>F4FFACOPT</v>
          </cell>
        </row>
        <row r="64">
          <cell r="C64" t="str">
            <v>General Services</v>
          </cell>
          <cell r="D64" t="str">
            <v>F4FGENSERV</v>
          </cell>
        </row>
        <row r="65">
          <cell r="C65" t="str">
            <v>New Normal</v>
          </cell>
          <cell r="D65" t="str">
            <v>F4FNEWNORM</v>
          </cell>
        </row>
        <row r="66">
          <cell r="C66" t="str">
            <v xml:space="preserve">Building Control </v>
          </cell>
          <cell r="D66" t="str">
            <v>F4FBLDCONT</v>
          </cell>
        </row>
        <row r="67">
          <cell r="C67" t="str">
            <v>Building Environment Management</v>
          </cell>
          <cell r="D67" t="str">
            <v>F4FBLDENVM</v>
          </cell>
        </row>
        <row r="68">
          <cell r="C68" t="str">
            <v>Solution Café</v>
          </cell>
          <cell r="D68" t="str">
            <v>F4FSOLCAFE</v>
          </cell>
        </row>
        <row r="69">
          <cell r="C69" t="str">
            <v xml:space="preserve">Field &amp; On-site Support </v>
          </cell>
          <cell r="D69" t="str">
            <v>F4FLDOSSUP</v>
          </cell>
        </row>
        <row r="70">
          <cell r="C70" t="str">
            <v>Warehousing &amp; logistics</v>
          </cell>
          <cell r="D70" t="str">
            <v>F4FWRHLOG</v>
          </cell>
        </row>
        <row r="71">
          <cell r="C71" t="str">
            <v xml:space="preserve">On-site Deployment Projects </v>
          </cell>
          <cell r="D71" t="str">
            <v>F4FOSDPLPJ</v>
          </cell>
        </row>
        <row r="72">
          <cell r="C72" t="str">
            <v>Infrastructure as a service</v>
          </cell>
          <cell r="D72" t="str">
            <v>F4FIAAS</v>
          </cell>
        </row>
        <row r="73">
          <cell r="C73" t="str">
            <v xml:space="preserve">Data Protection Services </v>
          </cell>
          <cell r="D73" t="str">
            <v>F4FDPAAS</v>
          </cell>
        </row>
        <row r="74">
          <cell r="C74" t="str">
            <v>Datacentre Services</v>
          </cell>
          <cell r="D74" t="str">
            <v>F4FDATASRV</v>
          </cell>
        </row>
        <row r="75">
          <cell r="C75" t="str">
            <v>Private Cloud</v>
          </cell>
          <cell r="D75" t="str">
            <v>F4FPRCLD</v>
          </cell>
        </row>
        <row r="76">
          <cell r="C76" t="str">
            <v>Public Cloud</v>
          </cell>
          <cell r="D76" t="str">
            <v>F4FPUBCLD</v>
          </cell>
        </row>
        <row r="77">
          <cell r="C77" t="str">
            <v>Cloud Professional Services</v>
          </cell>
          <cell r="D77" t="str">
            <v>F4FCLDPRSV</v>
          </cell>
        </row>
        <row r="78">
          <cell r="C78" t="str">
            <v>Intelligent Automation for Service Desk (RPA services)</v>
          </cell>
          <cell r="D78" t="str">
            <v>F4FINTAUSD</v>
          </cell>
        </row>
        <row r="79">
          <cell r="C79" t="str">
            <v>Self Service</v>
          </cell>
          <cell r="D79" t="str">
            <v>F4FSLFSRV</v>
          </cell>
        </row>
        <row r="80">
          <cell r="C80" t="str">
            <v>Service Desk</v>
          </cell>
          <cell r="D80" t="str">
            <v>F4FSRVDSK</v>
          </cell>
        </row>
        <row r="81">
          <cell r="C81" t="str">
            <v xml:space="preserve">Service Management </v>
          </cell>
          <cell r="D81" t="str">
            <v>F4FSRVMAN</v>
          </cell>
        </row>
        <row r="82">
          <cell r="C82" t="str">
            <v xml:space="preserve">Client Management </v>
          </cell>
          <cell r="D82" t="str">
            <v>F4FCLTMAN</v>
          </cell>
        </row>
        <row r="83">
          <cell r="C83" t="str">
            <v>Technical Service</v>
          </cell>
          <cell r="D83" t="str">
            <v>F4FTECHSRV</v>
          </cell>
        </row>
        <row r="84">
          <cell r="C84" t="str">
            <v>Consultancy</v>
          </cell>
          <cell r="D84" t="str">
            <v>F4FCONSULT</v>
          </cell>
        </row>
        <row r="85">
          <cell r="C85" t="str">
            <v>Programme Management</v>
          </cell>
          <cell r="D85" t="str">
            <v>F4FPRGMAN</v>
          </cell>
        </row>
        <row r="86">
          <cell r="C86" t="str">
            <v>Project Management</v>
          </cell>
          <cell r="D86" t="str">
            <v>F4FPRJMAN</v>
          </cell>
        </row>
        <row r="87">
          <cell r="C87" t="str">
            <v>Project Management Office</v>
          </cell>
          <cell r="D87" t="str">
            <v>F4FPRJMANO</v>
          </cell>
        </row>
        <row r="88">
          <cell r="C88" t="str">
            <v>Bodyshopping</v>
          </cell>
          <cell r="D88" t="str">
            <v>F4FBDYSHP</v>
          </cell>
        </row>
        <row r="89">
          <cell r="C89" t="str">
            <v>Project Services</v>
          </cell>
          <cell r="D89" t="str">
            <v>F4FPRJSRV</v>
          </cell>
        </row>
        <row r="90">
          <cell r="C90" t="str">
            <v>Third Party Hardware</v>
          </cell>
          <cell r="D90" t="str">
            <v>F4FTPHRD</v>
          </cell>
        </row>
        <row r="91">
          <cell r="C91" t="str">
            <v>Third Party Software</v>
          </cell>
          <cell r="D91" t="str">
            <v>F4FTPSOFT</v>
          </cell>
        </row>
        <row r="92">
          <cell r="C92" t="str">
            <v>Third Party Services</v>
          </cell>
          <cell r="D92" t="str">
            <v>F4FTPSRV</v>
          </cell>
        </row>
      </sheetData>
      <sheetData sheetId="1">
        <row r="8">
          <cell r="B8" t="str">
            <v>Connectis-ICT</v>
          </cell>
        </row>
        <row r="10">
          <cell r="B10" t="str">
            <v>Madrid</v>
          </cell>
        </row>
        <row r="12">
          <cell r="B12" t="str">
            <v>PC</v>
          </cell>
        </row>
        <row r="13">
          <cell r="B13" t="str">
            <v xml:space="preserve">Workplace &amp; Cloud </v>
          </cell>
        </row>
        <row r="14">
          <cell r="B14" t="str">
            <v>Business Solutions and Applications</v>
          </cell>
        </row>
        <row r="15">
          <cell r="B15" t="str">
            <v>SCADAs &amp; OT/IT</v>
          </cell>
        </row>
        <row r="18">
          <cell r="B18" t="str">
            <v>Francisco Galisteo González</v>
          </cell>
        </row>
        <row r="21">
          <cell r="B21" t="str">
            <v>Beatriz Caballero Bernalte</v>
          </cell>
        </row>
        <row r="22">
          <cell r="B22">
            <v>20250256554</v>
          </cell>
        </row>
        <row r="23">
          <cell r="B23" t="str">
            <v>ELECNOR</v>
          </cell>
        </row>
        <row r="24">
          <cell r="B24" t="str">
            <v>N060</v>
          </cell>
        </row>
        <row r="25">
          <cell r="B25" t="str">
            <v>DIN 622/2025 PIPRA Aeropuerto de Burgos.</v>
          </cell>
        </row>
        <row r="27">
          <cell r="B27">
            <v>8</v>
          </cell>
        </row>
        <row r="28">
          <cell r="B28">
            <v>2025</v>
          </cell>
        </row>
        <row r="29">
          <cell r="B29">
            <v>2</v>
          </cell>
        </row>
      </sheetData>
      <sheetData sheetId="2">
        <row r="5">
          <cell r="D5">
            <v>0.02</v>
          </cell>
        </row>
        <row r="6">
          <cell r="D6">
            <v>0.21</v>
          </cell>
        </row>
        <row r="7">
          <cell r="D7">
            <v>0.98</v>
          </cell>
        </row>
        <row r="19">
          <cell r="B19" t="str">
            <v>JP</v>
          </cell>
          <cell r="C19" t="str">
            <v>Connectis-ICT</v>
          </cell>
          <cell r="E19">
            <v>37</v>
          </cell>
          <cell r="F19">
            <v>38.11</v>
          </cell>
          <cell r="G19">
            <v>39.253299999999996</v>
          </cell>
          <cell r="H19">
            <v>40.430898999999997</v>
          </cell>
          <cell r="I19">
            <v>41.643825969999995</v>
          </cell>
          <cell r="J19">
            <v>42.893140749099992</v>
          </cell>
        </row>
        <row r="20">
          <cell r="B20" t="str">
            <v>DTÉC</v>
          </cell>
          <cell r="C20" t="str">
            <v>Connectis-ICT</v>
          </cell>
          <cell r="E20">
            <v>38.86</v>
          </cell>
          <cell r="F20">
            <v>40.025799999999997</v>
          </cell>
          <cell r="G20">
            <v>41.226573999999999</v>
          </cell>
          <cell r="H20">
            <v>42.463371219999999</v>
          </cell>
          <cell r="I20">
            <v>43.737272356600002</v>
          </cell>
          <cell r="J20">
            <v>45.049390527298002</v>
          </cell>
        </row>
        <row r="21">
          <cell r="B21" t="str">
            <v>OF.TEC</v>
          </cell>
          <cell r="C21" t="str">
            <v>Connectis-ICT</v>
          </cell>
          <cell r="E21">
            <v>30.21</v>
          </cell>
          <cell r="F21">
            <v>31.116300000000003</v>
          </cell>
          <cell r="G21">
            <v>32.049789000000004</v>
          </cell>
          <cell r="H21">
            <v>33.011282670000007</v>
          </cell>
          <cell r="I21">
            <v>34.001621150100007</v>
          </cell>
          <cell r="J21">
            <v>35.021669784603006</v>
          </cell>
        </row>
        <row r="22">
          <cell r="B22" t="str">
            <v>CONSULTOR</v>
          </cell>
          <cell r="C22" t="str">
            <v>Connectis-ICT</v>
          </cell>
          <cell r="E22">
            <v>30.49</v>
          </cell>
          <cell r="F22">
            <v>31.404699999999998</v>
          </cell>
          <cell r="G22">
            <v>32.346840999999998</v>
          </cell>
          <cell r="H22">
            <v>33.317246229999995</v>
          </cell>
          <cell r="I22">
            <v>34.316763616899998</v>
          </cell>
          <cell r="J22">
            <v>35.346266525406996</v>
          </cell>
        </row>
        <row r="23">
          <cell r="B23" t="str">
            <v>ING1</v>
          </cell>
          <cell r="C23" t="str">
            <v>Connectis-ICT</v>
          </cell>
          <cell r="E23">
            <v>27.46</v>
          </cell>
          <cell r="F23">
            <v>28.283799999999999</v>
          </cell>
          <cell r="G23">
            <v>29.132314000000001</v>
          </cell>
          <cell r="H23">
            <v>30.006283420000003</v>
          </cell>
          <cell r="I23">
            <v>30.906471922600002</v>
          </cell>
          <cell r="J23">
            <v>31.833666080278</v>
          </cell>
        </row>
        <row r="24">
          <cell r="B24" t="str">
            <v>ING2</v>
          </cell>
          <cell r="C24" t="str">
            <v>Connectis-ICT</v>
          </cell>
          <cell r="E24">
            <v>25.81</v>
          </cell>
          <cell r="F24">
            <v>26.584299999999999</v>
          </cell>
          <cell r="G24">
            <v>27.381829</v>
          </cell>
          <cell r="H24">
            <v>28.20328387</v>
          </cell>
          <cell r="I24">
            <v>29.0493823861</v>
          </cell>
          <cell r="J24">
            <v>29.920863857682999</v>
          </cell>
        </row>
        <row r="25">
          <cell r="B25" t="str">
            <v>ANALISTA1</v>
          </cell>
          <cell r="C25" t="str">
            <v>Connectis-ICT</v>
          </cell>
          <cell r="E25">
            <v>27.26</v>
          </cell>
          <cell r="F25">
            <v>28.0778</v>
          </cell>
          <cell r="G25">
            <v>28.920134000000001</v>
          </cell>
          <cell r="H25">
            <v>29.787738020000003</v>
          </cell>
          <cell r="I25">
            <v>30.681370160600004</v>
          </cell>
          <cell r="J25">
            <v>31.601811265418004</v>
          </cell>
        </row>
        <row r="26">
          <cell r="B26" t="str">
            <v>ANALISTA2</v>
          </cell>
          <cell r="C26" t="str">
            <v>Connectis-ICT</v>
          </cell>
          <cell r="E26">
            <v>26.7</v>
          </cell>
          <cell r="F26">
            <v>27.500999999999998</v>
          </cell>
          <cell r="G26">
            <v>28.326029999999996</v>
          </cell>
          <cell r="H26">
            <v>29.175810899999995</v>
          </cell>
          <cell r="I26">
            <v>30.051085226999994</v>
          </cell>
          <cell r="J26">
            <v>30.952617783809995</v>
          </cell>
        </row>
        <row r="27">
          <cell r="B27" t="str">
            <v>TSCADA1</v>
          </cell>
          <cell r="C27" t="str">
            <v>Connectis-ICT</v>
          </cell>
          <cell r="E27">
            <v>29.39</v>
          </cell>
          <cell r="F27">
            <v>30.271699999999999</v>
          </cell>
          <cell r="G27">
            <v>31.179850999999999</v>
          </cell>
          <cell r="H27">
            <v>32.11524653</v>
          </cell>
          <cell r="I27">
            <v>33.078703925900001</v>
          </cell>
          <cell r="J27">
            <v>34.071065043677002</v>
          </cell>
        </row>
        <row r="28">
          <cell r="B28" t="str">
            <v>TSCADA2</v>
          </cell>
          <cell r="C28" t="str">
            <v>Connectis-ICT</v>
          </cell>
          <cell r="E28">
            <v>27.62</v>
          </cell>
          <cell r="F28">
            <v>28.448600000000003</v>
          </cell>
          <cell r="G28">
            <v>29.302058000000002</v>
          </cell>
          <cell r="H28">
            <v>30.181119740000003</v>
          </cell>
          <cell r="I28">
            <v>31.086553332200005</v>
          </cell>
          <cell r="J28">
            <v>32.019149932166002</v>
          </cell>
        </row>
        <row r="29">
          <cell r="B29" t="str">
            <v>TPLC1</v>
          </cell>
          <cell r="C29" t="str">
            <v>Connectis-ICT</v>
          </cell>
          <cell r="E29">
            <v>28.04</v>
          </cell>
          <cell r="F29">
            <v>28.8812</v>
          </cell>
          <cell r="G29">
            <v>29.747636</v>
          </cell>
          <cell r="H29">
            <v>30.640065079999999</v>
          </cell>
          <cell r="I29">
            <v>31.559267032400001</v>
          </cell>
          <cell r="J29">
            <v>32.506045043371998</v>
          </cell>
        </row>
        <row r="30">
          <cell r="B30" t="str">
            <v>TPLC2</v>
          </cell>
          <cell r="C30" t="str">
            <v>Connectis-ICT</v>
          </cell>
          <cell r="E30">
            <v>26.19</v>
          </cell>
          <cell r="F30">
            <v>26.9757</v>
          </cell>
          <cell r="G30">
            <v>27.784970999999999</v>
          </cell>
          <cell r="H30">
            <v>28.61852013</v>
          </cell>
          <cell r="I30">
            <v>29.477075733900001</v>
          </cell>
          <cell r="J30">
            <v>30.361388005917</v>
          </cell>
        </row>
        <row r="31">
          <cell r="F31">
            <v>0</v>
          </cell>
          <cell r="G31">
            <v>0</v>
          </cell>
          <cell r="H31">
            <v>0</v>
          </cell>
          <cell r="I31">
            <v>0</v>
          </cell>
          <cell r="J31">
            <v>0</v>
          </cell>
        </row>
        <row r="32">
          <cell r="F32">
            <v>0</v>
          </cell>
          <cell r="G32">
            <v>0</v>
          </cell>
          <cell r="H32">
            <v>0</v>
          </cell>
          <cell r="I32">
            <v>0</v>
          </cell>
          <cell r="J32">
            <v>0</v>
          </cell>
        </row>
        <row r="33">
          <cell r="F33">
            <v>0</v>
          </cell>
          <cell r="G33">
            <v>0</v>
          </cell>
          <cell r="H33">
            <v>0</v>
          </cell>
          <cell r="I33">
            <v>0</v>
          </cell>
          <cell r="J33">
            <v>0</v>
          </cell>
        </row>
        <row r="34">
          <cell r="F34">
            <v>0</v>
          </cell>
          <cell r="G34">
            <v>0</v>
          </cell>
          <cell r="H34">
            <v>0</v>
          </cell>
          <cell r="I34">
            <v>0</v>
          </cell>
          <cell r="J34">
            <v>0</v>
          </cell>
        </row>
        <row r="35">
          <cell r="F35">
            <v>0</v>
          </cell>
          <cell r="G35">
            <v>0</v>
          </cell>
          <cell r="H35">
            <v>0</v>
          </cell>
          <cell r="I35">
            <v>0</v>
          </cell>
          <cell r="J35">
            <v>0</v>
          </cell>
        </row>
        <row r="36">
          <cell r="F36">
            <v>0</v>
          </cell>
          <cell r="G36">
            <v>0</v>
          </cell>
          <cell r="H36">
            <v>0</v>
          </cell>
          <cell r="I36">
            <v>0</v>
          </cell>
          <cell r="J36">
            <v>0</v>
          </cell>
        </row>
        <row r="37">
          <cell r="F37">
            <v>0</v>
          </cell>
          <cell r="G37">
            <v>0</v>
          </cell>
          <cell r="H37">
            <v>0</v>
          </cell>
          <cell r="I37">
            <v>0</v>
          </cell>
          <cell r="J37">
            <v>0</v>
          </cell>
        </row>
        <row r="38">
          <cell r="F38">
            <v>0</v>
          </cell>
          <cell r="G38">
            <v>0</v>
          </cell>
          <cell r="H38">
            <v>0</v>
          </cell>
          <cell r="I38">
            <v>0</v>
          </cell>
          <cell r="J38">
            <v>0</v>
          </cell>
        </row>
        <row r="39">
          <cell r="F39">
            <v>0</v>
          </cell>
          <cell r="G39">
            <v>0</v>
          </cell>
          <cell r="H39">
            <v>0</v>
          </cell>
          <cell r="I39">
            <v>0</v>
          </cell>
          <cell r="J39">
            <v>0</v>
          </cell>
        </row>
        <row r="40">
          <cell r="F40">
            <v>0</v>
          </cell>
          <cell r="G40">
            <v>0</v>
          </cell>
          <cell r="H40">
            <v>0</v>
          </cell>
          <cell r="I40">
            <v>0</v>
          </cell>
          <cell r="J40">
            <v>0</v>
          </cell>
        </row>
        <row r="41">
          <cell r="F41">
            <v>0</v>
          </cell>
          <cell r="G41">
            <v>0</v>
          </cell>
          <cell r="H41">
            <v>0</v>
          </cell>
          <cell r="I41">
            <v>0</v>
          </cell>
          <cell r="J41">
            <v>0</v>
          </cell>
        </row>
        <row r="42">
          <cell r="F42">
            <v>0</v>
          </cell>
          <cell r="G42">
            <v>0</v>
          </cell>
          <cell r="H42">
            <v>0</v>
          </cell>
          <cell r="I42">
            <v>0</v>
          </cell>
          <cell r="J42">
            <v>0</v>
          </cell>
        </row>
        <row r="43">
          <cell r="F43">
            <v>0</v>
          </cell>
          <cell r="G43">
            <v>0</v>
          </cell>
          <cell r="H43">
            <v>0</v>
          </cell>
          <cell r="I43">
            <v>0</v>
          </cell>
          <cell r="J43">
            <v>0</v>
          </cell>
        </row>
        <row r="44">
          <cell r="F44">
            <v>0</v>
          </cell>
          <cell r="G44">
            <v>0</v>
          </cell>
          <cell r="H44">
            <v>0</v>
          </cell>
          <cell r="I44">
            <v>0</v>
          </cell>
          <cell r="J44">
            <v>0</v>
          </cell>
        </row>
        <row r="45">
          <cell r="F45">
            <v>0</v>
          </cell>
          <cell r="G45">
            <v>0</v>
          </cell>
          <cell r="H45">
            <v>0</v>
          </cell>
          <cell r="I45">
            <v>0</v>
          </cell>
          <cell r="J45">
            <v>0</v>
          </cell>
        </row>
        <row r="46">
          <cell r="F46">
            <v>0</v>
          </cell>
          <cell r="G46">
            <v>0</v>
          </cell>
          <cell r="H46">
            <v>0</v>
          </cell>
          <cell r="I46">
            <v>0</v>
          </cell>
          <cell r="J46">
            <v>0</v>
          </cell>
        </row>
        <row r="47">
          <cell r="F47">
            <v>0</v>
          </cell>
          <cell r="G47">
            <v>0</v>
          </cell>
          <cell r="H47">
            <v>0</v>
          </cell>
          <cell r="I47">
            <v>0</v>
          </cell>
          <cell r="J47">
            <v>0</v>
          </cell>
        </row>
        <row r="48">
          <cell r="F48">
            <v>0</v>
          </cell>
          <cell r="G48">
            <v>0</v>
          </cell>
          <cell r="H48">
            <v>0</v>
          </cell>
          <cell r="I48">
            <v>0</v>
          </cell>
          <cell r="J48">
            <v>0</v>
          </cell>
        </row>
        <row r="49">
          <cell r="F49">
            <v>0</v>
          </cell>
          <cell r="G49">
            <v>0</v>
          </cell>
          <cell r="H49">
            <v>0</v>
          </cell>
          <cell r="I49">
            <v>0</v>
          </cell>
          <cell r="J49">
            <v>0</v>
          </cell>
        </row>
        <row r="50">
          <cell r="F50">
            <v>0</v>
          </cell>
          <cell r="G50">
            <v>0</v>
          </cell>
          <cell r="H50">
            <v>0</v>
          </cell>
          <cell r="I50">
            <v>0</v>
          </cell>
          <cell r="J50">
            <v>0</v>
          </cell>
        </row>
        <row r="51">
          <cell r="F51">
            <v>0</v>
          </cell>
          <cell r="G51">
            <v>0</v>
          </cell>
          <cell r="H51">
            <v>0</v>
          </cell>
          <cell r="I51">
            <v>0</v>
          </cell>
          <cell r="J51">
            <v>0</v>
          </cell>
        </row>
        <row r="52">
          <cell r="F52">
            <v>0</v>
          </cell>
          <cell r="G52">
            <v>0</v>
          </cell>
          <cell r="H52">
            <v>0</v>
          </cell>
          <cell r="I52">
            <v>0</v>
          </cell>
          <cell r="J52">
            <v>0</v>
          </cell>
        </row>
        <row r="53">
          <cell r="F53">
            <v>0</v>
          </cell>
          <cell r="G53">
            <v>0</v>
          </cell>
          <cell r="H53">
            <v>0</v>
          </cell>
          <cell r="I53">
            <v>0</v>
          </cell>
          <cell r="J53">
            <v>0</v>
          </cell>
        </row>
        <row r="54">
          <cell r="F54">
            <v>0</v>
          </cell>
          <cell r="G54">
            <v>0</v>
          </cell>
          <cell r="H54">
            <v>0</v>
          </cell>
          <cell r="I54">
            <v>0</v>
          </cell>
          <cell r="J54">
            <v>0</v>
          </cell>
        </row>
        <row r="55">
          <cell r="F55">
            <v>0</v>
          </cell>
          <cell r="G55">
            <v>0</v>
          </cell>
          <cell r="H55">
            <v>0</v>
          </cell>
          <cell r="I55">
            <v>0</v>
          </cell>
          <cell r="J55">
            <v>0</v>
          </cell>
        </row>
        <row r="56">
          <cell r="F56">
            <v>0</v>
          </cell>
          <cell r="G56">
            <v>0</v>
          </cell>
          <cell r="H56">
            <v>0</v>
          </cell>
          <cell r="I56">
            <v>0</v>
          </cell>
          <cell r="J56">
            <v>0</v>
          </cell>
        </row>
        <row r="57">
          <cell r="F57">
            <v>0</v>
          </cell>
          <cell r="G57">
            <v>0</v>
          </cell>
          <cell r="H57">
            <v>0</v>
          </cell>
          <cell r="I57">
            <v>0</v>
          </cell>
          <cell r="J57">
            <v>0</v>
          </cell>
        </row>
        <row r="58">
          <cell r="F58">
            <v>0</v>
          </cell>
          <cell r="G58">
            <v>0</v>
          </cell>
          <cell r="H58">
            <v>0</v>
          </cell>
          <cell r="I58">
            <v>0</v>
          </cell>
          <cell r="J58">
            <v>0</v>
          </cell>
        </row>
      </sheetData>
      <sheetData sheetId="3">
        <row r="5">
          <cell r="M5">
            <v>0</v>
          </cell>
        </row>
        <row r="53">
          <cell r="K53">
            <v>948.64</v>
          </cell>
        </row>
      </sheetData>
      <sheetData sheetId="4"/>
      <sheetData sheetId="5"/>
      <sheetData sheetId="6">
        <row r="5">
          <cell r="E5" t="str">
            <v>No</v>
          </cell>
        </row>
        <row r="36">
          <cell r="I36">
            <v>0</v>
          </cell>
        </row>
      </sheetData>
      <sheetData sheetId="7">
        <row r="57">
          <cell r="B57" t="str">
            <v>Licencias SW y HW</v>
          </cell>
        </row>
        <row r="58">
          <cell r="B58" t="str">
            <v>Mantenimiento SW de terceros</v>
          </cell>
        </row>
        <row r="59">
          <cell r="B59" t="str">
            <v>Subcontrataciones</v>
          </cell>
        </row>
        <row r="60">
          <cell r="B60" t="str">
            <v>Mantenimiento de HW</v>
          </cell>
        </row>
      </sheetData>
      <sheetData sheetId="8">
        <row r="12">
          <cell r="D12">
            <v>11662.83</v>
          </cell>
        </row>
      </sheetData>
      <sheetData sheetId="9"/>
      <sheetData sheetId="10"/>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blas"/>
      <sheetName val="Hoja de datos"/>
      <sheetName val="Parametros"/>
      <sheetName val="Presupuesto"/>
      <sheetName val="Riesgos"/>
      <sheetName val="Facturación y SAP"/>
      <sheetName val="Sintesis Precio"/>
      <sheetName val="HW"/>
      <sheetName val="SW"/>
      <sheetName val="Subcontratacion (SP)"/>
      <sheetName val="OFERTA FINAL"/>
      <sheetName val="Gestion Garantias"/>
      <sheetName val="Criterios"/>
      <sheetName val="Hitos de facturacion"/>
      <sheetName val="CashFlow"/>
      <sheetName val="Escalado"/>
      <sheetName val="Criterios Escala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7">
          <cell r="E7">
            <v>0</v>
          </cell>
        </row>
      </sheetData>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blas"/>
      <sheetName val="Hoja de datos"/>
      <sheetName val="Parametros"/>
      <sheetName val="Presupuesto"/>
      <sheetName val="Riesgos"/>
      <sheetName val="Facturación y SAP"/>
      <sheetName val="Sintesis Precio"/>
      <sheetName val="CashFlow"/>
      <sheetName val="Margins-Approvers-DOA"/>
      <sheetName val="Criterios Escalado"/>
      <sheetName val="Escalado"/>
    </sheetNames>
    <sheetDataSet>
      <sheetData sheetId="0">
        <row r="2">
          <cell r="A2" t="str">
            <v>Connectis-ICT</v>
          </cell>
        </row>
        <row r="26">
          <cell r="E26" t="str">
            <v>Expansion</v>
          </cell>
        </row>
        <row r="27">
          <cell r="E27" t="str">
            <v>Renewal</v>
          </cell>
          <cell r="H27" t="str">
            <v>Security &amp; Compliance</v>
          </cell>
          <cell r="I27" t="str">
            <v>_F4F_SEC</v>
          </cell>
          <cell r="J27" t="str">
            <v>F4F-SEC</v>
          </cell>
        </row>
        <row r="28">
          <cell r="E28" t="str">
            <v>New Logo (customer)</v>
          </cell>
          <cell r="H28" t="str">
            <v>Digital Workplace</v>
          </cell>
          <cell r="I28" t="str">
            <v>_F4F_DIGWP</v>
          </cell>
          <cell r="J28" t="str">
            <v>F4F-DIGWP</v>
          </cell>
        </row>
        <row r="29">
          <cell r="H29" t="str">
            <v>Network Services</v>
          </cell>
          <cell r="I29" t="str">
            <v>_F4F_NWSERV</v>
          </cell>
          <cell r="J29" t="str">
            <v>F4F-NWSERV</v>
          </cell>
        </row>
        <row r="30">
          <cell r="H30" t="str">
            <v>Business Solutions and Applications</v>
          </cell>
          <cell r="I30" t="str">
            <v>_F4F_APP</v>
          </cell>
          <cell r="J30" t="str">
            <v>F4F-APP</v>
          </cell>
        </row>
        <row r="31">
          <cell r="H31" t="str">
            <v>Smart Spaces</v>
          </cell>
          <cell r="I31" t="str">
            <v>_F4F_SMSP</v>
          </cell>
          <cell r="J31" t="str">
            <v>F4F-SMSP</v>
          </cell>
        </row>
        <row r="32">
          <cell r="H32" t="str">
            <v>Field &amp; On-site Support Services</v>
          </cell>
          <cell r="I32" t="str">
            <v>_F4F_FOSS</v>
          </cell>
          <cell r="J32" t="str">
            <v>F4F-FOSS</v>
          </cell>
        </row>
        <row r="33">
          <cell r="H33" t="str">
            <v>Cloud Services</v>
          </cell>
          <cell r="I33" t="str">
            <v>_F4F_MCM</v>
          </cell>
          <cell r="J33" t="str">
            <v>F4F-MCM</v>
          </cell>
        </row>
        <row r="34">
          <cell r="H34" t="str">
            <v>Service Desk</v>
          </cell>
          <cell r="I34" t="str">
            <v>_F4F_SDESK</v>
          </cell>
          <cell r="J34" t="str">
            <v>F4F-SDESK</v>
          </cell>
        </row>
        <row r="35">
          <cell r="H35" t="str">
            <v>Client Management Service</v>
          </cell>
          <cell r="I35" t="str">
            <v>_F4F_CMS</v>
          </cell>
          <cell r="J35" t="str">
            <v>F4F-CMS</v>
          </cell>
        </row>
        <row r="36">
          <cell r="H36" t="str">
            <v>Professional Services</v>
          </cell>
          <cell r="I36" t="str">
            <v>_F4F_STAF</v>
          </cell>
          <cell r="J36" t="str">
            <v>F4F-STAF</v>
          </cell>
        </row>
        <row r="37">
          <cell r="H37" t="str">
            <v>VAR and Partnerships</v>
          </cell>
          <cell r="I37" t="str">
            <v>_F4F_PROD</v>
          </cell>
          <cell r="J37" t="str">
            <v>F4F-PROD</v>
          </cell>
        </row>
      </sheetData>
      <sheetData sheetId="1">
        <row r="8">
          <cell r="B8" t="str">
            <v>Bespoke developments</v>
          </cell>
        </row>
      </sheetData>
      <sheetData sheetId="2">
        <row r="5">
          <cell r="D5" t="e">
            <v>#N/A</v>
          </cell>
        </row>
      </sheetData>
      <sheetData sheetId="3">
        <row r="5">
          <cell r="M5">
            <v>0</v>
          </cell>
        </row>
      </sheetData>
      <sheetData sheetId="4">
        <row r="5">
          <cell r="E5" t="str">
            <v>No</v>
          </cell>
        </row>
      </sheetData>
      <sheetData sheetId="5">
        <row r="57">
          <cell r="B57" t="str">
            <v>Licencias SW y HW</v>
          </cell>
        </row>
      </sheetData>
      <sheetData sheetId="6">
        <row r="12">
          <cell r="D12">
            <v>0</v>
          </cell>
        </row>
      </sheetData>
      <sheetData sheetId="7" refreshError="1"/>
      <sheetData sheetId="8" refreshError="1"/>
      <sheetData sheetId="9" refreshError="1"/>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 val="Hoja2"/>
    </sheetNames>
    <sheetDataSet>
      <sheetData sheetId="0">
        <row r="2">
          <cell r="A2" t="str">
            <v>HVAC</v>
          </cell>
        </row>
        <row r="16">
          <cell r="A16" t="str">
            <v>Sensores IoT</v>
          </cell>
        </row>
        <row r="28">
          <cell r="A28" t="str">
            <v>Electromecánicas</v>
          </cell>
        </row>
        <row r="34">
          <cell r="A34" t="str">
            <v>UPS</v>
          </cell>
        </row>
        <row r="35">
          <cell r="A35" t="str">
            <v>Subestaciones/  Analizadores de red</v>
          </cell>
        </row>
        <row r="37">
          <cell r="A37" t="str">
            <v>Hidraúlicos</v>
          </cell>
        </row>
        <row r="45">
          <cell r="A45" t="str">
            <v>CCTV</v>
          </cell>
        </row>
        <row r="46">
          <cell r="A46" t="str">
            <v>E-Gates</v>
          </cell>
        </row>
        <row r="47">
          <cell r="A47" t="str">
            <v>Filtro de seguridad Rayos X</v>
          </cell>
        </row>
        <row r="48">
          <cell r="A48" t="str">
            <v>Arcos PI</v>
          </cell>
        </row>
        <row r="49">
          <cell r="A49" t="str">
            <v>Iluminación Terminal</v>
          </cell>
        </row>
      </sheetData>
      <sheetData sheetId="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BFFEA9-9C04-4BD9-8F66-4162AFD8767B}" name="Tabla1" displayName="Tabla1" ref="F40:P47" totalsRowShown="0" headerRowDxfId="69" dataDxfId="67" headerRowBorderDxfId="68" tableBorderDxfId="66">
  <autoFilter ref="F40:P47" xr:uid="{FEBC0187-9BD7-4434-AAEA-9D797569EB8D}"/>
  <tableColumns count="11">
    <tableColumn id="1" xr3:uid="{CACA143C-2AA6-4EB5-A826-4B8EC3AC0C3E}" name="F4F-SEC" dataDxfId="65"/>
    <tableColumn id="2" xr3:uid="{A8B9950F-9468-453D-A1C2-A41AF74FBFB6}" name="F4F-DIGWP" dataDxfId="64"/>
    <tableColumn id="3" xr3:uid="{9ED8C292-669F-4995-BCD8-BCA76075FE97}" name="F4F-NWSERV" dataDxfId="63"/>
    <tableColumn id="4" xr3:uid="{44DB5957-EBA4-4079-AD7B-94F66D285146}" name="F4F-APP" dataDxfId="62"/>
    <tableColumn id="5" xr3:uid="{DDEFAF60-C9CC-4593-A6DF-5F0510E41023}" name="F4F-SMSP" dataDxfId="61"/>
    <tableColumn id="6" xr3:uid="{E2B842DA-A9C9-4786-BCFD-2F29E80ABA86}" name="F4F-FOSS" dataDxfId="60"/>
    <tableColumn id="7" xr3:uid="{BB3ACA69-5F72-4430-A9D3-3819650687CD}" name="F4F-MCM" dataDxfId="59"/>
    <tableColumn id="8" xr3:uid="{5191E581-F2F7-418C-B4C3-414FD76437B7}" name="F4F-SDESK" dataDxfId="58"/>
    <tableColumn id="9" xr3:uid="{51930AE7-DA3C-4861-B4AB-4A0E8F085C1B}" name="F4F-CMS" dataDxfId="57"/>
    <tableColumn id="10" xr3:uid="{D6402ADE-C5C0-4837-A7B0-148D4CE1CA64}" name="F4F-STAF" dataDxfId="56"/>
    <tableColumn id="11" xr3:uid="{DFA9422D-EF50-406C-BE14-C07296166FFD}" name="F4F-PROD" dataDxfId="55"/>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calvarez/AppData/Local/Microsoft/Windows/INetCache/jramos2/OneDrive%20-%20Getronics/0.%20Mis%20tareas/SCI32PR01_Proceso_BID.pdf" TargetMode="External"/><Relationship Id="rId1" Type="http://schemas.openxmlformats.org/officeDocument/2006/relationships/hyperlink" Target="../../calvarez/AppData/Local/Microsoft/Windows/:x:/r/sites/Bid-Portal/SignIN_SignOUT/_layouts/15/Doc.aspx%3fsourcedoc=%7b3DC70119-C4BF-40E4-8845-A5BB960EBCEE%7d&amp;file=Pre-approval%20Matrix%20(2018-07-12).xlsx&amp;action=default&amp;mobileredirect=tru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dimension ref="A1:Q92"/>
  <sheetViews>
    <sheetView topLeftCell="A20" zoomScaleNormal="100" workbookViewId="0">
      <selection activeCell="C33" sqref="C33:D35"/>
    </sheetView>
  </sheetViews>
  <sheetFormatPr baseColWidth="10" defaultColWidth="12" defaultRowHeight="12.5" x14ac:dyDescent="0.25"/>
  <cols>
    <col min="1" max="1" width="16" style="91" customWidth="1"/>
    <col min="2" max="2" width="12.796875" style="91" customWidth="1"/>
    <col min="3" max="3" width="23.296875" style="91" bestFit="1" customWidth="1"/>
    <col min="4" max="4" width="5" style="91" bestFit="1" customWidth="1"/>
    <col min="5" max="5" width="23.296875" style="91" customWidth="1"/>
    <col min="6" max="6" width="12.5" style="91" customWidth="1"/>
    <col min="7" max="7" width="15.69921875" style="91" customWidth="1"/>
    <col min="8" max="8" width="33.796875" style="91" bestFit="1" customWidth="1"/>
    <col min="9" max="9" width="12.69921875" style="91" customWidth="1"/>
    <col min="10" max="10" width="14.5" style="91" customWidth="1"/>
    <col min="11" max="11" width="14.19921875" style="91" customWidth="1"/>
    <col min="12" max="12" width="13.296875" style="91" customWidth="1"/>
    <col min="13" max="13" width="23.296875" style="91" bestFit="1" customWidth="1"/>
    <col min="14" max="14" width="13" style="91" customWidth="1"/>
    <col min="15" max="15" width="13.796875" style="91" customWidth="1"/>
    <col min="16" max="16" width="14.296875" style="91" customWidth="1"/>
    <col min="17" max="17" width="14.19921875" style="91" bestFit="1" customWidth="1"/>
    <col min="18" max="16384" width="12" style="91"/>
  </cols>
  <sheetData>
    <row r="1" spans="1:17" s="92" customFormat="1" ht="13.5" thickBot="1" x14ac:dyDescent="0.35">
      <c r="A1" s="99" t="s">
        <v>0</v>
      </c>
      <c r="B1" s="99" t="s">
        <v>1</v>
      </c>
      <c r="C1" s="99" t="s">
        <v>2</v>
      </c>
      <c r="D1" s="99" t="s">
        <v>1</v>
      </c>
      <c r="E1" s="138" t="s">
        <v>3</v>
      </c>
      <c r="F1" s="138" t="s">
        <v>4</v>
      </c>
      <c r="G1" s="99" t="s">
        <v>5</v>
      </c>
      <c r="H1" s="679" t="s">
        <v>6</v>
      </c>
      <c r="I1" s="679" t="s">
        <v>7</v>
      </c>
      <c r="J1" s="99" t="s">
        <v>8</v>
      </c>
      <c r="M1" s="943" t="s">
        <v>9</v>
      </c>
      <c r="N1" s="944"/>
      <c r="O1" s="944"/>
      <c r="P1" s="944"/>
      <c r="Q1" s="945"/>
    </row>
    <row r="2" spans="1:17" ht="13" thickBot="1" x14ac:dyDescent="0.3">
      <c r="A2" s="93" t="s">
        <v>10</v>
      </c>
      <c r="B2" s="93" t="s">
        <v>11</v>
      </c>
      <c r="C2" s="93" t="s">
        <v>12</v>
      </c>
      <c r="D2" s="93" t="s">
        <v>13</v>
      </c>
      <c r="E2" s="139" t="s">
        <v>14</v>
      </c>
      <c r="F2" s="139" t="s">
        <v>15</v>
      </c>
      <c r="G2" s="676">
        <v>0.03</v>
      </c>
      <c r="H2" s="96" t="s">
        <v>16</v>
      </c>
      <c r="I2" s="93">
        <v>1</v>
      </c>
      <c r="J2" s="139" t="s">
        <v>17</v>
      </c>
      <c r="M2" s="943" t="s">
        <v>18</v>
      </c>
      <c r="N2" s="945"/>
      <c r="O2" s="71"/>
      <c r="P2" s="71"/>
      <c r="Q2" s="72"/>
    </row>
    <row r="3" spans="1:17" x14ac:dyDescent="0.25">
      <c r="A3" s="94" t="s">
        <v>19</v>
      </c>
      <c r="B3" s="94" t="s">
        <v>20</v>
      </c>
      <c r="C3" s="94" t="s">
        <v>21</v>
      </c>
      <c r="D3" s="94" t="s">
        <v>22</v>
      </c>
      <c r="E3" s="140" t="s">
        <v>23</v>
      </c>
      <c r="F3" s="140" t="s">
        <v>24</v>
      </c>
      <c r="G3" s="677">
        <v>0.05</v>
      </c>
      <c r="H3" s="97" t="s">
        <v>25</v>
      </c>
      <c r="I3" s="94">
        <v>2</v>
      </c>
      <c r="J3" s="140" t="s">
        <v>26</v>
      </c>
      <c r="M3" s="73" t="s">
        <v>27</v>
      </c>
      <c r="N3" s="137">
        <v>0.32069999999999999</v>
      </c>
      <c r="O3" s="71"/>
      <c r="P3" s="71"/>
      <c r="Q3" s="72"/>
    </row>
    <row r="4" spans="1:17" ht="13" thickBot="1" x14ac:dyDescent="0.3">
      <c r="A4" s="94" t="s">
        <v>28</v>
      </c>
      <c r="B4" s="94" t="s">
        <v>29</v>
      </c>
      <c r="C4" s="94" t="s">
        <v>30</v>
      </c>
      <c r="D4" s="94" t="s">
        <v>31</v>
      </c>
      <c r="E4" s="141"/>
      <c r="F4" s="140" t="s">
        <v>32</v>
      </c>
      <c r="G4" s="677">
        <v>0.03</v>
      </c>
      <c r="H4" s="97" t="s">
        <v>33</v>
      </c>
      <c r="I4" s="94">
        <v>3</v>
      </c>
      <c r="J4" s="140" t="s">
        <v>34</v>
      </c>
      <c r="M4" s="73" t="s">
        <v>35</v>
      </c>
      <c r="N4" s="137">
        <v>0.3327</v>
      </c>
      <c r="O4" s="71"/>
      <c r="P4" s="71"/>
      <c r="Q4" s="72"/>
    </row>
    <row r="5" spans="1:17" ht="13" thickBot="1" x14ac:dyDescent="0.3">
      <c r="A5" s="94" t="s">
        <v>36</v>
      </c>
      <c r="B5" s="94" t="s">
        <v>37</v>
      </c>
      <c r="C5" s="94" t="s">
        <v>38</v>
      </c>
      <c r="D5" s="94" t="s">
        <v>39</v>
      </c>
      <c r="F5" s="140" t="s">
        <v>40</v>
      </c>
      <c r="G5" s="677">
        <v>0.03</v>
      </c>
      <c r="H5" s="97" t="s">
        <v>41</v>
      </c>
      <c r="I5" s="94">
        <v>4</v>
      </c>
      <c r="J5" s="140" t="s">
        <v>42</v>
      </c>
      <c r="M5" s="73" t="s">
        <v>43</v>
      </c>
      <c r="N5" s="137">
        <v>0.3327</v>
      </c>
      <c r="O5" s="74" t="s">
        <v>44</v>
      </c>
      <c r="P5" s="74" t="s">
        <v>45</v>
      </c>
      <c r="Q5" s="75" t="s">
        <v>46</v>
      </c>
    </row>
    <row r="6" spans="1:17" ht="13.5" thickBot="1" x14ac:dyDescent="0.35">
      <c r="A6" s="95" t="s">
        <v>47</v>
      </c>
      <c r="B6" s="141" t="s">
        <v>48</v>
      </c>
      <c r="C6" s="94" t="s">
        <v>49</v>
      </c>
      <c r="D6" s="94" t="s">
        <v>50</v>
      </c>
      <c r="E6" s="462" t="s">
        <v>51</v>
      </c>
      <c r="F6" s="141" t="s">
        <v>52</v>
      </c>
      <c r="G6" s="678">
        <v>0.03</v>
      </c>
      <c r="H6" s="97" t="s">
        <v>53</v>
      </c>
      <c r="I6" s="94">
        <v>5</v>
      </c>
      <c r="J6" s="140" t="s">
        <v>54</v>
      </c>
      <c r="M6" s="76" t="s">
        <v>55</v>
      </c>
      <c r="N6" s="77">
        <v>4909.5</v>
      </c>
      <c r="O6" s="78">
        <f>basmax*12*ssfij</f>
        <v>18893.719799999999</v>
      </c>
      <c r="P6" s="78">
        <f>basmax*12*sstem</f>
        <v>19600.6878</v>
      </c>
      <c r="Q6" s="79">
        <f>basmax*12*sspar</f>
        <v>19600.6878</v>
      </c>
    </row>
    <row r="7" spans="1:17" ht="13.5" thickBot="1" x14ac:dyDescent="0.35">
      <c r="B7"/>
      <c r="C7" s="94" t="s">
        <v>56</v>
      </c>
      <c r="D7" s="94" t="s">
        <v>57</v>
      </c>
      <c r="E7" s="140" t="s">
        <v>58</v>
      </c>
      <c r="H7" s="97" t="s">
        <v>59</v>
      </c>
      <c r="I7" s="94">
        <v>6</v>
      </c>
      <c r="J7" s="140" t="s">
        <v>60</v>
      </c>
    </row>
    <row r="8" spans="1:17" ht="13.5" thickBot="1" x14ac:dyDescent="0.35">
      <c r="A8" s="99" t="s">
        <v>61</v>
      </c>
      <c r="B8" s="138" t="s">
        <v>1</v>
      </c>
      <c r="C8" s="94" t="s">
        <v>62</v>
      </c>
      <c r="D8" s="94" t="s">
        <v>63</v>
      </c>
      <c r="E8" s="140" t="s">
        <v>64</v>
      </c>
      <c r="H8" s="97" t="s">
        <v>65</v>
      </c>
      <c r="I8" s="94">
        <v>7</v>
      </c>
      <c r="J8" s="140" t="s">
        <v>66</v>
      </c>
      <c r="M8" s="169" t="s">
        <v>67</v>
      </c>
    </row>
    <row r="9" spans="1:17" ht="13" thickBot="1" x14ac:dyDescent="0.3">
      <c r="A9" s="94" t="s">
        <v>68</v>
      </c>
      <c r="B9" s="460" t="s">
        <v>69</v>
      </c>
      <c r="C9" s="94" t="s">
        <v>70</v>
      </c>
      <c r="D9" s="94" t="s">
        <v>71</v>
      </c>
      <c r="E9" s="140" t="s">
        <v>72</v>
      </c>
      <c r="H9" s="97" t="s">
        <v>73</v>
      </c>
      <c r="I9" s="94">
        <v>8</v>
      </c>
      <c r="J9" s="140" t="s">
        <v>74</v>
      </c>
      <c r="M9" s="318">
        <f>(400+400+215)/3</f>
        <v>338.33333333333331</v>
      </c>
    </row>
    <row r="10" spans="1:17" ht="13" thickBot="1" x14ac:dyDescent="0.3">
      <c r="A10" s="94" t="s">
        <v>75</v>
      </c>
      <c r="B10" s="140" t="s">
        <v>76</v>
      </c>
      <c r="C10" s="94" t="s">
        <v>77</v>
      </c>
      <c r="D10" s="94" t="s">
        <v>78</v>
      </c>
      <c r="E10" s="141" t="s">
        <v>79</v>
      </c>
      <c r="H10" s="97" t="s">
        <v>80</v>
      </c>
      <c r="I10" s="94">
        <v>9</v>
      </c>
      <c r="J10" s="140" t="s">
        <v>81</v>
      </c>
    </row>
    <row r="11" spans="1:17" ht="13" thickBot="1" x14ac:dyDescent="0.3">
      <c r="A11" s="94" t="s">
        <v>82</v>
      </c>
      <c r="B11" s="460" t="s">
        <v>69</v>
      </c>
      <c r="C11" s="94" t="s">
        <v>83</v>
      </c>
      <c r="D11" s="94" t="s">
        <v>84</v>
      </c>
      <c r="H11" s="97" t="s">
        <v>85</v>
      </c>
      <c r="I11" s="94">
        <v>10</v>
      </c>
      <c r="J11" s="140" t="s">
        <v>86</v>
      </c>
    </row>
    <row r="12" spans="1:17" ht="13.5" thickBot="1" x14ac:dyDescent="0.35">
      <c r="A12" s="94" t="s">
        <v>77</v>
      </c>
      <c r="B12" s="140" t="s">
        <v>87</v>
      </c>
      <c r="C12" s="94" t="s">
        <v>88</v>
      </c>
      <c r="D12" s="94" t="s">
        <v>89</v>
      </c>
      <c r="E12" s="138" t="s">
        <v>90</v>
      </c>
      <c r="H12" s="98" t="s">
        <v>91</v>
      </c>
      <c r="I12" s="95">
        <v>11</v>
      </c>
      <c r="J12" s="140" t="s">
        <v>92</v>
      </c>
    </row>
    <row r="13" spans="1:17" ht="13.5" thickBot="1" x14ac:dyDescent="0.35">
      <c r="A13" s="95" t="s">
        <v>36</v>
      </c>
      <c r="B13" s="141" t="s">
        <v>87</v>
      </c>
      <c r="C13" s="94" t="s">
        <v>93</v>
      </c>
      <c r="D13" s="94" t="s">
        <v>94</v>
      </c>
      <c r="E13" s="139" t="s">
        <v>95</v>
      </c>
      <c r="I13"/>
      <c r="J13" s="95" t="s">
        <v>96</v>
      </c>
    </row>
    <row r="14" spans="1:17" ht="13" x14ac:dyDescent="0.3">
      <c r="C14" s="94" t="s">
        <v>97</v>
      </c>
      <c r="D14" s="94" t="s">
        <v>98</v>
      </c>
      <c r="E14" s="140" t="s">
        <v>99</v>
      </c>
      <c r="I14"/>
    </row>
    <row r="15" spans="1:17" ht="13.5" thickBot="1" x14ac:dyDescent="0.35">
      <c r="C15" s="94" t="s">
        <v>100</v>
      </c>
      <c r="D15" s="94" t="s">
        <v>101</v>
      </c>
      <c r="E15" s="141"/>
      <c r="I15"/>
    </row>
    <row r="16" spans="1:17" ht="13.5" thickBot="1" x14ac:dyDescent="0.35">
      <c r="C16" s="94" t="s">
        <v>102</v>
      </c>
      <c r="D16" s="94" t="s">
        <v>103</v>
      </c>
      <c r="H16" s="142" t="s">
        <v>104</v>
      </c>
      <c r="I16" s="92"/>
    </row>
    <row r="17" spans="1:10" ht="13" thickBot="1" x14ac:dyDescent="0.3">
      <c r="C17" s="94"/>
      <c r="D17" s="94"/>
      <c r="E17" s="463" t="s">
        <v>105</v>
      </c>
      <c r="H17" s="93" t="s">
        <v>106</v>
      </c>
    </row>
    <row r="18" spans="1:10" ht="13" thickBot="1" x14ac:dyDescent="0.3">
      <c r="C18" s="94"/>
      <c r="D18" s="94"/>
      <c r="E18" s="139" t="s">
        <v>107</v>
      </c>
      <c r="H18" s="94" t="s">
        <v>108</v>
      </c>
    </row>
    <row r="19" spans="1:10" ht="13" thickBot="1" x14ac:dyDescent="0.3">
      <c r="A19" s="398" t="s">
        <v>109</v>
      </c>
      <c r="B19" s="399" t="s">
        <v>110</v>
      </c>
      <c r="C19" s="94"/>
      <c r="D19" s="140"/>
      <c r="E19" s="140" t="s">
        <v>111</v>
      </c>
      <c r="H19" s="94"/>
    </row>
    <row r="20" spans="1:10" ht="13" thickBot="1" x14ac:dyDescent="0.3">
      <c r="A20" s="400" t="s">
        <v>112</v>
      </c>
      <c r="B20" s="396">
        <v>0</v>
      </c>
      <c r="C20" s="94"/>
      <c r="D20" s="94"/>
      <c r="E20" s="141"/>
      <c r="H20" s="95"/>
    </row>
    <row r="21" spans="1:10" x14ac:dyDescent="0.25">
      <c r="A21" s="400" t="s">
        <v>113</v>
      </c>
      <c r="B21" s="396">
        <v>0</v>
      </c>
      <c r="C21" s="94"/>
      <c r="D21" s="94"/>
    </row>
    <row r="22" spans="1:10" ht="13" thickBot="1" x14ac:dyDescent="0.3">
      <c r="A22" s="401" t="s">
        <v>114</v>
      </c>
      <c r="B22" s="397">
        <v>0</v>
      </c>
      <c r="C22" s="95"/>
      <c r="D22" s="95"/>
    </row>
    <row r="24" spans="1:10" ht="13" thickBot="1" x14ac:dyDescent="0.3"/>
    <row r="25" spans="1:10" ht="13" thickBot="1" x14ac:dyDescent="0.3">
      <c r="C25" s="398" t="s">
        <v>115</v>
      </c>
      <c r="D25" s="464" t="s">
        <v>116</v>
      </c>
      <c r="E25" s="398" t="s">
        <v>117</v>
      </c>
      <c r="F25" s="464" t="s">
        <v>118</v>
      </c>
    </row>
    <row r="26" spans="1:10" ht="13" thickBot="1" x14ac:dyDescent="0.3">
      <c r="C26" s="97" t="s">
        <v>119</v>
      </c>
      <c r="D26" s="94" t="s">
        <v>120</v>
      </c>
      <c r="E26" s="97" t="s">
        <v>121</v>
      </c>
      <c r="F26" s="94" t="s">
        <v>122</v>
      </c>
      <c r="H26" s="398" t="s">
        <v>123</v>
      </c>
      <c r="I26" s="398" t="s">
        <v>124</v>
      </c>
      <c r="J26" s="464" t="s">
        <v>125</v>
      </c>
    </row>
    <row r="27" spans="1:10" x14ac:dyDescent="0.25">
      <c r="C27" s="97" t="s">
        <v>126</v>
      </c>
      <c r="D27" s="94" t="s">
        <v>127</v>
      </c>
      <c r="E27" s="97" t="s">
        <v>128</v>
      </c>
      <c r="F27" s="94" t="s">
        <v>129</v>
      </c>
      <c r="H27" s="97" t="s">
        <v>130</v>
      </c>
      <c r="I27" s="97" t="s">
        <v>131</v>
      </c>
      <c r="J27" s="94" t="s">
        <v>132</v>
      </c>
    </row>
    <row r="28" spans="1:10" ht="13" thickBot="1" x14ac:dyDescent="0.3">
      <c r="C28" s="97" t="s">
        <v>133</v>
      </c>
      <c r="D28" s="94" t="s">
        <v>134</v>
      </c>
      <c r="E28" s="98" t="s">
        <v>135</v>
      </c>
      <c r="F28" s="95" t="s">
        <v>136</v>
      </c>
      <c r="H28" s="97" t="s">
        <v>137</v>
      </c>
      <c r="I28" s="97" t="s">
        <v>138</v>
      </c>
      <c r="J28" s="94" t="s">
        <v>139</v>
      </c>
    </row>
    <row r="29" spans="1:10" x14ac:dyDescent="0.25">
      <c r="C29" s="97" t="s">
        <v>140</v>
      </c>
      <c r="D29" s="94" t="s">
        <v>141</v>
      </c>
      <c r="H29" s="97" t="s">
        <v>142</v>
      </c>
      <c r="I29" s="97" t="s">
        <v>143</v>
      </c>
      <c r="J29" s="94" t="s">
        <v>144</v>
      </c>
    </row>
    <row r="30" spans="1:10" x14ac:dyDescent="0.25">
      <c r="C30" s="97" t="s">
        <v>145</v>
      </c>
      <c r="D30" s="94" t="s">
        <v>146</v>
      </c>
      <c r="H30" s="97" t="s">
        <v>147</v>
      </c>
      <c r="I30" s="97" t="s">
        <v>148</v>
      </c>
      <c r="J30" s="94" t="s">
        <v>149</v>
      </c>
    </row>
    <row r="31" spans="1:10" x14ac:dyDescent="0.25">
      <c r="C31" s="97" t="s">
        <v>150</v>
      </c>
      <c r="D31" s="94" t="s">
        <v>151</v>
      </c>
      <c r="H31" s="97" t="s">
        <v>152</v>
      </c>
      <c r="I31" s="97" t="s">
        <v>153</v>
      </c>
      <c r="J31" s="94" t="s">
        <v>154</v>
      </c>
    </row>
    <row r="32" spans="1:10" x14ac:dyDescent="0.25">
      <c r="C32" s="97" t="s">
        <v>155</v>
      </c>
      <c r="D32" s="94" t="s">
        <v>156</v>
      </c>
      <c r="H32" s="97" t="s">
        <v>157</v>
      </c>
      <c r="I32" s="97" t="s">
        <v>158</v>
      </c>
      <c r="J32" s="94" t="s">
        <v>159</v>
      </c>
    </row>
    <row r="33" spans="2:16" x14ac:dyDescent="0.25">
      <c r="C33" s="97"/>
      <c r="D33" s="94"/>
      <c r="H33" s="97" t="s">
        <v>160</v>
      </c>
      <c r="I33" s="97" t="s">
        <v>161</v>
      </c>
      <c r="J33" s="94" t="s">
        <v>162</v>
      </c>
    </row>
    <row r="34" spans="2:16" x14ac:dyDescent="0.25">
      <c r="C34" s="97"/>
      <c r="D34" s="94"/>
      <c r="H34" s="97" t="s">
        <v>163</v>
      </c>
      <c r="I34" s="97" t="s">
        <v>164</v>
      </c>
      <c r="J34" s="94" t="s">
        <v>165</v>
      </c>
    </row>
    <row r="35" spans="2:16" ht="13" thickBot="1" x14ac:dyDescent="0.3">
      <c r="C35" s="98"/>
      <c r="D35" s="95"/>
      <c r="H35" s="97" t="s">
        <v>166</v>
      </c>
      <c r="I35" s="97" t="s">
        <v>167</v>
      </c>
      <c r="J35" s="94" t="s">
        <v>168</v>
      </c>
    </row>
    <row r="36" spans="2:16" x14ac:dyDescent="0.25">
      <c r="H36" s="97" t="s">
        <v>56</v>
      </c>
      <c r="I36" s="97" t="s">
        <v>169</v>
      </c>
      <c r="J36" s="94" t="s">
        <v>170</v>
      </c>
    </row>
    <row r="37" spans="2:16" ht="13" thickBot="1" x14ac:dyDescent="0.3">
      <c r="H37" s="98" t="s">
        <v>171</v>
      </c>
      <c r="I37" s="98" t="s">
        <v>172</v>
      </c>
      <c r="J37" s="95" t="s">
        <v>173</v>
      </c>
    </row>
    <row r="39" spans="2:16" ht="13" thickBot="1" x14ac:dyDescent="0.3"/>
    <row r="40" spans="2:16" ht="13.5" thickBot="1" x14ac:dyDescent="0.35">
      <c r="B40"/>
      <c r="C40" s="398" t="s">
        <v>174</v>
      </c>
      <c r="D40" s="399" t="s">
        <v>175</v>
      </c>
      <c r="F40" s="471" t="s">
        <v>132</v>
      </c>
      <c r="G40" s="471" t="s">
        <v>139</v>
      </c>
      <c r="H40" s="471" t="s">
        <v>144</v>
      </c>
      <c r="I40" s="471" t="s">
        <v>149</v>
      </c>
      <c r="J40" s="471" t="s">
        <v>154</v>
      </c>
      <c r="K40" s="471" t="s">
        <v>159</v>
      </c>
      <c r="L40" s="471" t="s">
        <v>162</v>
      </c>
      <c r="M40" s="471" t="s">
        <v>165</v>
      </c>
      <c r="N40" s="471" t="s">
        <v>168</v>
      </c>
      <c r="O40" s="471" t="s">
        <v>170</v>
      </c>
      <c r="P40" s="471" t="s">
        <v>173</v>
      </c>
    </row>
    <row r="41" spans="2:16" ht="13" x14ac:dyDescent="0.3">
      <c r="B41"/>
      <c r="C41" s="465" t="s">
        <v>176</v>
      </c>
      <c r="D41" s="467" t="s">
        <v>177</v>
      </c>
      <c r="F41" s="470" t="s">
        <v>176</v>
      </c>
      <c r="G41" s="470" t="s">
        <v>178</v>
      </c>
      <c r="H41" s="470" t="s">
        <v>179</v>
      </c>
      <c r="I41" s="470" t="s">
        <v>180</v>
      </c>
      <c r="J41" s="470" t="s">
        <v>181</v>
      </c>
      <c r="K41" s="470" t="s">
        <v>182</v>
      </c>
      <c r="L41" s="470" t="s">
        <v>183</v>
      </c>
      <c r="M41" s="470" t="s">
        <v>184</v>
      </c>
      <c r="N41" s="470" t="s">
        <v>185</v>
      </c>
      <c r="O41" s="470" t="s">
        <v>186</v>
      </c>
      <c r="P41" s="470" t="s">
        <v>187</v>
      </c>
    </row>
    <row r="42" spans="2:16" ht="13" x14ac:dyDescent="0.3">
      <c r="B42"/>
      <c r="C42" s="465" t="s">
        <v>188</v>
      </c>
      <c r="D42" s="467" t="s">
        <v>189</v>
      </c>
      <c r="F42" s="466" t="s">
        <v>188</v>
      </c>
      <c r="G42" s="466" t="s">
        <v>190</v>
      </c>
      <c r="H42" s="466" t="s">
        <v>191</v>
      </c>
      <c r="I42" s="466" t="s">
        <v>192</v>
      </c>
      <c r="J42" s="466" t="s">
        <v>193</v>
      </c>
      <c r="K42" s="466" t="s">
        <v>194</v>
      </c>
      <c r="L42" s="466" t="s">
        <v>195</v>
      </c>
      <c r="M42" s="466" t="s">
        <v>196</v>
      </c>
      <c r="N42" s="466" t="s">
        <v>197</v>
      </c>
      <c r="O42" s="466" t="s">
        <v>198</v>
      </c>
      <c r="P42" s="466" t="s">
        <v>199</v>
      </c>
    </row>
    <row r="43" spans="2:16" ht="13" x14ac:dyDescent="0.3">
      <c r="B43"/>
      <c r="C43" s="465" t="s">
        <v>200</v>
      </c>
      <c r="D43" s="467" t="s">
        <v>201</v>
      </c>
      <c r="F43" s="466" t="s">
        <v>200</v>
      </c>
      <c r="G43" s="466" t="s">
        <v>202</v>
      </c>
      <c r="H43" s="466" t="s">
        <v>203</v>
      </c>
      <c r="I43" s="466" t="s">
        <v>204</v>
      </c>
      <c r="J43" s="466" t="s">
        <v>205</v>
      </c>
      <c r="K43" s="466" t="s">
        <v>206</v>
      </c>
      <c r="L43" s="466" t="s">
        <v>207</v>
      </c>
      <c r="M43" s="466" t="s">
        <v>163</v>
      </c>
      <c r="N43" s="466" t="s">
        <v>208</v>
      </c>
      <c r="O43" s="466" t="s">
        <v>209</v>
      </c>
      <c r="P43" s="466" t="s">
        <v>210</v>
      </c>
    </row>
    <row r="44" spans="2:16" ht="13" x14ac:dyDescent="0.3">
      <c r="B44"/>
      <c r="C44" s="465" t="s">
        <v>211</v>
      </c>
      <c r="D44" s="467" t="s">
        <v>212</v>
      </c>
      <c r="F44" s="466" t="s">
        <v>211</v>
      </c>
      <c r="G44" s="466" t="s">
        <v>213</v>
      </c>
      <c r="H44" s="466" t="s">
        <v>214</v>
      </c>
      <c r="I44" s="466" t="s">
        <v>215</v>
      </c>
      <c r="J44" s="466" t="s">
        <v>216</v>
      </c>
      <c r="K44" s="466" t="s">
        <v>217</v>
      </c>
      <c r="L44" s="466" t="s">
        <v>218</v>
      </c>
      <c r="M44" s="466" t="s">
        <v>219</v>
      </c>
      <c r="N44" s="466"/>
      <c r="O44" s="466" t="s">
        <v>220</v>
      </c>
      <c r="P44" s="466"/>
    </row>
    <row r="45" spans="2:16" ht="13" x14ac:dyDescent="0.3">
      <c r="B45"/>
      <c r="C45" s="465" t="s">
        <v>221</v>
      </c>
      <c r="D45" s="467" t="s">
        <v>222</v>
      </c>
      <c r="F45" s="466" t="s">
        <v>221</v>
      </c>
      <c r="G45" s="466" t="s">
        <v>223</v>
      </c>
      <c r="H45" s="466"/>
      <c r="I45" s="466" t="s">
        <v>224</v>
      </c>
      <c r="J45" s="466" t="s">
        <v>225</v>
      </c>
      <c r="K45" s="466"/>
      <c r="L45" s="466" t="s">
        <v>226</v>
      </c>
      <c r="M45" s="466"/>
      <c r="N45" s="466"/>
      <c r="O45" s="466" t="s">
        <v>227</v>
      </c>
      <c r="P45" s="466"/>
    </row>
    <row r="46" spans="2:16" ht="13" x14ac:dyDescent="0.3">
      <c r="B46"/>
      <c r="C46" s="465" t="s">
        <v>228</v>
      </c>
      <c r="D46" s="467" t="s">
        <v>229</v>
      </c>
      <c r="F46" s="466" t="s">
        <v>228</v>
      </c>
      <c r="G46" s="466" t="s">
        <v>230</v>
      </c>
      <c r="H46" s="466"/>
      <c r="I46" s="466"/>
      <c r="J46" s="466"/>
      <c r="K46" s="466"/>
      <c r="L46" s="466" t="s">
        <v>231</v>
      </c>
      <c r="M46" s="466"/>
      <c r="N46" s="466"/>
      <c r="O46" s="466"/>
      <c r="P46" s="466"/>
    </row>
    <row r="47" spans="2:16" ht="13" x14ac:dyDescent="0.3">
      <c r="B47"/>
      <c r="C47" s="465" t="s">
        <v>232</v>
      </c>
      <c r="D47" s="467" t="s">
        <v>233</v>
      </c>
      <c r="F47" s="466" t="s">
        <v>232</v>
      </c>
      <c r="G47" s="466"/>
      <c r="H47" s="466"/>
      <c r="I47" s="466"/>
      <c r="J47" s="466"/>
      <c r="K47" s="466"/>
      <c r="L47" s="466"/>
      <c r="M47" s="466"/>
      <c r="N47" s="466"/>
      <c r="O47" s="466"/>
      <c r="P47" s="466"/>
    </row>
    <row r="48" spans="2:16" ht="13" x14ac:dyDescent="0.3">
      <c r="B48"/>
      <c r="C48" s="465" t="s">
        <v>178</v>
      </c>
      <c r="D48" s="467" t="s">
        <v>234</v>
      </c>
    </row>
    <row r="49" spans="2:10" ht="13.5" thickBot="1" x14ac:dyDescent="0.35">
      <c r="B49"/>
      <c r="C49" s="465" t="s">
        <v>190</v>
      </c>
      <c r="D49" s="467" t="s">
        <v>235</v>
      </c>
    </row>
    <row r="50" spans="2:10" ht="13.5" thickBot="1" x14ac:dyDescent="0.35">
      <c r="B50"/>
      <c r="C50" s="465" t="s">
        <v>202</v>
      </c>
      <c r="D50" s="467" t="s">
        <v>236</v>
      </c>
      <c r="F50" s="684" t="s">
        <v>237</v>
      </c>
      <c r="G50" s="681" t="s">
        <v>238</v>
      </c>
      <c r="H50" s="681" t="s">
        <v>239</v>
      </c>
      <c r="I50" s="681" t="s">
        <v>240</v>
      </c>
      <c r="J50" s="684" t="s">
        <v>241</v>
      </c>
    </row>
    <row r="51" spans="2:10" ht="13" x14ac:dyDescent="0.3">
      <c r="B51"/>
      <c r="C51" s="465" t="s">
        <v>213</v>
      </c>
      <c r="D51" s="467" t="s">
        <v>242</v>
      </c>
      <c r="F51" s="685" t="s">
        <v>12</v>
      </c>
      <c r="G51" s="682" t="s">
        <v>62</v>
      </c>
      <c r="H51" s="682" t="s">
        <v>83</v>
      </c>
      <c r="I51" s="682" t="s">
        <v>102</v>
      </c>
      <c r="J51" s="685" t="s">
        <v>100</v>
      </c>
    </row>
    <row r="52" spans="2:10" ht="13" x14ac:dyDescent="0.3">
      <c r="B52"/>
      <c r="C52" s="465" t="s">
        <v>223</v>
      </c>
      <c r="D52" s="467" t="s">
        <v>243</v>
      </c>
      <c r="F52" s="686" t="s">
        <v>21</v>
      </c>
      <c r="G52" s="680" t="s">
        <v>70</v>
      </c>
      <c r="H52" s="680" t="s">
        <v>88</v>
      </c>
      <c r="I52" s="680"/>
      <c r="J52" s="686"/>
    </row>
    <row r="53" spans="2:10" ht="13" x14ac:dyDescent="0.3">
      <c r="B53"/>
      <c r="C53" s="465" t="s">
        <v>230</v>
      </c>
      <c r="D53" s="467" t="s">
        <v>244</v>
      </c>
      <c r="F53" s="686" t="s">
        <v>30</v>
      </c>
      <c r="G53" s="680" t="s">
        <v>77</v>
      </c>
      <c r="H53" s="680" t="s">
        <v>93</v>
      </c>
      <c r="I53" s="680"/>
      <c r="J53" s="686"/>
    </row>
    <row r="54" spans="2:10" ht="13" x14ac:dyDescent="0.3">
      <c r="B54"/>
      <c r="C54" s="465" t="s">
        <v>179</v>
      </c>
      <c r="D54" s="467" t="s">
        <v>245</v>
      </c>
      <c r="F54" s="686" t="s">
        <v>38</v>
      </c>
      <c r="G54" s="680"/>
      <c r="H54" s="680" t="s">
        <v>97</v>
      </c>
      <c r="I54" s="680"/>
      <c r="J54" s="686"/>
    </row>
    <row r="55" spans="2:10" ht="13" x14ac:dyDescent="0.3">
      <c r="B55"/>
      <c r="C55" s="465" t="s">
        <v>191</v>
      </c>
      <c r="D55" s="467" t="s">
        <v>246</v>
      </c>
      <c r="F55" s="686" t="s">
        <v>49</v>
      </c>
      <c r="G55" s="680"/>
      <c r="H55" s="680"/>
      <c r="I55" s="680"/>
      <c r="J55" s="686"/>
    </row>
    <row r="56" spans="2:10" ht="13" x14ac:dyDescent="0.3">
      <c r="B56"/>
      <c r="C56" s="465" t="s">
        <v>203</v>
      </c>
      <c r="D56" s="467" t="s">
        <v>247</v>
      </c>
      <c r="F56" s="686" t="s">
        <v>56</v>
      </c>
      <c r="G56" s="680"/>
      <c r="H56" s="680"/>
      <c r="I56" s="680"/>
      <c r="J56" s="686"/>
    </row>
    <row r="57" spans="2:10" ht="13.5" thickBot="1" x14ac:dyDescent="0.35">
      <c r="B57"/>
      <c r="C57" s="465" t="s">
        <v>214</v>
      </c>
      <c r="D57" s="467" t="s">
        <v>248</v>
      </c>
      <c r="F57" s="687"/>
      <c r="G57" s="683"/>
      <c r="H57" s="683"/>
      <c r="I57" s="683"/>
      <c r="J57" s="687"/>
    </row>
    <row r="58" spans="2:10" ht="13" x14ac:dyDescent="0.3">
      <c r="B58"/>
      <c r="C58" s="465" t="s">
        <v>180</v>
      </c>
      <c r="D58" s="467" t="s">
        <v>237</v>
      </c>
    </row>
    <row r="59" spans="2:10" ht="13.5" thickBot="1" x14ac:dyDescent="0.35">
      <c r="B59"/>
      <c r="C59" s="465" t="s">
        <v>192</v>
      </c>
      <c r="D59" s="467" t="s">
        <v>238</v>
      </c>
    </row>
    <row r="60" spans="2:10" ht="13.5" thickBot="1" x14ac:dyDescent="0.35">
      <c r="B60"/>
      <c r="C60" s="465" t="s">
        <v>204</v>
      </c>
      <c r="D60" s="467" t="s">
        <v>239</v>
      </c>
      <c r="F60" s="464" t="s">
        <v>249</v>
      </c>
    </row>
    <row r="61" spans="2:10" ht="13" x14ac:dyDescent="0.3">
      <c r="B61"/>
      <c r="C61" s="465" t="s">
        <v>215</v>
      </c>
      <c r="D61" s="467" t="s">
        <v>240</v>
      </c>
      <c r="F61" s="698" t="s">
        <v>56</v>
      </c>
    </row>
    <row r="62" spans="2:10" ht="13.5" thickBot="1" x14ac:dyDescent="0.35">
      <c r="B62"/>
      <c r="C62" s="465" t="s">
        <v>224</v>
      </c>
      <c r="D62" s="467" t="s">
        <v>241</v>
      </c>
      <c r="F62" s="699" t="s">
        <v>21</v>
      </c>
    </row>
    <row r="63" spans="2:10" ht="13" x14ac:dyDescent="0.3">
      <c r="B63"/>
      <c r="C63" s="465" t="s">
        <v>181</v>
      </c>
      <c r="D63" s="467" t="s">
        <v>250</v>
      </c>
    </row>
    <row r="64" spans="2:10" ht="13" x14ac:dyDescent="0.3">
      <c r="B64"/>
      <c r="C64" s="465" t="s">
        <v>193</v>
      </c>
      <c r="D64" s="467" t="s">
        <v>251</v>
      </c>
    </row>
    <row r="65" spans="2:4" ht="13" x14ac:dyDescent="0.3">
      <c r="B65"/>
      <c r="C65" s="465" t="s">
        <v>205</v>
      </c>
      <c r="D65" s="467" t="s">
        <v>252</v>
      </c>
    </row>
    <row r="66" spans="2:4" ht="13" x14ac:dyDescent="0.3">
      <c r="B66"/>
      <c r="C66" s="465" t="s">
        <v>216</v>
      </c>
      <c r="D66" s="467" t="s">
        <v>253</v>
      </c>
    </row>
    <row r="67" spans="2:4" ht="13" x14ac:dyDescent="0.3">
      <c r="B67"/>
      <c r="C67" s="465" t="s">
        <v>225</v>
      </c>
      <c r="D67" s="467" t="s">
        <v>254</v>
      </c>
    </row>
    <row r="68" spans="2:4" ht="13" x14ac:dyDescent="0.3">
      <c r="B68"/>
      <c r="C68" s="465" t="s">
        <v>182</v>
      </c>
      <c r="D68" s="467" t="s">
        <v>255</v>
      </c>
    </row>
    <row r="69" spans="2:4" ht="13" x14ac:dyDescent="0.3">
      <c r="B69"/>
      <c r="C69" s="465" t="s">
        <v>194</v>
      </c>
      <c r="D69" s="467" t="s">
        <v>256</v>
      </c>
    </row>
    <row r="70" spans="2:4" ht="13" x14ac:dyDescent="0.3">
      <c r="B70"/>
      <c r="C70" s="465" t="s">
        <v>206</v>
      </c>
      <c r="D70" s="467" t="s">
        <v>257</v>
      </c>
    </row>
    <row r="71" spans="2:4" ht="13" x14ac:dyDescent="0.3">
      <c r="B71"/>
      <c r="C71" s="465" t="s">
        <v>217</v>
      </c>
      <c r="D71" s="467" t="s">
        <v>258</v>
      </c>
    </row>
    <row r="72" spans="2:4" ht="13" x14ac:dyDescent="0.3">
      <c r="B72"/>
      <c r="C72" s="465" t="s">
        <v>183</v>
      </c>
      <c r="D72" s="467" t="s">
        <v>259</v>
      </c>
    </row>
    <row r="73" spans="2:4" ht="13" x14ac:dyDescent="0.3">
      <c r="B73"/>
      <c r="C73" s="465" t="s">
        <v>195</v>
      </c>
      <c r="D73" s="467" t="s">
        <v>260</v>
      </c>
    </row>
    <row r="74" spans="2:4" ht="13" x14ac:dyDescent="0.3">
      <c r="B74"/>
      <c r="C74" s="465" t="s">
        <v>207</v>
      </c>
      <c r="D74" s="467" t="s">
        <v>261</v>
      </c>
    </row>
    <row r="75" spans="2:4" ht="13" x14ac:dyDescent="0.3">
      <c r="B75"/>
      <c r="C75" s="465" t="s">
        <v>218</v>
      </c>
      <c r="D75" s="467" t="s">
        <v>262</v>
      </c>
    </row>
    <row r="76" spans="2:4" ht="13" x14ac:dyDescent="0.3">
      <c r="B76"/>
      <c r="C76" s="465" t="s">
        <v>226</v>
      </c>
      <c r="D76" s="467" t="s">
        <v>263</v>
      </c>
    </row>
    <row r="77" spans="2:4" ht="13" x14ac:dyDescent="0.3">
      <c r="B77"/>
      <c r="C77" s="465" t="s">
        <v>231</v>
      </c>
      <c r="D77" s="467" t="s">
        <v>264</v>
      </c>
    </row>
    <row r="78" spans="2:4" ht="13" x14ac:dyDescent="0.3">
      <c r="B78"/>
      <c r="C78" s="465" t="s">
        <v>184</v>
      </c>
      <c r="D78" s="467" t="s">
        <v>265</v>
      </c>
    </row>
    <row r="79" spans="2:4" ht="13" x14ac:dyDescent="0.3">
      <c r="B79"/>
      <c r="C79" s="465" t="s">
        <v>196</v>
      </c>
      <c r="D79" s="467" t="s">
        <v>266</v>
      </c>
    </row>
    <row r="80" spans="2:4" ht="13" x14ac:dyDescent="0.3">
      <c r="B80"/>
      <c r="C80" s="465" t="s">
        <v>163</v>
      </c>
      <c r="D80" s="467" t="s">
        <v>267</v>
      </c>
    </row>
    <row r="81" spans="2:4" ht="13" x14ac:dyDescent="0.3">
      <c r="B81"/>
      <c r="C81" s="465" t="s">
        <v>219</v>
      </c>
      <c r="D81" s="467" t="s">
        <v>268</v>
      </c>
    </row>
    <row r="82" spans="2:4" ht="13" x14ac:dyDescent="0.3">
      <c r="B82"/>
      <c r="C82" s="465" t="s">
        <v>185</v>
      </c>
      <c r="D82" s="467" t="s">
        <v>269</v>
      </c>
    </row>
    <row r="83" spans="2:4" ht="13" x14ac:dyDescent="0.3">
      <c r="B83"/>
      <c r="C83" s="465" t="s">
        <v>197</v>
      </c>
      <c r="D83" s="467" t="s">
        <v>270</v>
      </c>
    </row>
    <row r="84" spans="2:4" ht="13" x14ac:dyDescent="0.3">
      <c r="B84"/>
      <c r="C84" s="465" t="s">
        <v>208</v>
      </c>
      <c r="D84" s="467" t="s">
        <v>271</v>
      </c>
    </row>
    <row r="85" spans="2:4" ht="13" x14ac:dyDescent="0.3">
      <c r="B85"/>
      <c r="C85" s="465" t="s">
        <v>186</v>
      </c>
      <c r="D85" s="467" t="s">
        <v>272</v>
      </c>
    </row>
    <row r="86" spans="2:4" ht="13" x14ac:dyDescent="0.3">
      <c r="B86"/>
      <c r="C86" s="465" t="s">
        <v>198</v>
      </c>
      <c r="D86" s="467" t="s">
        <v>273</v>
      </c>
    </row>
    <row r="87" spans="2:4" ht="13" x14ac:dyDescent="0.3">
      <c r="B87"/>
      <c r="C87" s="465" t="s">
        <v>209</v>
      </c>
      <c r="D87" s="467" t="s">
        <v>274</v>
      </c>
    </row>
    <row r="88" spans="2:4" ht="13" x14ac:dyDescent="0.3">
      <c r="B88"/>
      <c r="C88" s="465" t="s">
        <v>220</v>
      </c>
      <c r="D88" s="467" t="s">
        <v>275</v>
      </c>
    </row>
    <row r="89" spans="2:4" ht="13" x14ac:dyDescent="0.3">
      <c r="B89"/>
      <c r="C89" s="465" t="s">
        <v>227</v>
      </c>
      <c r="D89" s="467" t="s">
        <v>276</v>
      </c>
    </row>
    <row r="90" spans="2:4" ht="13" x14ac:dyDescent="0.3">
      <c r="B90"/>
      <c r="C90" s="465" t="s">
        <v>187</v>
      </c>
      <c r="D90" s="467" t="s">
        <v>277</v>
      </c>
    </row>
    <row r="91" spans="2:4" ht="13" x14ac:dyDescent="0.3">
      <c r="B91"/>
      <c r="C91" s="465" t="s">
        <v>199</v>
      </c>
      <c r="D91" s="467" t="s">
        <v>278</v>
      </c>
    </row>
    <row r="92" spans="2:4" ht="13" thickBot="1" x14ac:dyDescent="0.3">
      <c r="C92" s="468" t="s">
        <v>210</v>
      </c>
      <c r="D92" s="469" t="s">
        <v>279</v>
      </c>
    </row>
  </sheetData>
  <sheetProtection algorithmName="SHA-512" hashValue="YvoIE+qcrEPBQEKA0O+BhsbisESQuzwCVTPsGjyN9JtnmeHBMSfzXA4hTcf9tjU9CVejfPb7Wd0wxaHjzuc99Q==" saltValue="H/v5uhOh1Gj1GMdYFHsP5A==" spinCount="100000" sheet="1" formatCells="0" formatColumns="0" formatRows="0" sort="0" autoFilter="0"/>
  <sortState xmlns:xlrd2="http://schemas.microsoft.com/office/spreadsheetml/2017/richdata2" ref="C2:D22">
    <sortCondition ref="C2:C22"/>
  </sortState>
  <mergeCells count="2">
    <mergeCell ref="M1:Q1"/>
    <mergeCell ref="M2:N2"/>
  </mergeCells>
  <pageMargins left="0.7" right="0.7" top="0.75" bottom="0.75" header="0.3" footer="0.3"/>
  <pageSetup paperSize="9" orientation="portrait" r:id="rId1"/>
  <headerFooter>
    <oddFooter>&amp;LSCI32PT01-PPO - 2023-v3</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ageSetUpPr fitToPage="1"/>
  </sheetPr>
  <dimension ref="A1:D36"/>
  <sheetViews>
    <sheetView showGridLines="0" showZeros="0" topLeftCell="A4" zoomScaleNormal="100" workbookViewId="0">
      <selection activeCell="B22" sqref="B22"/>
    </sheetView>
  </sheetViews>
  <sheetFormatPr baseColWidth="10" defaultColWidth="14.69921875" defaultRowHeight="12.5" x14ac:dyDescent="0.25"/>
  <cols>
    <col min="1" max="1" width="44.296875" style="143" customWidth="1"/>
    <col min="2" max="2" width="64.5" style="143" customWidth="1"/>
    <col min="3" max="3" width="19.19921875" style="644" customWidth="1"/>
    <col min="4" max="4" width="24.69921875" style="143" customWidth="1"/>
    <col min="5" max="16384" width="14.69921875" style="143"/>
  </cols>
  <sheetData>
    <row r="1" spans="1:4" x14ac:dyDescent="0.25">
      <c r="A1" s="146"/>
      <c r="B1" s="147"/>
      <c r="C1" s="638"/>
      <c r="D1" s="427" t="s">
        <v>280</v>
      </c>
    </row>
    <row r="2" spans="1:4" x14ac:dyDescent="0.25">
      <c r="A2" s="148"/>
      <c r="B2" s="149"/>
      <c r="C2" s="639"/>
      <c r="D2" s="150"/>
    </row>
    <row r="3" spans="1:4" x14ac:dyDescent="0.25">
      <c r="A3" s="148"/>
      <c r="B3" s="149"/>
      <c r="C3" s="639"/>
      <c r="D3" s="150"/>
    </row>
    <row r="4" spans="1:4" x14ac:dyDescent="0.25">
      <c r="A4" s="148"/>
      <c r="B4" s="149"/>
      <c r="C4" s="639"/>
      <c r="D4" s="150"/>
    </row>
    <row r="5" spans="1:4" ht="18.75" customHeight="1" x14ac:dyDescent="0.25">
      <c r="A5" s="148"/>
      <c r="B5" s="151" t="s">
        <v>281</v>
      </c>
      <c r="C5" s="640"/>
      <c r="D5" s="150"/>
    </row>
    <row r="6" spans="1:4" ht="12.75" customHeight="1" x14ac:dyDescent="0.25">
      <c r="A6" s="148"/>
      <c r="B6" s="149"/>
      <c r="C6" s="639"/>
      <c r="D6" s="150"/>
    </row>
    <row r="7" spans="1:4" ht="9" customHeight="1" thickBot="1" x14ac:dyDescent="0.3">
      <c r="A7" s="148"/>
      <c r="B7" s="149"/>
      <c r="C7" s="639"/>
      <c r="D7" s="150"/>
    </row>
    <row r="8" spans="1:4" s="647" customFormat="1" ht="16.75" customHeight="1" x14ac:dyDescent="0.3">
      <c r="A8" s="152" t="s">
        <v>282</v>
      </c>
      <c r="B8" s="690" t="s">
        <v>10</v>
      </c>
      <c r="C8" s="648" t="s">
        <v>283</v>
      </c>
      <c r="D8" s="646"/>
    </row>
    <row r="9" spans="1:4" s="647" customFormat="1" ht="16.75" hidden="1" customHeight="1" x14ac:dyDescent="0.3">
      <c r="A9" s="152" t="s">
        <v>284</v>
      </c>
      <c r="B9" s="649" t="s">
        <v>68</v>
      </c>
      <c r="C9" s="648" t="s">
        <v>285</v>
      </c>
      <c r="D9" s="646"/>
    </row>
    <row r="10" spans="1:4" s="647" customFormat="1" ht="16.75" customHeight="1" x14ac:dyDescent="0.3">
      <c r="A10" s="152" t="s">
        <v>286</v>
      </c>
      <c r="B10" s="691" t="s">
        <v>54</v>
      </c>
      <c r="C10" s="645"/>
      <c r="D10" s="646"/>
    </row>
    <row r="11" spans="1:4" s="647" customFormat="1" ht="16.75" customHeight="1" x14ac:dyDescent="0.3">
      <c r="A11" s="152" t="s">
        <v>287</v>
      </c>
      <c r="B11" s="691" t="s">
        <v>16</v>
      </c>
      <c r="C11" s="645"/>
      <c r="D11" s="646"/>
    </row>
    <row r="12" spans="1:4" s="647" customFormat="1" ht="16.75" customHeight="1" x14ac:dyDescent="0.3">
      <c r="A12" s="461" t="s">
        <v>288</v>
      </c>
      <c r="B12" s="691" t="s">
        <v>24</v>
      </c>
      <c r="C12" s="645"/>
      <c r="D12" s="646"/>
    </row>
    <row r="13" spans="1:4" s="647" customFormat="1" ht="16.75" customHeight="1" x14ac:dyDescent="0.3">
      <c r="A13" s="461" t="s">
        <v>289</v>
      </c>
      <c r="B13" s="691" t="s">
        <v>126</v>
      </c>
      <c r="C13" s="645"/>
      <c r="D13" s="646"/>
    </row>
    <row r="14" spans="1:4" s="647" customFormat="1" ht="16.75" customHeight="1" x14ac:dyDescent="0.3">
      <c r="A14" s="461" t="s">
        <v>290</v>
      </c>
      <c r="B14" s="691" t="s">
        <v>152</v>
      </c>
      <c r="C14" s="648" t="str">
        <f>IF(ISERROR(VLOOKUP(portf,portfolios,3,FALSE)),"",VLOOKUP(portf,portfolios,3,FALSE))</f>
        <v>F4F-SMSP</v>
      </c>
      <c r="D14" s="650" t="str">
        <f>VLOOKUP(portf,portfolios,2,FALSE)</f>
        <v>_F4F_SMSP</v>
      </c>
    </row>
    <row r="15" spans="1:4" s="647" customFormat="1" ht="16.75" customHeight="1" x14ac:dyDescent="0.3">
      <c r="A15" s="461" t="s">
        <v>291</v>
      </c>
      <c r="B15" s="691" t="s">
        <v>180</v>
      </c>
      <c r="C15" s="648" t="str">
        <f>IF(ISERROR(VLOOKUP(B15,subport,2,FALSE)),"",VLOOKUP(B15,subport,2,FALSE))</f>
        <v>_F4FSWDV</v>
      </c>
      <c r="D15" s="646"/>
    </row>
    <row r="16" spans="1:4" s="647" customFormat="1" ht="16.75" customHeight="1" x14ac:dyDescent="0.3">
      <c r="A16" s="461" t="s">
        <v>292</v>
      </c>
      <c r="B16" s="691" t="s">
        <v>30</v>
      </c>
      <c r="C16" s="645"/>
      <c r="D16" s="650" t="str">
        <f>VLOOKUP(subportf,subportfolio,2,FALSE)</f>
        <v>_F4FSWDV</v>
      </c>
    </row>
    <row r="17" spans="1:4" s="647" customFormat="1" ht="16.5" customHeight="1" x14ac:dyDescent="0.3">
      <c r="A17" s="461" t="s">
        <v>293</v>
      </c>
      <c r="B17" s="691" t="s">
        <v>121</v>
      </c>
      <c r="C17" s="645"/>
      <c r="D17" s="646"/>
    </row>
    <row r="18" spans="1:4" s="647" customFormat="1" ht="13" x14ac:dyDescent="0.3">
      <c r="A18" s="688" t="s">
        <v>294</v>
      </c>
      <c r="B18" s="692" t="s">
        <v>765</v>
      </c>
      <c r="C18" s="645"/>
      <c r="D18" s="646"/>
    </row>
    <row r="19" spans="1:4" s="647" customFormat="1" ht="13" x14ac:dyDescent="0.3">
      <c r="A19" s="152" t="s">
        <v>295</v>
      </c>
      <c r="B19" s="691" t="s">
        <v>764</v>
      </c>
      <c r="C19" s="645"/>
      <c r="D19" s="646"/>
    </row>
    <row r="20" spans="1:4" s="647" customFormat="1" ht="13" hidden="1" x14ac:dyDescent="0.3">
      <c r="A20" s="152" t="s">
        <v>296</v>
      </c>
      <c r="B20" s="691" t="s">
        <v>297</v>
      </c>
      <c r="C20" s="645"/>
      <c r="D20" s="650"/>
    </row>
    <row r="21" spans="1:4" s="647" customFormat="1" ht="13.5" thickBot="1" x14ac:dyDescent="0.35">
      <c r="A21" s="152" t="s">
        <v>298</v>
      </c>
      <c r="B21" s="691"/>
      <c r="C21" s="645"/>
      <c r="D21" s="650"/>
    </row>
    <row r="22" spans="1:4" s="647" customFormat="1" ht="21.75" customHeight="1" thickBot="1" x14ac:dyDescent="0.35">
      <c r="A22" s="152" t="s">
        <v>299</v>
      </c>
      <c r="B22" s="693">
        <v>20250256445</v>
      </c>
      <c r="C22" s="645"/>
      <c r="D22" s="646"/>
    </row>
    <row r="23" spans="1:4" s="647" customFormat="1" ht="13" x14ac:dyDescent="0.3">
      <c r="A23" s="461" t="s">
        <v>300</v>
      </c>
      <c r="B23" s="691" t="s">
        <v>766</v>
      </c>
      <c r="C23" s="645"/>
      <c r="D23" s="646"/>
    </row>
    <row r="24" spans="1:4" s="647" customFormat="1" ht="13" x14ac:dyDescent="0.3">
      <c r="A24" s="461" t="s">
        <v>301</v>
      </c>
      <c r="B24" s="694" t="s">
        <v>111</v>
      </c>
      <c r="C24" s="651" t="s">
        <v>302</v>
      </c>
      <c r="D24" s="646"/>
    </row>
    <row r="25" spans="1:4" s="647" customFormat="1" ht="13" x14ac:dyDescent="0.3">
      <c r="A25" s="461" t="s">
        <v>303</v>
      </c>
      <c r="B25" s="691" t="s">
        <v>782</v>
      </c>
      <c r="C25" s="645"/>
      <c r="D25" s="646"/>
    </row>
    <row r="26" spans="1:4" s="647" customFormat="1" ht="13" x14ac:dyDescent="0.3">
      <c r="A26" s="152" t="s">
        <v>304</v>
      </c>
      <c r="B26" s="695">
        <v>45809</v>
      </c>
      <c r="C26" s="645"/>
      <c r="D26" s="646"/>
    </row>
    <row r="27" spans="1:4" s="647" customFormat="1" ht="13" x14ac:dyDescent="0.3">
      <c r="A27" s="461" t="s">
        <v>305</v>
      </c>
      <c r="B27" s="696">
        <v>11</v>
      </c>
      <c r="C27" s="645"/>
      <c r="D27" s="646"/>
    </row>
    <row r="28" spans="1:4" s="647" customFormat="1" ht="13" x14ac:dyDescent="0.3">
      <c r="A28" s="461" t="s">
        <v>306</v>
      </c>
      <c r="B28" s="696">
        <v>2025</v>
      </c>
      <c r="C28" s="645"/>
      <c r="D28" s="646"/>
    </row>
    <row r="29" spans="1:4" s="647" customFormat="1" ht="13" x14ac:dyDescent="0.3">
      <c r="A29" s="461" t="s">
        <v>307</v>
      </c>
      <c r="B29" s="696">
        <v>12</v>
      </c>
      <c r="C29" s="645"/>
      <c r="D29" s="646"/>
    </row>
    <row r="30" spans="1:4" s="647" customFormat="1" ht="13.5" thickBot="1" x14ac:dyDescent="0.35">
      <c r="A30" s="689" t="s">
        <v>308</v>
      </c>
      <c r="B30" s="697"/>
      <c r="C30" s="645"/>
      <c r="D30" s="646"/>
    </row>
    <row r="31" spans="1:4" s="647" customFormat="1" ht="13.5" thickBot="1" x14ac:dyDescent="0.35">
      <c r="A31" s="652"/>
      <c r="B31" s="652"/>
      <c r="C31" s="645"/>
      <c r="D31" s="646"/>
    </row>
    <row r="32" spans="1:4" s="647" customFormat="1" ht="20.5" thickBot="1" x14ac:dyDescent="0.35">
      <c r="A32" s="655" t="s">
        <v>309</v>
      </c>
      <c r="B32" s="656" t="str">
        <f>VLOOKUP(entidad,codent,2,FALSE)&amp;VLOOKUP(subpract,subpractica,2,FALSE)</f>
        <v>EVEAI0</v>
      </c>
      <c r="C32" s="653"/>
      <c r="D32" s="654"/>
    </row>
    <row r="33" spans="1:4" ht="13" x14ac:dyDescent="0.3">
      <c r="A33"/>
      <c r="B33"/>
      <c r="C33" s="641"/>
      <c r="D33" s="150"/>
    </row>
    <row r="34" spans="1:4" x14ac:dyDescent="0.25">
      <c r="A34" s="148"/>
      <c r="B34" s="149"/>
      <c r="C34" s="639"/>
      <c r="D34" s="150"/>
    </row>
    <row r="35" spans="1:4" s="145" customFormat="1" ht="55.5" customHeight="1" x14ac:dyDescent="0.3">
      <c r="A35" s="153" t="s">
        <v>310</v>
      </c>
      <c r="B35" s="154"/>
      <c r="C35" s="642"/>
      <c r="D35" s="155"/>
    </row>
    <row r="36" spans="1:4" x14ac:dyDescent="0.25">
      <c r="A36" s="156"/>
      <c r="B36" s="156"/>
      <c r="C36" s="643"/>
      <c r="D36" s="157"/>
    </row>
  </sheetData>
  <sheetProtection algorithmName="SHA-512" hashValue="jO6al2A/PuunQ+NZa6apVpqM/6a0hUvalRHECmhW2KwQxUGeqjo3HpNP896f0UJ3IP7gzLRIGw5OSlUtK7htFQ==" saltValue="x7uPhHVRBzo86xFfbHKK+Q==" spinCount="100000" sheet="1" formatCells="0" formatColumns="0" formatRows="0" selectLockedCells="1" sort="0" autoFilter="0"/>
  <phoneticPr fontId="5" type="noConversion"/>
  <conditionalFormatting sqref="B24">
    <cfRule type="cellIs" dxfId="54" priority="3" stopIfTrue="1" operator="equal">
      <formula>"N030"</formula>
    </cfRule>
    <cfRule type="cellIs" dxfId="53" priority="4" stopIfTrue="1" operator="equal">
      <formula>"N060"</formula>
    </cfRule>
    <cfRule type="cellIs" dxfId="52" priority="5" stopIfTrue="1" operator="equal">
      <formula>""</formula>
    </cfRule>
    <cfRule type="cellIs" dxfId="51" priority="6" operator="notEqual">
      <formula>"N030"</formula>
    </cfRule>
  </conditionalFormatting>
  <dataValidations count="16">
    <dataValidation type="list" allowBlank="1" showInputMessage="1" showErrorMessage="1" sqref="B16" xr:uid="{00000000-0002-0000-0100-000001000000}">
      <formula1>INDIRECT($D$16)</formula1>
    </dataValidation>
    <dataValidation type="whole" allowBlank="1" showInputMessage="1" showErrorMessage="1" sqref="B27" xr:uid="{00000000-0002-0000-0100-000002000000}">
      <formula1>1</formula1>
      <formula2>12</formula2>
    </dataValidation>
    <dataValidation type="whole" allowBlank="1" showErrorMessage="1" errorTitle="error año inicio" error="el inicio debe ser en el año actual o futuro" promptTitle="año de inicio del servicio" prompt="indicar año de inicio del servicio" sqref="B28" xr:uid="{00000000-0002-0000-0100-000003000000}">
      <formula1>YEAR(NOW())</formula1>
      <formula2>YEAR(NOW())+2</formula2>
    </dataValidation>
    <dataValidation type="whole" operator="greaterThanOrEqual" allowBlank="1" showInputMessage="1" showErrorMessage="1" sqref="B29" xr:uid="{00000000-0002-0000-0100-000004000000}">
      <formula1>1</formula1>
    </dataValidation>
    <dataValidation type="list" allowBlank="1" showInputMessage="1" showErrorMessage="1" sqref="B12" xr:uid="{00000000-0002-0000-0100-000005000000}">
      <formula1>tcontrata</formula1>
    </dataValidation>
    <dataValidation type="list" allowBlank="1" showInputMessage="1" showErrorMessage="1" errorTitle="oficina inexistente" error="entar una oficina de la lista desplegable" promptTitle="Oficina gestora de la oferta" sqref="B10" xr:uid="{00000000-0002-0000-0100-000006000000}">
      <formula1>oficinas</formula1>
    </dataValidation>
    <dataValidation operator="greaterThanOrEqual" allowBlank="1" showErrorMessage="1" errorTitle="error fecha" error="la fecha a de ser posterior a la de prepación del PPO" promptTitle="fecha presentación oferta" prompt="Fecha en la que se presentará la oferta" sqref="B26" xr:uid="{00000000-0002-0000-0100-000007000000}"/>
    <dataValidation type="list" allowBlank="1" showInputMessage="1" showErrorMessage="1" errorTitle="oficina inexistente" error="entar una oficina de la lista desplegable" promptTitle="Oficina gestora de la oferta" sqref="B8" xr:uid="{00000000-0002-0000-0100-000008000000}">
      <formula1>entidades</formula1>
    </dataValidation>
    <dataValidation type="list" allowBlank="1" showInputMessage="1" showErrorMessage="1" sqref="B11" xr:uid="{00000000-0002-0000-0100-000009000000}">
      <formula1>toferta</formula1>
    </dataValidation>
    <dataValidation type="list" allowBlank="1" showInputMessage="1" showErrorMessage="1" errorTitle="oficina inexistente" error="entar una oficina de la lista desplegable" promptTitle="Oficina gestora de la oferta" sqref="B9" xr:uid="{00000000-0002-0000-0100-00000B000000}">
      <formula1>unidades</formula1>
    </dataValidation>
    <dataValidation type="list" allowBlank="1" showInputMessage="1" showErrorMessage="1" sqref="B24" xr:uid="{D14FDE76-3EDC-4F3C-9EFC-E634D9AE9763}">
      <formula1>vtos</formula1>
    </dataValidation>
    <dataValidation type="list" allowBlank="1" showInputMessage="1" showErrorMessage="1" sqref="B13" xr:uid="{39B1A89F-F0EC-4ECC-AA57-6E869D59E5E0}">
      <formula1>subsectores</formula1>
    </dataValidation>
    <dataValidation type="list" allowBlank="1" showInputMessage="1" showErrorMessage="1" sqref="B14" xr:uid="{A64ECD73-10F1-493D-8F68-7BC3E7D7BF50}">
      <formula1>portfolio</formula1>
    </dataValidation>
    <dataValidation type="list" allowBlank="1" showInputMessage="1" showErrorMessage="1" sqref="B17" xr:uid="{E7A15F22-931D-4FC1-931C-7F6766DA3B99}">
      <formula1>oppor</formula1>
    </dataValidation>
    <dataValidation type="list" allowBlank="1" showInputMessage="1" showErrorMessage="1" sqref="B15" xr:uid="{8D4B76A3-3DE4-4BFE-A0CD-6F023F442655}">
      <formula1>INDIRECT($D$14)</formula1>
    </dataValidation>
    <dataValidation type="list" allowBlank="1" showInputMessage="1" showErrorMessage="1" sqref="J8:M17" xr:uid="{00000000-0002-0000-0100-000000000000}">
      <formula1>unidades</formula1>
    </dataValidation>
  </dataValidations>
  <pageMargins left="0.19685039370078741" right="0.19685039370078741" top="0.19685039370078741" bottom="0.19685039370078741" header="0.19685039370078741" footer="0.19685039370078741"/>
  <pageSetup paperSize="9" scale="74" orientation="portrait" horizontalDpi="1200" verticalDpi="1200" r:id="rId1"/>
  <headerFooter scaleWithDoc="0" alignWithMargins="0">
    <oddFooter>&amp;LSCI32PT01-PPO - 2023-v3&amp;C&amp;D&amp;R&amp;F&amp;LSCI32PT01-PPO - 2023-v3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92F85A2-FA00-4710-82B2-26678C8CAF09}">
          <x14:formula1>
            <xm:f>IF($B$16="Tailored Software",tablas!$F$61:$F$62,$B$16)</xm:f>
          </x14:formula1>
          <xm:sqref>B20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pageSetUpPr fitToPage="1"/>
  </sheetPr>
  <dimension ref="A1:Q60"/>
  <sheetViews>
    <sheetView showZeros="0" topLeftCell="B1" zoomScale="80" zoomScaleNormal="80" workbookViewId="0">
      <selection activeCell="B8" sqref="B8:E8"/>
    </sheetView>
  </sheetViews>
  <sheetFormatPr baseColWidth="10" defaultColWidth="11.5" defaultRowHeight="12.5" x14ac:dyDescent="0.25"/>
  <cols>
    <col min="1" max="1" width="0.796875" style="1" hidden="1" customWidth="1"/>
    <col min="2" max="2" width="31.69921875" style="165" customWidth="1"/>
    <col min="3" max="3" width="16.5" style="165" bestFit="1" customWidth="1"/>
    <col min="4" max="4" width="14.796875" style="165" customWidth="1"/>
    <col min="5" max="5" width="12.5" style="165" customWidth="1"/>
    <col min="6" max="8" width="16.19921875" style="165" customWidth="1"/>
    <col min="9" max="10" width="16.19921875" style="167" customWidth="1"/>
    <col min="11" max="16" width="13.69921875" style="165" customWidth="1"/>
    <col min="17" max="16384" width="11.5" style="165"/>
  </cols>
  <sheetData>
    <row r="1" spans="1:16" s="166" customFormat="1" ht="18.5" thickBot="1" x14ac:dyDescent="0.45">
      <c r="A1" s="2"/>
      <c r="B1" s="395" t="s">
        <v>311</v>
      </c>
      <c r="C1" s="947">
        <f>codigo_oferta</f>
        <v>20250256445</v>
      </c>
      <c r="D1" s="948"/>
      <c r="E1" s="144"/>
      <c r="F1" s="144"/>
      <c r="G1" s="144"/>
      <c r="H1" s="144"/>
      <c r="I1" s="144"/>
      <c r="J1" s="144"/>
      <c r="K1" s="144"/>
      <c r="L1" s="144"/>
      <c r="M1" s="144"/>
      <c r="N1" s="144"/>
      <c r="O1" s="144"/>
      <c r="P1" s="144"/>
    </row>
    <row r="2" spans="1:16" ht="13.5" customHeight="1" thickBot="1" x14ac:dyDescent="0.35">
      <c r="E2" s="144"/>
      <c r="F2" s="144"/>
      <c r="G2" s="144"/>
      <c r="H2" s="144"/>
      <c r="I2" s="144"/>
      <c r="J2" s="144"/>
      <c r="K2" s="144"/>
      <c r="L2" s="144"/>
      <c r="M2" s="144"/>
      <c r="N2" s="144"/>
    </row>
    <row r="3" spans="1:16" ht="13.5" customHeight="1" thickBot="1" x14ac:dyDescent="0.35">
      <c r="B3" s="170" t="s">
        <v>312</v>
      </c>
      <c r="C3" s="171"/>
      <c r="D3" s="171"/>
      <c r="F3" s="144"/>
      <c r="G3" s="144"/>
      <c r="H3" s="144"/>
      <c r="I3" s="144"/>
      <c r="J3" s="144"/>
      <c r="K3" s="144"/>
      <c r="P3" s="144"/>
    </row>
    <row r="4" spans="1:16" ht="13.5" customHeight="1" thickBot="1" x14ac:dyDescent="0.35">
      <c r="B4" s="172"/>
      <c r="C4" s="173"/>
      <c r="D4" s="174"/>
      <c r="E4" s="176" t="s">
        <v>313</v>
      </c>
      <c r="F4" s="144"/>
      <c r="G4" s="144"/>
      <c r="H4" s="144"/>
      <c r="I4" s="144"/>
      <c r="J4" s="144"/>
      <c r="K4" s="144"/>
      <c r="P4" s="144"/>
    </row>
    <row r="5" spans="1:16" ht="13.5" customHeight="1" thickBot="1" x14ac:dyDescent="0.35">
      <c r="B5" s="172" t="s">
        <v>314</v>
      </c>
      <c r="C5" s="175"/>
      <c r="D5" s="105">
        <f>rminimo</f>
        <v>0.05</v>
      </c>
      <c r="E5" s="177">
        <f>VLOOKUP(tipo_contrato,triesgo,2,FALSE)</f>
        <v>0.05</v>
      </c>
      <c r="F5" s="144"/>
      <c r="G5" s="144"/>
      <c r="H5" s="144"/>
      <c r="I5" s="144"/>
      <c r="J5" s="144"/>
      <c r="K5" s="144"/>
      <c r="P5" s="144"/>
    </row>
    <row r="6" spans="1:16" ht="13.5" customHeight="1" x14ac:dyDescent="0.3">
      <c r="B6" s="172" t="s">
        <v>315</v>
      </c>
      <c r="C6" s="175"/>
      <c r="D6" s="31">
        <v>0.21</v>
      </c>
      <c r="F6" s="144"/>
      <c r="G6" s="144"/>
      <c r="H6" s="144"/>
      <c r="I6" s="144"/>
      <c r="J6" s="144"/>
      <c r="K6" s="144"/>
      <c r="L6" s="144"/>
      <c r="M6" s="144"/>
      <c r="N6" s="144"/>
      <c r="O6" s="144"/>
      <c r="P6" s="144"/>
    </row>
    <row r="7" spans="1:16" ht="13.5" customHeight="1" thickBot="1" x14ac:dyDescent="0.35">
      <c r="B7" s="172" t="s">
        <v>316</v>
      </c>
      <c r="C7" s="175"/>
      <c r="D7" s="100">
        <v>0.93</v>
      </c>
      <c r="F7" s="277"/>
      <c r="H7" s="144"/>
      <c r="I7" s="144"/>
      <c r="J7" s="144"/>
      <c r="K7" s="144"/>
      <c r="L7" s="144"/>
      <c r="M7" s="144"/>
      <c r="N7" s="144"/>
      <c r="O7" s="144"/>
      <c r="P7" s="144"/>
    </row>
    <row r="8" spans="1:16" ht="13" thickBot="1" x14ac:dyDescent="0.3">
      <c r="B8" s="949" t="s">
        <v>317</v>
      </c>
      <c r="C8" s="950"/>
      <c r="D8" s="950"/>
      <c r="E8" s="951"/>
      <c r="F8" s="472">
        <v>0.03</v>
      </c>
      <c r="G8" s="472">
        <v>0.03</v>
      </c>
      <c r="H8" s="472">
        <v>0.03</v>
      </c>
      <c r="I8" s="473">
        <v>0.03</v>
      </c>
      <c r="J8" s="473">
        <v>0.03</v>
      </c>
    </row>
    <row r="9" spans="1:16" s="144" customFormat="1" ht="13" x14ac:dyDescent="0.3">
      <c r="A9"/>
      <c r="B9"/>
      <c r="C9"/>
      <c r="D9"/>
      <c r="E9"/>
    </row>
    <row r="10" spans="1:16" s="168" customFormat="1" ht="11" thickBot="1" x14ac:dyDescent="0.3">
      <c r="A10" s="66"/>
      <c r="B10" s="46" t="s">
        <v>318</v>
      </c>
      <c r="C10" s="46"/>
      <c r="D10" s="47"/>
      <c r="E10" s="47"/>
      <c r="F10" s="46"/>
      <c r="G10" s="66"/>
      <c r="H10" s="66"/>
      <c r="I10" s="66"/>
      <c r="J10" s="66"/>
      <c r="K10" s="66"/>
      <c r="L10" s="66"/>
      <c r="M10" s="66"/>
    </row>
    <row r="11" spans="1:16" s="168" customFormat="1" ht="11" thickBot="1" x14ac:dyDescent="0.3">
      <c r="A11" s="66"/>
      <c r="B11" s="48" t="s">
        <v>319</v>
      </c>
      <c r="C11" s="48" t="s">
        <v>320</v>
      </c>
      <c r="D11" s="48" t="s">
        <v>321</v>
      </c>
      <c r="E11" s="48" t="s">
        <v>322</v>
      </c>
      <c r="F11" s="48" t="s">
        <v>323</v>
      </c>
      <c r="G11" s="48" t="s">
        <v>324</v>
      </c>
      <c r="H11" s="48" t="s">
        <v>325</v>
      </c>
      <c r="I11" s="48" t="s">
        <v>326</v>
      </c>
      <c r="J11" s="48" t="s">
        <v>327</v>
      </c>
      <c r="K11" s="48" t="s">
        <v>328</v>
      </c>
      <c r="L11" s="48" t="s">
        <v>329</v>
      </c>
      <c r="M11" s="48" t="s">
        <v>330</v>
      </c>
    </row>
    <row r="12" spans="1:16" s="168" customFormat="1" ht="10.5" thickBot="1" x14ac:dyDescent="0.25">
      <c r="A12" s="66"/>
      <c r="B12" s="49">
        <v>1742</v>
      </c>
      <c r="C12" s="50">
        <v>8</v>
      </c>
      <c r="D12" s="51">
        <f>IF(C12=0,0,B12/C12)</f>
        <v>217.75</v>
      </c>
      <c r="E12" s="52" t="s">
        <v>331</v>
      </c>
      <c r="F12" s="53">
        <v>45000</v>
      </c>
      <c r="G12" s="53"/>
      <c r="H12" s="54">
        <f>F12+G12</f>
        <v>45000</v>
      </c>
      <c r="I12" s="68">
        <f>IF(E12="F",H12*ssfij,IF(E12="T",H12*sstem,H12*sspar))</f>
        <v>14431.5</v>
      </c>
      <c r="J12" s="68">
        <f>MIN(I12,IF(E12="F",maxf,IF(E12="T",maxt,maxp)))</f>
        <v>14431.5</v>
      </c>
      <c r="K12" s="54">
        <f>H12+J12+coste_seg</f>
        <v>59769.833333333336</v>
      </c>
      <c r="L12" s="54">
        <f>IF(D12=0,"",K12/D12)</f>
        <v>274.48832759280521</v>
      </c>
      <c r="M12" s="54">
        <f>IF(B12=0,"",K12/B12)</f>
        <v>34.311040949100651</v>
      </c>
      <c r="N12" s="476">
        <f>(K12-H12)/H12</f>
        <v>0.32821851851851858</v>
      </c>
    </row>
    <row r="13" spans="1:16" s="168" customFormat="1" ht="11" thickBot="1" x14ac:dyDescent="0.3">
      <c r="A13" s="66"/>
      <c r="B13" s="46" t="s">
        <v>332</v>
      </c>
      <c r="C13" s="46"/>
      <c r="D13" s="47"/>
      <c r="E13" s="47"/>
      <c r="F13" s="46"/>
      <c r="G13" s="66"/>
      <c r="H13" s="66"/>
      <c r="I13" s="66"/>
      <c r="J13" s="66"/>
      <c r="K13" s="66"/>
      <c r="L13" s="66"/>
      <c r="M13" s="66"/>
    </row>
    <row r="14" spans="1:16" s="168" customFormat="1" ht="11" thickBot="1" x14ac:dyDescent="0.3">
      <c r="A14" s="66"/>
      <c r="B14" s="48" t="s">
        <v>319</v>
      </c>
      <c r="C14" s="48" t="s">
        <v>320</v>
      </c>
      <c r="D14" s="48" t="s">
        <v>321</v>
      </c>
      <c r="E14" s="48" t="s">
        <v>322</v>
      </c>
      <c r="F14" s="48" t="s">
        <v>323</v>
      </c>
      <c r="G14" s="69"/>
      <c r="H14" s="69" t="s">
        <v>325</v>
      </c>
      <c r="I14" s="48" t="s">
        <v>326</v>
      </c>
      <c r="J14" s="48" t="s">
        <v>327</v>
      </c>
      <c r="K14" s="48" t="s">
        <v>328</v>
      </c>
      <c r="L14" s="48" t="s">
        <v>329</v>
      </c>
      <c r="M14" s="48" t="s">
        <v>330</v>
      </c>
    </row>
    <row r="15" spans="1:16" s="168" customFormat="1" ht="10.5" thickBot="1" x14ac:dyDescent="0.25">
      <c r="A15" s="66"/>
      <c r="B15" s="49">
        <v>1742</v>
      </c>
      <c r="C15" s="50">
        <v>8</v>
      </c>
      <c r="D15" s="51">
        <f>IF(C15=0,0,B15/C15)</f>
        <v>217.75</v>
      </c>
      <c r="E15" s="52" t="s">
        <v>331</v>
      </c>
      <c r="F15" s="54">
        <f>K15-coste_seg-J15</f>
        <v>34037.75775472603</v>
      </c>
      <c r="G15" s="70"/>
      <c r="H15" s="70">
        <f>IF(E15="F",(K15-coste_seg)/(1+ssfij),IF(E15="T",(K15-coste_seg)/(1+sstem),(K15-coste_seg)/(1+spar)))</f>
        <v>34037.75775472603</v>
      </c>
      <c r="I15" s="68">
        <f>IF(E15="F",H15*ssfij,IF(E15="T",H15*sstem,H15*sspar))</f>
        <v>10915.908911940638</v>
      </c>
      <c r="J15" s="68">
        <f>MIN(I15,IF(E15="F",maxf,IF(E15="T",maxt,maxp)))</f>
        <v>10915.908911940638</v>
      </c>
      <c r="K15" s="54">
        <f>M15*B15</f>
        <v>45292</v>
      </c>
      <c r="L15" s="54">
        <f>IF(D15=0,"",K15/D15)</f>
        <v>208</v>
      </c>
      <c r="M15" s="67">
        <v>26</v>
      </c>
    </row>
    <row r="16" spans="1:16" x14ac:dyDescent="0.25">
      <c r="B16" s="168"/>
    </row>
    <row r="17" spans="1:16" ht="9.75" customHeight="1" thickBot="1" x14ac:dyDescent="0.35">
      <c r="B17" s="946" t="str">
        <f>IF(SUM(A19:A58)&gt;0,"ERROR Hay perfiles duplicados","")</f>
        <v/>
      </c>
      <c r="C17" s="946"/>
      <c r="D17" s="946"/>
      <c r="E17" s="372"/>
      <c r="F17" s="372"/>
      <c r="G17" s="373"/>
      <c r="H17" s="373"/>
      <c r="I17" s="373"/>
      <c r="J17" s="373"/>
      <c r="K17" s="373"/>
      <c r="L17" s="373"/>
      <c r="M17" s="373"/>
      <c r="N17" s="373"/>
      <c r="O17" s="373"/>
      <c r="P17" s="373"/>
    </row>
    <row r="18" spans="1:16" ht="36" customHeight="1" thickBot="1" x14ac:dyDescent="0.35">
      <c r="A18" s="3"/>
      <c r="B18" s="159" t="s">
        <v>333</v>
      </c>
      <c r="C18" s="159" t="s">
        <v>334</v>
      </c>
      <c r="D18" s="159" t="s">
        <v>335</v>
      </c>
      <c r="E18" s="474" t="str">
        <f>"Coste hora
"&amp;año_inicio</f>
        <v>Coste hora
2025</v>
      </c>
      <c r="F18" s="160">
        <f>año_inicio+1</f>
        <v>2026</v>
      </c>
      <c r="G18" s="160">
        <f>F18+1</f>
        <v>2027</v>
      </c>
      <c r="H18" s="160">
        <f>G18+1</f>
        <v>2028</v>
      </c>
      <c r="I18" s="160">
        <f>H18+1</f>
        <v>2029</v>
      </c>
      <c r="J18" s="161">
        <f>I18+1</f>
        <v>2030</v>
      </c>
      <c r="K18" s="162"/>
      <c r="L18" s="163"/>
      <c r="M18" s="163"/>
      <c r="N18" s="163"/>
      <c r="O18" s="163"/>
      <c r="P18" s="164"/>
    </row>
    <row r="19" spans="1:16" x14ac:dyDescent="0.25">
      <c r="A19" s="55" t="str">
        <f t="shared" ref="A19:A58" si="0">IF(COUNTIF($B$19:$B$58,B19)&gt;1,1,"")</f>
        <v/>
      </c>
      <c r="B19" s="4" t="s">
        <v>336</v>
      </c>
      <c r="C19" s="4" t="s">
        <v>10</v>
      </c>
      <c r="D19" s="5" t="s">
        <v>773</v>
      </c>
      <c r="E19" s="6">
        <v>40</v>
      </c>
      <c r="F19" s="7">
        <f t="shared" ref="F19:J28" si="1">IF(E19=0,0,E19+E19*F$8)</f>
        <v>41.2</v>
      </c>
      <c r="G19" s="7">
        <f t="shared" si="1"/>
        <v>42.436</v>
      </c>
      <c r="H19" s="7">
        <f t="shared" si="1"/>
        <v>43.70908</v>
      </c>
      <c r="I19" s="7">
        <f t="shared" si="1"/>
        <v>45.0203524</v>
      </c>
      <c r="J19" s="8">
        <f t="shared" si="1"/>
        <v>46.370962972000001</v>
      </c>
      <c r="K19" s="158">
        <f>IF(SUMIF(Presupuesto!$B$6:$B$26,$B19,Presupuesto!E$6:E$26),IF(E19&lt;&gt;0,0,1),0)</f>
        <v>0</v>
      </c>
      <c r="L19" s="158">
        <f>IF(SUMIF(Presupuesto!$B$6:$B$26,$B19,Presupuesto!F$6:F$26),IF(F19&lt;&gt;0,0,1),0)</f>
        <v>0</v>
      </c>
      <c r="M19" s="158">
        <f>IF(SUMIF(Presupuesto!$B$6:$B$26,$B19,Presupuesto!G$6:G$26),IF(G19&lt;&gt;0,0,1),0)</f>
        <v>0</v>
      </c>
      <c r="N19" s="158">
        <f>IF(SUMIF(Presupuesto!$B$6:$B$26,$B19,Presupuesto!H$6:H$26),IF(H19&lt;&gt;0,0,1),0)</f>
        <v>0</v>
      </c>
      <c r="O19" s="158">
        <f>IF(SUMIF(Presupuesto!$B$6:$B$26,$B19,Presupuesto!I$6:I$26),IF(I19&lt;&gt;0,0,1),0)</f>
        <v>0</v>
      </c>
      <c r="P19" s="158">
        <f>IF(SUMIF(Presupuesto!$B$6:$B$26,$B19,Presupuesto!J$6:J$26),IF(J19&lt;&gt;0,0,1),0)</f>
        <v>0</v>
      </c>
    </row>
    <row r="20" spans="1:16" x14ac:dyDescent="0.25">
      <c r="A20" s="55" t="str">
        <f t="shared" si="0"/>
        <v/>
      </c>
      <c r="B20" s="9" t="s">
        <v>627</v>
      </c>
      <c r="C20" s="9" t="s">
        <v>19</v>
      </c>
      <c r="D20" s="10" t="s">
        <v>771</v>
      </c>
      <c r="E20" s="11">
        <v>26</v>
      </c>
      <c r="F20" s="12">
        <f t="shared" si="1"/>
        <v>26.78</v>
      </c>
      <c r="G20" s="12">
        <f t="shared" si="1"/>
        <v>27.583400000000001</v>
      </c>
      <c r="H20" s="12">
        <f t="shared" si="1"/>
        <v>28.410902</v>
      </c>
      <c r="I20" s="12">
        <f t="shared" si="1"/>
        <v>29.26322906</v>
      </c>
      <c r="J20" s="13">
        <f t="shared" si="1"/>
        <v>30.141125931800001</v>
      </c>
      <c r="K20" s="158">
        <f>IF(SUMIF(Presupuesto!$B$6:$B$26,$B20,Presupuesto!E$6:E$26),IF(E20&lt;&gt;0,0,1),0)</f>
        <v>0</v>
      </c>
      <c r="L20" s="158">
        <f>IF(SUMIF(Presupuesto!$B$6:$B$26,$B20,Presupuesto!F$6:F$26),IF(F20&lt;&gt;0,0,1),0)</f>
        <v>0</v>
      </c>
      <c r="M20" s="158">
        <f>IF(SUMIF(Presupuesto!$B$6:$B$26,$B20,Presupuesto!G$6:G$26),IF(G20&lt;&gt;0,0,1),0)</f>
        <v>0</v>
      </c>
      <c r="N20" s="158">
        <f>IF(SUMIF(Presupuesto!$B$6:$B$26,$B20,Presupuesto!H$6:H$26),IF(H20&lt;&gt;0,0,1),0)</f>
        <v>0</v>
      </c>
      <c r="O20" s="158">
        <f>IF(SUMIF(Presupuesto!$B$6:$B$26,$B20,Presupuesto!I$6:I$26),IF(I20&lt;&gt;0,0,1),0)</f>
        <v>0</v>
      </c>
      <c r="P20" s="158">
        <f>IF(SUMIF(Presupuesto!$B$6:$B$26,$B20,Presupuesto!J$6:J$26),IF(J20&lt;&gt;0,0,1),0)</f>
        <v>0</v>
      </c>
    </row>
    <row r="21" spans="1:16" x14ac:dyDescent="0.25">
      <c r="A21" s="55" t="str">
        <f t="shared" si="0"/>
        <v/>
      </c>
      <c r="B21" s="9" t="s">
        <v>776</v>
      </c>
      <c r="C21" s="9" t="s">
        <v>19</v>
      </c>
      <c r="D21" s="10" t="s">
        <v>772</v>
      </c>
      <c r="E21" s="11">
        <v>16</v>
      </c>
      <c r="F21" s="12">
        <f t="shared" si="1"/>
        <v>16.48</v>
      </c>
      <c r="G21" s="12">
        <f t="shared" si="1"/>
        <v>16.974399999999999</v>
      </c>
      <c r="H21" s="12">
        <f t="shared" si="1"/>
        <v>17.483632</v>
      </c>
      <c r="I21" s="12">
        <f t="shared" si="1"/>
        <v>18.008140959999999</v>
      </c>
      <c r="J21" s="13">
        <f t="shared" si="1"/>
        <v>18.548385188799998</v>
      </c>
      <c r="K21" s="158">
        <f>IF(SUMIF(Presupuesto!$B$6:$B$26,$B21,Presupuesto!E$6:E$26),IF(E21&lt;&gt;0,0,1),0)</f>
        <v>0</v>
      </c>
      <c r="L21" s="158">
        <f>IF(SUMIF(Presupuesto!$B$6:$B$26,$B21,Presupuesto!F$6:F$26),IF(F21&lt;&gt;0,0,1),0)</f>
        <v>0</v>
      </c>
      <c r="M21" s="158">
        <f>IF(SUMIF(Presupuesto!$B$6:$B$26,$B21,Presupuesto!G$6:G$26),IF(G21&lt;&gt;0,0,1),0)</f>
        <v>0</v>
      </c>
      <c r="N21" s="158">
        <f>IF(SUMIF(Presupuesto!$B$6:$B$26,$B21,Presupuesto!H$6:H$26),IF(H21&lt;&gt;0,0,1),0)</f>
        <v>0</v>
      </c>
      <c r="O21" s="158">
        <f>IF(SUMIF(Presupuesto!$B$6:$B$26,$B21,Presupuesto!I$6:I$26),IF(I21&lt;&gt;0,0,1),0)</f>
        <v>0</v>
      </c>
      <c r="P21" s="158">
        <f>IF(SUMIF(Presupuesto!$B$6:$B$26,$B21,Presupuesto!J$6:J$26),IF(J21&lt;&gt;0,0,1),0)</f>
        <v>0</v>
      </c>
    </row>
    <row r="22" spans="1:16" x14ac:dyDescent="0.25">
      <c r="A22" s="55" t="str">
        <f t="shared" si="0"/>
        <v/>
      </c>
      <c r="B22" s="101" t="s">
        <v>338</v>
      </c>
      <c r="C22" s="9" t="s">
        <v>19</v>
      </c>
      <c r="D22" s="10" t="s">
        <v>784</v>
      </c>
      <c r="E22" s="11">
        <v>38.75</v>
      </c>
      <c r="F22" s="12">
        <f t="shared" si="1"/>
        <v>39.912500000000001</v>
      </c>
      <c r="G22" s="12">
        <f t="shared" si="1"/>
        <v>41.109875000000002</v>
      </c>
      <c r="H22" s="12">
        <f t="shared" si="1"/>
        <v>42.343171250000005</v>
      </c>
      <c r="I22" s="12">
        <f t="shared" si="1"/>
        <v>43.613466387500004</v>
      </c>
      <c r="J22" s="13">
        <f t="shared" si="1"/>
        <v>44.921870379125004</v>
      </c>
      <c r="K22" s="158">
        <f>IF(SUMIF(Presupuesto!$B$6:$B$26,$B22,Presupuesto!E$6:E$26),IF(E22&lt;&gt;0,0,1),0)</f>
        <v>0</v>
      </c>
      <c r="L22" s="158">
        <f>IF(SUMIF(Presupuesto!$B$6:$B$26,$B22,Presupuesto!F$6:F$26),IF(F22&lt;&gt;0,0,1),0)</f>
        <v>0</v>
      </c>
      <c r="M22" s="158">
        <f>IF(SUMIF(Presupuesto!$B$6:$B$26,$B22,Presupuesto!G$6:G$26),IF(G22&lt;&gt;0,0,1),0)</f>
        <v>0</v>
      </c>
      <c r="N22" s="158">
        <f>IF(SUMIF(Presupuesto!$B$6:$B$26,$B22,Presupuesto!H$6:H$26),IF(H22&lt;&gt;0,0,1),0)</f>
        <v>0</v>
      </c>
      <c r="O22" s="158">
        <f>IF(SUMIF(Presupuesto!$B$6:$B$26,$B22,Presupuesto!I$6:I$26),IF(I22&lt;&gt;0,0,1),0)</f>
        <v>0</v>
      </c>
      <c r="P22" s="158">
        <f>IF(SUMIF(Presupuesto!$B$6:$B$26,$B22,Presupuesto!J$6:J$26),IF(J22&lt;&gt;0,0,1),0)</f>
        <v>0</v>
      </c>
    </row>
    <row r="23" spans="1:16" x14ac:dyDescent="0.25">
      <c r="A23" s="55" t="str">
        <f t="shared" si="0"/>
        <v/>
      </c>
      <c r="B23" s="101" t="s">
        <v>783</v>
      </c>
      <c r="C23" s="9" t="s">
        <v>19</v>
      </c>
      <c r="D23" s="10" t="s">
        <v>774</v>
      </c>
      <c r="E23" s="11">
        <v>27</v>
      </c>
      <c r="F23" s="12">
        <f t="shared" si="1"/>
        <v>27.81</v>
      </c>
      <c r="G23" s="12">
        <f t="shared" si="1"/>
        <v>28.644299999999998</v>
      </c>
      <c r="H23" s="12">
        <f t="shared" si="1"/>
        <v>29.503628999999997</v>
      </c>
      <c r="I23" s="12">
        <f t="shared" si="1"/>
        <v>30.388737869999996</v>
      </c>
      <c r="J23" s="13">
        <f t="shared" si="1"/>
        <v>31.300400006099995</v>
      </c>
      <c r="K23" s="158">
        <f>IF(SUMIF(Presupuesto!$B$6:$B$26,$B23,Presupuesto!E$6:E$26),IF(E23&lt;&gt;0,0,1),0)</f>
        <v>0</v>
      </c>
      <c r="L23" s="158">
        <f>IF(SUMIF(Presupuesto!$B$6:$B$26,$B23,Presupuesto!F$6:F$26),IF(F23&lt;&gt;0,0,1),0)</f>
        <v>0</v>
      </c>
      <c r="M23" s="158">
        <f>IF(SUMIF(Presupuesto!$B$6:$B$26,$B23,Presupuesto!G$6:G$26),IF(G23&lt;&gt;0,0,1),0)</f>
        <v>0</v>
      </c>
      <c r="N23" s="158">
        <f>IF(SUMIF(Presupuesto!$B$6:$B$26,$B23,Presupuesto!H$6:H$26),IF(H23&lt;&gt;0,0,1),0)</f>
        <v>0</v>
      </c>
      <c r="O23" s="158">
        <f>IF(SUMIF(Presupuesto!$B$6:$B$26,$B23,Presupuesto!I$6:I$26),IF(I23&lt;&gt;0,0,1),0)</f>
        <v>0</v>
      </c>
      <c r="P23" s="158">
        <f>IF(SUMIF(Presupuesto!$B$6:$B$26,$B23,Presupuesto!J$6:J$26),IF(J23&lt;&gt;0,0,1),0)</f>
        <v>0</v>
      </c>
    </row>
    <row r="24" spans="1:16" x14ac:dyDescent="0.25">
      <c r="A24" s="55" t="str">
        <f t="shared" si="0"/>
        <v/>
      </c>
      <c r="B24" s="101" t="s">
        <v>785</v>
      </c>
      <c r="C24" s="9" t="s">
        <v>19</v>
      </c>
      <c r="D24" s="10" t="s">
        <v>134</v>
      </c>
      <c r="E24" s="11">
        <v>20</v>
      </c>
      <c r="F24" s="12">
        <f t="shared" si="1"/>
        <v>20.6</v>
      </c>
      <c r="G24" s="12">
        <f t="shared" si="1"/>
        <v>21.218</v>
      </c>
      <c r="H24" s="12">
        <f t="shared" si="1"/>
        <v>21.85454</v>
      </c>
      <c r="I24" s="12">
        <f t="shared" si="1"/>
        <v>22.5101762</v>
      </c>
      <c r="J24" s="13">
        <f t="shared" si="1"/>
        <v>23.185481486</v>
      </c>
      <c r="K24" s="158">
        <f>IF(SUMIF(Presupuesto!$B$6:$B$26,$B24,Presupuesto!E$6:E$26),IF(E24&lt;&gt;0,0,1),0)</f>
        <v>0</v>
      </c>
      <c r="L24" s="158">
        <f>IF(SUMIF(Presupuesto!$B$6:$B$26,$B24,Presupuesto!F$6:F$26),IF(F24&lt;&gt;0,0,1),0)</f>
        <v>0</v>
      </c>
      <c r="M24" s="158">
        <f>IF(SUMIF(Presupuesto!$B$6:$B$26,$B24,Presupuesto!G$6:G$26),IF(G24&lt;&gt;0,0,1),0)</f>
        <v>0</v>
      </c>
      <c r="N24" s="158">
        <f>IF(SUMIF(Presupuesto!$B$6:$B$26,$B24,Presupuesto!H$6:H$26),IF(H24&lt;&gt;0,0,1),0)</f>
        <v>0</v>
      </c>
      <c r="O24" s="158">
        <f>IF(SUMIF(Presupuesto!$B$6:$B$26,$B24,Presupuesto!I$6:I$26),IF(I24&lt;&gt;0,0,1),0)</f>
        <v>0</v>
      </c>
      <c r="P24" s="158">
        <f>IF(SUMIF(Presupuesto!$B$6:$B$26,$B24,Presupuesto!J$6:J$26),IF(J24&lt;&gt;0,0,1),0)</f>
        <v>0</v>
      </c>
    </row>
    <row r="25" spans="1:16" x14ac:dyDescent="0.25">
      <c r="A25" s="55" t="str">
        <f t="shared" si="0"/>
        <v/>
      </c>
      <c r="B25" s="101" t="s">
        <v>786</v>
      </c>
      <c r="C25" s="9" t="s">
        <v>19</v>
      </c>
      <c r="D25" s="10" t="s">
        <v>787</v>
      </c>
      <c r="E25" s="11">
        <v>25</v>
      </c>
      <c r="F25" s="12">
        <f t="shared" si="1"/>
        <v>25.75</v>
      </c>
      <c r="G25" s="12">
        <f t="shared" si="1"/>
        <v>26.522500000000001</v>
      </c>
      <c r="H25" s="12">
        <f t="shared" si="1"/>
        <v>27.318175</v>
      </c>
      <c r="I25" s="12">
        <f t="shared" si="1"/>
        <v>28.137720250000001</v>
      </c>
      <c r="J25" s="13">
        <f t="shared" si="1"/>
        <v>28.981851857500001</v>
      </c>
      <c r="K25" s="158">
        <f>IF(SUMIF(Presupuesto!$B$6:$B$26,$B25,Presupuesto!E$6:E$26),IF(E25&lt;&gt;0,0,1),0)</f>
        <v>0</v>
      </c>
      <c r="L25" s="158">
        <f>IF(SUMIF(Presupuesto!$B$6:$B$26,$B25,Presupuesto!F$6:F$26),IF(F25&lt;&gt;0,0,1),0)</f>
        <v>0</v>
      </c>
      <c r="M25" s="158">
        <f>IF(SUMIF(Presupuesto!$B$6:$B$26,$B25,Presupuesto!G$6:G$26),IF(G25&lt;&gt;0,0,1),0)</f>
        <v>0</v>
      </c>
      <c r="N25" s="158">
        <f>IF(SUMIF(Presupuesto!$B$6:$B$26,$B25,Presupuesto!H$6:H$26),IF(H25&lt;&gt;0,0,1),0)</f>
        <v>0</v>
      </c>
      <c r="O25" s="158">
        <f>IF(SUMIF(Presupuesto!$B$6:$B$26,$B25,Presupuesto!I$6:I$26),IF(I25&lt;&gt;0,0,1),0)</f>
        <v>0</v>
      </c>
      <c r="P25" s="158">
        <f>IF(SUMIF(Presupuesto!$B$6:$B$26,$B25,Presupuesto!J$6:J$26),IF(J25&lt;&gt;0,0,1),0)</f>
        <v>0</v>
      </c>
    </row>
    <row r="26" spans="1:16" x14ac:dyDescent="0.25">
      <c r="A26" s="55" t="str">
        <f t="shared" si="0"/>
        <v/>
      </c>
      <c r="B26" s="101"/>
      <c r="C26" s="9"/>
      <c r="D26" s="10"/>
      <c r="E26" s="11"/>
      <c r="F26" s="12">
        <f t="shared" si="1"/>
        <v>0</v>
      </c>
      <c r="G26" s="12">
        <f t="shared" si="1"/>
        <v>0</v>
      </c>
      <c r="H26" s="12">
        <f t="shared" si="1"/>
        <v>0</v>
      </c>
      <c r="I26" s="12">
        <f t="shared" si="1"/>
        <v>0</v>
      </c>
      <c r="J26" s="13">
        <f t="shared" si="1"/>
        <v>0</v>
      </c>
      <c r="K26" s="158">
        <f>IF(SUMIF(Presupuesto!$B$6:$B$26,$B26,Presupuesto!E$6:E$26),IF(E26&lt;&gt;0,0,1),0)</f>
        <v>0</v>
      </c>
      <c r="L26" s="158">
        <f>IF(SUMIF(Presupuesto!$B$6:$B$26,$B26,Presupuesto!F$6:F$26),IF(F26&lt;&gt;0,0,1),0)</f>
        <v>0</v>
      </c>
      <c r="M26" s="158">
        <f>IF(SUMIF(Presupuesto!$B$6:$B$26,$B26,Presupuesto!G$6:G$26),IF(G26&lt;&gt;0,0,1),0)</f>
        <v>0</v>
      </c>
      <c r="N26" s="158">
        <f>IF(SUMIF(Presupuesto!$B$6:$B$26,$B26,Presupuesto!H$6:H$26),IF(H26&lt;&gt;0,0,1),0)</f>
        <v>0</v>
      </c>
      <c r="O26" s="158">
        <f>IF(SUMIF(Presupuesto!$B$6:$B$26,$B26,Presupuesto!I$6:I$26),IF(I26&lt;&gt;0,0,1),0)</f>
        <v>0</v>
      </c>
      <c r="P26" s="158">
        <f>IF(SUMIF(Presupuesto!$B$6:$B$26,$B26,Presupuesto!J$6:J$26),IF(J26&lt;&gt;0,0,1),0)</f>
        <v>0</v>
      </c>
    </row>
    <row r="27" spans="1:16" x14ac:dyDescent="0.25">
      <c r="A27" s="55" t="str">
        <f t="shared" si="0"/>
        <v/>
      </c>
      <c r="B27" s="101"/>
      <c r="C27" s="9"/>
      <c r="D27" s="10"/>
      <c r="E27" s="11"/>
      <c r="F27" s="12">
        <f t="shared" si="1"/>
        <v>0</v>
      </c>
      <c r="G27" s="12">
        <f t="shared" si="1"/>
        <v>0</v>
      </c>
      <c r="H27" s="12">
        <f t="shared" si="1"/>
        <v>0</v>
      </c>
      <c r="I27" s="12">
        <f t="shared" si="1"/>
        <v>0</v>
      </c>
      <c r="J27" s="13">
        <f t="shared" si="1"/>
        <v>0</v>
      </c>
      <c r="K27" s="158">
        <f>IF(SUMIF(Presupuesto!$B$6:$B$26,$B27,Presupuesto!E$6:E$26),IF(E27&lt;&gt;0,0,1),0)</f>
        <v>0</v>
      </c>
      <c r="L27" s="158">
        <f>IF(SUMIF(Presupuesto!$B$6:$B$26,$B27,Presupuesto!F$6:F$26),IF(F27&lt;&gt;0,0,1),0)</f>
        <v>0</v>
      </c>
      <c r="M27" s="158">
        <f>IF(SUMIF(Presupuesto!$B$6:$B$26,$B27,Presupuesto!G$6:G$26),IF(G27&lt;&gt;0,0,1),0)</f>
        <v>0</v>
      </c>
      <c r="N27" s="158">
        <f>IF(SUMIF(Presupuesto!$B$6:$B$26,$B27,Presupuesto!H$6:H$26),IF(H27&lt;&gt;0,0,1),0)</f>
        <v>0</v>
      </c>
      <c r="O27" s="158">
        <f>IF(SUMIF(Presupuesto!$B$6:$B$26,$B27,Presupuesto!I$6:I$26),IF(I27&lt;&gt;0,0,1),0)</f>
        <v>0</v>
      </c>
      <c r="P27" s="158">
        <f>IF(SUMIF(Presupuesto!$B$6:$B$26,$B27,Presupuesto!J$6:J$26),IF(J27&lt;&gt;0,0,1),0)</f>
        <v>0</v>
      </c>
    </row>
    <row r="28" spans="1:16" x14ac:dyDescent="0.25">
      <c r="A28" s="55" t="str">
        <f t="shared" si="0"/>
        <v/>
      </c>
      <c r="B28" s="101"/>
      <c r="C28" s="9"/>
      <c r="D28" s="10"/>
      <c r="E28" s="11"/>
      <c r="F28" s="12">
        <f t="shared" si="1"/>
        <v>0</v>
      </c>
      <c r="G28" s="12">
        <f t="shared" si="1"/>
        <v>0</v>
      </c>
      <c r="H28" s="12">
        <f t="shared" si="1"/>
        <v>0</v>
      </c>
      <c r="I28" s="12">
        <f t="shared" si="1"/>
        <v>0</v>
      </c>
      <c r="J28" s="13">
        <f t="shared" si="1"/>
        <v>0</v>
      </c>
      <c r="K28" s="158">
        <f>IF(SUMIF(Presupuesto!$B$6:$B$26,$B28,Presupuesto!E$6:E$26),IF(E28&lt;&gt;0,0,1),0)</f>
        <v>0</v>
      </c>
      <c r="L28" s="158">
        <f>IF(SUMIF(Presupuesto!$B$6:$B$26,$B28,Presupuesto!F$6:F$26),IF(F28&lt;&gt;0,0,1),0)</f>
        <v>0</v>
      </c>
      <c r="M28" s="158">
        <f>IF(SUMIF(Presupuesto!$B$6:$B$26,$B28,Presupuesto!G$6:G$26),IF(G28&lt;&gt;0,0,1),0)</f>
        <v>0</v>
      </c>
      <c r="N28" s="158">
        <f>IF(SUMIF(Presupuesto!$B$6:$B$26,$B28,Presupuesto!H$6:H$26),IF(H28&lt;&gt;0,0,1),0)</f>
        <v>0</v>
      </c>
      <c r="O28" s="158">
        <f>IF(SUMIF(Presupuesto!$B$6:$B$26,$B28,Presupuesto!I$6:I$26),IF(I28&lt;&gt;0,0,1),0)</f>
        <v>0</v>
      </c>
      <c r="P28" s="158">
        <f>IF(SUMIF(Presupuesto!$B$6:$B$26,$B28,Presupuesto!J$6:J$26),IF(J28&lt;&gt;0,0,1),0)</f>
        <v>0</v>
      </c>
    </row>
    <row r="29" spans="1:16" x14ac:dyDescent="0.25">
      <c r="A29" s="55" t="str">
        <f t="shared" si="0"/>
        <v/>
      </c>
      <c r="B29" s="101"/>
      <c r="C29" s="101"/>
      <c r="D29" s="10"/>
      <c r="E29" s="14"/>
      <c r="F29" s="12">
        <f t="shared" ref="F29:J38" si="2">IF(E29=0,0,E29+E29*F$8)</f>
        <v>0</v>
      </c>
      <c r="G29" s="12">
        <f t="shared" si="2"/>
        <v>0</v>
      </c>
      <c r="H29" s="12">
        <f t="shared" si="2"/>
        <v>0</v>
      </c>
      <c r="I29" s="12">
        <f t="shared" si="2"/>
        <v>0</v>
      </c>
      <c r="J29" s="13">
        <f t="shared" si="2"/>
        <v>0</v>
      </c>
      <c r="K29" s="158">
        <f>IF(SUMIF(Presupuesto!$B$6:$B$26,$B29,Presupuesto!E$6:E$26),IF(E29&lt;&gt;0,0,1),0)</f>
        <v>0</v>
      </c>
      <c r="L29" s="158">
        <f>IF(SUMIF(Presupuesto!$B$6:$B$26,$B29,Presupuesto!F$6:F$26),IF(F29&lt;&gt;0,0,1),0)</f>
        <v>0</v>
      </c>
      <c r="M29" s="158">
        <f>IF(SUMIF(Presupuesto!$B$6:$B$26,$B29,Presupuesto!G$6:G$26),IF(G29&lt;&gt;0,0,1),0)</f>
        <v>0</v>
      </c>
      <c r="N29" s="158">
        <f>IF(SUMIF(Presupuesto!$B$6:$B$26,$B29,Presupuesto!H$6:H$26),IF(H29&lt;&gt;0,0,1),0)</f>
        <v>0</v>
      </c>
      <c r="O29" s="158">
        <f>IF(SUMIF(Presupuesto!$B$6:$B$26,$B29,Presupuesto!I$6:I$26),IF(I29&lt;&gt;0,0,1),0)</f>
        <v>0</v>
      </c>
      <c r="P29" s="158">
        <f>IF(SUMIF(Presupuesto!$B$6:$B$26,$B29,Presupuesto!J$6:J$26),IF(J29&lt;&gt;0,0,1),0)</f>
        <v>0</v>
      </c>
    </row>
    <row r="30" spans="1:16" x14ac:dyDescent="0.25">
      <c r="A30" s="55" t="str">
        <f t="shared" si="0"/>
        <v/>
      </c>
      <c r="B30" s="101"/>
      <c r="C30" s="101"/>
      <c r="D30" s="10"/>
      <c r="E30" s="14"/>
      <c r="F30" s="12">
        <f t="shared" si="2"/>
        <v>0</v>
      </c>
      <c r="G30" s="12">
        <f t="shared" si="2"/>
        <v>0</v>
      </c>
      <c r="H30" s="12">
        <f t="shared" si="2"/>
        <v>0</v>
      </c>
      <c r="I30" s="12">
        <f t="shared" si="2"/>
        <v>0</v>
      </c>
      <c r="J30" s="13">
        <f t="shared" si="2"/>
        <v>0</v>
      </c>
      <c r="K30" s="158">
        <f>IF(SUMIF(Presupuesto!$B$6:$B$26,$B30,Presupuesto!E$6:E$26),IF(E30&lt;&gt;0,0,1),0)</f>
        <v>0</v>
      </c>
      <c r="L30" s="158">
        <f>IF(SUMIF(Presupuesto!$B$6:$B$26,$B30,Presupuesto!F$6:F$26),IF(F30&lt;&gt;0,0,1),0)</f>
        <v>0</v>
      </c>
      <c r="M30" s="158">
        <f>IF(SUMIF(Presupuesto!$B$6:$B$26,$B30,Presupuesto!G$6:G$26),IF(G30&lt;&gt;0,0,1),0)</f>
        <v>0</v>
      </c>
      <c r="N30" s="158">
        <f>IF(SUMIF(Presupuesto!$B$6:$B$26,$B30,Presupuesto!H$6:H$26),IF(H30&lt;&gt;0,0,1),0)</f>
        <v>0</v>
      </c>
      <c r="O30" s="158">
        <f>IF(SUMIF(Presupuesto!$B$6:$B$26,$B30,Presupuesto!I$6:I$26),IF(I30&lt;&gt;0,0,1),0)</f>
        <v>0</v>
      </c>
      <c r="P30" s="158">
        <f>IF(SUMIF(Presupuesto!$B$6:$B$26,$B30,Presupuesto!J$6:J$26),IF(J30&lt;&gt;0,0,1),0)</f>
        <v>0</v>
      </c>
    </row>
    <row r="31" spans="1:16" x14ac:dyDescent="0.25">
      <c r="A31" s="55" t="str">
        <f t="shared" si="0"/>
        <v/>
      </c>
      <c r="B31" s="101"/>
      <c r="C31" s="101"/>
      <c r="D31" s="10"/>
      <c r="E31" s="14"/>
      <c r="F31" s="12">
        <f t="shared" si="2"/>
        <v>0</v>
      </c>
      <c r="G31" s="12">
        <f t="shared" si="2"/>
        <v>0</v>
      </c>
      <c r="H31" s="12">
        <f t="shared" si="2"/>
        <v>0</v>
      </c>
      <c r="I31" s="12">
        <f t="shared" si="2"/>
        <v>0</v>
      </c>
      <c r="J31" s="13">
        <f t="shared" si="2"/>
        <v>0</v>
      </c>
      <c r="K31" s="158">
        <f>IF(SUMIF(Presupuesto!$B$6:$B$26,$B31,Presupuesto!E$6:E$26),IF(E31&lt;&gt;0,0,1),0)</f>
        <v>0</v>
      </c>
      <c r="L31" s="158">
        <f>IF(SUMIF(Presupuesto!$B$6:$B$26,$B31,Presupuesto!F$6:F$26),IF(F31&lt;&gt;0,0,1),0)</f>
        <v>0</v>
      </c>
      <c r="M31" s="158">
        <f>IF(SUMIF(Presupuesto!$B$6:$B$26,$B31,Presupuesto!G$6:G$26),IF(G31&lt;&gt;0,0,1),0)</f>
        <v>0</v>
      </c>
      <c r="N31" s="158">
        <f>IF(SUMIF(Presupuesto!$B$6:$B$26,$B31,Presupuesto!H$6:H$26),IF(H31&lt;&gt;0,0,1),0)</f>
        <v>0</v>
      </c>
      <c r="O31" s="158">
        <f>IF(SUMIF(Presupuesto!$B$6:$B$26,$B31,Presupuesto!I$6:I$26),IF(I31&lt;&gt;0,0,1),0)</f>
        <v>0</v>
      </c>
      <c r="P31" s="158">
        <f>IF(SUMIF(Presupuesto!$B$6:$B$26,$B31,Presupuesto!J$6:J$26),IF(J31&lt;&gt;0,0,1),0)</f>
        <v>0</v>
      </c>
    </row>
    <row r="32" spans="1:16" x14ac:dyDescent="0.25">
      <c r="A32" s="55" t="str">
        <f t="shared" si="0"/>
        <v/>
      </c>
      <c r="B32" s="101"/>
      <c r="C32" s="101"/>
      <c r="D32" s="10"/>
      <c r="E32" s="14"/>
      <c r="F32" s="12">
        <f t="shared" si="2"/>
        <v>0</v>
      </c>
      <c r="G32" s="12">
        <f t="shared" si="2"/>
        <v>0</v>
      </c>
      <c r="H32" s="12">
        <f t="shared" si="2"/>
        <v>0</v>
      </c>
      <c r="I32" s="12">
        <f t="shared" si="2"/>
        <v>0</v>
      </c>
      <c r="J32" s="13">
        <f t="shared" si="2"/>
        <v>0</v>
      </c>
      <c r="K32" s="158">
        <f>IF(SUMIF(Presupuesto!$B$6:$B$26,$B32,Presupuesto!E$6:E$26),IF(E32&lt;&gt;0,0,1),0)</f>
        <v>0</v>
      </c>
      <c r="L32" s="158">
        <f>IF(SUMIF(Presupuesto!$B$6:$B$26,$B32,Presupuesto!F$6:F$26),IF(F32&lt;&gt;0,0,1),0)</f>
        <v>0</v>
      </c>
      <c r="M32" s="158">
        <f>IF(SUMIF(Presupuesto!$B$6:$B$26,$B32,Presupuesto!G$6:G$26),IF(G32&lt;&gt;0,0,1),0)</f>
        <v>0</v>
      </c>
      <c r="N32" s="158">
        <f>IF(SUMIF(Presupuesto!$B$6:$B$26,$B32,Presupuesto!H$6:H$26),IF(H32&lt;&gt;0,0,1),0)</f>
        <v>0</v>
      </c>
      <c r="O32" s="158">
        <f>IF(SUMIF(Presupuesto!$B$6:$B$26,$B32,Presupuesto!I$6:I$26),IF(I32&lt;&gt;0,0,1),0)</f>
        <v>0</v>
      </c>
      <c r="P32" s="158">
        <f>IF(SUMIF(Presupuesto!$B$6:$B$26,$B32,Presupuesto!J$6:J$26),IF(J32&lt;&gt;0,0,1),0)</f>
        <v>0</v>
      </c>
    </row>
    <row r="33" spans="1:16" x14ac:dyDescent="0.25">
      <c r="A33" s="55" t="str">
        <f t="shared" si="0"/>
        <v/>
      </c>
      <c r="B33" s="101"/>
      <c r="C33" s="101"/>
      <c r="D33" s="10"/>
      <c r="E33" s="14"/>
      <c r="F33" s="12">
        <f t="shared" si="2"/>
        <v>0</v>
      </c>
      <c r="G33" s="12">
        <f t="shared" si="2"/>
        <v>0</v>
      </c>
      <c r="H33" s="12">
        <f t="shared" si="2"/>
        <v>0</v>
      </c>
      <c r="I33" s="12">
        <f t="shared" si="2"/>
        <v>0</v>
      </c>
      <c r="J33" s="13">
        <f t="shared" si="2"/>
        <v>0</v>
      </c>
      <c r="K33" s="158">
        <f>IF(SUMIF(Presupuesto!$B$6:$B$26,$B33,Presupuesto!E$6:E$26),IF(E33&lt;&gt;0,0,1),0)</f>
        <v>0</v>
      </c>
      <c r="L33" s="158">
        <f>IF(SUMIF(Presupuesto!$B$6:$B$26,$B33,Presupuesto!F$6:F$26),IF(F33&lt;&gt;0,0,1),0)</f>
        <v>0</v>
      </c>
      <c r="M33" s="158">
        <f>IF(SUMIF(Presupuesto!$B$6:$B$26,$B33,Presupuesto!G$6:G$26),IF(G33&lt;&gt;0,0,1),0)</f>
        <v>0</v>
      </c>
      <c r="N33" s="158">
        <f>IF(SUMIF(Presupuesto!$B$6:$B$26,$B33,Presupuesto!H$6:H$26),IF(H33&lt;&gt;0,0,1),0)</f>
        <v>0</v>
      </c>
      <c r="O33" s="158">
        <f>IF(SUMIF(Presupuesto!$B$6:$B$26,$B33,Presupuesto!I$6:I$26),IF(I33&lt;&gt;0,0,1),0)</f>
        <v>0</v>
      </c>
      <c r="P33" s="158">
        <f>IF(SUMIF(Presupuesto!$B$6:$B$26,$B33,Presupuesto!J$6:J$26),IF(J33&lt;&gt;0,0,1),0)</f>
        <v>0</v>
      </c>
    </row>
    <row r="34" spans="1:16" x14ac:dyDescent="0.25">
      <c r="A34" s="55" t="str">
        <f t="shared" si="0"/>
        <v/>
      </c>
      <c r="B34" s="101"/>
      <c r="C34" s="101"/>
      <c r="D34" s="10"/>
      <c r="E34" s="14"/>
      <c r="F34" s="12">
        <f t="shared" si="2"/>
        <v>0</v>
      </c>
      <c r="G34" s="12">
        <f t="shared" si="2"/>
        <v>0</v>
      </c>
      <c r="H34" s="12">
        <f t="shared" si="2"/>
        <v>0</v>
      </c>
      <c r="I34" s="12">
        <f t="shared" si="2"/>
        <v>0</v>
      </c>
      <c r="J34" s="13">
        <f t="shared" si="2"/>
        <v>0</v>
      </c>
      <c r="K34" s="158">
        <f>IF(SUMIF(Presupuesto!$B$6:$B$26,$B34,Presupuesto!E$6:E$26),IF(E34&lt;&gt;0,0,1),0)</f>
        <v>0</v>
      </c>
      <c r="L34" s="158">
        <f>IF(SUMIF(Presupuesto!$B$6:$B$26,$B34,Presupuesto!F$6:F$26),IF(F34&lt;&gt;0,0,1),0)</f>
        <v>0</v>
      </c>
      <c r="M34" s="158">
        <f>IF(SUMIF(Presupuesto!$B$6:$B$26,$B34,Presupuesto!G$6:G$26),IF(G34&lt;&gt;0,0,1),0)</f>
        <v>0</v>
      </c>
      <c r="N34" s="158">
        <f>IF(SUMIF(Presupuesto!$B$6:$B$26,$B34,Presupuesto!H$6:H$26),IF(H34&lt;&gt;0,0,1),0)</f>
        <v>0</v>
      </c>
      <c r="O34" s="158">
        <f>IF(SUMIF(Presupuesto!$B$6:$B$26,$B34,Presupuesto!I$6:I$26),IF(I34&lt;&gt;0,0,1),0)</f>
        <v>0</v>
      </c>
      <c r="P34" s="158">
        <f>IF(SUMIF(Presupuesto!$B$6:$B$26,$B34,Presupuesto!J$6:J$26),IF(J34&lt;&gt;0,0,1),0)</f>
        <v>0</v>
      </c>
    </row>
    <row r="35" spans="1:16" x14ac:dyDescent="0.25">
      <c r="A35" s="55" t="str">
        <f t="shared" si="0"/>
        <v/>
      </c>
      <c r="B35" s="101"/>
      <c r="C35" s="101"/>
      <c r="D35" s="10"/>
      <c r="E35" s="14"/>
      <c r="F35" s="12">
        <f t="shared" si="2"/>
        <v>0</v>
      </c>
      <c r="G35" s="12">
        <f t="shared" si="2"/>
        <v>0</v>
      </c>
      <c r="H35" s="12">
        <f t="shared" si="2"/>
        <v>0</v>
      </c>
      <c r="I35" s="12">
        <f t="shared" si="2"/>
        <v>0</v>
      </c>
      <c r="J35" s="13">
        <f t="shared" si="2"/>
        <v>0</v>
      </c>
      <c r="K35" s="158">
        <f>IF(SUMIF(Presupuesto!$B$6:$B$26,$B35,Presupuesto!E$6:E$26),IF(E35&lt;&gt;0,0,1),0)</f>
        <v>0</v>
      </c>
      <c r="L35" s="158">
        <f>IF(SUMIF(Presupuesto!$B$6:$B$26,$B35,Presupuesto!F$6:F$26),IF(F35&lt;&gt;0,0,1),0)</f>
        <v>0</v>
      </c>
      <c r="M35" s="158">
        <f>IF(SUMIF(Presupuesto!$B$6:$B$26,$B35,Presupuesto!G$6:G$26),IF(G35&lt;&gt;0,0,1),0)</f>
        <v>0</v>
      </c>
      <c r="N35" s="158">
        <f>IF(SUMIF(Presupuesto!$B$6:$B$26,$B35,Presupuesto!H$6:H$26),IF(H35&lt;&gt;0,0,1),0)</f>
        <v>0</v>
      </c>
      <c r="O35" s="158">
        <f>IF(SUMIF(Presupuesto!$B$6:$B$26,$B35,Presupuesto!I$6:I$26),IF(I35&lt;&gt;0,0,1),0)</f>
        <v>0</v>
      </c>
      <c r="P35" s="158">
        <f>IF(SUMIF(Presupuesto!$B$6:$B$26,$B35,Presupuesto!J$6:J$26),IF(J35&lt;&gt;0,0,1),0)</f>
        <v>0</v>
      </c>
    </row>
    <row r="36" spans="1:16" x14ac:dyDescent="0.25">
      <c r="A36" s="55" t="str">
        <f t="shared" si="0"/>
        <v/>
      </c>
      <c r="B36" s="101"/>
      <c r="C36" s="101"/>
      <c r="D36" s="10"/>
      <c r="E36" s="14"/>
      <c r="F36" s="12">
        <f t="shared" si="2"/>
        <v>0</v>
      </c>
      <c r="G36" s="12">
        <f t="shared" si="2"/>
        <v>0</v>
      </c>
      <c r="H36" s="12">
        <f t="shared" si="2"/>
        <v>0</v>
      </c>
      <c r="I36" s="12">
        <f t="shared" si="2"/>
        <v>0</v>
      </c>
      <c r="J36" s="13">
        <f t="shared" si="2"/>
        <v>0</v>
      </c>
      <c r="K36" s="158">
        <f>IF(SUMIF(Presupuesto!$B$6:$B$26,$B36,Presupuesto!E$6:E$26),IF(E36&lt;&gt;0,0,1),0)</f>
        <v>0</v>
      </c>
      <c r="L36" s="158">
        <f>IF(SUMIF(Presupuesto!$B$6:$B$26,$B36,Presupuesto!F$6:F$26),IF(F36&lt;&gt;0,0,1),0)</f>
        <v>0</v>
      </c>
      <c r="M36" s="158">
        <f>IF(SUMIF(Presupuesto!$B$6:$B$26,$B36,Presupuesto!G$6:G$26),IF(G36&lt;&gt;0,0,1),0)</f>
        <v>0</v>
      </c>
      <c r="N36" s="158">
        <f>IF(SUMIF(Presupuesto!$B$6:$B$26,$B36,Presupuesto!H$6:H$26),IF(H36&lt;&gt;0,0,1),0)</f>
        <v>0</v>
      </c>
      <c r="O36" s="158">
        <f>IF(SUMIF(Presupuesto!$B$6:$B$26,$B36,Presupuesto!I$6:I$26),IF(I36&lt;&gt;0,0,1),0)</f>
        <v>0</v>
      </c>
      <c r="P36" s="158">
        <f>IF(SUMIF(Presupuesto!$B$6:$B$26,$B36,Presupuesto!J$6:J$26),IF(J36&lt;&gt;0,0,1),0)</f>
        <v>0</v>
      </c>
    </row>
    <row r="37" spans="1:16" x14ac:dyDescent="0.25">
      <c r="A37" s="55" t="str">
        <f t="shared" si="0"/>
        <v/>
      </c>
      <c r="B37" s="101"/>
      <c r="C37" s="101"/>
      <c r="D37" s="10"/>
      <c r="E37" s="14"/>
      <c r="F37" s="12">
        <f t="shared" si="2"/>
        <v>0</v>
      </c>
      <c r="G37" s="12">
        <f t="shared" si="2"/>
        <v>0</v>
      </c>
      <c r="H37" s="12">
        <f t="shared" si="2"/>
        <v>0</v>
      </c>
      <c r="I37" s="12">
        <f t="shared" si="2"/>
        <v>0</v>
      </c>
      <c r="J37" s="13">
        <f t="shared" si="2"/>
        <v>0</v>
      </c>
      <c r="K37" s="158">
        <f>IF(SUMIF(Presupuesto!$B$6:$B$26,$B37,Presupuesto!E$6:E$26),IF(E37&lt;&gt;0,0,1),0)</f>
        <v>0</v>
      </c>
      <c r="L37" s="158">
        <f>IF(SUMIF(Presupuesto!$B$6:$B$26,$B37,Presupuesto!F$6:F$26),IF(F37&lt;&gt;0,0,1),0)</f>
        <v>0</v>
      </c>
      <c r="M37" s="158">
        <f>IF(SUMIF(Presupuesto!$B$6:$B$26,$B37,Presupuesto!G$6:G$26),IF(G37&lt;&gt;0,0,1),0)</f>
        <v>0</v>
      </c>
      <c r="N37" s="158">
        <f>IF(SUMIF(Presupuesto!$B$6:$B$26,$B37,Presupuesto!H$6:H$26),IF(H37&lt;&gt;0,0,1),0)</f>
        <v>0</v>
      </c>
      <c r="O37" s="158">
        <f>IF(SUMIF(Presupuesto!$B$6:$B$26,$B37,Presupuesto!I$6:I$26),IF(I37&lt;&gt;0,0,1),0)</f>
        <v>0</v>
      </c>
      <c r="P37" s="158">
        <f>IF(SUMIF(Presupuesto!$B$6:$B$26,$B37,Presupuesto!J$6:J$26),IF(J37&lt;&gt;0,0,1),0)</f>
        <v>0</v>
      </c>
    </row>
    <row r="38" spans="1:16" x14ac:dyDescent="0.25">
      <c r="A38" s="55" t="str">
        <f t="shared" si="0"/>
        <v/>
      </c>
      <c r="B38" s="101"/>
      <c r="C38" s="101"/>
      <c r="D38" s="10"/>
      <c r="E38" s="14"/>
      <c r="F38" s="12">
        <f t="shared" si="2"/>
        <v>0</v>
      </c>
      <c r="G38" s="12">
        <f t="shared" si="2"/>
        <v>0</v>
      </c>
      <c r="H38" s="12">
        <f t="shared" si="2"/>
        <v>0</v>
      </c>
      <c r="I38" s="12">
        <f t="shared" si="2"/>
        <v>0</v>
      </c>
      <c r="J38" s="13">
        <f t="shared" si="2"/>
        <v>0</v>
      </c>
      <c r="K38" s="158">
        <f>IF(SUMIF(Presupuesto!$B$6:$B$26,$B38,Presupuesto!E$6:E$26),IF(E38&lt;&gt;0,0,1),0)</f>
        <v>0</v>
      </c>
      <c r="L38" s="158">
        <f>IF(SUMIF(Presupuesto!$B$6:$B$26,$B38,Presupuesto!F$6:F$26),IF(F38&lt;&gt;0,0,1),0)</f>
        <v>0</v>
      </c>
      <c r="M38" s="158">
        <f>IF(SUMIF(Presupuesto!$B$6:$B$26,$B38,Presupuesto!G$6:G$26),IF(G38&lt;&gt;0,0,1),0)</f>
        <v>0</v>
      </c>
      <c r="N38" s="158">
        <f>IF(SUMIF(Presupuesto!$B$6:$B$26,$B38,Presupuesto!H$6:H$26),IF(H38&lt;&gt;0,0,1),0)</f>
        <v>0</v>
      </c>
      <c r="O38" s="158">
        <f>IF(SUMIF(Presupuesto!$B$6:$B$26,$B38,Presupuesto!I$6:I$26),IF(I38&lt;&gt;0,0,1),0)</f>
        <v>0</v>
      </c>
      <c r="P38" s="158">
        <f>IF(SUMIF(Presupuesto!$B$6:$B$26,$B38,Presupuesto!J$6:J$26),IF(J38&lt;&gt;0,0,1),0)</f>
        <v>0</v>
      </c>
    </row>
    <row r="39" spans="1:16" x14ac:dyDescent="0.25">
      <c r="A39" s="55" t="str">
        <f t="shared" si="0"/>
        <v/>
      </c>
      <c r="B39" s="101"/>
      <c r="C39" s="101"/>
      <c r="D39" s="10"/>
      <c r="E39" s="14"/>
      <c r="F39" s="12">
        <f t="shared" ref="F39:J40" si="3">IF(E39=0,0,E39+E39*F$8)</f>
        <v>0</v>
      </c>
      <c r="G39" s="12">
        <f t="shared" si="3"/>
        <v>0</v>
      </c>
      <c r="H39" s="12">
        <f t="shared" si="3"/>
        <v>0</v>
      </c>
      <c r="I39" s="12">
        <f t="shared" si="3"/>
        <v>0</v>
      </c>
      <c r="J39" s="13">
        <f t="shared" si="3"/>
        <v>0</v>
      </c>
      <c r="K39" s="158">
        <f>IF(SUMIF(Presupuesto!$B$6:$B$26,$B39,Presupuesto!E$6:E$26),IF(E39&lt;&gt;0,0,1),0)</f>
        <v>0</v>
      </c>
      <c r="L39" s="158">
        <f>IF(SUMIF(Presupuesto!$B$6:$B$26,$B39,Presupuesto!F$6:F$26),IF(F39&lt;&gt;0,0,1),0)</f>
        <v>0</v>
      </c>
      <c r="M39" s="158">
        <f>IF(SUMIF(Presupuesto!$B$6:$B$26,$B39,Presupuesto!G$6:G$26),IF(G39&lt;&gt;0,0,1),0)</f>
        <v>0</v>
      </c>
      <c r="N39" s="158">
        <f>IF(SUMIF(Presupuesto!$B$6:$B$26,$B39,Presupuesto!H$6:H$26),IF(H39&lt;&gt;0,0,1),0)</f>
        <v>0</v>
      </c>
      <c r="O39" s="158">
        <f>IF(SUMIF(Presupuesto!$B$6:$B$26,$B39,Presupuesto!I$6:I$26),IF(I39&lt;&gt;0,0,1),0)</f>
        <v>0</v>
      </c>
      <c r="P39" s="158">
        <f>IF(SUMIF(Presupuesto!$B$6:$B$26,$B39,Presupuesto!J$6:J$26),IF(J39&lt;&gt;0,0,1),0)</f>
        <v>0</v>
      </c>
    </row>
    <row r="40" spans="1:16" x14ac:dyDescent="0.25">
      <c r="A40" s="55" t="str">
        <f t="shared" si="0"/>
        <v/>
      </c>
      <c r="B40" s="101"/>
      <c r="C40" s="101"/>
      <c r="D40" s="10"/>
      <c r="E40" s="14"/>
      <c r="F40" s="12">
        <f t="shared" si="3"/>
        <v>0</v>
      </c>
      <c r="G40" s="12">
        <f t="shared" si="3"/>
        <v>0</v>
      </c>
      <c r="H40" s="12">
        <f t="shared" si="3"/>
        <v>0</v>
      </c>
      <c r="I40" s="12">
        <f t="shared" si="3"/>
        <v>0</v>
      </c>
      <c r="J40" s="13">
        <f t="shared" si="3"/>
        <v>0</v>
      </c>
      <c r="K40" s="158">
        <f>IF(SUMIF(Presupuesto!$B$6:$B$26,$B40,Presupuesto!E$6:E$26),IF(E40&lt;&gt;0,0,1),0)</f>
        <v>0</v>
      </c>
      <c r="L40" s="158">
        <f>IF(SUMIF(Presupuesto!$B$6:$B$26,$B40,Presupuesto!F$6:F$26),IF(F40&lt;&gt;0,0,1),0)</f>
        <v>0</v>
      </c>
      <c r="M40" s="158">
        <f>IF(SUMIF(Presupuesto!$B$6:$B$26,$B40,Presupuesto!G$6:G$26),IF(G40&lt;&gt;0,0,1),0)</f>
        <v>0</v>
      </c>
      <c r="N40" s="158">
        <f>IF(SUMIF(Presupuesto!$B$6:$B$26,$B40,Presupuesto!H$6:H$26),IF(H40&lt;&gt;0,0,1),0)</f>
        <v>0</v>
      </c>
      <c r="O40" s="158">
        <f>IF(SUMIF(Presupuesto!$B$6:$B$26,$B40,Presupuesto!I$6:I$26),IF(I40&lt;&gt;0,0,1),0)</f>
        <v>0</v>
      </c>
      <c r="P40" s="158">
        <f>IF(SUMIF(Presupuesto!$B$6:$B$26,$B40,Presupuesto!J$6:J$26),IF(J40&lt;&gt;0,0,1),0)</f>
        <v>0</v>
      </c>
    </row>
    <row r="41" spans="1:16" x14ac:dyDescent="0.25">
      <c r="A41" s="55" t="str">
        <f t="shared" si="0"/>
        <v/>
      </c>
      <c r="B41" s="101"/>
      <c r="C41" s="101"/>
      <c r="D41" s="10"/>
      <c r="E41" s="14"/>
      <c r="F41" s="12">
        <f t="shared" ref="F41:J56" si="4">IF(E41=0,0,E41+E41*F$8)</f>
        <v>0</v>
      </c>
      <c r="G41" s="12">
        <f t="shared" si="4"/>
        <v>0</v>
      </c>
      <c r="H41" s="12">
        <f t="shared" si="4"/>
        <v>0</v>
      </c>
      <c r="I41" s="12">
        <f t="shared" si="4"/>
        <v>0</v>
      </c>
      <c r="J41" s="13">
        <f t="shared" si="4"/>
        <v>0</v>
      </c>
      <c r="K41" s="158">
        <f>IF(SUMIF(Presupuesto!$B$6:$B$26,$B41,Presupuesto!E$6:E$26),IF(E41&lt;&gt;0,0,1),0)</f>
        <v>0</v>
      </c>
      <c r="L41" s="158">
        <f>IF(SUMIF(Presupuesto!$B$6:$B$26,$B41,Presupuesto!F$6:F$26),IF(F41&lt;&gt;0,0,1),0)</f>
        <v>0</v>
      </c>
      <c r="M41" s="158">
        <f>IF(SUMIF(Presupuesto!$B$6:$B$26,$B41,Presupuesto!G$6:G$26),IF(G41&lt;&gt;0,0,1),0)</f>
        <v>0</v>
      </c>
      <c r="N41" s="158">
        <f>IF(SUMIF(Presupuesto!$B$6:$B$26,$B41,Presupuesto!H$6:H$26),IF(H41&lt;&gt;0,0,1),0)</f>
        <v>0</v>
      </c>
      <c r="O41" s="158">
        <f>IF(SUMIF(Presupuesto!$B$6:$B$26,$B41,Presupuesto!I$6:I$26),IF(I41&lt;&gt;0,0,1),0)</f>
        <v>0</v>
      </c>
      <c r="P41" s="158">
        <f>IF(SUMIF(Presupuesto!$B$6:$B$26,$B41,Presupuesto!J$6:J$26),IF(J41&lt;&gt;0,0,1),0)</f>
        <v>0</v>
      </c>
    </row>
    <row r="42" spans="1:16" x14ac:dyDescent="0.25">
      <c r="A42" s="55" t="str">
        <f t="shared" si="0"/>
        <v/>
      </c>
      <c r="B42" s="101"/>
      <c r="C42" s="101"/>
      <c r="D42" s="10"/>
      <c r="E42" s="14"/>
      <c r="F42" s="12">
        <f t="shared" si="4"/>
        <v>0</v>
      </c>
      <c r="G42" s="12">
        <f t="shared" si="4"/>
        <v>0</v>
      </c>
      <c r="H42" s="12">
        <f t="shared" si="4"/>
        <v>0</v>
      </c>
      <c r="I42" s="12">
        <f t="shared" si="4"/>
        <v>0</v>
      </c>
      <c r="J42" s="13">
        <f t="shared" si="4"/>
        <v>0</v>
      </c>
      <c r="K42" s="158">
        <f>IF(SUMIF(Presupuesto!$B$6:$B$26,$B42,Presupuesto!E$6:E$26),IF(E42&lt;&gt;0,0,1),0)</f>
        <v>0</v>
      </c>
      <c r="L42" s="158">
        <f>IF(SUMIF(Presupuesto!$B$6:$B$26,$B42,Presupuesto!F$6:F$26),IF(F42&lt;&gt;0,0,1),0)</f>
        <v>0</v>
      </c>
      <c r="M42" s="158">
        <f>IF(SUMIF(Presupuesto!$B$6:$B$26,$B42,Presupuesto!G$6:G$26),IF(G42&lt;&gt;0,0,1),0)</f>
        <v>0</v>
      </c>
      <c r="N42" s="158">
        <f>IF(SUMIF(Presupuesto!$B$6:$B$26,$B42,Presupuesto!H$6:H$26),IF(H42&lt;&gt;0,0,1),0)</f>
        <v>0</v>
      </c>
      <c r="O42" s="158">
        <f>IF(SUMIF(Presupuesto!$B$6:$B$26,$B42,Presupuesto!I$6:I$26),IF(I42&lt;&gt;0,0,1),0)</f>
        <v>0</v>
      </c>
      <c r="P42" s="158">
        <f>IF(SUMIF(Presupuesto!$B$6:$B$26,$B42,Presupuesto!J$6:J$26),IF(J42&lt;&gt;0,0,1),0)</f>
        <v>0</v>
      </c>
    </row>
    <row r="43" spans="1:16" x14ac:dyDescent="0.25">
      <c r="A43" s="55" t="str">
        <f t="shared" si="0"/>
        <v/>
      </c>
      <c r="B43" s="101"/>
      <c r="C43" s="101"/>
      <c r="D43" s="10"/>
      <c r="E43" s="14"/>
      <c r="F43" s="12">
        <f t="shared" si="4"/>
        <v>0</v>
      </c>
      <c r="G43" s="12">
        <f t="shared" si="4"/>
        <v>0</v>
      </c>
      <c r="H43" s="12">
        <f t="shared" si="4"/>
        <v>0</v>
      </c>
      <c r="I43" s="12">
        <f t="shared" si="4"/>
        <v>0</v>
      </c>
      <c r="J43" s="13">
        <f t="shared" si="4"/>
        <v>0</v>
      </c>
      <c r="K43" s="158">
        <f>IF(SUMIF(Presupuesto!$B$6:$B$26,$B43,Presupuesto!E$6:E$26),IF(E43&lt;&gt;0,0,1),0)</f>
        <v>0</v>
      </c>
      <c r="L43" s="158">
        <f>IF(SUMIF(Presupuesto!$B$6:$B$26,$B43,Presupuesto!F$6:F$26),IF(F43&lt;&gt;0,0,1),0)</f>
        <v>0</v>
      </c>
      <c r="M43" s="158">
        <f>IF(SUMIF(Presupuesto!$B$6:$B$26,$B43,Presupuesto!G$6:G$26),IF(G43&lt;&gt;0,0,1),0)</f>
        <v>0</v>
      </c>
      <c r="N43" s="158">
        <f>IF(SUMIF(Presupuesto!$B$6:$B$26,$B43,Presupuesto!H$6:H$26),IF(H43&lt;&gt;0,0,1),0)</f>
        <v>0</v>
      </c>
      <c r="O43" s="158">
        <f>IF(SUMIF(Presupuesto!$B$6:$B$26,$B43,Presupuesto!I$6:I$26),IF(I43&lt;&gt;0,0,1),0)</f>
        <v>0</v>
      </c>
      <c r="P43" s="158">
        <f>IF(SUMIF(Presupuesto!$B$6:$B$26,$B43,Presupuesto!J$6:J$26),IF(J43&lt;&gt;0,0,1),0)</f>
        <v>0</v>
      </c>
    </row>
    <row r="44" spans="1:16" x14ac:dyDescent="0.25">
      <c r="A44" s="55" t="str">
        <f t="shared" si="0"/>
        <v/>
      </c>
      <c r="B44" s="101"/>
      <c r="C44" s="101"/>
      <c r="D44" s="10"/>
      <c r="E44" s="14"/>
      <c r="F44" s="12">
        <f t="shared" si="4"/>
        <v>0</v>
      </c>
      <c r="G44" s="12">
        <f t="shared" si="4"/>
        <v>0</v>
      </c>
      <c r="H44" s="12">
        <f t="shared" si="4"/>
        <v>0</v>
      </c>
      <c r="I44" s="12">
        <f t="shared" si="4"/>
        <v>0</v>
      </c>
      <c r="J44" s="13">
        <f t="shared" si="4"/>
        <v>0</v>
      </c>
      <c r="K44" s="158">
        <f>IF(SUMIF(Presupuesto!$B$6:$B$26,$B44,Presupuesto!E$6:E$26),IF(E44&lt;&gt;0,0,1),0)</f>
        <v>0</v>
      </c>
      <c r="L44" s="158">
        <f>IF(SUMIF(Presupuesto!$B$6:$B$26,$B44,Presupuesto!F$6:F$26),IF(F44&lt;&gt;0,0,1),0)</f>
        <v>0</v>
      </c>
      <c r="M44" s="158">
        <f>IF(SUMIF(Presupuesto!$B$6:$B$26,$B44,Presupuesto!G$6:G$26),IF(G44&lt;&gt;0,0,1),0)</f>
        <v>0</v>
      </c>
      <c r="N44" s="158">
        <f>IF(SUMIF(Presupuesto!$B$6:$B$26,$B44,Presupuesto!H$6:H$26),IF(H44&lt;&gt;0,0,1),0)</f>
        <v>0</v>
      </c>
      <c r="O44" s="158">
        <f>IF(SUMIF(Presupuesto!$B$6:$B$26,$B44,Presupuesto!I$6:I$26),IF(I44&lt;&gt;0,0,1),0)</f>
        <v>0</v>
      </c>
      <c r="P44" s="158">
        <f>IF(SUMIF(Presupuesto!$B$6:$B$26,$B44,Presupuesto!J$6:J$26),IF(J44&lt;&gt;0,0,1),0)</f>
        <v>0</v>
      </c>
    </row>
    <row r="45" spans="1:16" x14ac:dyDescent="0.25">
      <c r="A45" s="55" t="str">
        <f t="shared" si="0"/>
        <v/>
      </c>
      <c r="B45" s="101"/>
      <c r="C45" s="101"/>
      <c r="D45" s="10"/>
      <c r="E45" s="14"/>
      <c r="F45" s="12">
        <f t="shared" si="4"/>
        <v>0</v>
      </c>
      <c r="G45" s="12">
        <f t="shared" si="4"/>
        <v>0</v>
      </c>
      <c r="H45" s="12">
        <f t="shared" si="4"/>
        <v>0</v>
      </c>
      <c r="I45" s="12">
        <f t="shared" si="4"/>
        <v>0</v>
      </c>
      <c r="J45" s="13">
        <f t="shared" si="4"/>
        <v>0</v>
      </c>
      <c r="K45" s="158">
        <f>IF(SUMIF(Presupuesto!$B$6:$B$26,$B45,Presupuesto!E$6:E$26),IF(E45&lt;&gt;0,0,1),0)</f>
        <v>0</v>
      </c>
      <c r="L45" s="158">
        <f>IF(SUMIF(Presupuesto!$B$6:$B$26,$B45,Presupuesto!F$6:F$26),IF(F45&lt;&gt;0,0,1),0)</f>
        <v>0</v>
      </c>
      <c r="M45" s="158">
        <f>IF(SUMIF(Presupuesto!$B$6:$B$26,$B45,Presupuesto!G$6:G$26),IF(G45&lt;&gt;0,0,1),0)</f>
        <v>0</v>
      </c>
      <c r="N45" s="158">
        <f>IF(SUMIF(Presupuesto!$B$6:$B$26,$B45,Presupuesto!H$6:H$26),IF(H45&lt;&gt;0,0,1),0)</f>
        <v>0</v>
      </c>
      <c r="O45" s="158">
        <f>IF(SUMIF(Presupuesto!$B$6:$B$26,$B45,Presupuesto!I$6:I$26),IF(I45&lt;&gt;0,0,1),0)</f>
        <v>0</v>
      </c>
      <c r="P45" s="158">
        <f>IF(SUMIF(Presupuesto!$B$6:$B$26,$B45,Presupuesto!J$6:J$26),IF(J45&lt;&gt;0,0,1),0)</f>
        <v>0</v>
      </c>
    </row>
    <row r="46" spans="1:16" x14ac:dyDescent="0.25">
      <c r="A46" s="55" t="str">
        <f t="shared" si="0"/>
        <v/>
      </c>
      <c r="B46" s="101"/>
      <c r="C46" s="101"/>
      <c r="D46" s="10"/>
      <c r="E46" s="14"/>
      <c r="F46" s="12">
        <f t="shared" si="4"/>
        <v>0</v>
      </c>
      <c r="G46" s="12">
        <f t="shared" si="4"/>
        <v>0</v>
      </c>
      <c r="H46" s="12">
        <f t="shared" si="4"/>
        <v>0</v>
      </c>
      <c r="I46" s="12">
        <f t="shared" si="4"/>
        <v>0</v>
      </c>
      <c r="J46" s="13">
        <f t="shared" si="4"/>
        <v>0</v>
      </c>
      <c r="K46" s="158">
        <f>IF(SUMIF(Presupuesto!$B$6:$B$26,$B46,Presupuesto!E$6:E$26),IF(E46&lt;&gt;0,0,1),0)</f>
        <v>0</v>
      </c>
      <c r="L46" s="158">
        <f>IF(SUMIF(Presupuesto!$B$6:$B$26,$B46,Presupuesto!F$6:F$26),IF(F46&lt;&gt;0,0,1),0)</f>
        <v>0</v>
      </c>
      <c r="M46" s="158">
        <f>IF(SUMIF(Presupuesto!$B$6:$B$26,$B46,Presupuesto!G$6:G$26),IF(G46&lt;&gt;0,0,1),0)</f>
        <v>0</v>
      </c>
      <c r="N46" s="158">
        <f>IF(SUMIF(Presupuesto!$B$6:$B$26,$B46,Presupuesto!H$6:H$26),IF(H46&lt;&gt;0,0,1),0)</f>
        <v>0</v>
      </c>
      <c r="O46" s="158">
        <f>IF(SUMIF(Presupuesto!$B$6:$B$26,$B46,Presupuesto!I$6:I$26),IF(I46&lt;&gt;0,0,1),0)</f>
        <v>0</v>
      </c>
      <c r="P46" s="158">
        <f>IF(SUMIF(Presupuesto!$B$6:$B$26,$B46,Presupuesto!J$6:J$26),IF(J46&lt;&gt;0,0,1),0)</f>
        <v>0</v>
      </c>
    </row>
    <row r="47" spans="1:16" x14ac:dyDescent="0.25">
      <c r="A47" s="55" t="str">
        <f t="shared" si="0"/>
        <v/>
      </c>
      <c r="B47" s="101"/>
      <c r="C47" s="101"/>
      <c r="D47" s="10"/>
      <c r="E47" s="14"/>
      <c r="F47" s="12">
        <f t="shared" si="4"/>
        <v>0</v>
      </c>
      <c r="G47" s="12">
        <f t="shared" si="4"/>
        <v>0</v>
      </c>
      <c r="H47" s="12">
        <f t="shared" si="4"/>
        <v>0</v>
      </c>
      <c r="I47" s="12">
        <f t="shared" si="4"/>
        <v>0</v>
      </c>
      <c r="J47" s="13">
        <f t="shared" si="4"/>
        <v>0</v>
      </c>
      <c r="K47" s="158">
        <f>IF(SUMIF(Presupuesto!$B$6:$B$26,$B47,Presupuesto!E$6:E$26),IF(E47&lt;&gt;0,0,1),0)</f>
        <v>0</v>
      </c>
      <c r="L47" s="158">
        <f>IF(SUMIF(Presupuesto!$B$6:$B$26,$B47,Presupuesto!F$6:F$26),IF(F47&lt;&gt;0,0,1),0)</f>
        <v>0</v>
      </c>
      <c r="M47" s="158">
        <f>IF(SUMIF(Presupuesto!$B$6:$B$26,$B47,Presupuesto!G$6:G$26),IF(G47&lt;&gt;0,0,1),0)</f>
        <v>0</v>
      </c>
      <c r="N47" s="158">
        <f>IF(SUMIF(Presupuesto!$B$6:$B$26,$B47,Presupuesto!H$6:H$26),IF(H47&lt;&gt;0,0,1),0)</f>
        <v>0</v>
      </c>
      <c r="O47" s="158">
        <f>IF(SUMIF(Presupuesto!$B$6:$B$26,$B47,Presupuesto!I$6:I$26),IF(I47&lt;&gt;0,0,1),0)</f>
        <v>0</v>
      </c>
      <c r="P47" s="158">
        <f>IF(SUMIF(Presupuesto!$B$6:$B$26,$B47,Presupuesto!J$6:J$26),IF(J47&lt;&gt;0,0,1),0)</f>
        <v>0</v>
      </c>
    </row>
    <row r="48" spans="1:16" x14ac:dyDescent="0.25">
      <c r="A48" s="55" t="str">
        <f t="shared" si="0"/>
        <v/>
      </c>
      <c r="B48" s="101"/>
      <c r="C48" s="101"/>
      <c r="D48" s="10"/>
      <c r="E48" s="14"/>
      <c r="F48" s="12">
        <f t="shared" si="4"/>
        <v>0</v>
      </c>
      <c r="G48" s="12">
        <f t="shared" si="4"/>
        <v>0</v>
      </c>
      <c r="H48" s="12">
        <f t="shared" si="4"/>
        <v>0</v>
      </c>
      <c r="I48" s="12">
        <f t="shared" si="4"/>
        <v>0</v>
      </c>
      <c r="J48" s="13">
        <f t="shared" si="4"/>
        <v>0</v>
      </c>
      <c r="K48" s="158">
        <f>IF(SUMIF(Presupuesto!$B$6:$B$26,$B48,Presupuesto!E$6:E$26),IF(E48&lt;&gt;0,0,1),0)</f>
        <v>0</v>
      </c>
      <c r="L48" s="158">
        <f>IF(SUMIF(Presupuesto!$B$6:$B$26,$B48,Presupuesto!F$6:F$26),IF(F48&lt;&gt;0,0,1),0)</f>
        <v>0</v>
      </c>
      <c r="M48" s="158">
        <f>IF(SUMIF(Presupuesto!$B$6:$B$26,$B48,Presupuesto!G$6:G$26),IF(G48&lt;&gt;0,0,1),0)</f>
        <v>0</v>
      </c>
      <c r="N48" s="158">
        <f>IF(SUMIF(Presupuesto!$B$6:$B$26,$B48,Presupuesto!H$6:H$26),IF(H48&lt;&gt;0,0,1),0)</f>
        <v>0</v>
      </c>
      <c r="O48" s="158">
        <f>IF(SUMIF(Presupuesto!$B$6:$B$26,$B48,Presupuesto!I$6:I$26),IF(I48&lt;&gt;0,0,1),0)</f>
        <v>0</v>
      </c>
      <c r="P48" s="158">
        <f>IF(SUMIF(Presupuesto!$B$6:$B$26,$B48,Presupuesto!J$6:J$26),IF(J48&lt;&gt;0,0,1),0)</f>
        <v>0</v>
      </c>
    </row>
    <row r="49" spans="1:17" x14ac:dyDescent="0.25">
      <c r="A49" s="55" t="str">
        <f t="shared" si="0"/>
        <v/>
      </c>
      <c r="B49" s="101"/>
      <c r="C49" s="101"/>
      <c r="D49" s="10"/>
      <c r="E49" s="14"/>
      <c r="F49" s="12">
        <f t="shared" si="4"/>
        <v>0</v>
      </c>
      <c r="G49" s="12">
        <f t="shared" si="4"/>
        <v>0</v>
      </c>
      <c r="H49" s="12">
        <f t="shared" si="4"/>
        <v>0</v>
      </c>
      <c r="I49" s="12">
        <f t="shared" si="4"/>
        <v>0</v>
      </c>
      <c r="J49" s="13">
        <f t="shared" si="4"/>
        <v>0</v>
      </c>
      <c r="K49" s="158">
        <f>IF(SUMIF(Presupuesto!$B$6:$B$26,$B49,Presupuesto!E$6:E$26),IF(E49&lt;&gt;0,0,1),0)</f>
        <v>0</v>
      </c>
      <c r="L49" s="158">
        <f>IF(SUMIF(Presupuesto!$B$6:$B$26,$B49,Presupuesto!F$6:F$26),IF(F49&lt;&gt;0,0,1),0)</f>
        <v>0</v>
      </c>
      <c r="M49" s="158">
        <f>IF(SUMIF(Presupuesto!$B$6:$B$26,$B49,Presupuesto!G$6:G$26),IF(G49&lt;&gt;0,0,1),0)</f>
        <v>0</v>
      </c>
      <c r="N49" s="158">
        <f>IF(SUMIF(Presupuesto!$B$6:$B$26,$B49,Presupuesto!H$6:H$26),IF(H49&lt;&gt;0,0,1),0)</f>
        <v>0</v>
      </c>
      <c r="O49" s="158">
        <f>IF(SUMIF(Presupuesto!$B$6:$B$26,$B49,Presupuesto!I$6:I$26),IF(I49&lt;&gt;0,0,1),0)</f>
        <v>0</v>
      </c>
      <c r="P49" s="158">
        <f>IF(SUMIF(Presupuesto!$B$6:$B$26,$B49,Presupuesto!J$6:J$26),IF(J49&lt;&gt;0,0,1),0)</f>
        <v>0</v>
      </c>
    </row>
    <row r="50" spans="1:17" x14ac:dyDescent="0.25">
      <c r="A50" s="55" t="str">
        <f t="shared" si="0"/>
        <v/>
      </c>
      <c r="B50" s="101"/>
      <c r="C50" s="101"/>
      <c r="D50" s="10"/>
      <c r="E50" s="14"/>
      <c r="F50" s="12">
        <f t="shared" si="4"/>
        <v>0</v>
      </c>
      <c r="G50" s="12">
        <f t="shared" si="4"/>
        <v>0</v>
      </c>
      <c r="H50" s="12">
        <f t="shared" si="4"/>
        <v>0</v>
      </c>
      <c r="I50" s="12">
        <f t="shared" si="4"/>
        <v>0</v>
      </c>
      <c r="J50" s="13">
        <f t="shared" si="4"/>
        <v>0</v>
      </c>
      <c r="K50" s="158">
        <f>IF(SUMIF(Presupuesto!$B$6:$B$26,$B50,Presupuesto!E$6:E$26),IF(E50&lt;&gt;0,0,1),0)</f>
        <v>0</v>
      </c>
      <c r="L50" s="158">
        <f>IF(SUMIF(Presupuesto!$B$6:$B$26,$B50,Presupuesto!F$6:F$26),IF(F50&lt;&gt;0,0,1),0)</f>
        <v>0</v>
      </c>
      <c r="M50" s="158">
        <f>IF(SUMIF(Presupuesto!$B$6:$B$26,$B50,Presupuesto!G$6:G$26),IF(G50&lt;&gt;0,0,1),0)</f>
        <v>0</v>
      </c>
      <c r="N50" s="158">
        <f>IF(SUMIF(Presupuesto!$B$6:$B$26,$B50,Presupuesto!H$6:H$26),IF(H50&lt;&gt;0,0,1),0)</f>
        <v>0</v>
      </c>
      <c r="O50" s="158">
        <f>IF(SUMIF(Presupuesto!$B$6:$B$26,$B50,Presupuesto!I$6:I$26),IF(I50&lt;&gt;0,0,1),0)</f>
        <v>0</v>
      </c>
      <c r="P50" s="158">
        <f>IF(SUMIF(Presupuesto!$B$6:$B$26,$B50,Presupuesto!J$6:J$26),IF(J50&lt;&gt;0,0,1),0)</f>
        <v>0</v>
      </c>
    </row>
    <row r="51" spans="1:17" x14ac:dyDescent="0.25">
      <c r="A51" s="55" t="str">
        <f t="shared" si="0"/>
        <v/>
      </c>
      <c r="B51" s="101"/>
      <c r="C51" s="101"/>
      <c r="D51" s="10"/>
      <c r="E51" s="14"/>
      <c r="F51" s="12">
        <f t="shared" si="4"/>
        <v>0</v>
      </c>
      <c r="G51" s="12">
        <f t="shared" si="4"/>
        <v>0</v>
      </c>
      <c r="H51" s="12">
        <f t="shared" si="4"/>
        <v>0</v>
      </c>
      <c r="I51" s="12">
        <f t="shared" si="4"/>
        <v>0</v>
      </c>
      <c r="J51" s="13">
        <f t="shared" si="4"/>
        <v>0</v>
      </c>
      <c r="K51" s="158">
        <f>IF(SUMIF(Presupuesto!$B$6:$B$26,$B51,Presupuesto!E$6:E$26),IF(E51&lt;&gt;0,0,1),0)</f>
        <v>0</v>
      </c>
      <c r="L51" s="158">
        <f>IF(SUMIF(Presupuesto!$B$6:$B$26,$B51,Presupuesto!F$6:F$26),IF(F51&lt;&gt;0,0,1),0)</f>
        <v>0</v>
      </c>
      <c r="M51" s="158">
        <f>IF(SUMIF(Presupuesto!$B$6:$B$26,$B51,Presupuesto!G$6:G$26),IF(G51&lt;&gt;0,0,1),0)</f>
        <v>0</v>
      </c>
      <c r="N51" s="158">
        <f>IF(SUMIF(Presupuesto!$B$6:$B$26,$B51,Presupuesto!H$6:H$26),IF(H51&lt;&gt;0,0,1),0)</f>
        <v>0</v>
      </c>
      <c r="O51" s="158">
        <f>IF(SUMIF(Presupuesto!$B$6:$B$26,$B51,Presupuesto!I$6:I$26),IF(I51&lt;&gt;0,0,1),0)</f>
        <v>0</v>
      </c>
      <c r="P51" s="158">
        <f>IF(SUMIF(Presupuesto!$B$6:$B$26,$B51,Presupuesto!J$6:J$26),IF(J51&lt;&gt;0,0,1),0)</f>
        <v>0</v>
      </c>
    </row>
    <row r="52" spans="1:17" x14ac:dyDescent="0.25">
      <c r="A52" s="55" t="str">
        <f t="shared" si="0"/>
        <v/>
      </c>
      <c r="B52" s="101"/>
      <c r="C52" s="101"/>
      <c r="D52" s="10"/>
      <c r="E52" s="14"/>
      <c r="F52" s="12">
        <f t="shared" si="4"/>
        <v>0</v>
      </c>
      <c r="G52" s="12">
        <f t="shared" si="4"/>
        <v>0</v>
      </c>
      <c r="H52" s="12">
        <f t="shared" si="4"/>
        <v>0</v>
      </c>
      <c r="I52" s="12">
        <f t="shared" si="4"/>
        <v>0</v>
      </c>
      <c r="J52" s="13">
        <f t="shared" si="4"/>
        <v>0</v>
      </c>
      <c r="K52" s="158">
        <f>IF(SUMIF(Presupuesto!$B$6:$B$26,$B52,Presupuesto!E$6:E$26),IF(E52&lt;&gt;0,0,1),0)</f>
        <v>0</v>
      </c>
      <c r="L52" s="158">
        <f>IF(SUMIF(Presupuesto!$B$6:$B$26,$B52,Presupuesto!F$6:F$26),IF(F52&lt;&gt;0,0,1),0)</f>
        <v>0</v>
      </c>
      <c r="M52" s="158">
        <f>IF(SUMIF(Presupuesto!$B$6:$B$26,$B52,Presupuesto!G$6:G$26),IF(G52&lt;&gt;0,0,1),0)</f>
        <v>0</v>
      </c>
      <c r="N52" s="158">
        <f>IF(SUMIF(Presupuesto!$B$6:$B$26,$B52,Presupuesto!H$6:H$26),IF(H52&lt;&gt;0,0,1),0)</f>
        <v>0</v>
      </c>
      <c r="O52" s="158">
        <f>IF(SUMIF(Presupuesto!$B$6:$B$26,$B52,Presupuesto!I$6:I$26),IF(I52&lt;&gt;0,0,1),0)</f>
        <v>0</v>
      </c>
      <c r="P52" s="158">
        <f>IF(SUMIF(Presupuesto!$B$6:$B$26,$B52,Presupuesto!J$6:J$26),IF(J52&lt;&gt;0,0,1),0)</f>
        <v>0</v>
      </c>
    </row>
    <row r="53" spans="1:17" x14ac:dyDescent="0.25">
      <c r="A53" s="55" t="str">
        <f t="shared" si="0"/>
        <v/>
      </c>
      <c r="B53" s="101"/>
      <c r="C53" s="101"/>
      <c r="D53" s="10"/>
      <c r="E53" s="14"/>
      <c r="F53" s="12">
        <f t="shared" si="4"/>
        <v>0</v>
      </c>
      <c r="G53" s="12">
        <f t="shared" si="4"/>
        <v>0</v>
      </c>
      <c r="H53" s="12">
        <f t="shared" si="4"/>
        <v>0</v>
      </c>
      <c r="I53" s="12">
        <f t="shared" si="4"/>
        <v>0</v>
      </c>
      <c r="J53" s="13">
        <f t="shared" si="4"/>
        <v>0</v>
      </c>
      <c r="K53" s="158">
        <f>IF(SUMIF(Presupuesto!$B$6:$B$26,$B53,Presupuesto!E$6:E$26),IF(E53&lt;&gt;0,0,1),0)</f>
        <v>0</v>
      </c>
      <c r="L53" s="158">
        <f>IF(SUMIF(Presupuesto!$B$6:$B$26,$B53,Presupuesto!F$6:F$26),IF(F53&lt;&gt;0,0,1),0)</f>
        <v>0</v>
      </c>
      <c r="M53" s="158">
        <f>IF(SUMIF(Presupuesto!$B$6:$B$26,$B53,Presupuesto!G$6:G$26),IF(G53&lt;&gt;0,0,1),0)</f>
        <v>0</v>
      </c>
      <c r="N53" s="158">
        <f>IF(SUMIF(Presupuesto!$B$6:$B$26,$B53,Presupuesto!H$6:H$26),IF(H53&lt;&gt;0,0,1),0)</f>
        <v>0</v>
      </c>
      <c r="O53" s="158">
        <f>IF(SUMIF(Presupuesto!$B$6:$B$26,$B53,Presupuesto!I$6:I$26),IF(I53&lt;&gt;0,0,1),0)</f>
        <v>0</v>
      </c>
      <c r="P53" s="158">
        <f>IF(SUMIF(Presupuesto!$B$6:$B$26,$B53,Presupuesto!J$6:J$26),IF(J53&lt;&gt;0,0,1),0)</f>
        <v>0</v>
      </c>
    </row>
    <row r="54" spans="1:17" x14ac:dyDescent="0.25">
      <c r="A54" s="55" t="str">
        <f t="shared" si="0"/>
        <v/>
      </c>
      <c r="B54" s="101"/>
      <c r="C54" s="101"/>
      <c r="D54" s="10"/>
      <c r="E54" s="14"/>
      <c r="F54" s="12">
        <f t="shared" si="4"/>
        <v>0</v>
      </c>
      <c r="G54" s="12">
        <f t="shared" si="4"/>
        <v>0</v>
      </c>
      <c r="H54" s="12">
        <f t="shared" si="4"/>
        <v>0</v>
      </c>
      <c r="I54" s="12">
        <f t="shared" si="4"/>
        <v>0</v>
      </c>
      <c r="J54" s="13">
        <f t="shared" si="4"/>
        <v>0</v>
      </c>
      <c r="K54" s="158">
        <f>IF(SUMIF(Presupuesto!$B$6:$B$26,$B54,Presupuesto!E$6:E$26),IF(E54&lt;&gt;0,0,1),0)</f>
        <v>0</v>
      </c>
      <c r="L54" s="158">
        <f>IF(SUMIF(Presupuesto!$B$6:$B$26,$B54,Presupuesto!F$6:F$26),IF(F54&lt;&gt;0,0,1),0)</f>
        <v>0</v>
      </c>
      <c r="M54" s="158">
        <f>IF(SUMIF(Presupuesto!$B$6:$B$26,$B54,Presupuesto!G$6:G$26),IF(G54&lt;&gt;0,0,1),0)</f>
        <v>0</v>
      </c>
      <c r="N54" s="158">
        <f>IF(SUMIF(Presupuesto!$B$6:$B$26,$B54,Presupuesto!H$6:H$26),IF(H54&lt;&gt;0,0,1),0)</f>
        <v>0</v>
      </c>
      <c r="O54" s="158">
        <f>IF(SUMIF(Presupuesto!$B$6:$B$26,$B54,Presupuesto!I$6:I$26),IF(I54&lt;&gt;0,0,1),0)</f>
        <v>0</v>
      </c>
      <c r="P54" s="158">
        <f>IF(SUMIF(Presupuesto!$B$6:$B$26,$B54,Presupuesto!J$6:J$26),IF(J54&lt;&gt;0,0,1),0)</f>
        <v>0</v>
      </c>
    </row>
    <row r="55" spans="1:17" x14ac:dyDescent="0.25">
      <c r="A55" s="55" t="str">
        <f t="shared" si="0"/>
        <v/>
      </c>
      <c r="B55" s="101"/>
      <c r="C55" s="101"/>
      <c r="D55" s="10"/>
      <c r="E55" s="14"/>
      <c r="F55" s="12">
        <f t="shared" si="4"/>
        <v>0</v>
      </c>
      <c r="G55" s="12">
        <f t="shared" si="4"/>
        <v>0</v>
      </c>
      <c r="H55" s="12">
        <f t="shared" si="4"/>
        <v>0</v>
      </c>
      <c r="I55" s="12">
        <f t="shared" si="4"/>
        <v>0</v>
      </c>
      <c r="J55" s="13">
        <f t="shared" si="4"/>
        <v>0</v>
      </c>
      <c r="K55" s="158">
        <f>IF(SUMIF(Presupuesto!$B$6:$B$26,$B55,Presupuesto!E$6:E$26),IF(E55&lt;&gt;0,0,1),0)</f>
        <v>0</v>
      </c>
      <c r="L55" s="158">
        <f>IF(SUMIF(Presupuesto!$B$6:$B$26,$B55,Presupuesto!F$6:F$26),IF(F55&lt;&gt;0,0,1),0)</f>
        <v>0</v>
      </c>
      <c r="M55" s="158">
        <f>IF(SUMIF(Presupuesto!$B$6:$B$26,$B55,Presupuesto!G$6:G$26),IF(G55&lt;&gt;0,0,1),0)</f>
        <v>0</v>
      </c>
      <c r="N55" s="158">
        <f>IF(SUMIF(Presupuesto!$B$6:$B$26,$B55,Presupuesto!H$6:H$26),IF(H55&lt;&gt;0,0,1),0)</f>
        <v>0</v>
      </c>
      <c r="O55" s="158">
        <f>IF(SUMIF(Presupuesto!$B$6:$B$26,$B55,Presupuesto!I$6:I$26),IF(I55&lt;&gt;0,0,1),0)</f>
        <v>0</v>
      </c>
      <c r="P55" s="158">
        <f>IF(SUMIF(Presupuesto!$B$6:$B$26,$B55,Presupuesto!J$6:J$26),IF(J55&lt;&gt;0,0,1),0)</f>
        <v>0</v>
      </c>
    </row>
    <row r="56" spans="1:17" x14ac:dyDescent="0.25">
      <c r="A56" s="55" t="str">
        <f t="shared" si="0"/>
        <v/>
      </c>
      <c r="B56" s="101"/>
      <c r="C56" s="101"/>
      <c r="D56" s="10"/>
      <c r="E56" s="14"/>
      <c r="F56" s="12">
        <f t="shared" si="4"/>
        <v>0</v>
      </c>
      <c r="G56" s="12">
        <f t="shared" si="4"/>
        <v>0</v>
      </c>
      <c r="H56" s="12">
        <f t="shared" si="4"/>
        <v>0</v>
      </c>
      <c r="I56" s="12">
        <f t="shared" si="4"/>
        <v>0</v>
      </c>
      <c r="J56" s="13">
        <f t="shared" si="4"/>
        <v>0</v>
      </c>
      <c r="K56" s="158">
        <f>IF(SUMIF(Presupuesto!$B$6:$B$26,$B56,Presupuesto!E$6:E$26),IF(E56&lt;&gt;0,0,1),0)</f>
        <v>0</v>
      </c>
      <c r="L56" s="158">
        <f>IF(SUMIF(Presupuesto!$B$6:$B$26,$B56,Presupuesto!F$6:F$26),IF(F56&lt;&gt;0,0,1),0)</f>
        <v>0</v>
      </c>
      <c r="M56" s="158">
        <f>IF(SUMIF(Presupuesto!$B$6:$B$26,$B56,Presupuesto!G$6:G$26),IF(G56&lt;&gt;0,0,1),0)</f>
        <v>0</v>
      </c>
      <c r="N56" s="158">
        <f>IF(SUMIF(Presupuesto!$B$6:$B$26,$B56,Presupuesto!H$6:H$26),IF(H56&lt;&gt;0,0,1),0)</f>
        <v>0</v>
      </c>
      <c r="O56" s="158">
        <f>IF(SUMIF(Presupuesto!$B$6:$B$26,$B56,Presupuesto!I$6:I$26),IF(I56&lt;&gt;0,0,1),0)</f>
        <v>0</v>
      </c>
      <c r="P56" s="158">
        <f>IF(SUMIF(Presupuesto!$B$6:$B$26,$B56,Presupuesto!J$6:J$26),IF(J56&lt;&gt;0,0,1),0)</f>
        <v>0</v>
      </c>
    </row>
    <row r="57" spans="1:17" ht="13" thickBot="1" x14ac:dyDescent="0.3">
      <c r="A57" s="55" t="str">
        <f t="shared" si="0"/>
        <v/>
      </c>
      <c r="B57" s="101"/>
      <c r="C57" s="101"/>
      <c r="D57" s="10"/>
      <c r="E57" s="14"/>
      <c r="F57" s="12">
        <f t="shared" ref="F57:J58" si="5">IF(E57=0,0,E57+E57*F$8)</f>
        <v>0</v>
      </c>
      <c r="G57" s="12">
        <f t="shared" si="5"/>
        <v>0</v>
      </c>
      <c r="H57" s="12">
        <f t="shared" si="5"/>
        <v>0</v>
      </c>
      <c r="I57" s="12">
        <f t="shared" si="5"/>
        <v>0</v>
      </c>
      <c r="J57" s="13">
        <f t="shared" si="5"/>
        <v>0</v>
      </c>
      <c r="K57" s="158">
        <f>IF(SUMIF(Presupuesto!$B$6:$B$26,$B57,Presupuesto!E$6:E$26),IF(E57&lt;&gt;0,0,1),0)</f>
        <v>0</v>
      </c>
      <c r="L57" s="158">
        <f>IF(SUMIF(Presupuesto!$B$6:$B$26,$B57,Presupuesto!F$6:F$26),IF(F57&lt;&gt;0,0,1),0)</f>
        <v>0</v>
      </c>
      <c r="M57" s="158">
        <f>IF(SUMIF(Presupuesto!$B$6:$B$26,$B57,Presupuesto!G$6:G$26),IF(G57&lt;&gt;0,0,1),0)</f>
        <v>0</v>
      </c>
      <c r="N57" s="158">
        <f>IF(SUMIF(Presupuesto!$B$6:$B$26,$B57,Presupuesto!H$6:H$26),IF(H57&lt;&gt;0,0,1),0)</f>
        <v>0</v>
      </c>
      <c r="O57" s="158">
        <f>IF(SUMIF(Presupuesto!$B$6:$B$26,$B57,Presupuesto!I$6:I$26),IF(I57&lt;&gt;0,0,1),0)</f>
        <v>0</v>
      </c>
      <c r="P57" s="158">
        <f>IF(SUMIF(Presupuesto!$B$6:$B$26,$B57,Presupuesto!J$6:J$26),IF(J57&lt;&gt;0,0,1),0)</f>
        <v>0</v>
      </c>
    </row>
    <row r="58" spans="1:17" ht="13" hidden="1" thickBot="1" x14ac:dyDescent="0.3">
      <c r="A58" s="55" t="str">
        <f t="shared" si="0"/>
        <v/>
      </c>
      <c r="B58" s="102"/>
      <c r="C58" s="102"/>
      <c r="D58" s="15"/>
      <c r="E58" s="16"/>
      <c r="F58" s="17">
        <f t="shared" si="5"/>
        <v>0</v>
      </c>
      <c r="G58" s="17">
        <f t="shared" si="5"/>
        <v>0</v>
      </c>
      <c r="H58" s="17">
        <f t="shared" si="5"/>
        <v>0</v>
      </c>
      <c r="I58" s="17">
        <f t="shared" si="5"/>
        <v>0</v>
      </c>
      <c r="J58" s="18">
        <f t="shared" si="5"/>
        <v>0</v>
      </c>
      <c r="K58" s="158">
        <f>IF(SUMIF(Presupuesto!$B$6:$B$26,$B58,Presupuesto!E$6:E$26),IF(E58&lt;&gt;0,0,1),0)</f>
        <v>0</v>
      </c>
      <c r="L58" s="158">
        <f>IF(SUMIF(Presupuesto!$B$6:$B$26,$B58,Presupuesto!F$6:F$26),IF(F58&lt;&gt;0,0,1),0)</f>
        <v>0</v>
      </c>
      <c r="M58" s="158">
        <f>IF(SUMIF(Presupuesto!$B$6:$B$26,$B58,Presupuesto!G$6:G$26),IF(G58&lt;&gt;0,0,1),0)</f>
        <v>0</v>
      </c>
      <c r="N58" s="158">
        <f>IF(SUMIF(Presupuesto!$B$6:$B$26,$B58,Presupuesto!H$6:H$26),IF(H58&lt;&gt;0,0,1),0)</f>
        <v>0</v>
      </c>
      <c r="O58" s="158">
        <f>IF(SUMIF(Presupuesto!$B$6:$B$26,$B58,Presupuesto!I$6:I$26),IF(I58&lt;&gt;0,0,1),0)</f>
        <v>0</v>
      </c>
      <c r="P58" s="158">
        <f>IF(SUMIF(Presupuesto!$B$6:$B$26,$B58,Presupuesto!J$6:J$26),IF(J58&lt;&gt;0,0,1),0)</f>
        <v>0</v>
      </c>
    </row>
    <row r="59" spans="1:17" hidden="1" x14ac:dyDescent="0.25">
      <c r="A59" s="1">
        <f>ROW()</f>
        <v>59</v>
      </c>
      <c r="B59" s="402"/>
      <c r="C59" s="403"/>
      <c r="D59" s="403"/>
      <c r="E59" s="403"/>
      <c r="F59" s="403"/>
      <c r="G59" s="403"/>
      <c r="H59" s="403"/>
      <c r="I59" s="404"/>
      <c r="J59" s="405"/>
      <c r="K59" s="1"/>
      <c r="L59" s="1"/>
      <c r="M59" s="1"/>
      <c r="N59" s="1"/>
      <c r="O59" s="1"/>
      <c r="P59" s="1"/>
      <c r="Q59" s="1"/>
    </row>
    <row r="60" spans="1:17" ht="13" thickTop="1" x14ac:dyDescent="0.25">
      <c r="B60" s="406"/>
      <c r="C60" s="406"/>
      <c r="D60" s="406"/>
      <c r="E60" s="406"/>
      <c r="F60" s="406"/>
      <c r="G60" s="406"/>
      <c r="H60" s="406"/>
      <c r="I60" s="407"/>
      <c r="J60" s="407"/>
    </row>
  </sheetData>
  <sheetProtection algorithmName="SHA-512" hashValue="tilEdnhmNSQs9MxdPFGvXv0XeISxXXMsli/lPI+SfiGx7mgrTUFPgGfTKUmwyLFUb84VlDHbGAz9nPlcrzvMRA==" saltValue="rBAmlHexD1D24bnXnwfC5w==" spinCount="100000" sheet="1" objects="1" scenarios="1" formatCells="0" formatColumns="0" formatRows="0" sort="0" autoFilter="0"/>
  <dataConsolidate link="1"/>
  <mergeCells count="3">
    <mergeCell ref="B17:D17"/>
    <mergeCell ref="C1:D1"/>
    <mergeCell ref="B8:E8"/>
  </mergeCells>
  <phoneticPr fontId="5" type="noConversion"/>
  <conditionalFormatting sqref="K57:P58 K19:P43">
    <cfRule type="cellIs" dxfId="50" priority="27" stopIfTrue="1" operator="equal">
      <formula>1</formula>
    </cfRule>
  </conditionalFormatting>
  <conditionalFormatting sqref="C43 B43:B45 B47:B52 B58:C58 C57 B19:C42">
    <cfRule type="expression" dxfId="49" priority="28" stopIfTrue="1">
      <formula>A19=1</formula>
    </cfRule>
  </conditionalFormatting>
  <conditionalFormatting sqref="K44:P44">
    <cfRule type="cellIs" dxfId="48" priority="25" stopIfTrue="1" operator="equal">
      <formula>1</formula>
    </cfRule>
  </conditionalFormatting>
  <conditionalFormatting sqref="C44">
    <cfRule type="expression" dxfId="47" priority="26" stopIfTrue="1">
      <formula>B44=1</formula>
    </cfRule>
  </conditionalFormatting>
  <conditionalFormatting sqref="K45:P45">
    <cfRule type="cellIs" dxfId="46" priority="23" stopIfTrue="1" operator="equal">
      <formula>1</formula>
    </cfRule>
  </conditionalFormatting>
  <conditionalFormatting sqref="C45">
    <cfRule type="expression" dxfId="45" priority="24" stopIfTrue="1">
      <formula>B45=1</formula>
    </cfRule>
  </conditionalFormatting>
  <conditionalFormatting sqref="K46:P46">
    <cfRule type="cellIs" dxfId="44" priority="21" stopIfTrue="1" operator="equal">
      <formula>1</formula>
    </cfRule>
  </conditionalFormatting>
  <conditionalFormatting sqref="B46:C46">
    <cfRule type="expression" dxfId="43" priority="22" stopIfTrue="1">
      <formula>A46=1</formula>
    </cfRule>
  </conditionalFormatting>
  <conditionalFormatting sqref="K47:P47">
    <cfRule type="cellIs" dxfId="42" priority="19" stopIfTrue="1" operator="equal">
      <formula>1</formula>
    </cfRule>
  </conditionalFormatting>
  <conditionalFormatting sqref="C47">
    <cfRule type="expression" dxfId="41" priority="20" stopIfTrue="1">
      <formula>B47=1</formula>
    </cfRule>
  </conditionalFormatting>
  <conditionalFormatting sqref="K48:P48">
    <cfRule type="cellIs" dxfId="40" priority="17" stopIfTrue="1" operator="equal">
      <formula>1</formula>
    </cfRule>
  </conditionalFormatting>
  <conditionalFormatting sqref="C48">
    <cfRule type="expression" dxfId="39" priority="18" stopIfTrue="1">
      <formula>B48=1</formula>
    </cfRule>
  </conditionalFormatting>
  <conditionalFormatting sqref="K49:P49">
    <cfRule type="cellIs" dxfId="38" priority="15" stopIfTrue="1" operator="equal">
      <formula>1</formula>
    </cfRule>
  </conditionalFormatting>
  <conditionalFormatting sqref="C49">
    <cfRule type="expression" dxfId="37" priority="16" stopIfTrue="1">
      <formula>B49=1</formula>
    </cfRule>
  </conditionalFormatting>
  <conditionalFormatting sqref="K50:P50">
    <cfRule type="cellIs" dxfId="36" priority="13" stopIfTrue="1" operator="equal">
      <formula>1</formula>
    </cfRule>
  </conditionalFormatting>
  <conditionalFormatting sqref="C50">
    <cfRule type="expression" dxfId="35" priority="14" stopIfTrue="1">
      <formula>B50=1</formula>
    </cfRule>
  </conditionalFormatting>
  <conditionalFormatting sqref="K51:P51">
    <cfRule type="cellIs" dxfId="34" priority="11" stopIfTrue="1" operator="equal">
      <formula>1</formula>
    </cfRule>
  </conditionalFormatting>
  <conditionalFormatting sqref="C51">
    <cfRule type="expression" dxfId="33" priority="12" stopIfTrue="1">
      <formula>B51=1</formula>
    </cfRule>
  </conditionalFormatting>
  <conditionalFormatting sqref="K52:P52">
    <cfRule type="cellIs" dxfId="32" priority="9" stopIfTrue="1" operator="equal">
      <formula>1</formula>
    </cfRule>
  </conditionalFormatting>
  <conditionalFormatting sqref="C52">
    <cfRule type="expression" dxfId="31" priority="10" stopIfTrue="1">
      <formula>B52=1</formula>
    </cfRule>
  </conditionalFormatting>
  <conditionalFormatting sqref="K53:P53">
    <cfRule type="cellIs" dxfId="30" priority="7" stopIfTrue="1" operator="equal">
      <formula>1</formula>
    </cfRule>
  </conditionalFormatting>
  <conditionalFormatting sqref="B53:C53 B55 B57">
    <cfRule type="expression" dxfId="29" priority="8" stopIfTrue="1">
      <formula>A53=1</formula>
    </cfRule>
  </conditionalFormatting>
  <conditionalFormatting sqref="K54:P54">
    <cfRule type="cellIs" dxfId="28" priority="5" stopIfTrue="1" operator="equal">
      <formula>1</formula>
    </cfRule>
  </conditionalFormatting>
  <conditionalFormatting sqref="B54:C54 B56">
    <cfRule type="expression" dxfId="27" priority="6" stopIfTrue="1">
      <formula>A54=1</formula>
    </cfRule>
  </conditionalFormatting>
  <conditionalFormatting sqref="K55:P55">
    <cfRule type="cellIs" dxfId="26" priority="3" stopIfTrue="1" operator="equal">
      <formula>1</formula>
    </cfRule>
  </conditionalFormatting>
  <conditionalFormatting sqref="C55">
    <cfRule type="expression" dxfId="25" priority="4" stopIfTrue="1">
      <formula>B55=1</formula>
    </cfRule>
  </conditionalFormatting>
  <conditionalFormatting sqref="K56:P56">
    <cfRule type="cellIs" dxfId="24" priority="1" stopIfTrue="1" operator="equal">
      <formula>1</formula>
    </cfRule>
  </conditionalFormatting>
  <conditionalFormatting sqref="C56">
    <cfRule type="expression" dxfId="23" priority="2" stopIfTrue="1">
      <formula>B56=1</formula>
    </cfRule>
  </conditionalFormatting>
  <dataValidations count="2">
    <dataValidation type="list" allowBlank="1" showInputMessage="1" showErrorMessage="1" errorTitle="Tipo empleado" error="Solo admite T = temporal_x000a_o F = fijo" sqref="E12 E15" xr:uid="{00000000-0002-0000-0200-000000000000}">
      <formula1>"F,T,P"</formula1>
    </dataValidation>
    <dataValidation type="list" allowBlank="1" showInputMessage="1" showErrorMessage="1" sqref="C19:C58" xr:uid="{00000000-0002-0000-0200-000001000000}">
      <formula1>entidades</formula1>
    </dataValidation>
  </dataValidations>
  <pageMargins left="0.19685039370078741" right="0.19685039370078741" top="0.19685039370078741" bottom="0.19685039370078741" header="0.19685039370078741" footer="0.19685039370078741"/>
  <pageSetup paperSize="9" scale="49" orientation="portrait" horizontalDpi="1200" verticalDpi="1200" r:id="rId1"/>
  <headerFooter scaleWithDoc="0" alignWithMargins="0">
    <oddFooter>&amp;LSCI32PT01-PPO - 2023-v3&amp;C&amp;D&amp;R&amp;F&amp;LSCI32PT01-PPO - 2023-v3</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C09AB-DAA6-4DE8-9CFA-C58DF3CB82E1}">
  <dimension ref="B2:AA34"/>
  <sheetViews>
    <sheetView workbookViewId="0">
      <selection activeCell="V6" sqref="V6"/>
    </sheetView>
  </sheetViews>
  <sheetFormatPr baseColWidth="10" defaultColWidth="12" defaultRowHeight="11.5" x14ac:dyDescent="0.25"/>
  <cols>
    <col min="1" max="1" width="1.69921875" style="704" customWidth="1"/>
    <col min="2" max="2" width="2.69921875" style="704" customWidth="1"/>
    <col min="3" max="3" width="8.19921875" style="704" bestFit="1" customWidth="1"/>
    <col min="4" max="4" width="16.5" style="704" bestFit="1" customWidth="1"/>
    <col min="5" max="5" width="16.5" style="749" bestFit="1" customWidth="1"/>
    <col min="6" max="6" width="7.796875" style="749" bestFit="1" customWidth="1"/>
    <col min="7" max="7" width="9.296875" style="749" bestFit="1" customWidth="1"/>
    <col min="8" max="8" width="9.19921875" style="749" bestFit="1" customWidth="1"/>
    <col min="9" max="9" width="8" style="749" bestFit="1" customWidth="1"/>
    <col min="10" max="10" width="10.296875" style="749" customWidth="1"/>
    <col min="11" max="11" width="14.296875" style="749" customWidth="1"/>
    <col min="12" max="12" width="9.19921875" style="749" bestFit="1" customWidth="1"/>
    <col min="13" max="13" width="10" style="749" customWidth="1"/>
    <col min="14" max="14" width="9.19921875" style="749" bestFit="1" customWidth="1"/>
    <col min="15" max="15" width="15" style="749" customWidth="1"/>
    <col min="16" max="16" width="7.5" style="749" bestFit="1" customWidth="1"/>
    <col min="17" max="17" width="6.5" style="749" bestFit="1" customWidth="1"/>
    <col min="18" max="18" width="10.296875" style="749" bestFit="1" customWidth="1"/>
    <col min="19" max="19" width="12" style="749"/>
    <col min="20" max="20" width="11.5" style="749" customWidth="1"/>
    <col min="21" max="21" width="10.19921875" style="749" customWidth="1"/>
    <col min="22" max="22" width="9.5" style="749" bestFit="1" customWidth="1"/>
    <col min="23" max="23" width="9.19921875" style="749" bestFit="1" customWidth="1"/>
    <col min="24" max="24" width="10.296875" style="749" customWidth="1"/>
    <col min="25" max="25" width="12" style="749"/>
    <col min="26" max="26" width="18.69921875" style="704" customWidth="1"/>
    <col min="27" max="27" width="39.5" style="704" bestFit="1" customWidth="1"/>
    <col min="28" max="16384" width="12" style="704"/>
  </cols>
  <sheetData>
    <row r="2" spans="2:27" s="700" customFormat="1" ht="12" thickBot="1" x14ac:dyDescent="0.3">
      <c r="E2" s="701"/>
      <c r="F2" s="701"/>
      <c r="G2" s="701"/>
      <c r="H2" s="701"/>
      <c r="I2" s="701"/>
      <c r="J2" s="701"/>
      <c r="K2" s="701"/>
      <c r="L2" s="701"/>
      <c r="M2" s="701"/>
      <c r="N2" s="701"/>
      <c r="O2" s="701"/>
      <c r="P2" s="701"/>
      <c r="Q2" s="701"/>
      <c r="R2" s="701"/>
      <c r="S2" s="701"/>
      <c r="T2" s="701"/>
      <c r="U2" s="701"/>
      <c r="V2" s="701"/>
      <c r="W2" s="701"/>
      <c r="X2" s="701"/>
      <c r="Y2" s="701"/>
    </row>
    <row r="3" spans="2:27" ht="12" thickBot="1" x14ac:dyDescent="0.3">
      <c r="B3" s="956"/>
      <c r="C3" s="957"/>
      <c r="D3" s="958" t="s">
        <v>339</v>
      </c>
      <c r="E3" s="958"/>
      <c r="F3" s="958"/>
      <c r="G3" s="958"/>
      <c r="H3" s="958"/>
      <c r="I3" s="959"/>
      <c r="J3" s="959"/>
      <c r="K3" s="959"/>
      <c r="L3" s="959"/>
      <c r="M3" s="959"/>
      <c r="N3" s="959"/>
      <c r="O3" s="959"/>
      <c r="P3" s="959"/>
      <c r="Q3" s="959"/>
      <c r="R3" s="959"/>
      <c r="S3" s="959"/>
      <c r="T3" s="959"/>
      <c r="U3" s="959"/>
      <c r="V3" s="959"/>
      <c r="W3" s="959"/>
      <c r="X3" s="959"/>
      <c r="Y3" s="960"/>
      <c r="Z3" s="702"/>
      <c r="AA3" s="703"/>
    </row>
    <row r="4" spans="2:27" x14ac:dyDescent="0.25">
      <c r="B4" s="705"/>
      <c r="C4" s="706"/>
      <c r="D4" s="707"/>
      <c r="E4" s="707"/>
      <c r="F4" s="707"/>
      <c r="G4" s="707"/>
      <c r="H4" s="707"/>
      <c r="I4" s="961" t="s">
        <v>340</v>
      </c>
      <c r="J4" s="962"/>
      <c r="K4" s="963"/>
      <c r="L4" s="961" t="s">
        <v>341</v>
      </c>
      <c r="M4" s="962"/>
      <c r="N4" s="963"/>
      <c r="O4" s="964" t="s">
        <v>342</v>
      </c>
      <c r="P4" s="961" t="s">
        <v>343</v>
      </c>
      <c r="Q4" s="962"/>
      <c r="R4" s="963"/>
      <c r="S4" s="961" t="s">
        <v>344</v>
      </c>
      <c r="T4" s="962"/>
      <c r="U4" s="963"/>
      <c r="V4" s="961" t="s">
        <v>345</v>
      </c>
      <c r="W4" s="962"/>
      <c r="X4" s="963"/>
      <c r="Y4" s="966" t="s">
        <v>346</v>
      </c>
      <c r="Z4" s="702"/>
      <c r="AA4" s="703"/>
    </row>
    <row r="5" spans="2:27" ht="23" x14ac:dyDescent="0.25">
      <c r="B5" s="708"/>
      <c r="C5" s="709" t="s">
        <v>347</v>
      </c>
      <c r="D5" s="709" t="s">
        <v>348</v>
      </c>
      <c r="E5" s="710" t="s">
        <v>349</v>
      </c>
      <c r="F5" s="710" t="s">
        <v>350</v>
      </c>
      <c r="G5" s="711" t="s">
        <v>351</v>
      </c>
      <c r="H5" s="712" t="s">
        <v>352</v>
      </c>
      <c r="I5" s="713" t="s">
        <v>340</v>
      </c>
      <c r="J5" s="710" t="s">
        <v>353</v>
      </c>
      <c r="K5" s="714" t="s">
        <v>354</v>
      </c>
      <c r="L5" s="715" t="s">
        <v>355</v>
      </c>
      <c r="M5" s="710" t="s">
        <v>353</v>
      </c>
      <c r="N5" s="716" t="s">
        <v>356</v>
      </c>
      <c r="O5" s="965"/>
      <c r="P5" s="713" t="s">
        <v>357</v>
      </c>
      <c r="Q5" s="717" t="s">
        <v>358</v>
      </c>
      <c r="R5" s="714" t="s">
        <v>359</v>
      </c>
      <c r="S5" s="715" t="s">
        <v>360</v>
      </c>
      <c r="T5" s="717" t="s">
        <v>361</v>
      </c>
      <c r="U5" s="714" t="s">
        <v>362</v>
      </c>
      <c r="V5" s="718" t="s">
        <v>363</v>
      </c>
      <c r="W5" s="710" t="s">
        <v>364</v>
      </c>
      <c r="X5" s="714" t="s">
        <v>362</v>
      </c>
      <c r="Y5" s="967"/>
      <c r="Z5" s="702"/>
      <c r="AA5" s="703"/>
    </row>
    <row r="6" spans="2:27" x14ac:dyDescent="0.25">
      <c r="B6" s="719"/>
      <c r="C6" s="720"/>
      <c r="D6" s="720"/>
      <c r="E6" s="721"/>
      <c r="F6" s="722"/>
      <c r="G6" s="723"/>
      <c r="H6" s="724"/>
      <c r="I6" s="725">
        <f>E$28</f>
        <v>55</v>
      </c>
      <c r="J6" s="726"/>
      <c r="K6" s="727">
        <f>J6*I6</f>
        <v>0</v>
      </c>
      <c r="L6" s="728"/>
      <c r="M6" s="722"/>
      <c r="N6" s="727">
        <f>M6*L6</f>
        <v>0</v>
      </c>
      <c r="O6" s="729"/>
      <c r="P6" s="730"/>
      <c r="Q6" s="731">
        <f>E$29</f>
        <v>0.25</v>
      </c>
      <c r="R6" s="727">
        <f>Q6*P6</f>
        <v>0</v>
      </c>
      <c r="S6" s="730"/>
      <c r="T6" s="723"/>
      <c r="U6" s="727">
        <f>S6*T6</f>
        <v>0</v>
      </c>
      <c r="V6" s="730"/>
      <c r="W6" s="723"/>
      <c r="X6" s="727">
        <f>W6*V6</f>
        <v>0</v>
      </c>
      <c r="Y6" s="732">
        <f>SUM(X6+R6+N6+K6+H6+O6+U6)</f>
        <v>0</v>
      </c>
      <c r="Z6" s="733"/>
      <c r="AA6" s="703"/>
    </row>
    <row r="7" spans="2:27" x14ac:dyDescent="0.25">
      <c r="B7" s="734"/>
      <c r="C7" s="720"/>
      <c r="D7" s="720"/>
      <c r="E7" s="721"/>
      <c r="F7" s="722"/>
      <c r="G7" s="723"/>
      <c r="H7" s="724"/>
      <c r="I7" s="725">
        <v>55</v>
      </c>
      <c r="J7" s="726"/>
      <c r="K7" s="727">
        <f>J7*I7</f>
        <v>0</v>
      </c>
      <c r="L7" s="728"/>
      <c r="M7" s="722"/>
      <c r="N7" s="727">
        <f>L7*M7</f>
        <v>0</v>
      </c>
      <c r="O7" s="729"/>
      <c r="P7" s="730"/>
      <c r="Q7" s="731">
        <f>E$29</f>
        <v>0.25</v>
      </c>
      <c r="R7" s="727">
        <f>Q7*P7</f>
        <v>0</v>
      </c>
      <c r="S7" s="730"/>
      <c r="T7" s="723"/>
      <c r="U7" s="727">
        <f>T7*S7</f>
        <v>0</v>
      </c>
      <c r="V7" s="728"/>
      <c r="W7" s="723"/>
      <c r="X7" s="727">
        <f t="shared" ref="X7:X21" si="0">W7*V7</f>
        <v>0</v>
      </c>
      <c r="Y7" s="732">
        <f>SUM(X7+R7+N7+K7+H7+O7+U7)</f>
        <v>0</v>
      </c>
      <c r="Z7" s="733"/>
      <c r="AA7" s="703"/>
    </row>
    <row r="8" spans="2:27" x14ac:dyDescent="0.25">
      <c r="B8" s="734"/>
      <c r="C8" s="735"/>
      <c r="D8" s="735"/>
      <c r="E8" s="736"/>
      <c r="F8" s="726"/>
      <c r="G8" s="737"/>
      <c r="H8" s="724"/>
      <c r="I8" s="725">
        <f t="shared" ref="I8:I21" si="1">E$28</f>
        <v>55</v>
      </c>
      <c r="J8" s="726"/>
      <c r="K8" s="727">
        <f t="shared" ref="K8:K21" si="2">J8*I8</f>
        <v>0</v>
      </c>
      <c r="L8" s="728"/>
      <c r="M8" s="722"/>
      <c r="N8" s="727">
        <f t="shared" ref="N8:N21" si="3">L8*M8</f>
        <v>0</v>
      </c>
      <c r="O8" s="729"/>
      <c r="P8" s="730"/>
      <c r="Q8" s="731">
        <f t="shared" ref="Q8:Q21" si="4">E$29</f>
        <v>0.25</v>
      </c>
      <c r="R8" s="727">
        <f t="shared" ref="R8:R21" si="5">Q8*P8</f>
        <v>0</v>
      </c>
      <c r="S8" s="730"/>
      <c r="T8" s="723"/>
      <c r="U8" s="727">
        <f t="shared" ref="U8:U21" si="6">T8*S8</f>
        <v>0</v>
      </c>
      <c r="V8" s="728"/>
      <c r="W8" s="723"/>
      <c r="X8" s="727">
        <f t="shared" si="0"/>
        <v>0</v>
      </c>
      <c r="Y8" s="732">
        <f>SUM(X8+R8+N8+K8+H8+O8+U8)</f>
        <v>0</v>
      </c>
      <c r="Z8" s="702"/>
      <c r="AA8" s="703"/>
    </row>
    <row r="9" spans="2:27" x14ac:dyDescent="0.25">
      <c r="B9" s="734"/>
      <c r="C9" s="735"/>
      <c r="D9" s="735"/>
      <c r="E9" s="736"/>
      <c r="F9" s="726"/>
      <c r="G9" s="737"/>
      <c r="H9" s="724"/>
      <c r="I9" s="725">
        <f t="shared" si="1"/>
        <v>55</v>
      </c>
      <c r="J9" s="726"/>
      <c r="K9" s="727">
        <f t="shared" si="2"/>
        <v>0</v>
      </c>
      <c r="L9" s="728"/>
      <c r="M9" s="722"/>
      <c r="N9" s="727">
        <f t="shared" si="3"/>
        <v>0</v>
      </c>
      <c r="O9" s="729"/>
      <c r="P9" s="730"/>
      <c r="Q9" s="731">
        <f t="shared" si="4"/>
        <v>0.25</v>
      </c>
      <c r="R9" s="727">
        <f t="shared" si="5"/>
        <v>0</v>
      </c>
      <c r="S9" s="730"/>
      <c r="T9" s="723"/>
      <c r="U9" s="727">
        <f t="shared" si="6"/>
        <v>0</v>
      </c>
      <c r="V9" s="730"/>
      <c r="W9" s="723"/>
      <c r="X9" s="727">
        <f t="shared" si="0"/>
        <v>0</v>
      </c>
      <c r="Y9" s="732">
        <f t="shared" ref="Y9:Y20" si="7">SUM(X9+R9+N9+K9+H9+O9+U9)</f>
        <v>0</v>
      </c>
      <c r="Z9" s="702"/>
      <c r="AA9" s="703"/>
    </row>
    <row r="10" spans="2:27" x14ac:dyDescent="0.25">
      <c r="B10" s="734"/>
      <c r="C10" s="735"/>
      <c r="D10" s="735"/>
      <c r="E10" s="736"/>
      <c r="F10" s="726"/>
      <c r="G10" s="737"/>
      <c r="H10" s="724"/>
      <c r="I10" s="725">
        <f t="shared" si="1"/>
        <v>55</v>
      </c>
      <c r="J10" s="726"/>
      <c r="K10" s="727">
        <f t="shared" si="2"/>
        <v>0</v>
      </c>
      <c r="L10" s="728"/>
      <c r="M10" s="722"/>
      <c r="N10" s="727">
        <f t="shared" si="3"/>
        <v>0</v>
      </c>
      <c r="O10" s="729"/>
      <c r="P10" s="730"/>
      <c r="Q10" s="731">
        <f t="shared" si="4"/>
        <v>0.25</v>
      </c>
      <c r="R10" s="727">
        <f t="shared" si="5"/>
        <v>0</v>
      </c>
      <c r="S10" s="730"/>
      <c r="T10" s="723"/>
      <c r="U10" s="727">
        <f t="shared" si="6"/>
        <v>0</v>
      </c>
      <c r="V10" s="728"/>
      <c r="W10" s="723"/>
      <c r="X10" s="727">
        <f t="shared" si="0"/>
        <v>0</v>
      </c>
      <c r="Y10" s="732">
        <f t="shared" si="7"/>
        <v>0</v>
      </c>
      <c r="Z10" s="702"/>
      <c r="AA10" s="703"/>
    </row>
    <row r="11" spans="2:27" x14ac:dyDescent="0.25">
      <c r="B11" s="734"/>
      <c r="C11" s="735"/>
      <c r="D11" s="735"/>
      <c r="E11" s="736"/>
      <c r="F11" s="726"/>
      <c r="G11" s="737"/>
      <c r="H11" s="724"/>
      <c r="I11" s="725">
        <f t="shared" si="1"/>
        <v>55</v>
      </c>
      <c r="J11" s="726"/>
      <c r="K11" s="727">
        <f t="shared" si="2"/>
        <v>0</v>
      </c>
      <c r="L11" s="728"/>
      <c r="M11" s="722"/>
      <c r="N11" s="727">
        <f t="shared" si="3"/>
        <v>0</v>
      </c>
      <c r="O11" s="729"/>
      <c r="P11" s="730"/>
      <c r="Q11" s="731">
        <f t="shared" si="4"/>
        <v>0.25</v>
      </c>
      <c r="R11" s="727">
        <f t="shared" si="5"/>
        <v>0</v>
      </c>
      <c r="S11" s="730"/>
      <c r="T11" s="723"/>
      <c r="U11" s="727">
        <f t="shared" si="6"/>
        <v>0</v>
      </c>
      <c r="V11" s="728"/>
      <c r="W11" s="723"/>
      <c r="X11" s="727">
        <f t="shared" si="0"/>
        <v>0</v>
      </c>
      <c r="Y11" s="732">
        <f t="shared" si="7"/>
        <v>0</v>
      </c>
      <c r="Z11" s="702"/>
      <c r="AA11" s="703"/>
    </row>
    <row r="12" spans="2:27" x14ac:dyDescent="0.25">
      <c r="B12" s="734"/>
      <c r="C12" s="735"/>
      <c r="D12" s="735"/>
      <c r="E12" s="736"/>
      <c r="F12" s="726"/>
      <c r="G12" s="737"/>
      <c r="H12" s="724"/>
      <c r="I12" s="725">
        <f t="shared" si="1"/>
        <v>55</v>
      </c>
      <c r="J12" s="726"/>
      <c r="K12" s="727">
        <f t="shared" si="2"/>
        <v>0</v>
      </c>
      <c r="L12" s="728"/>
      <c r="M12" s="722"/>
      <c r="N12" s="727">
        <f t="shared" si="3"/>
        <v>0</v>
      </c>
      <c r="O12" s="729"/>
      <c r="P12" s="730"/>
      <c r="Q12" s="731">
        <f t="shared" si="4"/>
        <v>0.25</v>
      </c>
      <c r="R12" s="727">
        <f t="shared" si="5"/>
        <v>0</v>
      </c>
      <c r="S12" s="730"/>
      <c r="T12" s="723"/>
      <c r="U12" s="727">
        <f t="shared" si="6"/>
        <v>0</v>
      </c>
      <c r="V12" s="730"/>
      <c r="W12" s="723"/>
      <c r="X12" s="727">
        <f t="shared" si="0"/>
        <v>0</v>
      </c>
      <c r="Y12" s="732">
        <f t="shared" si="7"/>
        <v>0</v>
      </c>
      <c r="Z12" s="702"/>
      <c r="AA12" s="703"/>
    </row>
    <row r="13" spans="2:27" x14ac:dyDescent="0.25">
      <c r="B13" s="734"/>
      <c r="C13" s="735"/>
      <c r="D13" s="735"/>
      <c r="E13" s="736"/>
      <c r="F13" s="726"/>
      <c r="G13" s="737"/>
      <c r="H13" s="724"/>
      <c r="I13" s="725">
        <f t="shared" si="1"/>
        <v>55</v>
      </c>
      <c r="J13" s="726"/>
      <c r="K13" s="727">
        <f t="shared" si="2"/>
        <v>0</v>
      </c>
      <c r="L13" s="728"/>
      <c r="M13" s="722"/>
      <c r="N13" s="727">
        <f t="shared" si="3"/>
        <v>0</v>
      </c>
      <c r="O13" s="729"/>
      <c r="P13" s="730"/>
      <c r="Q13" s="731">
        <f t="shared" si="4"/>
        <v>0.25</v>
      </c>
      <c r="R13" s="727">
        <f t="shared" si="5"/>
        <v>0</v>
      </c>
      <c r="S13" s="730"/>
      <c r="T13" s="723"/>
      <c r="U13" s="727">
        <f t="shared" si="6"/>
        <v>0</v>
      </c>
      <c r="V13" s="728"/>
      <c r="W13" s="723"/>
      <c r="X13" s="727">
        <f t="shared" si="0"/>
        <v>0</v>
      </c>
      <c r="Y13" s="732">
        <f t="shared" si="7"/>
        <v>0</v>
      </c>
      <c r="Z13" s="702"/>
      <c r="AA13" s="703"/>
    </row>
    <row r="14" spans="2:27" x14ac:dyDescent="0.25">
      <c r="B14" s="734"/>
      <c r="C14" s="735"/>
      <c r="D14" s="735"/>
      <c r="E14" s="736"/>
      <c r="F14" s="726"/>
      <c r="G14" s="737"/>
      <c r="H14" s="724"/>
      <c r="I14" s="725">
        <f t="shared" si="1"/>
        <v>55</v>
      </c>
      <c r="J14" s="726"/>
      <c r="K14" s="727">
        <f t="shared" si="2"/>
        <v>0</v>
      </c>
      <c r="L14" s="728"/>
      <c r="M14" s="722"/>
      <c r="N14" s="727">
        <f t="shared" si="3"/>
        <v>0</v>
      </c>
      <c r="O14" s="729"/>
      <c r="P14" s="730"/>
      <c r="Q14" s="731">
        <f t="shared" si="4"/>
        <v>0.25</v>
      </c>
      <c r="R14" s="727">
        <f t="shared" si="5"/>
        <v>0</v>
      </c>
      <c r="S14" s="730"/>
      <c r="T14" s="723"/>
      <c r="U14" s="727">
        <f t="shared" si="6"/>
        <v>0</v>
      </c>
      <c r="V14" s="728"/>
      <c r="W14" s="723"/>
      <c r="X14" s="727">
        <f t="shared" si="0"/>
        <v>0</v>
      </c>
      <c r="Y14" s="732">
        <f t="shared" si="7"/>
        <v>0</v>
      </c>
      <c r="Z14" s="702"/>
      <c r="AA14" s="703"/>
    </row>
    <row r="15" spans="2:27" x14ac:dyDescent="0.25">
      <c r="B15" s="734"/>
      <c r="C15" s="735"/>
      <c r="D15" s="735"/>
      <c r="E15" s="736"/>
      <c r="F15" s="726"/>
      <c r="G15" s="737"/>
      <c r="H15" s="724"/>
      <c r="I15" s="725">
        <f t="shared" si="1"/>
        <v>55</v>
      </c>
      <c r="J15" s="726"/>
      <c r="K15" s="727">
        <f t="shared" si="2"/>
        <v>0</v>
      </c>
      <c r="L15" s="728"/>
      <c r="M15" s="722"/>
      <c r="N15" s="727">
        <f t="shared" si="3"/>
        <v>0</v>
      </c>
      <c r="O15" s="729"/>
      <c r="P15" s="730"/>
      <c r="Q15" s="731">
        <f t="shared" si="4"/>
        <v>0.25</v>
      </c>
      <c r="R15" s="727">
        <f t="shared" si="5"/>
        <v>0</v>
      </c>
      <c r="S15" s="730"/>
      <c r="T15" s="723"/>
      <c r="U15" s="727">
        <f t="shared" si="6"/>
        <v>0</v>
      </c>
      <c r="V15" s="730"/>
      <c r="W15" s="723"/>
      <c r="X15" s="727">
        <f t="shared" si="0"/>
        <v>0</v>
      </c>
      <c r="Y15" s="732">
        <f t="shared" si="7"/>
        <v>0</v>
      </c>
      <c r="Z15" s="702"/>
      <c r="AA15" s="703"/>
    </row>
    <row r="16" spans="2:27" x14ac:dyDescent="0.25">
      <c r="B16" s="734"/>
      <c r="C16" s="735"/>
      <c r="D16" s="735"/>
      <c r="E16" s="736"/>
      <c r="F16" s="726"/>
      <c r="G16" s="737"/>
      <c r="H16" s="724"/>
      <c r="I16" s="725">
        <f t="shared" si="1"/>
        <v>55</v>
      </c>
      <c r="J16" s="726"/>
      <c r="K16" s="727">
        <f t="shared" si="2"/>
        <v>0</v>
      </c>
      <c r="L16" s="728"/>
      <c r="M16" s="722"/>
      <c r="N16" s="727">
        <f t="shared" si="3"/>
        <v>0</v>
      </c>
      <c r="O16" s="729"/>
      <c r="P16" s="730"/>
      <c r="Q16" s="731">
        <f t="shared" si="4"/>
        <v>0.25</v>
      </c>
      <c r="R16" s="727">
        <f t="shared" si="5"/>
        <v>0</v>
      </c>
      <c r="S16" s="730"/>
      <c r="T16" s="723"/>
      <c r="U16" s="727">
        <f t="shared" si="6"/>
        <v>0</v>
      </c>
      <c r="V16" s="728"/>
      <c r="W16" s="723"/>
      <c r="X16" s="727">
        <f t="shared" si="0"/>
        <v>0</v>
      </c>
      <c r="Y16" s="732">
        <f t="shared" si="7"/>
        <v>0</v>
      </c>
      <c r="Z16" s="702"/>
      <c r="AA16" s="703"/>
    </row>
    <row r="17" spans="2:27" x14ac:dyDescent="0.25">
      <c r="B17" s="734"/>
      <c r="C17" s="735"/>
      <c r="D17" s="735"/>
      <c r="E17" s="736"/>
      <c r="F17" s="726"/>
      <c r="G17" s="737"/>
      <c r="H17" s="724"/>
      <c r="I17" s="725">
        <f t="shared" si="1"/>
        <v>55</v>
      </c>
      <c r="J17" s="726"/>
      <c r="K17" s="727">
        <f t="shared" si="2"/>
        <v>0</v>
      </c>
      <c r="L17" s="728"/>
      <c r="M17" s="722"/>
      <c r="N17" s="727">
        <f t="shared" si="3"/>
        <v>0</v>
      </c>
      <c r="O17" s="729"/>
      <c r="P17" s="730"/>
      <c r="Q17" s="731">
        <f t="shared" si="4"/>
        <v>0.25</v>
      </c>
      <c r="R17" s="727">
        <f t="shared" si="5"/>
        <v>0</v>
      </c>
      <c r="S17" s="730"/>
      <c r="T17" s="723"/>
      <c r="U17" s="727">
        <f t="shared" si="6"/>
        <v>0</v>
      </c>
      <c r="V17" s="728"/>
      <c r="W17" s="723"/>
      <c r="X17" s="727">
        <f t="shared" si="0"/>
        <v>0</v>
      </c>
      <c r="Y17" s="732">
        <f t="shared" si="7"/>
        <v>0</v>
      </c>
      <c r="Z17" s="702"/>
      <c r="AA17" s="703"/>
    </row>
    <row r="18" spans="2:27" x14ac:dyDescent="0.25">
      <c r="B18" s="734"/>
      <c r="C18" s="735"/>
      <c r="D18" s="735"/>
      <c r="E18" s="736"/>
      <c r="F18" s="726"/>
      <c r="G18" s="737"/>
      <c r="H18" s="724"/>
      <c r="I18" s="725">
        <f t="shared" si="1"/>
        <v>55</v>
      </c>
      <c r="J18" s="726"/>
      <c r="K18" s="727">
        <f t="shared" si="2"/>
        <v>0</v>
      </c>
      <c r="L18" s="728"/>
      <c r="M18" s="722"/>
      <c r="N18" s="727">
        <f t="shared" si="3"/>
        <v>0</v>
      </c>
      <c r="O18" s="729"/>
      <c r="P18" s="730"/>
      <c r="Q18" s="731">
        <f t="shared" si="4"/>
        <v>0.25</v>
      </c>
      <c r="R18" s="727">
        <f t="shared" si="5"/>
        <v>0</v>
      </c>
      <c r="S18" s="730"/>
      <c r="T18" s="723"/>
      <c r="U18" s="727">
        <f t="shared" si="6"/>
        <v>0</v>
      </c>
      <c r="V18" s="730"/>
      <c r="W18" s="723"/>
      <c r="X18" s="727">
        <f t="shared" si="0"/>
        <v>0</v>
      </c>
      <c r="Y18" s="732">
        <f t="shared" si="7"/>
        <v>0</v>
      </c>
      <c r="Z18" s="702"/>
      <c r="AA18" s="703"/>
    </row>
    <row r="19" spans="2:27" x14ac:dyDescent="0.25">
      <c r="B19" s="734"/>
      <c r="C19" s="735"/>
      <c r="D19" s="735"/>
      <c r="E19" s="736"/>
      <c r="F19" s="726"/>
      <c r="G19" s="737"/>
      <c r="H19" s="724"/>
      <c r="I19" s="725">
        <f t="shared" si="1"/>
        <v>55</v>
      </c>
      <c r="J19" s="726"/>
      <c r="K19" s="727">
        <f t="shared" si="2"/>
        <v>0</v>
      </c>
      <c r="L19" s="728"/>
      <c r="M19" s="722"/>
      <c r="N19" s="727">
        <f t="shared" si="3"/>
        <v>0</v>
      </c>
      <c r="O19" s="729"/>
      <c r="P19" s="730"/>
      <c r="Q19" s="731">
        <f t="shared" si="4"/>
        <v>0.25</v>
      </c>
      <c r="R19" s="727">
        <f t="shared" si="5"/>
        <v>0</v>
      </c>
      <c r="S19" s="730"/>
      <c r="T19" s="723"/>
      <c r="U19" s="727">
        <f t="shared" si="6"/>
        <v>0</v>
      </c>
      <c r="V19" s="728"/>
      <c r="W19" s="723"/>
      <c r="X19" s="727">
        <f t="shared" si="0"/>
        <v>0</v>
      </c>
      <c r="Y19" s="732">
        <f t="shared" si="7"/>
        <v>0</v>
      </c>
      <c r="Z19" s="702"/>
      <c r="AA19" s="703"/>
    </row>
    <row r="20" spans="2:27" x14ac:dyDescent="0.25">
      <c r="B20" s="734"/>
      <c r="C20" s="735"/>
      <c r="D20" s="735"/>
      <c r="E20" s="736"/>
      <c r="F20" s="726"/>
      <c r="G20" s="737"/>
      <c r="H20" s="724"/>
      <c r="I20" s="725">
        <f t="shared" si="1"/>
        <v>55</v>
      </c>
      <c r="J20" s="726"/>
      <c r="K20" s="727">
        <f t="shared" si="2"/>
        <v>0</v>
      </c>
      <c r="L20" s="728"/>
      <c r="M20" s="722"/>
      <c r="N20" s="727">
        <f t="shared" si="3"/>
        <v>0</v>
      </c>
      <c r="O20" s="729"/>
      <c r="P20" s="730"/>
      <c r="Q20" s="731">
        <f t="shared" si="4"/>
        <v>0.25</v>
      </c>
      <c r="R20" s="727">
        <f t="shared" si="5"/>
        <v>0</v>
      </c>
      <c r="S20" s="730"/>
      <c r="T20" s="723"/>
      <c r="U20" s="727">
        <f t="shared" si="6"/>
        <v>0</v>
      </c>
      <c r="V20" s="728"/>
      <c r="W20" s="723"/>
      <c r="X20" s="727">
        <f t="shared" si="0"/>
        <v>0</v>
      </c>
      <c r="Y20" s="732">
        <f t="shared" si="7"/>
        <v>0</v>
      </c>
      <c r="Z20" s="702"/>
      <c r="AA20" s="703"/>
    </row>
    <row r="21" spans="2:27" ht="12" thickBot="1" x14ac:dyDescent="0.3">
      <c r="B21" s="738"/>
      <c r="C21" s="735"/>
      <c r="D21" s="735"/>
      <c r="E21" s="736"/>
      <c r="F21" s="726"/>
      <c r="G21" s="737"/>
      <c r="H21" s="724"/>
      <c r="I21" s="739">
        <f t="shared" si="1"/>
        <v>55</v>
      </c>
      <c r="J21" s="740"/>
      <c r="K21" s="727">
        <f t="shared" si="2"/>
        <v>0</v>
      </c>
      <c r="L21" s="741"/>
      <c r="M21" s="742"/>
      <c r="N21" s="727">
        <f t="shared" si="3"/>
        <v>0</v>
      </c>
      <c r="O21" s="743"/>
      <c r="P21" s="744"/>
      <c r="Q21" s="745">
        <f t="shared" si="4"/>
        <v>0.25</v>
      </c>
      <c r="R21" s="746">
        <f t="shared" si="5"/>
        <v>0</v>
      </c>
      <c r="S21" s="744"/>
      <c r="T21" s="747"/>
      <c r="U21" s="727">
        <f t="shared" si="6"/>
        <v>0</v>
      </c>
      <c r="V21" s="744"/>
      <c r="W21" s="747"/>
      <c r="X21" s="746">
        <f t="shared" si="0"/>
        <v>0</v>
      </c>
      <c r="Y21" s="732">
        <f>SUM(X21+R21+N21+K21+H21+O21+U21)</f>
        <v>0</v>
      </c>
      <c r="Z21" s="702"/>
      <c r="AA21" s="703"/>
    </row>
    <row r="22" spans="2:27" ht="12" thickBot="1" x14ac:dyDescent="0.3">
      <c r="B22" s="952" t="s">
        <v>365</v>
      </c>
      <c r="C22" s="953"/>
      <c r="D22" s="953"/>
      <c r="E22" s="953"/>
      <c r="F22" s="953"/>
      <c r="G22" s="953"/>
      <c r="H22" s="953"/>
      <c r="I22" s="953"/>
      <c r="J22" s="953"/>
      <c r="K22" s="953"/>
      <c r="L22" s="953"/>
      <c r="M22" s="953"/>
      <c r="N22" s="953"/>
      <c r="O22" s="953"/>
      <c r="P22" s="953"/>
      <c r="Q22" s="953"/>
      <c r="R22" s="953"/>
      <c r="S22" s="953"/>
      <c r="T22" s="953"/>
      <c r="U22" s="953"/>
      <c r="V22" s="953"/>
      <c r="W22" s="953"/>
      <c r="X22" s="954"/>
      <c r="Y22" s="748">
        <f>SUM(Y6:Y21)</f>
        <v>0</v>
      </c>
      <c r="Z22" s="702"/>
      <c r="AA22" s="703"/>
    </row>
    <row r="23" spans="2:27" ht="12" thickTop="1" x14ac:dyDescent="0.25"/>
    <row r="25" spans="2:27" x14ac:dyDescent="0.25">
      <c r="P25" s="750"/>
    </row>
    <row r="26" spans="2:27" x14ac:dyDescent="0.25">
      <c r="H26" s="750"/>
      <c r="R26" s="750"/>
      <c r="X26" s="750"/>
    </row>
    <row r="28" spans="2:27" x14ac:dyDescent="0.25">
      <c r="D28" s="751" t="s">
        <v>366</v>
      </c>
      <c r="E28" s="752">
        <v>55</v>
      </c>
    </row>
    <row r="29" spans="2:27" x14ac:dyDescent="0.25">
      <c r="D29" s="753" t="s">
        <v>367</v>
      </c>
      <c r="E29" s="754">
        <v>0.25</v>
      </c>
    </row>
    <row r="32" spans="2:27" x14ac:dyDescent="0.25">
      <c r="D32" s="955"/>
      <c r="E32" s="955"/>
      <c r="F32" s="955"/>
      <c r="G32" s="955"/>
      <c r="H32" s="955"/>
      <c r="I32" s="955"/>
      <c r="J32" s="955"/>
      <c r="K32" s="955"/>
    </row>
    <row r="34" spans="18:18" x14ac:dyDescent="0.25">
      <c r="R34" s="750"/>
    </row>
  </sheetData>
  <mergeCells count="11">
    <mergeCell ref="B22:X22"/>
    <mergeCell ref="D32:K32"/>
    <mergeCell ref="B3:C3"/>
    <mergeCell ref="D3:Y3"/>
    <mergeCell ref="I4:K4"/>
    <mergeCell ref="L4:N4"/>
    <mergeCell ref="O4:O5"/>
    <mergeCell ref="P4:R4"/>
    <mergeCell ref="S4:U4"/>
    <mergeCell ref="V4:X4"/>
    <mergeCell ref="Y4:Y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pageSetUpPr fitToPage="1"/>
  </sheetPr>
  <dimension ref="A1:X57"/>
  <sheetViews>
    <sheetView showZeros="0" topLeftCell="B2" zoomScale="80" workbookViewId="0">
      <selection activeCell="H14" sqref="H14"/>
    </sheetView>
  </sheetViews>
  <sheetFormatPr baseColWidth="10" defaultColWidth="12" defaultRowHeight="12.5" x14ac:dyDescent="0.25"/>
  <cols>
    <col min="1" max="1" width="0" style="1" hidden="1" customWidth="1"/>
    <col min="2" max="2" width="30.19921875" style="165" customWidth="1"/>
    <col min="3" max="3" width="14.69921875" style="165" customWidth="1"/>
    <col min="4" max="4" width="11.796875" style="167" customWidth="1"/>
    <col min="5" max="10" width="15.5" style="167" bestFit="1" customWidth="1"/>
    <col min="11" max="11" width="16.796875" style="167" customWidth="1"/>
    <col min="12" max="12" width="39" style="167" customWidth="1"/>
    <col min="13" max="13" width="3" style="165" customWidth="1"/>
    <col min="14" max="14" width="10.19921875" style="165" customWidth="1"/>
    <col min="15" max="15" width="12" style="165"/>
    <col min="16" max="23" width="0" style="165" hidden="1" customWidth="1"/>
    <col min="24" max="16384" width="12" style="165"/>
  </cols>
  <sheetData>
    <row r="1" spans="1:24" s="166" customFormat="1" ht="18.5" thickBot="1" x14ac:dyDescent="0.45">
      <c r="A1" s="2"/>
      <c r="B1" s="993" t="s">
        <v>311</v>
      </c>
      <c r="C1" s="994"/>
      <c r="D1" s="990">
        <f>codigo_oferta</f>
        <v>20250256445</v>
      </c>
      <c r="E1" s="991"/>
      <c r="F1"/>
      <c r="G1"/>
      <c r="H1"/>
      <c r="I1"/>
      <c r="J1"/>
      <c r="K1"/>
      <c r="L1"/>
      <c r="M1" s="227"/>
      <c r="N1" s="144"/>
      <c r="O1" s="144"/>
      <c r="P1" s="144"/>
      <c r="Q1" s="144"/>
    </row>
    <row r="2" spans="1:24" ht="21.75" customHeight="1" thickBot="1" x14ac:dyDescent="0.45">
      <c r="B2" s="1"/>
      <c r="C2" s="1"/>
      <c r="D2" s="1"/>
      <c r="E2" s="992" t="s">
        <v>368</v>
      </c>
      <c r="F2" s="992"/>
      <c r="G2" s="992"/>
      <c r="H2" s="992"/>
      <c r="I2" s="992"/>
      <c r="J2" s="992"/>
      <c r="K2" s="992"/>
      <c r="L2" s="1"/>
      <c r="M2" s="227"/>
      <c r="N2" s="144"/>
      <c r="O2" s="144"/>
      <c r="P2" s="144"/>
      <c r="Q2" s="144"/>
    </row>
    <row r="3" spans="1:24" ht="13.5" thickBot="1" x14ac:dyDescent="0.35">
      <c r="B3" s="982" t="s">
        <v>369</v>
      </c>
      <c r="C3" s="983"/>
      <c r="D3" s="178" t="s">
        <v>370</v>
      </c>
      <c r="E3" s="179">
        <f>año_inicio</f>
        <v>2025</v>
      </c>
      <c r="F3" s="180">
        <f>E3+1</f>
        <v>2026</v>
      </c>
      <c r="G3" s="181">
        <f>F3+1</f>
        <v>2027</v>
      </c>
      <c r="H3" s="181">
        <f>G3+1</f>
        <v>2028</v>
      </c>
      <c r="I3" s="181">
        <f>H3+1</f>
        <v>2029</v>
      </c>
      <c r="J3" s="181">
        <f>I3+1</f>
        <v>2030</v>
      </c>
      <c r="K3" s="178" t="s">
        <v>346</v>
      </c>
      <c r="L3" s="182" t="s">
        <v>371</v>
      </c>
      <c r="M3" s="158"/>
    </row>
    <row r="4" spans="1:24" ht="13.5" thickBot="1" x14ac:dyDescent="0.35">
      <c r="B4" s="982" t="s">
        <v>372</v>
      </c>
      <c r="C4" s="983"/>
      <c r="D4" s="183" t="s">
        <v>373</v>
      </c>
      <c r="E4" s="184">
        <f t="shared" ref="E4:J4" si="0">SUM(P6:P26)</f>
        <v>34835</v>
      </c>
      <c r="F4" s="185">
        <f t="shared" si="0"/>
        <v>289260.05</v>
      </c>
      <c r="G4" s="185">
        <f t="shared" si="0"/>
        <v>24931.15</v>
      </c>
      <c r="H4" s="185">
        <f t="shared" si="0"/>
        <v>18488.940839999999</v>
      </c>
      <c r="I4" s="185">
        <f t="shared" si="0"/>
        <v>0</v>
      </c>
      <c r="J4" s="185">
        <f t="shared" si="0"/>
        <v>0</v>
      </c>
      <c r="K4" s="186">
        <f>SUM(E4:J4)</f>
        <v>367515.14084000001</v>
      </c>
      <c r="L4" s="19"/>
      <c r="M4" s="158"/>
    </row>
    <row r="5" spans="1:24" ht="13.5" thickBot="1" x14ac:dyDescent="0.35">
      <c r="B5" s="171" t="s">
        <v>333</v>
      </c>
      <c r="C5" s="187" t="s">
        <v>334</v>
      </c>
      <c r="D5" s="187" t="s">
        <v>335</v>
      </c>
      <c r="E5" s="188">
        <f t="shared" ref="E5:J5" si="1">SUM(E6:E26)</f>
        <v>1220</v>
      </c>
      <c r="F5" s="189">
        <f t="shared" si="1"/>
        <v>10630</v>
      </c>
      <c r="G5" s="190">
        <f t="shared" si="1"/>
        <v>1000</v>
      </c>
      <c r="H5" s="190">
        <f t="shared" si="1"/>
        <v>720</v>
      </c>
      <c r="I5" s="190">
        <f t="shared" si="1"/>
        <v>0</v>
      </c>
      <c r="J5" s="190">
        <f t="shared" si="1"/>
        <v>0</v>
      </c>
      <c r="K5" s="171">
        <f t="shared" ref="K5:K31" si="2">SUM(E5:J5)</f>
        <v>13570</v>
      </c>
      <c r="L5" s="1"/>
      <c r="M5" s="158">
        <f>SUM(M6:M26)</f>
        <v>0</v>
      </c>
      <c r="P5" s="218">
        <f t="shared" ref="P5:U5" si="3">O5+1</f>
        <v>1</v>
      </c>
      <c r="Q5" s="218">
        <f t="shared" si="3"/>
        <v>2</v>
      </c>
      <c r="R5" s="218">
        <f t="shared" si="3"/>
        <v>3</v>
      </c>
      <c r="S5" s="218">
        <f t="shared" si="3"/>
        <v>4</v>
      </c>
      <c r="T5" s="218">
        <f t="shared" si="3"/>
        <v>5</v>
      </c>
      <c r="U5" s="218">
        <f t="shared" si="3"/>
        <v>6</v>
      </c>
    </row>
    <row r="6" spans="1:24" x14ac:dyDescent="0.25">
      <c r="B6" s="101" t="s">
        <v>336</v>
      </c>
      <c r="C6" s="103" t="str">
        <f t="shared" ref="C6:C26" si="4">IF(B6=0,0,INDEX(mercantil,MATCH(B6,Nombres,0)))</f>
        <v>Connectis-ICT</v>
      </c>
      <c r="D6" s="20" t="str">
        <f t="shared" ref="D6:D12" si="5">IF(B6=0,0,INDEX(Perfiles,MATCH(B6,Nombres,0)))</f>
        <v>JP</v>
      </c>
      <c r="E6" s="21">
        <v>20</v>
      </c>
      <c r="F6" s="21">
        <f>12*40-E6</f>
        <v>460</v>
      </c>
      <c r="G6" s="21"/>
      <c r="H6" s="21"/>
      <c r="I6" s="21"/>
      <c r="J6" s="21"/>
      <c r="K6" s="219">
        <f t="shared" si="2"/>
        <v>480</v>
      </c>
      <c r="L6" s="22" t="str">
        <f>IF(M6=1,"Perfil duplicado",IF(M6=2,"sin perfil definido",IF(M6=3,"perfil sin precio",B6)))</f>
        <v>Jefe Proyecto</v>
      </c>
      <c r="M6" s="224" t="str">
        <f>IF(B6&lt;&gt;"",      IF(COUNTIF(Parametros!$B$19:$B$58,B6)&gt;1,1,        IF(AND(K6&lt;&gt;0,V6=0),3,"")),IF(K6&lt;&gt;0,2,"")      )</f>
        <v/>
      </c>
      <c r="P6" s="203">
        <f t="shared" ref="P6:P26" si="6">IF($W6=0,0,INDEX(Costes_reales,$W6,P$5))*E6</f>
        <v>800</v>
      </c>
      <c r="Q6" s="204">
        <f t="shared" ref="Q6:Q26" si="7">IF($W6=0,0,INDEX(Costes_reales,$W6,Q$5))*F6</f>
        <v>18952</v>
      </c>
      <c r="R6" s="204">
        <f t="shared" ref="R6:R26" si="8">IF($W6=0,0,INDEX(Costes_reales,$W6,R$5))*G6</f>
        <v>0</v>
      </c>
      <c r="S6" s="204">
        <f t="shared" ref="S6:S26" si="9">IF($W6=0,0,INDEX(Costes_reales,$W6,S$5))*H6</f>
        <v>0</v>
      </c>
      <c r="T6" s="204">
        <f t="shared" ref="T6:T26" si="10">IF($W6=0,0,INDEX(Costes_reales,$W6,T$5))*I6</f>
        <v>0</v>
      </c>
      <c r="U6" s="205">
        <f t="shared" ref="U6:U26" si="11">IF($W6=0,0,INDEX(Costes_reales,$W6,U$5))*J6</f>
        <v>0</v>
      </c>
      <c r="V6" s="206">
        <f t="shared" ref="V6:V26" si="12">SUM(P6:U6)</f>
        <v>19752</v>
      </c>
      <c r="W6" s="207">
        <f t="shared" ref="W6:W26" si="13">IF(B6="",0,MATCH(B6,Nombres,0))</f>
        <v>1</v>
      </c>
    </row>
    <row r="7" spans="1:24" x14ac:dyDescent="0.25">
      <c r="B7" s="101" t="s">
        <v>627</v>
      </c>
      <c r="C7" s="103" t="str">
        <f t="shared" si="4"/>
        <v>Global Rosetta</v>
      </c>
      <c r="D7" s="20" t="str">
        <f t="shared" si="5"/>
        <v>CSS</v>
      </c>
      <c r="E7" s="21">
        <v>300</v>
      </c>
      <c r="F7" s="21">
        <f>80+4*120+6*80+10*40+300-E7</f>
        <v>1440</v>
      </c>
      <c r="G7" s="21"/>
      <c r="H7" s="21"/>
      <c r="I7" s="21"/>
      <c r="J7" s="21"/>
      <c r="K7" s="219">
        <f t="shared" si="2"/>
        <v>1740</v>
      </c>
      <c r="L7" s="23" t="str">
        <f t="shared" ref="L7:L26" si="14">IF(M7=1,"Perfil duplicado",IF(M7=2,"sin perfil definido",IF(M7=3,"perfil sin precio",B7)))</f>
        <v>Consultor Smart Spaces</v>
      </c>
      <c r="M7" s="224" t="str">
        <f>IF(B7&lt;&gt;"",      IF(COUNTIF(Parametros!$B$19:$B$58,B7)&gt;1,1,        IF(AND(K7&lt;&gt;0,V7=0),3,"")),IF(K7&lt;&gt;0,2,"")      )</f>
        <v/>
      </c>
      <c r="P7" s="208">
        <f t="shared" si="6"/>
        <v>7800</v>
      </c>
      <c r="Q7" s="209">
        <f t="shared" si="7"/>
        <v>38563.200000000004</v>
      </c>
      <c r="R7" s="209">
        <f t="shared" si="8"/>
        <v>0</v>
      </c>
      <c r="S7" s="209">
        <f t="shared" si="9"/>
        <v>0</v>
      </c>
      <c r="T7" s="209">
        <f t="shared" si="10"/>
        <v>0</v>
      </c>
      <c r="U7" s="210">
        <f t="shared" si="11"/>
        <v>0</v>
      </c>
      <c r="V7" s="211">
        <f t="shared" si="12"/>
        <v>46363.200000000004</v>
      </c>
      <c r="W7" s="212">
        <f t="shared" si="13"/>
        <v>2</v>
      </c>
    </row>
    <row r="8" spans="1:24" x14ac:dyDescent="0.25">
      <c r="B8" s="101" t="s">
        <v>776</v>
      </c>
      <c r="C8" s="103" t="str">
        <f t="shared" si="4"/>
        <v>Global Rosetta</v>
      </c>
      <c r="D8" s="20" t="str">
        <f t="shared" si="5"/>
        <v>CJSS</v>
      </c>
      <c r="E8" s="21">
        <v>120</v>
      </c>
      <c r="F8" s="21">
        <f>80+4*120+6*80+10*40+150-E8</f>
        <v>1470</v>
      </c>
      <c r="G8" s="21"/>
      <c r="H8" s="21"/>
      <c r="I8" s="21"/>
      <c r="J8" s="21"/>
      <c r="K8" s="219">
        <f t="shared" si="2"/>
        <v>1590</v>
      </c>
      <c r="L8" s="23" t="str">
        <f t="shared" si="14"/>
        <v>Consultor Junior Smart Spaces</v>
      </c>
      <c r="M8" s="224" t="str">
        <f>IF(B8&lt;&gt;"",      IF(COUNTIF(Parametros!$B$19:$B$58,B8)&gt;1,1,        IF(AND(K8&lt;&gt;0,V8=0),3,"")),IF(K8&lt;&gt;0,2,"")      )</f>
        <v/>
      </c>
      <c r="P8" s="208">
        <f t="shared" si="6"/>
        <v>1920</v>
      </c>
      <c r="Q8" s="209">
        <f t="shared" si="7"/>
        <v>24225.600000000002</v>
      </c>
      <c r="R8" s="209">
        <f t="shared" si="8"/>
        <v>0</v>
      </c>
      <c r="S8" s="209">
        <f t="shared" si="9"/>
        <v>0</v>
      </c>
      <c r="T8" s="209">
        <f t="shared" si="10"/>
        <v>0</v>
      </c>
      <c r="U8" s="210">
        <f t="shared" si="11"/>
        <v>0</v>
      </c>
      <c r="V8" s="211">
        <f t="shared" si="12"/>
        <v>26145.600000000002</v>
      </c>
      <c r="W8" s="212">
        <f t="shared" si="13"/>
        <v>3</v>
      </c>
      <c r="X8" s="165">
        <f>'Sintesis Precio'!K18</f>
        <v>583896.55000000005</v>
      </c>
    </row>
    <row r="9" spans="1:24" x14ac:dyDescent="0.25">
      <c r="B9" s="101" t="s">
        <v>338</v>
      </c>
      <c r="C9" s="103" t="str">
        <f t="shared" si="4"/>
        <v>Global Rosetta</v>
      </c>
      <c r="D9" s="20" t="str">
        <f t="shared" si="5"/>
        <v>A</v>
      </c>
      <c r="E9" s="21">
        <v>420</v>
      </c>
      <c r="F9" s="21">
        <f>4*160+6*120+10*60-E9</f>
        <v>1540</v>
      </c>
      <c r="G9" s="21"/>
      <c r="H9" s="21"/>
      <c r="I9" s="21"/>
      <c r="J9" s="21"/>
      <c r="K9" s="219">
        <f t="shared" si="2"/>
        <v>1960</v>
      </c>
      <c r="L9" s="23" t="str">
        <f t="shared" si="14"/>
        <v>Arquitecto</v>
      </c>
      <c r="M9" s="224" t="str">
        <f>IF(B9&lt;&gt;"",      IF(COUNTIF(Parametros!$B$19:$B$58,B9)&gt;1,1,        IF(AND(K9&lt;&gt;0,V9=0),3,"")),IF(K9&lt;&gt;0,2,"")      )</f>
        <v/>
      </c>
      <c r="P9" s="208">
        <f t="shared" si="6"/>
        <v>16275</v>
      </c>
      <c r="Q9" s="209">
        <f t="shared" si="7"/>
        <v>61465.25</v>
      </c>
      <c r="R9" s="209">
        <f t="shared" si="8"/>
        <v>0</v>
      </c>
      <c r="S9" s="209">
        <f t="shared" si="9"/>
        <v>0</v>
      </c>
      <c r="T9" s="209">
        <f t="shared" si="10"/>
        <v>0</v>
      </c>
      <c r="U9" s="210">
        <f t="shared" si="11"/>
        <v>0</v>
      </c>
      <c r="V9" s="211">
        <f t="shared" si="12"/>
        <v>77740.25</v>
      </c>
      <c r="W9" s="212">
        <f t="shared" si="13"/>
        <v>4</v>
      </c>
      <c r="X9" s="759">
        <f>'Sintesis Precio'!F13</f>
        <v>0.2579320808078075</v>
      </c>
    </row>
    <row r="10" spans="1:24" x14ac:dyDescent="0.25">
      <c r="B10" s="101" t="s">
        <v>783</v>
      </c>
      <c r="C10" s="103" t="str">
        <f t="shared" si="4"/>
        <v>Global Rosetta</v>
      </c>
      <c r="D10" s="20" t="str">
        <f t="shared" si="5"/>
        <v>II</v>
      </c>
      <c r="E10" s="21">
        <v>120</v>
      </c>
      <c r="F10" s="21">
        <f>(4*160+6*120+10*60)*2-E10</f>
        <v>3800</v>
      </c>
      <c r="G10" s="21"/>
      <c r="H10" s="21"/>
      <c r="I10" s="21"/>
      <c r="J10" s="21"/>
      <c r="K10" s="219">
        <f t="shared" si="2"/>
        <v>3920</v>
      </c>
      <c r="L10" s="23" t="str">
        <f t="shared" si="14"/>
        <v>Ingeniero Integración</v>
      </c>
      <c r="M10" s="224" t="str">
        <f>IF(B10&lt;&gt;"",      IF(COUNTIF(Parametros!$B$19:$B$58,B10)&gt;1,1,        IF(AND(K10&lt;&gt;0,V10=0),3,"")),IF(K10&lt;&gt;0,2,"")      )</f>
        <v/>
      </c>
      <c r="P10" s="208">
        <f t="shared" si="6"/>
        <v>3240</v>
      </c>
      <c r="Q10" s="209">
        <f t="shared" si="7"/>
        <v>105678</v>
      </c>
      <c r="R10" s="209">
        <f t="shared" si="8"/>
        <v>0</v>
      </c>
      <c r="S10" s="209">
        <f t="shared" si="9"/>
        <v>0</v>
      </c>
      <c r="T10" s="209">
        <f t="shared" si="10"/>
        <v>0</v>
      </c>
      <c r="U10" s="210">
        <f t="shared" si="11"/>
        <v>0</v>
      </c>
      <c r="V10" s="211">
        <f t="shared" si="12"/>
        <v>108918</v>
      </c>
      <c r="W10" s="212">
        <f t="shared" si="13"/>
        <v>5</v>
      </c>
    </row>
    <row r="11" spans="1:24" x14ac:dyDescent="0.25">
      <c r="B11" s="101" t="s">
        <v>785</v>
      </c>
      <c r="C11" s="103" t="str">
        <f t="shared" si="4"/>
        <v>Global Rosetta</v>
      </c>
      <c r="D11" s="20" t="str">
        <f t="shared" si="5"/>
        <v>P</v>
      </c>
      <c r="E11" s="21">
        <v>240</v>
      </c>
      <c r="F11" s="21">
        <f>20*100-E11</f>
        <v>1760</v>
      </c>
      <c r="G11" s="21"/>
      <c r="H11" s="21"/>
      <c r="I11" s="21"/>
      <c r="J11" s="21"/>
      <c r="K11" s="219">
        <f t="shared" si="2"/>
        <v>2000</v>
      </c>
      <c r="L11" s="23" t="str">
        <f t="shared" si="14"/>
        <v>Configuración Portal</v>
      </c>
      <c r="M11" s="224" t="str">
        <f>IF(B11&lt;&gt;"",      IF(COUNTIF(Parametros!$B$19:$B$58,B11)&gt;1,1,        IF(AND(K11&lt;&gt;0,V11=0),3,"")),IF(K11&lt;&gt;0,2,"")      )</f>
        <v/>
      </c>
      <c r="P11" s="208">
        <f t="shared" si="6"/>
        <v>4800</v>
      </c>
      <c r="Q11" s="209">
        <f t="shared" si="7"/>
        <v>36256</v>
      </c>
      <c r="R11" s="209">
        <f t="shared" si="8"/>
        <v>0</v>
      </c>
      <c r="S11" s="209">
        <f t="shared" si="9"/>
        <v>0</v>
      </c>
      <c r="T11" s="209">
        <f t="shared" si="10"/>
        <v>0</v>
      </c>
      <c r="U11" s="210">
        <f t="shared" si="11"/>
        <v>0</v>
      </c>
      <c r="V11" s="211">
        <f t="shared" si="12"/>
        <v>41056</v>
      </c>
      <c r="W11" s="212">
        <f t="shared" si="13"/>
        <v>6</v>
      </c>
    </row>
    <row r="12" spans="1:24" x14ac:dyDescent="0.25">
      <c r="B12" s="101" t="s">
        <v>786</v>
      </c>
      <c r="C12" s="103" t="str">
        <f t="shared" si="4"/>
        <v>Global Rosetta</v>
      </c>
      <c r="D12" s="20" t="str">
        <f t="shared" si="5"/>
        <v>DG</v>
      </c>
      <c r="E12" s="21"/>
      <c r="F12" s="21">
        <v>160</v>
      </c>
      <c r="G12" s="21"/>
      <c r="H12" s="21"/>
      <c r="I12" s="21"/>
      <c r="J12" s="21"/>
      <c r="K12" s="219">
        <f t="shared" si="2"/>
        <v>160</v>
      </c>
      <c r="L12" s="23" t="str">
        <f t="shared" si="14"/>
        <v>Diseñador gráfico</v>
      </c>
      <c r="M12" s="224" t="str">
        <f>IF(B12&lt;&gt;"",      IF(COUNTIF(Parametros!$B$19:$B$58,B12)&gt;1,1,        IF(AND(K12&lt;&gt;0,V12=0),3,"")),IF(K12&lt;&gt;0,2,"")      )</f>
        <v/>
      </c>
      <c r="P12" s="208">
        <f t="shared" si="6"/>
        <v>0</v>
      </c>
      <c r="Q12" s="209">
        <f t="shared" si="7"/>
        <v>4120</v>
      </c>
      <c r="R12" s="209">
        <f t="shared" si="8"/>
        <v>0</v>
      </c>
      <c r="S12" s="209">
        <f t="shared" si="9"/>
        <v>0</v>
      </c>
      <c r="T12" s="209">
        <f t="shared" si="10"/>
        <v>0</v>
      </c>
      <c r="U12" s="210">
        <f t="shared" si="11"/>
        <v>0</v>
      </c>
      <c r="V12" s="211">
        <f t="shared" si="12"/>
        <v>4120</v>
      </c>
      <c r="W12" s="212">
        <f t="shared" si="13"/>
        <v>7</v>
      </c>
    </row>
    <row r="13" spans="1:24" x14ac:dyDescent="0.25">
      <c r="B13" s="101" t="s">
        <v>783</v>
      </c>
      <c r="C13" s="103" t="str">
        <f t="shared" si="4"/>
        <v>Global Rosetta</v>
      </c>
      <c r="D13" s="20" t="str">
        <f t="shared" ref="D13:D18" si="15">IF(B13=0,0,INDEX(Perfiles,MATCH(B13,Nombres,0)))</f>
        <v>II</v>
      </c>
      <c r="E13" s="21"/>
      <c r="F13" s="21"/>
      <c r="G13" s="21">
        <v>500</v>
      </c>
      <c r="H13" s="21">
        <f>12*30</f>
        <v>360</v>
      </c>
      <c r="I13" s="21"/>
      <c r="J13" s="21"/>
      <c r="K13" s="219">
        <f t="shared" si="2"/>
        <v>860</v>
      </c>
      <c r="L13" s="23" t="str">
        <f t="shared" si="14"/>
        <v>Ingeniero Integración</v>
      </c>
      <c r="M13" s="224" t="str">
        <f>IF(B13&lt;&gt;"",      IF(COUNTIF(Parametros!$B$19:$B$58,B13)&gt;1,1,        IF(AND(K13&lt;&gt;0,V13=0),3,"")),IF(K13&lt;&gt;0,2,"")      )</f>
        <v/>
      </c>
      <c r="P13" s="208">
        <f t="shared" si="6"/>
        <v>0</v>
      </c>
      <c r="Q13" s="209">
        <f t="shared" si="7"/>
        <v>0</v>
      </c>
      <c r="R13" s="209">
        <f t="shared" si="8"/>
        <v>14322.15</v>
      </c>
      <c r="S13" s="209">
        <f t="shared" si="9"/>
        <v>10621.306439999998</v>
      </c>
      <c r="T13" s="209">
        <f t="shared" si="10"/>
        <v>0</v>
      </c>
      <c r="U13" s="210">
        <f t="shared" si="11"/>
        <v>0</v>
      </c>
      <c r="V13" s="211">
        <f t="shared" si="12"/>
        <v>24943.456439999998</v>
      </c>
      <c r="W13" s="212">
        <f t="shared" si="13"/>
        <v>5</v>
      </c>
    </row>
    <row r="14" spans="1:24" x14ac:dyDescent="0.25">
      <c r="B14" s="101" t="s">
        <v>785</v>
      </c>
      <c r="C14" s="103" t="str">
        <f t="shared" si="4"/>
        <v>Global Rosetta</v>
      </c>
      <c r="D14" s="20" t="str">
        <f t="shared" si="15"/>
        <v>P</v>
      </c>
      <c r="E14" s="21"/>
      <c r="F14" s="21"/>
      <c r="G14" s="21">
        <v>500</v>
      </c>
      <c r="H14" s="21">
        <f>12*30</f>
        <v>360</v>
      </c>
      <c r="I14" s="21"/>
      <c r="J14" s="21"/>
      <c r="K14" s="219">
        <f t="shared" si="2"/>
        <v>860</v>
      </c>
      <c r="L14" s="23" t="str">
        <f t="shared" si="14"/>
        <v>Configuración Portal</v>
      </c>
      <c r="M14" s="224" t="str">
        <f>IF(B14&lt;&gt;"",      IF(COUNTIF(Parametros!$B$19:$B$58,B14)&gt;1,1,        IF(AND(K14&lt;&gt;0,V14=0),3,"")),IF(K14&lt;&gt;0,2,"")      )</f>
        <v/>
      </c>
      <c r="P14" s="208">
        <f t="shared" si="6"/>
        <v>0</v>
      </c>
      <c r="Q14" s="209">
        <f t="shared" si="7"/>
        <v>0</v>
      </c>
      <c r="R14" s="209">
        <f t="shared" si="8"/>
        <v>10609</v>
      </c>
      <c r="S14" s="209">
        <f t="shared" si="9"/>
        <v>7867.6343999999999</v>
      </c>
      <c r="T14" s="209">
        <f t="shared" si="10"/>
        <v>0</v>
      </c>
      <c r="U14" s="210">
        <f t="shared" si="11"/>
        <v>0</v>
      </c>
      <c r="V14" s="211">
        <f t="shared" si="12"/>
        <v>18476.634399999999</v>
      </c>
      <c r="W14" s="212">
        <f t="shared" si="13"/>
        <v>6</v>
      </c>
    </row>
    <row r="15" spans="1:24" x14ac:dyDescent="0.25">
      <c r="B15" s="101"/>
      <c r="C15" s="103">
        <f t="shared" si="4"/>
        <v>0</v>
      </c>
      <c r="D15" s="20">
        <f t="shared" si="15"/>
        <v>0</v>
      </c>
      <c r="E15" s="21"/>
      <c r="F15" s="21"/>
      <c r="G15" s="21"/>
      <c r="H15" s="21"/>
      <c r="I15" s="21"/>
      <c r="J15" s="21"/>
      <c r="K15" s="219">
        <f t="shared" si="2"/>
        <v>0</v>
      </c>
      <c r="L15" s="23">
        <f t="shared" si="14"/>
        <v>0</v>
      </c>
      <c r="M15" s="224" t="str">
        <f>IF(B15&lt;&gt;"",      IF(COUNTIF(Parametros!$B$19:$B$58,B15)&gt;1,1,        IF(AND(K15&lt;&gt;0,V15=0),3,"")),IF(K15&lt;&gt;0,2,"")      )</f>
        <v/>
      </c>
      <c r="P15" s="208">
        <f t="shared" si="6"/>
        <v>0</v>
      </c>
      <c r="Q15" s="209">
        <f t="shared" si="7"/>
        <v>0</v>
      </c>
      <c r="R15" s="209">
        <f t="shared" si="8"/>
        <v>0</v>
      </c>
      <c r="S15" s="209">
        <f t="shared" si="9"/>
        <v>0</v>
      </c>
      <c r="T15" s="209">
        <f t="shared" si="10"/>
        <v>0</v>
      </c>
      <c r="U15" s="210">
        <f t="shared" si="11"/>
        <v>0</v>
      </c>
      <c r="V15" s="211">
        <f t="shared" si="12"/>
        <v>0</v>
      </c>
      <c r="W15" s="212">
        <f t="shared" si="13"/>
        <v>0</v>
      </c>
    </row>
    <row r="16" spans="1:24" x14ac:dyDescent="0.25">
      <c r="B16" s="101"/>
      <c r="C16" s="103">
        <f t="shared" si="4"/>
        <v>0</v>
      </c>
      <c r="D16" s="20">
        <f t="shared" si="15"/>
        <v>0</v>
      </c>
      <c r="E16" s="21"/>
      <c r="F16" s="21"/>
      <c r="G16" s="21"/>
      <c r="H16" s="21"/>
      <c r="I16" s="21"/>
      <c r="J16" s="21"/>
      <c r="K16" s="219">
        <f t="shared" si="2"/>
        <v>0</v>
      </c>
      <c r="L16" s="23">
        <f t="shared" si="14"/>
        <v>0</v>
      </c>
      <c r="M16" s="224" t="str">
        <f>IF(B16&lt;&gt;"",      IF(COUNTIF(Parametros!$B$19:$B$58,B16)&gt;1,1,        IF(AND(K16&lt;&gt;0,V16=0),3,"")),IF(K16&lt;&gt;0,2,"")      )</f>
        <v/>
      </c>
      <c r="P16" s="208">
        <f t="shared" si="6"/>
        <v>0</v>
      </c>
      <c r="Q16" s="209">
        <f t="shared" si="7"/>
        <v>0</v>
      </c>
      <c r="R16" s="209">
        <f t="shared" si="8"/>
        <v>0</v>
      </c>
      <c r="S16" s="209">
        <f t="shared" si="9"/>
        <v>0</v>
      </c>
      <c r="T16" s="209">
        <f t="shared" si="10"/>
        <v>0</v>
      </c>
      <c r="U16" s="210">
        <f t="shared" si="11"/>
        <v>0</v>
      </c>
      <c r="V16" s="211">
        <f t="shared" si="12"/>
        <v>0</v>
      </c>
      <c r="W16" s="212">
        <f t="shared" si="13"/>
        <v>0</v>
      </c>
    </row>
    <row r="17" spans="1:23" x14ac:dyDescent="0.25">
      <c r="B17" s="101"/>
      <c r="C17" s="103">
        <f t="shared" si="4"/>
        <v>0</v>
      </c>
      <c r="D17" s="20">
        <f t="shared" si="15"/>
        <v>0</v>
      </c>
      <c r="E17" s="21"/>
      <c r="F17" s="21"/>
      <c r="G17" s="21"/>
      <c r="H17" s="21"/>
      <c r="I17" s="21"/>
      <c r="J17" s="21"/>
      <c r="K17" s="219">
        <f t="shared" si="2"/>
        <v>0</v>
      </c>
      <c r="L17" s="23">
        <f t="shared" si="14"/>
        <v>0</v>
      </c>
      <c r="M17" s="224" t="str">
        <f>IF(B17&lt;&gt;"",      IF(COUNTIF(Parametros!$B$19:$B$58,B17)&gt;1,1,        IF(AND(K17&lt;&gt;0,V17=0),3,"")),IF(K17&lt;&gt;0,2,"")      )</f>
        <v/>
      </c>
      <c r="P17" s="208">
        <f t="shared" si="6"/>
        <v>0</v>
      </c>
      <c r="Q17" s="209">
        <f t="shared" si="7"/>
        <v>0</v>
      </c>
      <c r="R17" s="209">
        <f t="shared" si="8"/>
        <v>0</v>
      </c>
      <c r="S17" s="209">
        <f t="shared" si="9"/>
        <v>0</v>
      </c>
      <c r="T17" s="209">
        <f t="shared" si="10"/>
        <v>0</v>
      </c>
      <c r="U17" s="210">
        <f t="shared" si="11"/>
        <v>0</v>
      </c>
      <c r="V17" s="211">
        <f t="shared" si="12"/>
        <v>0</v>
      </c>
      <c r="W17" s="212">
        <f t="shared" si="13"/>
        <v>0</v>
      </c>
    </row>
    <row r="18" spans="1:23" x14ac:dyDescent="0.25">
      <c r="B18" s="101"/>
      <c r="C18" s="103">
        <f t="shared" si="4"/>
        <v>0</v>
      </c>
      <c r="D18" s="20">
        <f t="shared" si="15"/>
        <v>0</v>
      </c>
      <c r="E18" s="21"/>
      <c r="F18" s="21"/>
      <c r="G18" s="21"/>
      <c r="H18" s="21"/>
      <c r="I18" s="21"/>
      <c r="J18" s="21"/>
      <c r="K18" s="219">
        <f t="shared" si="2"/>
        <v>0</v>
      </c>
      <c r="L18" s="23">
        <f t="shared" si="14"/>
        <v>0</v>
      </c>
      <c r="M18" s="224" t="str">
        <f>IF(B18&lt;&gt;"",      IF(COUNTIF(Parametros!$B$19:$B$58,B18)&gt;1,1,        IF(AND(K18&lt;&gt;0,V18=0),3,"")),IF(K18&lt;&gt;0,2,"")      )</f>
        <v/>
      </c>
      <c r="P18" s="208">
        <f t="shared" si="6"/>
        <v>0</v>
      </c>
      <c r="Q18" s="209">
        <f t="shared" si="7"/>
        <v>0</v>
      </c>
      <c r="R18" s="209">
        <f t="shared" si="8"/>
        <v>0</v>
      </c>
      <c r="S18" s="209">
        <f t="shared" si="9"/>
        <v>0</v>
      </c>
      <c r="T18" s="209">
        <f t="shared" si="10"/>
        <v>0</v>
      </c>
      <c r="U18" s="210">
        <f t="shared" si="11"/>
        <v>0</v>
      </c>
      <c r="V18" s="211">
        <f t="shared" si="12"/>
        <v>0</v>
      </c>
      <c r="W18" s="212">
        <f t="shared" si="13"/>
        <v>0</v>
      </c>
    </row>
    <row r="19" spans="1:23" x14ac:dyDescent="0.25">
      <c r="B19" s="101"/>
      <c r="C19" s="103">
        <f t="shared" si="4"/>
        <v>0</v>
      </c>
      <c r="D19" s="20">
        <f t="shared" ref="D19:D24" si="16">IF(B19=0,0,INDEX(Perfiles,MATCH(B19,Nombres,0)))</f>
        <v>0</v>
      </c>
      <c r="E19" s="24"/>
      <c r="F19" s="21"/>
      <c r="G19" s="25"/>
      <c r="H19" s="25"/>
      <c r="I19" s="25"/>
      <c r="J19" s="25"/>
      <c r="K19" s="219">
        <f t="shared" si="2"/>
        <v>0</v>
      </c>
      <c r="L19" s="23">
        <f t="shared" si="14"/>
        <v>0</v>
      </c>
      <c r="M19" s="224" t="str">
        <f>IF(B19&lt;&gt;"",      IF(COUNTIF(Parametros!$B$19:$B$58,B19)&gt;1,1,        IF(AND(K19&lt;&gt;0,V19=0),3,"")),IF(K19&lt;&gt;0,2,"")      )</f>
        <v/>
      </c>
      <c r="P19" s="208">
        <f t="shared" si="6"/>
        <v>0</v>
      </c>
      <c r="Q19" s="209">
        <f t="shared" si="7"/>
        <v>0</v>
      </c>
      <c r="R19" s="209">
        <f t="shared" si="8"/>
        <v>0</v>
      </c>
      <c r="S19" s="209">
        <f t="shared" si="9"/>
        <v>0</v>
      </c>
      <c r="T19" s="209">
        <f t="shared" si="10"/>
        <v>0</v>
      </c>
      <c r="U19" s="210">
        <f t="shared" si="11"/>
        <v>0</v>
      </c>
      <c r="V19" s="211">
        <f t="shared" si="12"/>
        <v>0</v>
      </c>
      <c r="W19" s="212">
        <f t="shared" si="13"/>
        <v>0</v>
      </c>
    </row>
    <row r="20" spans="1:23" x14ac:dyDescent="0.25">
      <c r="B20" s="101"/>
      <c r="C20" s="103">
        <f t="shared" si="4"/>
        <v>0</v>
      </c>
      <c r="D20" s="20">
        <f t="shared" si="16"/>
        <v>0</v>
      </c>
      <c r="E20" s="24"/>
      <c r="F20" s="21"/>
      <c r="G20" s="25"/>
      <c r="H20" s="25"/>
      <c r="I20" s="25"/>
      <c r="J20" s="25"/>
      <c r="K20" s="219">
        <f t="shared" si="2"/>
        <v>0</v>
      </c>
      <c r="L20" s="23">
        <f t="shared" si="14"/>
        <v>0</v>
      </c>
      <c r="M20" s="224" t="str">
        <f>IF(B20&lt;&gt;"",      IF(COUNTIF(Parametros!$B$19:$B$58,B20)&gt;1,1,        IF(AND(K20&lt;&gt;0,V20=0),3,"")),IF(K20&lt;&gt;0,2,"")      )</f>
        <v/>
      </c>
      <c r="P20" s="208">
        <f t="shared" si="6"/>
        <v>0</v>
      </c>
      <c r="Q20" s="209">
        <f t="shared" si="7"/>
        <v>0</v>
      </c>
      <c r="R20" s="209">
        <f t="shared" si="8"/>
        <v>0</v>
      </c>
      <c r="S20" s="209">
        <f t="shared" si="9"/>
        <v>0</v>
      </c>
      <c r="T20" s="209">
        <f t="shared" si="10"/>
        <v>0</v>
      </c>
      <c r="U20" s="210">
        <f t="shared" si="11"/>
        <v>0</v>
      </c>
      <c r="V20" s="211">
        <f t="shared" si="12"/>
        <v>0</v>
      </c>
      <c r="W20" s="212">
        <f t="shared" si="13"/>
        <v>0</v>
      </c>
    </row>
    <row r="21" spans="1:23" x14ac:dyDescent="0.25">
      <c r="B21" s="101"/>
      <c r="C21" s="103">
        <f t="shared" si="4"/>
        <v>0</v>
      </c>
      <c r="D21" s="20">
        <f t="shared" si="16"/>
        <v>0</v>
      </c>
      <c r="E21" s="24"/>
      <c r="F21" s="21"/>
      <c r="G21" s="25"/>
      <c r="H21" s="25"/>
      <c r="I21" s="25"/>
      <c r="J21" s="25"/>
      <c r="K21" s="219">
        <f t="shared" si="2"/>
        <v>0</v>
      </c>
      <c r="L21" s="23">
        <f t="shared" si="14"/>
        <v>0</v>
      </c>
      <c r="M21" s="224" t="str">
        <f>IF(B21&lt;&gt;"",      IF(COUNTIF(Parametros!$B$19:$B$58,B21)&gt;1,1,        IF(AND(K21&lt;&gt;0,V21=0),3,"")),IF(K21&lt;&gt;0,2,"")      )</f>
        <v/>
      </c>
      <c r="P21" s="208">
        <f t="shared" si="6"/>
        <v>0</v>
      </c>
      <c r="Q21" s="209">
        <f t="shared" si="7"/>
        <v>0</v>
      </c>
      <c r="R21" s="209">
        <f t="shared" si="8"/>
        <v>0</v>
      </c>
      <c r="S21" s="209">
        <f t="shared" si="9"/>
        <v>0</v>
      </c>
      <c r="T21" s="209">
        <f t="shared" si="10"/>
        <v>0</v>
      </c>
      <c r="U21" s="210">
        <f t="shared" si="11"/>
        <v>0</v>
      </c>
      <c r="V21" s="211">
        <f t="shared" si="12"/>
        <v>0</v>
      </c>
      <c r="W21" s="212">
        <f t="shared" si="13"/>
        <v>0</v>
      </c>
    </row>
    <row r="22" spans="1:23" x14ac:dyDescent="0.25">
      <c r="B22" s="101"/>
      <c r="C22" s="103">
        <f t="shared" si="4"/>
        <v>0</v>
      </c>
      <c r="D22" s="20">
        <f t="shared" si="16"/>
        <v>0</v>
      </c>
      <c r="E22" s="24"/>
      <c r="F22" s="21"/>
      <c r="G22" s="25"/>
      <c r="H22" s="25"/>
      <c r="I22" s="25"/>
      <c r="J22" s="25"/>
      <c r="K22" s="219">
        <f t="shared" si="2"/>
        <v>0</v>
      </c>
      <c r="L22" s="23">
        <f t="shared" si="14"/>
        <v>0</v>
      </c>
      <c r="M22" s="224" t="str">
        <f>IF(B22&lt;&gt;"",      IF(COUNTIF(Parametros!$B$19:$B$58,B22)&gt;1,1,        IF(AND(K22&lt;&gt;0,V22=0),3,"")),IF(K22&lt;&gt;0,2,"")      )</f>
        <v/>
      </c>
      <c r="P22" s="208">
        <f t="shared" si="6"/>
        <v>0</v>
      </c>
      <c r="Q22" s="209">
        <f t="shared" si="7"/>
        <v>0</v>
      </c>
      <c r="R22" s="209">
        <f t="shared" si="8"/>
        <v>0</v>
      </c>
      <c r="S22" s="209">
        <f t="shared" si="9"/>
        <v>0</v>
      </c>
      <c r="T22" s="209">
        <f t="shared" si="10"/>
        <v>0</v>
      </c>
      <c r="U22" s="210">
        <f t="shared" si="11"/>
        <v>0</v>
      </c>
      <c r="V22" s="211">
        <f t="shared" si="12"/>
        <v>0</v>
      </c>
      <c r="W22" s="212">
        <f t="shared" si="13"/>
        <v>0</v>
      </c>
    </row>
    <row r="23" spans="1:23" x14ac:dyDescent="0.25">
      <c r="B23" s="101"/>
      <c r="C23" s="103">
        <f t="shared" si="4"/>
        <v>0</v>
      </c>
      <c r="D23" s="20">
        <f t="shared" si="16"/>
        <v>0</v>
      </c>
      <c r="E23" s="24"/>
      <c r="F23" s="21"/>
      <c r="G23" s="25"/>
      <c r="H23" s="25"/>
      <c r="I23" s="25"/>
      <c r="J23" s="25"/>
      <c r="K23" s="219">
        <f t="shared" si="2"/>
        <v>0</v>
      </c>
      <c r="L23" s="23">
        <f t="shared" si="14"/>
        <v>0</v>
      </c>
      <c r="M23" s="224" t="str">
        <f>IF(B23&lt;&gt;"",      IF(COUNTIF(Parametros!$B$19:$B$58,B23)&gt;1,1,        IF(AND(K23&lt;&gt;0,V23=0),3,"")),IF(K23&lt;&gt;0,2,"")      )</f>
        <v/>
      </c>
      <c r="P23" s="208">
        <f t="shared" si="6"/>
        <v>0</v>
      </c>
      <c r="Q23" s="209">
        <f t="shared" si="7"/>
        <v>0</v>
      </c>
      <c r="R23" s="209">
        <f t="shared" si="8"/>
        <v>0</v>
      </c>
      <c r="S23" s="209">
        <f t="shared" si="9"/>
        <v>0</v>
      </c>
      <c r="T23" s="209">
        <f t="shared" si="10"/>
        <v>0</v>
      </c>
      <c r="U23" s="210">
        <f t="shared" si="11"/>
        <v>0</v>
      </c>
      <c r="V23" s="211">
        <f t="shared" si="12"/>
        <v>0</v>
      </c>
      <c r="W23" s="212">
        <f t="shared" si="13"/>
        <v>0</v>
      </c>
    </row>
    <row r="24" spans="1:23" x14ac:dyDescent="0.25">
      <c r="B24" s="101"/>
      <c r="C24" s="103">
        <f t="shared" si="4"/>
        <v>0</v>
      </c>
      <c r="D24" s="20">
        <f t="shared" si="16"/>
        <v>0</v>
      </c>
      <c r="E24" s="24"/>
      <c r="F24" s="21"/>
      <c r="G24" s="25"/>
      <c r="H24" s="25"/>
      <c r="I24" s="25"/>
      <c r="J24" s="25"/>
      <c r="K24" s="219">
        <f t="shared" si="2"/>
        <v>0</v>
      </c>
      <c r="L24" s="23">
        <f t="shared" si="14"/>
        <v>0</v>
      </c>
      <c r="M24" s="224" t="str">
        <f>IF(B24&lt;&gt;"",      IF(COUNTIF(Parametros!$B$19:$B$58,B24)&gt;1,1,        IF(AND(K24&lt;&gt;0,V24=0),3,"")),IF(K24&lt;&gt;0,2,"")      )</f>
        <v/>
      </c>
      <c r="P24" s="208">
        <f t="shared" si="6"/>
        <v>0</v>
      </c>
      <c r="Q24" s="209">
        <f t="shared" si="7"/>
        <v>0</v>
      </c>
      <c r="R24" s="209">
        <f t="shared" si="8"/>
        <v>0</v>
      </c>
      <c r="S24" s="209">
        <f t="shared" si="9"/>
        <v>0</v>
      </c>
      <c r="T24" s="209">
        <f t="shared" si="10"/>
        <v>0</v>
      </c>
      <c r="U24" s="210">
        <f t="shared" si="11"/>
        <v>0</v>
      </c>
      <c r="V24" s="211">
        <f t="shared" si="12"/>
        <v>0</v>
      </c>
      <c r="W24" s="212">
        <f t="shared" si="13"/>
        <v>0</v>
      </c>
    </row>
    <row r="25" spans="1:23" x14ac:dyDescent="0.25">
      <c r="B25" s="101"/>
      <c r="C25" s="103">
        <f t="shared" si="4"/>
        <v>0</v>
      </c>
      <c r="D25" s="20">
        <f>IF(B25=0,0,INDEX(Perfiles,MATCH(B25,Nombres,0)))</f>
        <v>0</v>
      </c>
      <c r="E25" s="24"/>
      <c r="F25" s="21"/>
      <c r="G25" s="25"/>
      <c r="H25" s="25"/>
      <c r="I25" s="25"/>
      <c r="J25" s="25"/>
      <c r="K25" s="219">
        <f t="shared" si="2"/>
        <v>0</v>
      </c>
      <c r="L25" s="23">
        <f t="shared" si="14"/>
        <v>0</v>
      </c>
      <c r="M25" s="224" t="str">
        <f>IF(B25&lt;&gt;"",      IF(COUNTIF(Parametros!$B$19:$B$58,B25)&gt;1,1,        IF(AND(K25&lt;&gt;0,V25=0),3,"")),IF(K25&lt;&gt;0,2,"")      )</f>
        <v/>
      </c>
      <c r="P25" s="208">
        <f t="shared" si="6"/>
        <v>0</v>
      </c>
      <c r="Q25" s="209">
        <f t="shared" si="7"/>
        <v>0</v>
      </c>
      <c r="R25" s="209">
        <f t="shared" si="8"/>
        <v>0</v>
      </c>
      <c r="S25" s="209">
        <f t="shared" si="9"/>
        <v>0</v>
      </c>
      <c r="T25" s="209">
        <f t="shared" si="10"/>
        <v>0</v>
      </c>
      <c r="U25" s="210">
        <f t="shared" si="11"/>
        <v>0</v>
      </c>
      <c r="V25" s="211">
        <f t="shared" si="12"/>
        <v>0</v>
      </c>
      <c r="W25" s="212">
        <f t="shared" si="13"/>
        <v>0</v>
      </c>
    </row>
    <row r="26" spans="1:23" ht="13" thickBot="1" x14ac:dyDescent="0.3">
      <c r="A26" s="1">
        <f>ROW()</f>
        <v>26</v>
      </c>
      <c r="B26" s="102"/>
      <c r="C26" s="104">
        <f t="shared" si="4"/>
        <v>0</v>
      </c>
      <c r="D26" s="26">
        <f>IF(B26=0,0,INDEX(Perfiles,MATCH(B26,Nombres,0)))</f>
        <v>0</v>
      </c>
      <c r="E26" s="27"/>
      <c r="F26" s="28"/>
      <c r="G26" s="29"/>
      <c r="H26" s="29"/>
      <c r="I26" s="29"/>
      <c r="J26" s="29"/>
      <c r="K26" s="220">
        <f t="shared" si="2"/>
        <v>0</v>
      </c>
      <c r="L26" s="30">
        <f t="shared" si="14"/>
        <v>0</v>
      </c>
      <c r="M26" s="224" t="str">
        <f>IF(B26&lt;&gt;"",      IF(COUNTIF(Parametros!$B$19:$B$58,B26)&gt;1,1,        IF(AND(K26&lt;&gt;0,V26=0),3,"")),IF(K26&lt;&gt;0,2,"")      )</f>
        <v/>
      </c>
      <c r="P26" s="213">
        <f t="shared" si="6"/>
        <v>0</v>
      </c>
      <c r="Q26" s="214">
        <f t="shared" si="7"/>
        <v>0</v>
      </c>
      <c r="R26" s="214">
        <f t="shared" si="8"/>
        <v>0</v>
      </c>
      <c r="S26" s="214">
        <f t="shared" si="9"/>
        <v>0</v>
      </c>
      <c r="T26" s="214">
        <f t="shared" si="10"/>
        <v>0</v>
      </c>
      <c r="U26" s="215">
        <f t="shared" si="11"/>
        <v>0</v>
      </c>
      <c r="V26" s="216">
        <f t="shared" si="12"/>
        <v>0</v>
      </c>
      <c r="W26" s="217">
        <f t="shared" si="13"/>
        <v>0</v>
      </c>
    </row>
    <row r="27" spans="1:23" ht="7.5" customHeight="1" thickBot="1" x14ac:dyDescent="0.35">
      <c r="B27" s="1"/>
      <c r="C27" s="1"/>
      <c r="D27" s="1"/>
      <c r="E27" s="1"/>
      <c r="F27" s="1"/>
      <c r="G27" s="1"/>
      <c r="H27" s="1"/>
      <c r="I27" s="1"/>
      <c r="J27"/>
      <c r="K27"/>
      <c r="L27"/>
      <c r="M27" s="158"/>
    </row>
    <row r="28" spans="1:23" s="167" customFormat="1" ht="13.5" thickBot="1" x14ac:dyDescent="0.35">
      <c r="A28" s="3"/>
      <c r="B28" s="982" t="s">
        <v>374</v>
      </c>
      <c r="C28" s="983"/>
      <c r="D28" s="183" t="s">
        <v>373</v>
      </c>
      <c r="E28" s="184">
        <f>SUM(E30:E32)</f>
        <v>0</v>
      </c>
      <c r="F28" s="185">
        <f>SUM(F29:F32)</f>
        <v>7400</v>
      </c>
      <c r="G28" s="185">
        <f t="shared" ref="G28:J28" si="17">SUM(G29:G32)</f>
        <v>0</v>
      </c>
      <c r="H28" s="185">
        <f t="shared" si="17"/>
        <v>0</v>
      </c>
      <c r="I28" s="185">
        <f t="shared" si="17"/>
        <v>0</v>
      </c>
      <c r="J28" s="191">
        <f t="shared" si="17"/>
        <v>0</v>
      </c>
      <c r="K28" s="186">
        <f t="shared" si="2"/>
        <v>7400</v>
      </c>
      <c r="L28" s="192" t="s">
        <v>375</v>
      </c>
      <c r="M28" s="218"/>
    </row>
    <row r="29" spans="1:23" x14ac:dyDescent="0.25">
      <c r="B29" s="988" t="s">
        <v>376</v>
      </c>
      <c r="C29" s="989"/>
      <c r="D29" s="193"/>
      <c r="E29" s="756"/>
      <c r="F29" s="755">
        <f>2*(2500+5*150)</f>
        <v>6500</v>
      </c>
      <c r="G29" s="33"/>
      <c r="H29" s="33"/>
      <c r="I29" s="33"/>
      <c r="J29" s="33"/>
      <c r="K29" s="320">
        <f>SUM(F29:J29)</f>
        <v>6500</v>
      </c>
      <c r="L29" s="325" t="str">
        <f t="shared" ref="L29:L56" si="18">B29</f>
        <v>Agencia de Viajes</v>
      </c>
      <c r="M29" s="224" t="str">
        <f>IF(B29="", IF(K29&lt;&gt;0,3,""),""    )</f>
        <v/>
      </c>
    </row>
    <row r="30" spans="1:23" x14ac:dyDescent="0.25">
      <c r="B30" s="968" t="s">
        <v>377</v>
      </c>
      <c r="C30" s="969"/>
      <c r="D30" s="175"/>
      <c r="E30" s="756"/>
      <c r="F30" s="756">
        <f>2*5*90</f>
        <v>900</v>
      </c>
      <c r="G30" s="35"/>
      <c r="H30" s="35"/>
      <c r="I30" s="35"/>
      <c r="J30" s="35"/>
      <c r="K30" s="221">
        <f>SUM(F30:J30)</f>
        <v>900</v>
      </c>
      <c r="L30" s="324" t="str">
        <f>B30</f>
        <v>Expenses/Gastos</v>
      </c>
      <c r="M30" s="224" t="str">
        <f t="shared" ref="M30:M32" si="19">IF(B30="", IF(K30&lt;&gt;0,3,""),""    )</f>
        <v/>
      </c>
    </row>
    <row r="31" spans="1:23" x14ac:dyDescent="0.25">
      <c r="B31" s="968"/>
      <c r="C31" s="969"/>
      <c r="D31" s="175"/>
      <c r="E31" s="756"/>
      <c r="F31" s="35"/>
      <c r="G31" s="35"/>
      <c r="H31" s="35"/>
      <c r="I31" s="35"/>
      <c r="J31" s="35"/>
      <c r="K31" s="221">
        <f t="shared" si="2"/>
        <v>0</v>
      </c>
      <c r="L31" s="324">
        <f t="shared" si="18"/>
        <v>0</v>
      </c>
      <c r="M31" s="224" t="str">
        <f t="shared" si="19"/>
        <v/>
      </c>
    </row>
    <row r="32" spans="1:23" ht="13" thickBot="1" x14ac:dyDescent="0.3">
      <c r="A32" s="1">
        <f>ROW()</f>
        <v>32</v>
      </c>
      <c r="B32" s="984"/>
      <c r="C32" s="985"/>
      <c r="D32" s="323"/>
      <c r="E32" s="757"/>
      <c r="F32" s="37"/>
      <c r="G32" s="37"/>
      <c r="H32" s="37"/>
      <c r="I32" s="37"/>
      <c r="J32" s="37"/>
      <c r="K32" s="222">
        <f>SUM(E32:J32)</f>
        <v>0</v>
      </c>
      <c r="L32" s="326">
        <f t="shared" si="18"/>
        <v>0</v>
      </c>
      <c r="M32" s="224" t="str">
        <f t="shared" si="19"/>
        <v/>
      </c>
    </row>
    <row r="33" spans="1:13" ht="13" thickBot="1" x14ac:dyDescent="0.3">
      <c r="B33" s="986"/>
      <c r="C33" s="987"/>
      <c r="D33" s="175" t="s">
        <v>370</v>
      </c>
      <c r="E33" s="321">
        <f>año_inicio</f>
        <v>2025</v>
      </c>
      <c r="F33" s="322">
        <f>E33+1</f>
        <v>2026</v>
      </c>
      <c r="G33" s="322">
        <f>F33+1</f>
        <v>2027</v>
      </c>
      <c r="H33" s="322">
        <f>G33+1</f>
        <v>2028</v>
      </c>
      <c r="I33" s="322">
        <f>H33+1</f>
        <v>2029</v>
      </c>
      <c r="J33" s="322">
        <f>I33+1</f>
        <v>2030</v>
      </c>
      <c r="K33" s="219" t="s">
        <v>346</v>
      </c>
      <c r="L33" s="225"/>
      <c r="M33" s="158"/>
    </row>
    <row r="34" spans="1:13" ht="13.5" thickBot="1" x14ac:dyDescent="0.35">
      <c r="B34" s="982" t="s">
        <v>378</v>
      </c>
      <c r="C34" s="983"/>
      <c r="D34" s="183" t="s">
        <v>373</v>
      </c>
      <c r="E34" s="184">
        <f t="shared" ref="E34:J34" si="20">SUM(E35:E48)</f>
        <v>40000</v>
      </c>
      <c r="F34" s="185">
        <f t="shared" si="20"/>
        <v>0</v>
      </c>
      <c r="G34" s="185">
        <f t="shared" si="20"/>
        <v>0</v>
      </c>
      <c r="H34" s="185">
        <f t="shared" si="20"/>
        <v>0</v>
      </c>
      <c r="I34" s="185">
        <f t="shared" si="20"/>
        <v>0</v>
      </c>
      <c r="J34" s="191">
        <f t="shared" si="20"/>
        <v>0</v>
      </c>
      <c r="K34" s="194">
        <f t="shared" ref="K34:K56" si="21">SUM(E34:J34)</f>
        <v>40000</v>
      </c>
      <c r="L34" s="192" t="s">
        <v>379</v>
      </c>
      <c r="M34" s="158"/>
    </row>
    <row r="35" spans="1:13" x14ac:dyDescent="0.25">
      <c r="B35" s="988" t="s">
        <v>380</v>
      </c>
      <c r="C35" s="989"/>
      <c r="D35" s="178"/>
      <c r="E35" s="32"/>
      <c r="F35" s="33"/>
      <c r="G35" s="33"/>
      <c r="H35" s="33"/>
      <c r="I35" s="33"/>
      <c r="J35" s="33"/>
      <c r="K35" s="320">
        <f t="shared" si="21"/>
        <v>0</v>
      </c>
      <c r="L35" s="325" t="str">
        <f t="shared" si="18"/>
        <v>Licencias SW y HW</v>
      </c>
      <c r="M35" s="158"/>
    </row>
    <row r="36" spans="1:13" x14ac:dyDescent="0.25">
      <c r="B36" s="968" t="s">
        <v>381</v>
      </c>
      <c r="C36" s="969"/>
      <c r="D36" s="219"/>
      <c r="E36" s="34"/>
      <c r="F36" s="35"/>
      <c r="G36" s="35"/>
      <c r="H36" s="35"/>
      <c r="I36" s="35"/>
      <c r="J36" s="35"/>
      <c r="K36" s="221">
        <f t="shared" si="21"/>
        <v>0</v>
      </c>
      <c r="L36" s="324" t="str">
        <f t="shared" si="18"/>
        <v>Mantenimiento SW de terceros</v>
      </c>
      <c r="M36" s="158"/>
    </row>
    <row r="37" spans="1:13" x14ac:dyDescent="0.25">
      <c r="B37" s="968" t="s">
        <v>382</v>
      </c>
      <c r="C37" s="969"/>
      <c r="D37" s="219"/>
      <c r="E37" s="34">
        <f>10*80*50</f>
        <v>40000</v>
      </c>
      <c r="F37" s="35"/>
      <c r="G37" s="35"/>
      <c r="H37" s="35"/>
      <c r="I37" s="35"/>
      <c r="J37" s="35"/>
      <c r="K37" s="221">
        <f t="shared" si="21"/>
        <v>40000</v>
      </c>
      <c r="L37" s="324" t="s">
        <v>788</v>
      </c>
      <c r="M37" s="158"/>
    </row>
    <row r="38" spans="1:13" x14ac:dyDescent="0.25">
      <c r="B38" s="968" t="s">
        <v>383</v>
      </c>
      <c r="C38" s="969"/>
      <c r="D38" s="219"/>
      <c r="E38" s="34"/>
      <c r="F38" s="35"/>
      <c r="G38" s="35"/>
      <c r="H38" s="35"/>
      <c r="I38" s="35"/>
      <c r="J38" s="35"/>
      <c r="K38" s="221">
        <f t="shared" si="21"/>
        <v>0</v>
      </c>
      <c r="L38" s="324" t="str">
        <f t="shared" si="18"/>
        <v>Mantenimiento de HW</v>
      </c>
      <c r="M38" s="158"/>
    </row>
    <row r="39" spans="1:13" x14ac:dyDescent="0.25">
      <c r="B39" s="968"/>
      <c r="C39" s="969"/>
      <c r="D39" s="219"/>
      <c r="E39" s="34"/>
      <c r="F39" s="35"/>
      <c r="G39" s="35"/>
      <c r="H39" s="35"/>
      <c r="I39" s="35"/>
      <c r="J39" s="35"/>
      <c r="K39" s="221">
        <f t="shared" si="21"/>
        <v>0</v>
      </c>
      <c r="L39" s="324">
        <f t="shared" si="18"/>
        <v>0</v>
      </c>
      <c r="M39" s="158"/>
    </row>
    <row r="40" spans="1:13" x14ac:dyDescent="0.25">
      <c r="B40" s="968"/>
      <c r="C40" s="969"/>
      <c r="D40" s="219"/>
      <c r="E40" s="34"/>
      <c r="F40" s="35"/>
      <c r="G40" s="35"/>
      <c r="H40" s="35"/>
      <c r="I40" s="35"/>
      <c r="J40" s="35"/>
      <c r="K40" s="221">
        <f t="shared" ref="K40:K46" si="22">SUM(E40:J40)</f>
        <v>0</v>
      </c>
      <c r="L40" s="324">
        <f t="shared" ref="L40:L46" si="23">B40</f>
        <v>0</v>
      </c>
      <c r="M40" s="158"/>
    </row>
    <row r="41" spans="1:13" x14ac:dyDescent="0.25">
      <c r="B41" s="968"/>
      <c r="C41" s="969"/>
      <c r="D41" s="219"/>
      <c r="E41" s="34"/>
      <c r="F41" s="35"/>
      <c r="G41" s="35"/>
      <c r="H41" s="35"/>
      <c r="I41" s="35"/>
      <c r="J41" s="35"/>
      <c r="K41" s="221">
        <f t="shared" si="22"/>
        <v>0</v>
      </c>
      <c r="L41" s="324">
        <f t="shared" si="23"/>
        <v>0</v>
      </c>
      <c r="M41" s="158"/>
    </row>
    <row r="42" spans="1:13" x14ac:dyDescent="0.25">
      <c r="B42" s="968"/>
      <c r="C42" s="969"/>
      <c r="D42" s="219"/>
      <c r="E42" s="34"/>
      <c r="F42" s="35"/>
      <c r="G42" s="35"/>
      <c r="H42" s="35"/>
      <c r="I42" s="35"/>
      <c r="J42" s="35"/>
      <c r="K42" s="221">
        <f t="shared" si="22"/>
        <v>0</v>
      </c>
      <c r="L42" s="324">
        <f t="shared" si="23"/>
        <v>0</v>
      </c>
      <c r="M42" s="158"/>
    </row>
    <row r="43" spans="1:13" x14ac:dyDescent="0.25">
      <c r="B43" s="968"/>
      <c r="C43" s="969"/>
      <c r="D43" s="219"/>
      <c r="E43" s="34"/>
      <c r="F43" s="35"/>
      <c r="G43" s="35"/>
      <c r="H43" s="35"/>
      <c r="I43" s="35"/>
      <c r="J43" s="35"/>
      <c r="K43" s="221">
        <f t="shared" si="22"/>
        <v>0</v>
      </c>
      <c r="L43" s="324">
        <f t="shared" si="23"/>
        <v>0</v>
      </c>
      <c r="M43" s="158"/>
    </row>
    <row r="44" spans="1:13" x14ac:dyDescent="0.25">
      <c r="B44" s="968"/>
      <c r="C44" s="969"/>
      <c r="D44" s="219"/>
      <c r="E44" s="34"/>
      <c r="F44" s="35"/>
      <c r="G44" s="35"/>
      <c r="H44" s="35"/>
      <c r="I44" s="35"/>
      <c r="J44" s="35"/>
      <c r="K44" s="221">
        <f t="shared" si="22"/>
        <v>0</v>
      </c>
      <c r="L44" s="324">
        <f t="shared" si="23"/>
        <v>0</v>
      </c>
      <c r="M44" s="158"/>
    </row>
    <row r="45" spans="1:13" x14ac:dyDescent="0.25">
      <c r="B45" s="968" t="s">
        <v>380</v>
      </c>
      <c r="C45" s="969"/>
      <c r="D45" s="219"/>
      <c r="E45" s="34"/>
      <c r="F45" s="35"/>
      <c r="G45" s="35"/>
      <c r="H45" s="35"/>
      <c r="I45" s="35"/>
      <c r="J45" s="35"/>
      <c r="K45" s="221">
        <f t="shared" si="22"/>
        <v>0</v>
      </c>
      <c r="L45" s="324" t="str">
        <f t="shared" si="23"/>
        <v>Licencias SW y HW</v>
      </c>
      <c r="M45" s="158"/>
    </row>
    <row r="46" spans="1:13" x14ac:dyDescent="0.25">
      <c r="B46" s="968" t="s">
        <v>380</v>
      </c>
      <c r="C46" s="969"/>
      <c r="D46" s="219"/>
      <c r="E46" s="34"/>
      <c r="F46" s="35"/>
      <c r="G46" s="35"/>
      <c r="H46" s="35"/>
      <c r="I46" s="35"/>
      <c r="J46" s="35"/>
      <c r="K46" s="221">
        <f t="shared" si="22"/>
        <v>0</v>
      </c>
      <c r="L46" s="324" t="str">
        <f t="shared" si="23"/>
        <v>Licencias SW y HW</v>
      </c>
      <c r="M46" s="158"/>
    </row>
    <row r="47" spans="1:13" x14ac:dyDescent="0.25">
      <c r="B47" s="968" t="s">
        <v>380</v>
      </c>
      <c r="C47" s="969"/>
      <c r="D47" s="219"/>
      <c r="E47" s="34"/>
      <c r="F47" s="35"/>
      <c r="G47" s="35"/>
      <c r="H47" s="35"/>
      <c r="I47" s="35"/>
      <c r="J47" s="35"/>
      <c r="K47" s="221">
        <f t="shared" si="21"/>
        <v>0</v>
      </c>
      <c r="L47" s="324" t="str">
        <f t="shared" si="18"/>
        <v>Licencias SW y HW</v>
      </c>
      <c r="M47" s="158"/>
    </row>
    <row r="48" spans="1:13" ht="13" thickBot="1" x14ac:dyDescent="0.3">
      <c r="A48" s="1">
        <f>ROW()</f>
        <v>48</v>
      </c>
      <c r="B48" s="968" t="s">
        <v>382</v>
      </c>
      <c r="C48" s="969"/>
      <c r="D48" s="220"/>
      <c r="E48" s="36"/>
      <c r="F48" s="37"/>
      <c r="G48" s="37"/>
      <c r="H48" s="37"/>
      <c r="I48" s="37"/>
      <c r="J48" s="37"/>
      <c r="K48" s="222">
        <f t="shared" si="21"/>
        <v>0</v>
      </c>
      <c r="L48" s="324" t="str">
        <f t="shared" si="18"/>
        <v>Subcontrataciones</v>
      </c>
      <c r="M48" s="158"/>
    </row>
    <row r="49" spans="2:13" ht="13.5" thickBot="1" x14ac:dyDescent="0.35">
      <c r="B49" s="982" t="s">
        <v>384</v>
      </c>
      <c r="C49" s="983"/>
      <c r="D49" s="171" t="s">
        <v>373</v>
      </c>
      <c r="E49" s="195">
        <f t="shared" ref="E49:J49" si="24">SUM(E50:E52)</f>
        <v>1741.75</v>
      </c>
      <c r="F49" s="196">
        <f t="shared" si="24"/>
        <v>14463.002500000001</v>
      </c>
      <c r="G49" s="196">
        <f t="shared" si="24"/>
        <v>1246.5575000000001</v>
      </c>
      <c r="H49" s="196">
        <f t="shared" si="24"/>
        <v>924.44704200000001</v>
      </c>
      <c r="I49" s="196">
        <f t="shared" si="24"/>
        <v>0</v>
      </c>
      <c r="J49" s="196">
        <f t="shared" si="24"/>
        <v>0</v>
      </c>
      <c r="K49" s="197">
        <f t="shared" si="21"/>
        <v>18375.757042000001</v>
      </c>
      <c r="L49" s="192" t="s">
        <v>385</v>
      </c>
      <c r="M49" s="158"/>
    </row>
    <row r="50" spans="2:13" x14ac:dyDescent="0.25">
      <c r="B50" s="974" t="str">
        <f>Parametros!B5</f>
        <v>Riesgo genérico</v>
      </c>
      <c r="C50" s="975"/>
      <c r="D50" s="223">
        <f>Rs</f>
        <v>0.05</v>
      </c>
      <c r="E50" s="198">
        <f t="shared" ref="E50:J50" si="25">E4*Rs</f>
        <v>1741.75</v>
      </c>
      <c r="F50" s="199">
        <f t="shared" si="25"/>
        <v>14463.002500000001</v>
      </c>
      <c r="G50" s="199">
        <f t="shared" si="25"/>
        <v>1246.5575000000001</v>
      </c>
      <c r="H50" s="199">
        <f t="shared" si="25"/>
        <v>924.44704200000001</v>
      </c>
      <c r="I50" s="199">
        <f t="shared" si="25"/>
        <v>0</v>
      </c>
      <c r="J50" s="199">
        <f t="shared" si="25"/>
        <v>0</v>
      </c>
      <c r="K50" s="221">
        <f t="shared" si="21"/>
        <v>18375.757042000001</v>
      </c>
      <c r="L50" s="328" t="str">
        <f t="shared" si="18"/>
        <v>Riesgo genérico</v>
      </c>
      <c r="M50" s="158"/>
    </row>
    <row r="51" spans="2:13" x14ac:dyDescent="0.25">
      <c r="B51" s="976" t="s">
        <v>386</v>
      </c>
      <c r="C51" s="977"/>
      <c r="D51" s="175">
        <f>resris</f>
        <v>0</v>
      </c>
      <c r="E51" s="106">
        <f>D51</f>
        <v>0</v>
      </c>
      <c r="F51" s="35"/>
      <c r="G51" s="35"/>
      <c r="H51" s="35"/>
      <c r="I51" s="35"/>
      <c r="J51" s="35"/>
      <c r="K51" s="221">
        <f t="shared" si="21"/>
        <v>0</v>
      </c>
      <c r="L51" s="328" t="str">
        <f t="shared" si="18"/>
        <v>Riesgo evaluado en chklst</v>
      </c>
      <c r="M51" s="158"/>
    </row>
    <row r="52" spans="2:13" ht="13" thickBot="1" x14ac:dyDescent="0.3">
      <c r="B52" s="972" t="s">
        <v>387</v>
      </c>
      <c r="C52" s="973"/>
      <c r="D52" s="220"/>
      <c r="E52" s="36"/>
      <c r="F52" s="37"/>
      <c r="G52" s="37"/>
      <c r="H52" s="37"/>
      <c r="I52" s="37"/>
      <c r="J52" s="37"/>
      <c r="K52" s="222">
        <f t="shared" si="21"/>
        <v>0</v>
      </c>
      <c r="L52" s="328" t="str">
        <f t="shared" si="18"/>
        <v>Otros</v>
      </c>
      <c r="M52" s="158"/>
    </row>
    <row r="53" spans="2:13" ht="13.5" thickBot="1" x14ac:dyDescent="0.35">
      <c r="B53" s="982" t="s">
        <v>388</v>
      </c>
      <c r="C53" s="983"/>
      <c r="D53" s="171" t="s">
        <v>373</v>
      </c>
      <c r="E53" s="200">
        <f t="shared" ref="E53:J53" si="26">SUM(E54:E56)</f>
        <v>0</v>
      </c>
      <c r="F53" s="201">
        <f t="shared" si="26"/>
        <v>0</v>
      </c>
      <c r="G53" s="201">
        <f t="shared" si="26"/>
        <v>0</v>
      </c>
      <c r="H53" s="201">
        <f t="shared" si="26"/>
        <v>0</v>
      </c>
      <c r="I53" s="201">
        <f t="shared" si="26"/>
        <v>0</v>
      </c>
      <c r="J53" s="201">
        <f t="shared" si="26"/>
        <v>0</v>
      </c>
      <c r="K53" s="202">
        <f t="shared" si="21"/>
        <v>0</v>
      </c>
      <c r="L53" s="192" t="s">
        <v>389</v>
      </c>
      <c r="M53" s="158"/>
    </row>
    <row r="54" spans="2:13" x14ac:dyDescent="0.25">
      <c r="B54" s="978"/>
      <c r="C54" s="979"/>
      <c r="D54" s="219"/>
      <c r="E54" s="34"/>
      <c r="F54" s="35"/>
      <c r="G54" s="35"/>
      <c r="H54" s="35"/>
      <c r="I54" s="35"/>
      <c r="J54" s="35"/>
      <c r="K54" s="221">
        <f t="shared" si="21"/>
        <v>0</v>
      </c>
      <c r="L54" s="225">
        <f t="shared" si="18"/>
        <v>0</v>
      </c>
      <c r="M54" s="158"/>
    </row>
    <row r="55" spans="2:13" x14ac:dyDescent="0.25">
      <c r="B55" s="980"/>
      <c r="C55" s="981"/>
      <c r="D55" s="219"/>
      <c r="E55" s="34"/>
      <c r="F55" s="35"/>
      <c r="G55" s="35"/>
      <c r="H55" s="35"/>
      <c r="I55" s="35"/>
      <c r="J55" s="35"/>
      <c r="K55" s="221">
        <f t="shared" si="21"/>
        <v>0</v>
      </c>
      <c r="L55" s="225">
        <f t="shared" si="18"/>
        <v>0</v>
      </c>
      <c r="M55" s="158"/>
    </row>
    <row r="56" spans="2:13" ht="13" thickBot="1" x14ac:dyDescent="0.3">
      <c r="B56" s="970"/>
      <c r="C56" s="971"/>
      <c r="D56" s="220"/>
      <c r="E56" s="36"/>
      <c r="F56" s="37"/>
      <c r="G56" s="37"/>
      <c r="H56" s="37"/>
      <c r="I56" s="37"/>
      <c r="J56" s="37"/>
      <c r="K56" s="222">
        <f t="shared" si="21"/>
        <v>0</v>
      </c>
      <c r="L56" s="226">
        <f t="shared" si="18"/>
        <v>0</v>
      </c>
      <c r="M56" s="158"/>
    </row>
    <row r="57" spans="2:13" x14ac:dyDescent="0.25">
      <c r="B57" s="1"/>
      <c r="C57" s="1"/>
      <c r="D57" s="1"/>
      <c r="E57" s="1"/>
      <c r="F57" s="1"/>
      <c r="G57" s="1"/>
      <c r="H57" s="1"/>
      <c r="I57" s="1"/>
      <c r="J57" s="1"/>
      <c r="K57" s="1"/>
      <c r="L57" s="1"/>
      <c r="M57" s="158"/>
    </row>
  </sheetData>
  <sheetProtection algorithmName="SHA-512" hashValue="Kzo0yn6hiwFWZ8UpGwoJBFhkpXf+gD5mBwTsfxbQNjvvlvTzajioLX9jlWhpJ1qJPkSaqa9eknplUdDwaWBHdQ==" saltValue="agdMIKtIu6O1qQH3W74KJg==" spinCount="100000" sheet="1" objects="1" scenarios="1" formatCells="0" formatColumns="0" formatRows="0" sort="0" autoFilter="0"/>
  <mergeCells count="34">
    <mergeCell ref="D1:E1"/>
    <mergeCell ref="E2:K2"/>
    <mergeCell ref="B30:C30"/>
    <mergeCell ref="B4:C4"/>
    <mergeCell ref="B29:C29"/>
    <mergeCell ref="B1:C1"/>
    <mergeCell ref="B3:C3"/>
    <mergeCell ref="B28:C28"/>
    <mergeCell ref="B31:C31"/>
    <mergeCell ref="B32:C32"/>
    <mergeCell ref="B33:C33"/>
    <mergeCell ref="B34:C34"/>
    <mergeCell ref="B43:C43"/>
    <mergeCell ref="B40:C40"/>
    <mergeCell ref="B35:C35"/>
    <mergeCell ref="B36:C36"/>
    <mergeCell ref="B41:C41"/>
    <mergeCell ref="B42:C42"/>
    <mergeCell ref="B37:C37"/>
    <mergeCell ref="B38:C38"/>
    <mergeCell ref="B39:C39"/>
    <mergeCell ref="B44:C44"/>
    <mergeCell ref="B56:C56"/>
    <mergeCell ref="B52:C52"/>
    <mergeCell ref="B50:C50"/>
    <mergeCell ref="B51:C51"/>
    <mergeCell ref="B54:C54"/>
    <mergeCell ref="B55:C55"/>
    <mergeCell ref="B47:C47"/>
    <mergeCell ref="B49:C49"/>
    <mergeCell ref="B53:C53"/>
    <mergeCell ref="B48:C48"/>
    <mergeCell ref="B45:C45"/>
    <mergeCell ref="B46:C46"/>
  </mergeCells>
  <phoneticPr fontId="5" type="noConversion"/>
  <conditionalFormatting sqref="B6:C26">
    <cfRule type="expression" dxfId="22" priority="24" stopIfTrue="1">
      <formula>M6=1</formula>
    </cfRule>
  </conditionalFormatting>
  <conditionalFormatting sqref="D51">
    <cfRule type="expression" dxfId="21" priority="23">
      <formula>NOT(D51=E51)</formula>
    </cfRule>
  </conditionalFormatting>
  <conditionalFormatting sqref="E51">
    <cfRule type="expression" dxfId="20" priority="22">
      <formula>NOT(E51=D51)</formula>
    </cfRule>
  </conditionalFormatting>
  <conditionalFormatting sqref="E14:L26 G6:L13">
    <cfRule type="expression" dxfId="19" priority="10">
      <formula>$M6=3</formula>
    </cfRule>
    <cfRule type="expression" dxfId="18" priority="15">
      <formula>$M6=2</formula>
    </cfRule>
    <cfRule type="expression" dxfId="17" priority="26" stopIfTrue="1">
      <formula>$M6=1</formula>
    </cfRule>
  </conditionalFormatting>
  <conditionalFormatting sqref="E31:L32 F29:L30">
    <cfRule type="expression" dxfId="16" priority="14" stopIfTrue="1">
      <formula>$M29=3</formula>
    </cfRule>
  </conditionalFormatting>
  <conditionalFormatting sqref="E11:F13 F6:F10">
    <cfRule type="expression" dxfId="15" priority="5">
      <formula>$M6=3</formula>
    </cfRule>
    <cfRule type="expression" dxfId="14" priority="6">
      <formula>$M6=2</formula>
    </cfRule>
    <cfRule type="expression" dxfId="13" priority="7" stopIfTrue="1">
      <formula>$M6=1</formula>
    </cfRule>
  </conditionalFormatting>
  <conditionalFormatting sqref="E6:E10">
    <cfRule type="expression" dxfId="12" priority="2">
      <formula>$M6=3</formula>
    </cfRule>
    <cfRule type="expression" dxfId="11" priority="3">
      <formula>$M6=2</formula>
    </cfRule>
    <cfRule type="expression" dxfId="10" priority="4" stopIfTrue="1">
      <formula>$M6=1</formula>
    </cfRule>
  </conditionalFormatting>
  <conditionalFormatting sqref="E29:E30">
    <cfRule type="expression" dxfId="9" priority="1" stopIfTrue="1">
      <formula>$M29=3</formula>
    </cfRule>
  </conditionalFormatting>
  <dataValidations count="3">
    <dataValidation type="list" allowBlank="1" showInputMessage="1" showErrorMessage="1" sqref="B6:B26" xr:uid="{00000000-0002-0000-0300-000000000000}">
      <formula1>Nombres</formula1>
    </dataValidation>
    <dataValidation type="list" allowBlank="1" showInputMessage="1" showErrorMessage="1" sqref="D6:D26" xr:uid="{00000000-0002-0000-0300-000001000000}">
      <formula1>Perfiles</formula1>
    </dataValidation>
    <dataValidation type="list" allowBlank="1" showInputMessage="1" showErrorMessage="1" errorTitle="tipo de compras" error="entrar un valor de la lista desplegable" sqref="B35:C48" xr:uid="{00000000-0002-0000-0300-000002000000}">
      <formula1>tipos_compras</formula1>
    </dataValidation>
  </dataValidations>
  <pageMargins left="0.39370078740157483" right="0.19685039370078741" top="0.19685039370078741" bottom="0.19685039370078741" header="0.19685039370078741" footer="0.19685039370078741"/>
  <pageSetup paperSize="9" scale="79" orientation="landscape" horizontalDpi="1200" verticalDpi="1200" r:id="rId1"/>
  <headerFooter scaleWithDoc="0" alignWithMargins="0">
    <oddFooter>&amp;LSCI32PT01-PPO - 2023-v3&amp;C&amp;D&amp;R&amp;F&amp;LSCI32PT01-PPO - 2023-v3</oddFooter>
  </headerFooter>
  <rowBreaks count="1" manualBreakCount="1">
    <brk id="89" max="65535"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errorTitle="tipo de gasto" error="entrar un valor de la lista desplegable" xr:uid="{00000000-0002-0000-0300-000003000000}">
          <x14:formula1>
            <xm:f>'Facturación y SAP'!$E$45:$E$46</xm:f>
          </x14:formula1>
          <xm:sqref>B29:C32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pageSetUpPr fitToPage="1"/>
  </sheetPr>
  <dimension ref="A1:I37"/>
  <sheetViews>
    <sheetView zoomScale="90" workbookViewId="0">
      <pane ySplit="6" topLeftCell="A16" activePane="bottomLeft" state="frozen"/>
      <selection activeCell="D7" sqref="D7:D8"/>
      <selection pane="bottomLeft" activeCell="C16" sqref="C16"/>
    </sheetView>
  </sheetViews>
  <sheetFormatPr baseColWidth="10" defaultColWidth="13.296875" defaultRowHeight="12.5" x14ac:dyDescent="0.25"/>
  <cols>
    <col min="1" max="1" width="3.796875" style="107" hidden="1" customWidth="1"/>
    <col min="2" max="2" width="86.796875" style="275" customWidth="1"/>
    <col min="3" max="3" width="18.796875" style="274" bestFit="1" customWidth="1"/>
    <col min="4" max="4" width="56.19921875" style="274" customWidth="1"/>
    <col min="5" max="5" width="4.19921875" style="274" hidden="1" customWidth="1"/>
    <col min="6" max="6" width="4.796875" style="274" hidden="1" customWidth="1"/>
    <col min="7" max="7" width="16" style="274" customWidth="1"/>
    <col min="8" max="16384" width="13.296875" style="274"/>
  </cols>
  <sheetData>
    <row r="1" spans="1:9" s="273" customFormat="1" ht="16" thickBot="1" x14ac:dyDescent="0.4">
      <c r="A1" s="317"/>
      <c r="B1" s="276" t="str">
        <f>"Código Oferta: "&amp;codigo_oferta</f>
        <v>Código Oferta: 20250256445</v>
      </c>
      <c r="C1"/>
      <c r="D1"/>
      <c r="E1"/>
      <c r="F1"/>
      <c r="G1"/>
      <c r="H1"/>
      <c r="I1"/>
    </row>
    <row r="2" spans="1:9" s="273" customFormat="1" ht="16" thickBot="1" x14ac:dyDescent="0.4">
      <c r="A2" s="317"/>
      <c r="B2" s="284" t="s">
        <v>390</v>
      </c>
      <c r="C2" s="285" t="s">
        <v>391</v>
      </c>
      <c r="D2"/>
      <c r="E2"/>
      <c r="F2"/>
      <c r="G2"/>
      <c r="H2"/>
      <c r="I2"/>
    </row>
    <row r="3" spans="1:9" s="273" customFormat="1" ht="20.25" customHeight="1" thickBot="1" x14ac:dyDescent="0.35">
      <c r="A3" s="317"/>
      <c r="B3" s="278"/>
      <c r="C3" s="279"/>
      <c r="D3"/>
      <c r="E3"/>
      <c r="F3"/>
      <c r="G3"/>
      <c r="H3"/>
      <c r="I3"/>
    </row>
    <row r="4" spans="1:9" ht="13.5" thickBot="1" x14ac:dyDescent="0.35">
      <c r="B4" s="286" t="str">
        <f>IF(F36&gt;0,"ES NECESARIO DOCUMENTAR FORMALMENTE LA GESTIÓN DE RIESGOS DETALLADA PARA ESTA OFERTA","")</f>
        <v>ES NECESARIO DOCUMENTAR FORMALMENTE LA GESTIÓN DE RIESGOS DETALLADA PARA ESTA OFERTA</v>
      </c>
      <c r="C4" s="287"/>
      <c r="D4"/>
      <c r="E4"/>
      <c r="F4"/>
      <c r="G4"/>
      <c r="H4"/>
      <c r="I4"/>
    </row>
    <row r="5" spans="1:9" ht="13.5" thickBot="1" x14ac:dyDescent="0.35">
      <c r="B5" s="283"/>
      <c r="C5" s="282"/>
      <c r="D5" s="282"/>
      <c r="E5" s="107" t="s">
        <v>392</v>
      </c>
      <c r="F5" s="107"/>
      <c r="G5" s="997" t="s">
        <v>393</v>
      </c>
      <c r="H5" s="998"/>
      <c r="I5" s="999"/>
    </row>
    <row r="6" spans="1:9" ht="25.5" thickBot="1" x14ac:dyDescent="0.3">
      <c r="B6" s="288" t="s">
        <v>394</v>
      </c>
      <c r="C6" s="289" t="s">
        <v>395</v>
      </c>
      <c r="D6" s="290" t="s">
        <v>396</v>
      </c>
      <c r="E6" s="107" t="s">
        <v>397</v>
      </c>
      <c r="F6" s="107" t="s">
        <v>398</v>
      </c>
      <c r="G6" s="291" t="s">
        <v>399</v>
      </c>
      <c r="H6" s="292" t="s">
        <v>400</v>
      </c>
      <c r="I6" s="292" t="s">
        <v>401</v>
      </c>
    </row>
    <row r="7" spans="1:9" ht="13" x14ac:dyDescent="0.3">
      <c r="B7" s="293" t="s">
        <v>402</v>
      </c>
      <c r="C7" s="294"/>
      <c r="D7" s="295"/>
      <c r="E7" s="287"/>
      <c r="F7" s="287"/>
      <c r="G7" s="296"/>
      <c r="H7" s="297"/>
      <c r="I7" s="297"/>
    </row>
    <row r="8" spans="1:9" x14ac:dyDescent="0.25">
      <c r="B8" s="298" t="s">
        <v>403</v>
      </c>
      <c r="C8" s="42" t="s">
        <v>404</v>
      </c>
      <c r="D8" s="43"/>
      <c r="E8" s="107" t="s">
        <v>405</v>
      </c>
      <c r="F8" s="107">
        <f t="shared" ref="F8:F14" si="0">IF(C8=E8,1,0)</f>
        <v>1</v>
      </c>
      <c r="G8" s="62"/>
      <c r="H8" s="56"/>
      <c r="I8" s="314">
        <f t="shared" ref="I8:I35" si="1">G8*H8</f>
        <v>0</v>
      </c>
    </row>
    <row r="9" spans="1:9" ht="25" x14ac:dyDescent="0.25">
      <c r="B9" s="298" t="s">
        <v>406</v>
      </c>
      <c r="C9" s="85" t="s">
        <v>404</v>
      </c>
      <c r="D9" s="43"/>
      <c r="E9" s="107" t="s">
        <v>405</v>
      </c>
      <c r="F9" s="107">
        <f t="shared" si="0"/>
        <v>1</v>
      </c>
      <c r="G9" s="62"/>
      <c r="H9" s="56"/>
      <c r="I9" s="314">
        <f t="shared" si="1"/>
        <v>0</v>
      </c>
    </row>
    <row r="10" spans="1:9" x14ac:dyDescent="0.25">
      <c r="B10" s="298" t="s">
        <v>407</v>
      </c>
      <c r="C10" s="85" t="s">
        <v>404</v>
      </c>
      <c r="D10" s="43"/>
      <c r="E10" s="107" t="s">
        <v>405</v>
      </c>
      <c r="F10" s="107">
        <f t="shared" si="0"/>
        <v>1</v>
      </c>
      <c r="G10" s="62"/>
      <c r="H10" s="56"/>
      <c r="I10" s="314">
        <f t="shared" si="1"/>
        <v>0</v>
      </c>
    </row>
    <row r="11" spans="1:9" x14ac:dyDescent="0.25">
      <c r="B11" s="298" t="s">
        <v>408</v>
      </c>
      <c r="C11" s="85" t="s">
        <v>404</v>
      </c>
      <c r="D11" s="43"/>
      <c r="E11" s="107" t="s">
        <v>405</v>
      </c>
      <c r="F11" s="107">
        <f t="shared" si="0"/>
        <v>1</v>
      </c>
      <c r="G11" s="62"/>
      <c r="H11" s="56"/>
      <c r="I11" s="314">
        <f t="shared" si="1"/>
        <v>0</v>
      </c>
    </row>
    <row r="12" spans="1:9" x14ac:dyDescent="0.25">
      <c r="B12" s="298" t="s">
        <v>409</v>
      </c>
      <c r="C12" s="85" t="s">
        <v>404</v>
      </c>
      <c r="D12" s="43"/>
      <c r="E12" s="107" t="s">
        <v>405</v>
      </c>
      <c r="F12" s="107">
        <f t="shared" si="0"/>
        <v>1</v>
      </c>
      <c r="G12" s="62"/>
      <c r="H12" s="56"/>
      <c r="I12" s="314">
        <f t="shared" si="1"/>
        <v>0</v>
      </c>
    </row>
    <row r="13" spans="1:9" x14ac:dyDescent="0.25">
      <c r="B13" s="298" t="s">
        <v>410</v>
      </c>
      <c r="C13" s="85" t="s">
        <v>404</v>
      </c>
      <c r="D13" s="43"/>
      <c r="E13" s="107" t="s">
        <v>405</v>
      </c>
      <c r="F13" s="107">
        <f t="shared" si="0"/>
        <v>1</v>
      </c>
      <c r="G13" s="62"/>
      <c r="H13" s="56"/>
      <c r="I13" s="314">
        <f t="shared" si="1"/>
        <v>0</v>
      </c>
    </row>
    <row r="14" spans="1:9" x14ac:dyDescent="0.25">
      <c r="B14" s="298" t="s">
        <v>411</v>
      </c>
      <c r="C14" s="85" t="s">
        <v>404</v>
      </c>
      <c r="D14" s="43"/>
      <c r="E14" s="107" t="s">
        <v>405</v>
      </c>
      <c r="F14" s="107">
        <f t="shared" si="0"/>
        <v>1</v>
      </c>
      <c r="G14" s="62"/>
      <c r="H14" s="56"/>
      <c r="I14" s="314">
        <f t="shared" si="1"/>
        <v>0</v>
      </c>
    </row>
    <row r="15" spans="1:9" ht="13" x14ac:dyDescent="0.3">
      <c r="B15" s="299" t="s">
        <v>412</v>
      </c>
      <c r="C15" s="294"/>
      <c r="D15" s="295"/>
      <c r="E15" s="287"/>
      <c r="F15" s="287"/>
      <c r="G15" s="296"/>
      <c r="H15" s="297"/>
      <c r="I15" s="297"/>
    </row>
    <row r="16" spans="1:9" x14ac:dyDescent="0.25">
      <c r="B16" s="298" t="s">
        <v>413</v>
      </c>
      <c r="C16" s="85" t="s">
        <v>404</v>
      </c>
      <c r="D16" s="43"/>
      <c r="E16" s="107" t="s">
        <v>405</v>
      </c>
      <c r="F16" s="107">
        <f t="shared" ref="F16:F23" si="2">IF(C16=E16,1,0)</f>
        <v>1</v>
      </c>
      <c r="G16" s="62"/>
      <c r="H16" s="56"/>
      <c r="I16" s="314">
        <f t="shared" si="1"/>
        <v>0</v>
      </c>
    </row>
    <row r="17" spans="2:9" x14ac:dyDescent="0.25">
      <c r="B17" s="298" t="s">
        <v>414</v>
      </c>
      <c r="C17" s="85" t="s">
        <v>404</v>
      </c>
      <c r="D17" s="43"/>
      <c r="E17" s="107" t="s">
        <v>405</v>
      </c>
      <c r="F17" s="107">
        <f t="shared" si="2"/>
        <v>1</v>
      </c>
      <c r="G17" s="62"/>
      <c r="H17" s="56"/>
      <c r="I17" s="314">
        <f t="shared" si="1"/>
        <v>0</v>
      </c>
    </row>
    <row r="18" spans="2:9" x14ac:dyDescent="0.25">
      <c r="B18" s="298" t="s">
        <v>415</v>
      </c>
      <c r="C18" s="85" t="s">
        <v>404</v>
      </c>
      <c r="D18" s="43"/>
      <c r="E18" s="107" t="s">
        <v>405</v>
      </c>
      <c r="F18" s="107">
        <f t="shared" si="2"/>
        <v>1</v>
      </c>
      <c r="G18" s="62"/>
      <c r="H18" s="56"/>
      <c r="I18" s="314">
        <f t="shared" si="1"/>
        <v>0</v>
      </c>
    </row>
    <row r="19" spans="2:9" x14ac:dyDescent="0.25">
      <c r="B19" s="298" t="s">
        <v>416</v>
      </c>
      <c r="C19" s="85" t="s">
        <v>404</v>
      </c>
      <c r="D19" s="43"/>
      <c r="E19" s="107" t="s">
        <v>405</v>
      </c>
      <c r="F19" s="107">
        <f t="shared" si="2"/>
        <v>1</v>
      </c>
      <c r="G19" s="62"/>
      <c r="H19" s="56"/>
      <c r="I19" s="314">
        <f t="shared" si="1"/>
        <v>0</v>
      </c>
    </row>
    <row r="20" spans="2:9" x14ac:dyDescent="0.25">
      <c r="B20" s="298" t="s">
        <v>417</v>
      </c>
      <c r="C20" s="85" t="s">
        <v>404</v>
      </c>
      <c r="D20" s="43"/>
      <c r="E20" s="107" t="s">
        <v>405</v>
      </c>
      <c r="F20" s="107">
        <f t="shared" si="2"/>
        <v>1</v>
      </c>
      <c r="G20" s="62"/>
      <c r="H20" s="56"/>
      <c r="I20" s="314">
        <f t="shared" si="1"/>
        <v>0</v>
      </c>
    </row>
    <row r="21" spans="2:9" x14ac:dyDescent="0.25">
      <c r="B21" s="298" t="s">
        <v>418</v>
      </c>
      <c r="C21" s="85" t="s">
        <v>404</v>
      </c>
      <c r="D21" s="43"/>
      <c r="E21" s="107" t="s">
        <v>405</v>
      </c>
      <c r="F21" s="107">
        <f t="shared" si="2"/>
        <v>1</v>
      </c>
      <c r="G21" s="62"/>
      <c r="H21" s="56"/>
      <c r="I21" s="314">
        <f t="shared" si="1"/>
        <v>0</v>
      </c>
    </row>
    <row r="22" spans="2:9" ht="25" x14ac:dyDescent="0.25">
      <c r="B22" s="298" t="s">
        <v>419</v>
      </c>
      <c r="C22" s="85" t="s">
        <v>404</v>
      </c>
      <c r="D22" s="43"/>
      <c r="E22" s="107" t="s">
        <v>405</v>
      </c>
      <c r="F22" s="107">
        <f t="shared" si="2"/>
        <v>1</v>
      </c>
      <c r="G22" s="62"/>
      <c r="H22" s="56"/>
      <c r="I22" s="314">
        <f t="shared" si="1"/>
        <v>0</v>
      </c>
    </row>
    <row r="23" spans="2:9" x14ac:dyDescent="0.25">
      <c r="B23" s="298" t="s">
        <v>420</v>
      </c>
      <c r="C23" s="85" t="s">
        <v>404</v>
      </c>
      <c r="D23" s="43"/>
      <c r="E23" s="107" t="s">
        <v>405</v>
      </c>
      <c r="F23" s="107">
        <f t="shared" si="2"/>
        <v>1</v>
      </c>
      <c r="G23" s="62"/>
      <c r="H23" s="56"/>
      <c r="I23" s="314">
        <f t="shared" si="1"/>
        <v>0</v>
      </c>
    </row>
    <row r="24" spans="2:9" ht="13" x14ac:dyDescent="0.3">
      <c r="B24" s="300" t="s">
        <v>421</v>
      </c>
      <c r="C24" s="302"/>
      <c r="D24" s="303"/>
      <c r="E24" s="107"/>
      <c r="F24" s="107"/>
      <c r="G24" s="304"/>
      <c r="H24" s="305"/>
      <c r="I24" s="305"/>
    </row>
    <row r="25" spans="2:9" x14ac:dyDescent="0.25">
      <c r="B25" s="298" t="s">
        <v>422</v>
      </c>
      <c r="C25" s="85" t="s">
        <v>392</v>
      </c>
      <c r="D25" s="43"/>
      <c r="E25" s="107" t="s">
        <v>423</v>
      </c>
      <c r="F25" s="107">
        <f>IF(C25=E25,1,0)</f>
        <v>1</v>
      </c>
      <c r="G25" s="62"/>
      <c r="H25" s="56"/>
      <c r="I25" s="314">
        <f t="shared" si="1"/>
        <v>0</v>
      </c>
    </row>
    <row r="26" spans="2:9" x14ac:dyDescent="0.25">
      <c r="B26" s="298" t="s">
        <v>424</v>
      </c>
      <c r="C26" s="85" t="s">
        <v>392</v>
      </c>
      <c r="D26" s="43"/>
      <c r="E26" s="107" t="s">
        <v>423</v>
      </c>
      <c r="F26" s="107">
        <f>IF(C26=E26,1,0)</f>
        <v>1</v>
      </c>
      <c r="G26" s="62"/>
      <c r="H26" s="56"/>
      <c r="I26" s="314">
        <f t="shared" si="1"/>
        <v>0</v>
      </c>
    </row>
    <row r="27" spans="2:9" x14ac:dyDescent="0.25">
      <c r="B27" s="298" t="s">
        <v>425</v>
      </c>
      <c r="C27" s="85" t="s">
        <v>392</v>
      </c>
      <c r="D27" s="43"/>
      <c r="E27" s="107" t="s">
        <v>423</v>
      </c>
      <c r="F27" s="107">
        <f>IF(C27=E27,1,0)</f>
        <v>1</v>
      </c>
      <c r="G27" s="62"/>
      <c r="H27" s="56"/>
      <c r="I27" s="314">
        <f t="shared" si="1"/>
        <v>0</v>
      </c>
    </row>
    <row r="28" spans="2:9" ht="13" thickBot="1" x14ac:dyDescent="0.3">
      <c r="B28" s="301" t="s">
        <v>426</v>
      </c>
      <c r="C28" s="86" t="s">
        <v>404</v>
      </c>
      <c r="D28" s="58"/>
      <c r="E28" s="107" t="s">
        <v>405</v>
      </c>
      <c r="F28" s="107">
        <f>IF(C28=E28,1,0)</f>
        <v>1</v>
      </c>
      <c r="G28" s="63"/>
      <c r="H28" s="57"/>
      <c r="I28" s="315">
        <f t="shared" si="1"/>
        <v>0</v>
      </c>
    </row>
    <row r="29" spans="2:9" ht="13.5" thickBot="1" x14ac:dyDescent="0.35">
      <c r="B29" s="306" t="s">
        <v>427</v>
      </c>
      <c r="C29" s="307"/>
      <c r="D29" s="308"/>
      <c r="E29" s="309"/>
      <c r="F29" s="309"/>
      <c r="G29" s="310"/>
      <c r="H29" s="311"/>
      <c r="I29" s="312"/>
    </row>
    <row r="30" spans="2:9" x14ac:dyDescent="0.25">
      <c r="B30" s="408"/>
      <c r="C30" s="59"/>
      <c r="D30" s="60"/>
      <c r="E30" s="107" t="s">
        <v>405</v>
      </c>
      <c r="F30" s="107">
        <f t="shared" ref="F30:F35" si="3">IF(C30=E30,1,0)</f>
        <v>0</v>
      </c>
      <c r="G30" s="64"/>
      <c r="H30" s="61"/>
      <c r="I30" s="316">
        <f t="shared" si="1"/>
        <v>0</v>
      </c>
    </row>
    <row r="31" spans="2:9" x14ac:dyDescent="0.25">
      <c r="B31" s="409"/>
      <c r="C31" s="42"/>
      <c r="D31" s="43"/>
      <c r="E31" s="107" t="s">
        <v>405</v>
      </c>
      <c r="F31" s="107">
        <f>IF(C31=E31,1,0)</f>
        <v>0</v>
      </c>
      <c r="G31" s="62"/>
      <c r="H31" s="56"/>
      <c r="I31" s="314">
        <f>G31*H31</f>
        <v>0</v>
      </c>
    </row>
    <row r="32" spans="2:9" x14ac:dyDescent="0.25">
      <c r="B32" s="409"/>
      <c r="C32" s="42"/>
      <c r="D32" s="43"/>
      <c r="E32" s="107" t="s">
        <v>405</v>
      </c>
      <c r="F32" s="107">
        <f>IF(C32=E32,1,0)</f>
        <v>0</v>
      </c>
      <c r="G32" s="62"/>
      <c r="H32" s="56"/>
      <c r="I32" s="314">
        <f>G32*H32</f>
        <v>0</v>
      </c>
    </row>
    <row r="33" spans="1:9" x14ac:dyDescent="0.25">
      <c r="B33" s="409"/>
      <c r="C33" s="42"/>
      <c r="D33" s="43"/>
      <c r="E33" s="107" t="s">
        <v>405</v>
      </c>
      <c r="F33" s="107">
        <f>IF(C33=E33,1,0)</f>
        <v>0</v>
      </c>
      <c r="G33" s="62"/>
      <c r="H33" s="56"/>
      <c r="I33" s="314">
        <f>G33*H33</f>
        <v>0</v>
      </c>
    </row>
    <row r="34" spans="1:9" x14ac:dyDescent="0.25">
      <c r="B34" s="409"/>
      <c r="C34" s="42"/>
      <c r="D34" s="43"/>
      <c r="E34" s="107" t="s">
        <v>405</v>
      </c>
      <c r="F34" s="107">
        <f t="shared" si="3"/>
        <v>0</v>
      </c>
      <c r="G34" s="62"/>
      <c r="H34" s="56"/>
      <c r="I34" s="314">
        <f t="shared" si="1"/>
        <v>0</v>
      </c>
    </row>
    <row r="35" spans="1:9" ht="13" thickBot="1" x14ac:dyDescent="0.3">
      <c r="A35" s="107">
        <f>ROW()</f>
        <v>35</v>
      </c>
      <c r="B35" s="410"/>
      <c r="C35" s="44"/>
      <c r="D35" s="45"/>
      <c r="E35" s="107" t="s">
        <v>405</v>
      </c>
      <c r="F35" s="107">
        <f t="shared" si="3"/>
        <v>0</v>
      </c>
      <c r="G35" s="63"/>
      <c r="H35" s="57"/>
      <c r="I35" s="315">
        <f t="shared" si="1"/>
        <v>0</v>
      </c>
    </row>
    <row r="36" spans="1:9" ht="13.5" thickBot="1" x14ac:dyDescent="0.35">
      <c r="B36" s="283"/>
      <c r="C36" s="281"/>
      <c r="D36" s="281"/>
      <c r="E36"/>
      <c r="F36" s="107">
        <f>SUM(F7:F35)</f>
        <v>19</v>
      </c>
      <c r="G36" s="995" t="s">
        <v>428</v>
      </c>
      <c r="H36" s="996"/>
      <c r="I36" s="313">
        <f>SUM(I7:I35)</f>
        <v>0</v>
      </c>
    </row>
    <row r="37" spans="1:9" ht="13" x14ac:dyDescent="0.3">
      <c r="B37" s="274"/>
      <c r="C37" s="144"/>
      <c r="D37" s="144"/>
      <c r="E37" s="144"/>
      <c r="F37" s="144"/>
    </row>
  </sheetData>
  <sheetProtection algorithmName="SHA-512" hashValue="6USXlCpYwOPGiGMVEUfWJpLuQt208uJhaEB+Ivxisvr30qdfNEuut3LZHCXMeylH1MbwkMnVgilzjGOWTM4/Bw==" saltValue="rnXQLC8K+fzM3ojJopPBFg==" spinCount="100000" sheet="1" objects="1" scenarios="1" formatCells="0" formatColumns="0" formatRows="0" sort="0" autoFilter="0"/>
  <mergeCells count="2">
    <mergeCell ref="G36:H36"/>
    <mergeCell ref="G5:I5"/>
  </mergeCells>
  <phoneticPr fontId="17" type="noConversion"/>
  <conditionalFormatting sqref="C25:C28 C8:C14 C16:C23 C34:C35 C30">
    <cfRule type="cellIs" dxfId="8" priority="25" stopIfTrue="1" operator="equal">
      <formula>E8</formula>
    </cfRule>
    <cfRule type="cellIs" dxfId="7" priority="26" stopIfTrue="1" operator="notEqual">
      <formula>""</formula>
    </cfRule>
  </conditionalFormatting>
  <conditionalFormatting sqref="C31">
    <cfRule type="cellIs" dxfId="6" priority="5" stopIfTrue="1" operator="equal">
      <formula>E31</formula>
    </cfRule>
    <cfRule type="cellIs" dxfId="5" priority="6" stopIfTrue="1" operator="notEqual">
      <formula>""</formula>
    </cfRule>
  </conditionalFormatting>
  <conditionalFormatting sqref="C32">
    <cfRule type="cellIs" dxfId="4" priority="3" stopIfTrue="1" operator="equal">
      <formula>E32</formula>
    </cfRule>
    <cfRule type="cellIs" dxfId="3" priority="4" stopIfTrue="1" operator="notEqual">
      <formula>""</formula>
    </cfRule>
  </conditionalFormatting>
  <conditionalFormatting sqref="C33">
    <cfRule type="cellIs" dxfId="2" priority="1" stopIfTrue="1" operator="equal">
      <formula>E33</formula>
    </cfRule>
    <cfRule type="cellIs" dxfId="1" priority="2" stopIfTrue="1" operator="notEqual">
      <formula>""</formula>
    </cfRule>
  </conditionalFormatting>
  <dataValidations count="1">
    <dataValidation type="list" allowBlank="1" showInputMessage="1" showErrorMessage="1" errorTitle="error respuesta" error="respuesta no válida" promptTitle="Existencia del Riesgo" prompt="Indicar si se produce la situación descrita" sqref="C25:C28 C8:C14 C16:C23 C30:C35" xr:uid="{00000000-0002-0000-0400-000000000000}">
      <formula1>ocurre</formula1>
    </dataValidation>
  </dataValidations>
  <pageMargins left="0.19685039370078741" right="0.19685039370078741" top="0.19685039370078741" bottom="0.39370078740157483" header="0.19685039370078741" footer="0.19685039370078741"/>
  <pageSetup paperSize="9" scale="79" orientation="landscape" horizontalDpi="1200" verticalDpi="1200" r:id="rId1"/>
  <headerFooter scaleWithDoc="0" alignWithMargins="0">
    <oddFooter>&amp;LSCI32PT01-PPO - 2023-v3&amp;C&amp;D&amp;R&amp;F&amp;LSCI32PT01-PPO - 2023-v3</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9">
    <pageSetUpPr fitToPage="1"/>
  </sheetPr>
  <dimension ref="A1:H60"/>
  <sheetViews>
    <sheetView topLeftCell="B1" zoomScale="80" zoomScaleNormal="80" workbookViewId="0">
      <selection activeCell="B8" sqref="B8"/>
    </sheetView>
  </sheetViews>
  <sheetFormatPr baseColWidth="10" defaultColWidth="13.296875" defaultRowHeight="14" x14ac:dyDescent="0.3"/>
  <cols>
    <col min="1" max="1" width="13.296875" style="358" hidden="1" customWidth="1"/>
    <col min="2" max="2" width="28" style="359" customWidth="1"/>
    <col min="3" max="3" width="22.296875" style="347" customWidth="1"/>
    <col min="4" max="4" width="26.296875" style="347" customWidth="1"/>
    <col min="5" max="5" width="22.796875" style="347" customWidth="1"/>
    <col min="6" max="6" width="25" style="347" customWidth="1"/>
    <col min="7" max="7" width="24" style="347" customWidth="1"/>
    <col min="8" max="8" width="30.69921875" style="347" customWidth="1"/>
    <col min="9" max="9" width="10.296875" style="347" customWidth="1"/>
    <col min="10" max="16384" width="13.296875" style="347"/>
  </cols>
  <sheetData>
    <row r="1" spans="1:8" s="411" customFormat="1" ht="18" x14ac:dyDescent="0.4">
      <c r="A1" s="416"/>
      <c r="B1" s="1004" t="str">
        <f>"Código Oferta: "&amp;codigo_oferta&amp;"   - Responsable Comercial: "&amp;comercial</f>
        <v>Código Oferta: 20250256445   - Responsable Comercial: Joan Marcer</v>
      </c>
      <c r="C1" s="1005"/>
      <c r="D1" s="1005"/>
      <c r="E1" s="1005"/>
      <c r="F1" s="1005"/>
      <c r="G1" s="1005"/>
      <c r="H1" s="1006"/>
    </row>
    <row r="2" spans="1:8" s="232" customFormat="1" ht="4.5" customHeight="1" thickBot="1" x14ac:dyDescent="0.35">
      <c r="A2" s="348"/>
      <c r="B2" s="348"/>
      <c r="C2" s="348"/>
      <c r="D2" s="348"/>
      <c r="E2" s="348"/>
      <c r="F2" s="348"/>
      <c r="G2" s="348"/>
      <c r="H2" s="348"/>
    </row>
    <row r="3" spans="1:8" ht="14.5" thickBot="1" x14ac:dyDescent="0.35">
      <c r="B3" s="1007" t="s">
        <v>429</v>
      </c>
      <c r="C3" s="1008"/>
      <c r="D3" s="1008"/>
      <c r="E3" s="1008"/>
      <c r="F3" s="1008"/>
      <c r="G3" s="1008"/>
      <c r="H3" s="1009"/>
    </row>
    <row r="4" spans="1:8" ht="14.5" thickBot="1" x14ac:dyDescent="0.35">
      <c r="B4" s="120" t="s">
        <v>430</v>
      </c>
      <c r="C4" s="319">
        <v>45962</v>
      </c>
      <c r="D4" s="122" t="s">
        <v>431</v>
      </c>
      <c r="E4" s="119">
        <v>46326</v>
      </c>
      <c r="F4" s="108"/>
      <c r="G4" s="108"/>
      <c r="H4" s="121"/>
    </row>
    <row r="5" spans="1:8" ht="16.5" customHeight="1" thickBot="1" x14ac:dyDescent="0.35">
      <c r="B5" s="349" t="s">
        <v>432</v>
      </c>
      <c r="C5" s="109"/>
      <c r="D5" s="110"/>
      <c r="E5" s="110"/>
      <c r="F5" s="110"/>
      <c r="G5" s="110"/>
      <c r="H5" s="123"/>
    </row>
    <row r="6" spans="1:8" s="348" customFormat="1" ht="16.5" customHeight="1" thickBot="1" x14ac:dyDescent="0.35">
      <c r="B6" s="350" t="s">
        <v>433</v>
      </c>
      <c r="C6" s="351"/>
      <c r="D6" s="351"/>
      <c r="E6" s="351"/>
      <c r="F6" s="351"/>
      <c r="G6" s="351"/>
      <c r="H6" s="352"/>
    </row>
    <row r="7" spans="1:8" x14ac:dyDescent="0.3">
      <c r="B7" s="117" t="s">
        <v>361</v>
      </c>
      <c r="C7" s="1003" t="s">
        <v>434</v>
      </c>
      <c r="D7" s="1003"/>
      <c r="E7" s="1003"/>
      <c r="F7" s="1003" t="s">
        <v>435</v>
      </c>
      <c r="G7" s="1003"/>
      <c r="H7" s="118" t="s">
        <v>436</v>
      </c>
    </row>
    <row r="8" spans="1:8" x14ac:dyDescent="0.3">
      <c r="B8" s="124"/>
      <c r="C8" s="1000"/>
      <c r="D8" s="1000"/>
      <c r="E8" s="1000"/>
      <c r="F8" s="1001"/>
      <c r="G8" s="1002"/>
      <c r="H8" s="113"/>
    </row>
    <row r="9" spans="1:8" x14ac:dyDescent="0.3">
      <c r="B9" s="124"/>
      <c r="C9" s="1000"/>
      <c r="D9" s="1000"/>
      <c r="E9" s="1000"/>
      <c r="F9" s="1001"/>
      <c r="G9" s="1002"/>
      <c r="H9" s="113"/>
    </row>
    <row r="10" spans="1:8" ht="14.25" customHeight="1" x14ac:dyDescent="0.3">
      <c r="B10" s="124"/>
      <c r="C10" s="1000"/>
      <c r="D10" s="1000"/>
      <c r="E10" s="1000"/>
      <c r="F10" s="1001"/>
      <c r="G10" s="1002"/>
      <c r="H10" s="113"/>
    </row>
    <row r="11" spans="1:8" ht="14.25" customHeight="1" x14ac:dyDescent="0.3">
      <c r="B11" s="124"/>
      <c r="C11" s="1000"/>
      <c r="D11" s="1000"/>
      <c r="E11" s="1000"/>
      <c r="F11" s="1001"/>
      <c r="G11" s="1002"/>
      <c r="H11" s="113"/>
    </row>
    <row r="12" spans="1:8" x14ac:dyDescent="0.3">
      <c r="B12" s="124"/>
      <c r="C12" s="1000"/>
      <c r="D12" s="1000"/>
      <c r="E12" s="1000"/>
      <c r="F12" s="1001"/>
      <c r="G12" s="1002"/>
      <c r="H12" s="113"/>
    </row>
    <row r="13" spans="1:8" x14ac:dyDescent="0.3">
      <c r="B13" s="124"/>
      <c r="C13" s="1000"/>
      <c r="D13" s="1000"/>
      <c r="E13" s="1000"/>
      <c r="F13" s="1001"/>
      <c r="G13" s="1002"/>
      <c r="H13" s="113" t="str">
        <f t="shared" ref="H13:H17" si="0">IF(B13&lt;&gt;"",vtocli,"")</f>
        <v/>
      </c>
    </row>
    <row r="14" spans="1:8" x14ac:dyDescent="0.3">
      <c r="B14" s="124"/>
      <c r="C14" s="1000"/>
      <c r="D14" s="1000"/>
      <c r="E14" s="1000"/>
      <c r="F14" s="1001"/>
      <c r="G14" s="1002"/>
      <c r="H14" s="113"/>
    </row>
    <row r="15" spans="1:8" x14ac:dyDescent="0.3">
      <c r="B15" s="124"/>
      <c r="C15" s="1000"/>
      <c r="D15" s="1000"/>
      <c r="E15" s="1000"/>
      <c r="F15" s="1001"/>
      <c r="G15" s="1002"/>
      <c r="H15" s="113" t="str">
        <f t="shared" si="0"/>
        <v/>
      </c>
    </row>
    <row r="16" spans="1:8" x14ac:dyDescent="0.3">
      <c r="B16" s="124"/>
      <c r="C16" s="1000"/>
      <c r="D16" s="1000"/>
      <c r="E16" s="1000"/>
      <c r="F16" s="1001"/>
      <c r="G16" s="1002"/>
      <c r="H16" s="113" t="str">
        <f t="shared" si="0"/>
        <v/>
      </c>
    </row>
    <row r="17" spans="1:8" ht="14.5" thickBot="1" x14ac:dyDescent="0.35">
      <c r="A17" s="358">
        <f>ROW()</f>
        <v>17</v>
      </c>
      <c r="B17" s="125"/>
      <c r="C17" s="1000"/>
      <c r="D17" s="1000"/>
      <c r="E17" s="1000"/>
      <c r="F17" s="1001"/>
      <c r="G17" s="1002"/>
      <c r="H17" s="113" t="str">
        <f t="shared" si="0"/>
        <v/>
      </c>
    </row>
    <row r="18" spans="1:8" ht="14.5" thickBot="1" x14ac:dyDescent="0.35">
      <c r="B18" s="116">
        <f>SUM(B8:B17)</f>
        <v>0</v>
      </c>
      <c r="C18" s="353" t="s">
        <v>362</v>
      </c>
      <c r="D18" s="354"/>
      <c r="E18" s="354"/>
      <c r="F18" s="354"/>
      <c r="G18" s="354"/>
      <c r="H18" s="355"/>
    </row>
    <row r="19" spans="1:8" s="356" customFormat="1" ht="6.75" customHeight="1" thickBot="1" x14ac:dyDescent="0.35"/>
    <row r="20" spans="1:8" s="356" customFormat="1" ht="14.5" thickBot="1" x14ac:dyDescent="0.35">
      <c r="B20" s="350" t="s">
        <v>437</v>
      </c>
      <c r="C20" s="351"/>
      <c r="D20" s="351"/>
      <c r="E20" s="351"/>
      <c r="F20" s="351"/>
      <c r="G20" s="351"/>
      <c r="H20" s="352"/>
    </row>
    <row r="21" spans="1:8" x14ac:dyDescent="0.3">
      <c r="B21" s="117" t="s">
        <v>361</v>
      </c>
      <c r="C21" s="1003" t="s">
        <v>434</v>
      </c>
      <c r="D21" s="1003"/>
      <c r="E21" s="1003"/>
      <c r="F21" s="1003" t="s">
        <v>435</v>
      </c>
      <c r="G21" s="1003"/>
      <c r="H21" s="118" t="s">
        <v>436</v>
      </c>
    </row>
    <row r="22" spans="1:8" x14ac:dyDescent="0.3">
      <c r="B22" s="124"/>
      <c r="C22" s="1000"/>
      <c r="D22" s="1000"/>
      <c r="E22" s="1000"/>
      <c r="F22" s="1001"/>
      <c r="G22" s="1002"/>
      <c r="H22" s="113"/>
    </row>
    <row r="23" spans="1:8" x14ac:dyDescent="0.3">
      <c r="B23" s="124"/>
      <c r="C23" s="1000"/>
      <c r="D23" s="1000"/>
      <c r="E23" s="1000"/>
      <c r="F23" s="1001"/>
      <c r="G23" s="1002"/>
      <c r="H23" s="113"/>
    </row>
    <row r="24" spans="1:8" x14ac:dyDescent="0.3">
      <c r="B24" s="124"/>
      <c r="C24" s="1000"/>
      <c r="D24" s="1000"/>
      <c r="E24" s="1000"/>
      <c r="F24" s="1001"/>
      <c r="G24" s="1002"/>
      <c r="H24" s="113" t="str">
        <f>IF(B24&lt;&gt;"",vtocli,"")</f>
        <v/>
      </c>
    </row>
    <row r="25" spans="1:8" ht="14.5" thickBot="1" x14ac:dyDescent="0.35">
      <c r="A25" s="358">
        <f>ROW()</f>
        <v>25</v>
      </c>
      <c r="B25" s="125"/>
      <c r="C25" s="1000"/>
      <c r="D25" s="1000"/>
      <c r="E25" s="1000"/>
      <c r="F25" s="1001"/>
      <c r="G25" s="1002"/>
      <c r="H25" s="113" t="str">
        <f>IF(B25&lt;&gt;"",vtocli,"")</f>
        <v/>
      </c>
    </row>
    <row r="26" spans="1:8" ht="14.5" thickBot="1" x14ac:dyDescent="0.35">
      <c r="B26" s="116">
        <f>SUM(B22:B25)</f>
        <v>0</v>
      </c>
      <c r="C26" s="353" t="s">
        <v>362</v>
      </c>
      <c r="D26" s="354"/>
      <c r="E26" s="354"/>
      <c r="F26" s="354"/>
      <c r="G26" s="354"/>
      <c r="H26" s="355"/>
    </row>
    <row r="27" spans="1:8" s="356" customFormat="1" ht="8.25" customHeight="1" thickBot="1" x14ac:dyDescent="0.35"/>
    <row r="28" spans="1:8" s="348" customFormat="1" ht="14.5" thickBot="1" x14ac:dyDescent="0.35">
      <c r="B28" s="350" t="s">
        <v>438</v>
      </c>
      <c r="C28" s="351"/>
      <c r="D28" s="351"/>
      <c r="E28" s="351"/>
      <c r="F28" s="351"/>
      <c r="G28" s="351"/>
      <c r="H28" s="352"/>
    </row>
    <row r="29" spans="1:8" x14ac:dyDescent="0.3">
      <c r="B29" s="117" t="s">
        <v>361</v>
      </c>
      <c r="C29" s="1003" t="s">
        <v>434</v>
      </c>
      <c r="D29" s="1003"/>
      <c r="E29" s="1003"/>
      <c r="F29" s="370" t="s">
        <v>439</v>
      </c>
      <c r="G29" s="369" t="s">
        <v>440</v>
      </c>
      <c r="H29" s="118" t="s">
        <v>436</v>
      </c>
    </row>
    <row r="30" spans="1:8" x14ac:dyDescent="0.3">
      <c r="B30" s="124"/>
      <c r="C30" s="1000"/>
      <c r="D30" s="1000"/>
      <c r="E30" s="1000"/>
      <c r="F30" s="371"/>
      <c r="G30" s="334"/>
      <c r="H30" s="113"/>
    </row>
    <row r="31" spans="1:8" x14ac:dyDescent="0.3">
      <c r="B31" s="124"/>
      <c r="C31" s="1000"/>
      <c r="D31" s="1000"/>
      <c r="E31" s="1000"/>
      <c r="F31" s="371"/>
      <c r="G31" s="334"/>
      <c r="H31" s="113" t="str">
        <f>IF(B31&lt;&gt;"",vtocli,"")</f>
        <v/>
      </c>
    </row>
    <row r="32" spans="1:8" ht="14.5" thickBot="1" x14ac:dyDescent="0.35">
      <c r="A32" s="358">
        <f>ROW()</f>
        <v>32</v>
      </c>
      <c r="B32" s="125"/>
      <c r="C32" s="1000"/>
      <c r="D32" s="1000"/>
      <c r="E32" s="1000"/>
      <c r="F32" s="371"/>
      <c r="G32" s="334"/>
      <c r="H32" s="113" t="str">
        <f>IF(B32&lt;&gt;"",vtocli,"")</f>
        <v/>
      </c>
    </row>
    <row r="33" spans="1:8" ht="14.5" thickBot="1" x14ac:dyDescent="0.35">
      <c r="B33" s="116">
        <f>SUM(B30:B32)</f>
        <v>0</v>
      </c>
      <c r="C33" s="115" t="s">
        <v>362</v>
      </c>
      <c r="D33" s="111"/>
      <c r="E33" s="111"/>
      <c r="F33" s="111"/>
      <c r="G33" s="111"/>
      <c r="H33" s="126"/>
    </row>
    <row r="34" spans="1:8" ht="21.75" customHeight="1" thickBot="1" x14ac:dyDescent="0.35">
      <c r="B34" s="127" t="s">
        <v>441</v>
      </c>
      <c r="C34" s="110"/>
      <c r="D34" s="110"/>
      <c r="E34" s="110"/>
      <c r="F34" s="110"/>
      <c r="G34" s="110"/>
      <c r="H34" s="123"/>
    </row>
    <row r="35" spans="1:8" x14ac:dyDescent="0.3">
      <c r="B35" s="1033" t="s">
        <v>442</v>
      </c>
      <c r="C35" s="1034"/>
      <c r="D35" s="1035"/>
      <c r="E35" s="1026" t="s">
        <v>443</v>
      </c>
      <c r="F35" s="1027"/>
      <c r="G35" s="1028"/>
      <c r="H35" s="112" t="s">
        <v>444</v>
      </c>
    </row>
    <row r="36" spans="1:8" x14ac:dyDescent="0.3">
      <c r="B36" s="1020" t="s">
        <v>445</v>
      </c>
      <c r="C36" s="1021"/>
      <c r="D36" s="1022"/>
      <c r="E36" s="1023" t="s">
        <v>446</v>
      </c>
      <c r="F36" s="1021"/>
      <c r="G36" s="1022"/>
      <c r="H36" s="113" t="s">
        <v>447</v>
      </c>
    </row>
    <row r="37" spans="1:8" x14ac:dyDescent="0.3">
      <c r="B37" s="1020"/>
      <c r="C37" s="1021"/>
      <c r="D37" s="1022"/>
      <c r="E37" s="1023"/>
      <c r="F37" s="1021"/>
      <c r="G37" s="1022"/>
      <c r="H37" s="113"/>
    </row>
    <row r="38" spans="1:8" x14ac:dyDescent="0.3">
      <c r="B38" s="1020"/>
      <c r="C38" s="1021"/>
      <c r="D38" s="1022"/>
      <c r="E38" s="1023"/>
      <c r="F38" s="1021"/>
      <c r="G38" s="1022"/>
      <c r="H38" s="113"/>
    </row>
    <row r="39" spans="1:8" ht="14.5" thickBot="1" x14ac:dyDescent="0.35">
      <c r="A39" s="358">
        <f>ROW()</f>
        <v>39</v>
      </c>
      <c r="B39" s="1029"/>
      <c r="C39" s="1030"/>
      <c r="D39" s="1031"/>
      <c r="E39" s="1032"/>
      <c r="F39" s="1030"/>
      <c r="G39" s="1031"/>
      <c r="H39" s="114"/>
    </row>
    <row r="40" spans="1:8" ht="14.5" thickBot="1" x14ac:dyDescent="0.35">
      <c r="B40" s="357"/>
      <c r="C40" s="358"/>
      <c r="D40" s="358"/>
      <c r="E40" s="358"/>
      <c r="F40" s="358"/>
      <c r="G40" s="358"/>
      <c r="H40" s="358"/>
    </row>
    <row r="41" spans="1:8" x14ac:dyDescent="0.3">
      <c r="B41" s="360" t="s">
        <v>448</v>
      </c>
      <c r="C41" s="1024" t="s">
        <v>449</v>
      </c>
      <c r="D41" s="1025"/>
      <c r="E41" s="361" t="s">
        <v>450</v>
      </c>
      <c r="F41" s="362" t="s">
        <v>361</v>
      </c>
    </row>
    <row r="42" spans="1:8" x14ac:dyDescent="0.3">
      <c r="B42" s="363">
        <v>620013</v>
      </c>
      <c r="C42" s="1013" t="s">
        <v>451</v>
      </c>
      <c r="D42" s="1014"/>
      <c r="E42" s="364" t="s">
        <v>452</v>
      </c>
      <c r="F42" s="365">
        <f>-'Sintesis Precio'!K14</f>
        <v>-583896.55000000005</v>
      </c>
    </row>
    <row r="43" spans="1:8" x14ac:dyDescent="0.3">
      <c r="B43" s="363">
        <v>800010</v>
      </c>
      <c r="C43" s="1013" t="s">
        <v>453</v>
      </c>
      <c r="D43" s="1014"/>
      <c r="E43" s="364" t="s">
        <v>454</v>
      </c>
      <c r="F43" s="365">
        <f>Presupuesto!K4</f>
        <v>367515.14084000001</v>
      </c>
    </row>
    <row r="44" spans="1:8" x14ac:dyDescent="0.3">
      <c r="B44" s="363">
        <v>707031</v>
      </c>
      <c r="C44" s="1013" t="s">
        <v>455</v>
      </c>
      <c r="D44" s="1014"/>
      <c r="E44" s="364" t="s">
        <v>380</v>
      </c>
      <c r="F44" s="365">
        <f>SUMIF(Presupuesto!$B$29:$B$48,'Facturación y SAP'!E44,Presupuesto!$K$29:$K$48)</f>
        <v>0</v>
      </c>
    </row>
    <row r="45" spans="1:8" x14ac:dyDescent="0.3">
      <c r="B45" s="363">
        <v>802213</v>
      </c>
      <c r="C45" s="1013" t="s">
        <v>456</v>
      </c>
      <c r="D45" s="1014"/>
      <c r="E45" s="364" t="s">
        <v>376</v>
      </c>
      <c r="F45" s="365">
        <f>SUMIF(Presupuesto!$B$29:$B$48,'Facturación y SAP'!E45,Presupuesto!$K$29:$K$48)</f>
        <v>6500</v>
      </c>
    </row>
    <row r="46" spans="1:8" x14ac:dyDescent="0.3">
      <c r="B46" s="363">
        <v>802250</v>
      </c>
      <c r="C46" s="1013" t="s">
        <v>457</v>
      </c>
      <c r="D46" s="1014"/>
      <c r="E46" s="364" t="s">
        <v>377</v>
      </c>
      <c r="F46" s="365">
        <f>SUMIF(Presupuesto!$B$29:$B$48,'Facturación y SAP'!E46,Presupuesto!$K$29:$K$48)</f>
        <v>900</v>
      </c>
    </row>
    <row r="47" spans="1:8" x14ac:dyDescent="0.3">
      <c r="B47" s="363">
        <v>802385</v>
      </c>
      <c r="C47" s="1013" t="s">
        <v>458</v>
      </c>
      <c r="D47" s="1014"/>
      <c r="E47" s="364" t="s">
        <v>381</v>
      </c>
      <c r="F47" s="365">
        <f>SUMIF(Presupuesto!$B$29:$B$48,'Facturación y SAP'!E47,Presupuesto!$K$29:$K$48)</f>
        <v>0</v>
      </c>
    </row>
    <row r="48" spans="1:8" x14ac:dyDescent="0.3">
      <c r="B48" s="363">
        <v>802450</v>
      </c>
      <c r="C48" s="1013" t="s">
        <v>459</v>
      </c>
      <c r="D48" s="1014"/>
      <c r="E48" s="364" t="s">
        <v>382</v>
      </c>
      <c r="F48" s="365">
        <f>SUMIF(Presupuesto!$B$29:$B$48,'Facturación y SAP'!E48,Presupuesto!$K$29:$K$48)</f>
        <v>40000</v>
      </c>
    </row>
    <row r="49" spans="2:6" x14ac:dyDescent="0.3">
      <c r="B49" s="366">
        <v>802550</v>
      </c>
      <c r="C49" s="1018" t="s">
        <v>460</v>
      </c>
      <c r="D49" s="1019"/>
      <c r="E49" s="367" t="s">
        <v>461</v>
      </c>
      <c r="F49" s="365">
        <f>SUMIF(Presupuesto!$B$29:$B$48,'Facturación y SAP'!E49,Presupuesto!$K$29:$K$48)</f>
        <v>0</v>
      </c>
    </row>
    <row r="50" spans="2:6" x14ac:dyDescent="0.3">
      <c r="B50" s="363">
        <v>802431</v>
      </c>
      <c r="C50" s="1013" t="s">
        <v>462</v>
      </c>
      <c r="D50" s="1014"/>
      <c r="E50" s="364" t="s">
        <v>383</v>
      </c>
      <c r="F50" s="365">
        <f>SUMIF(Presupuesto!$B$29:$B$48,'Facturación y SAP'!E50,Presupuesto!$K$29:$K$48)</f>
        <v>0</v>
      </c>
    </row>
    <row r="51" spans="2:6" x14ac:dyDescent="0.3">
      <c r="B51" s="363">
        <v>806125</v>
      </c>
      <c r="C51" s="1013" t="s">
        <v>463</v>
      </c>
      <c r="D51" s="1014"/>
      <c r="E51" s="364" t="s">
        <v>464</v>
      </c>
      <c r="F51" s="365">
        <f>Presupuesto!K53</f>
        <v>0</v>
      </c>
    </row>
    <row r="52" spans="2:6" x14ac:dyDescent="0.3">
      <c r="B52" s="363">
        <v>809135</v>
      </c>
      <c r="C52" s="1013" t="s">
        <v>465</v>
      </c>
      <c r="D52" s="1014"/>
      <c r="E52" s="364" t="s">
        <v>466</v>
      </c>
      <c r="F52" s="365">
        <f>Presupuesto!K49</f>
        <v>18375.757042000001</v>
      </c>
    </row>
    <row r="53" spans="2:6" x14ac:dyDescent="0.3">
      <c r="B53" s="1015"/>
      <c r="C53" s="1016"/>
      <c r="D53" s="1016"/>
      <c r="E53" s="1016"/>
      <c r="F53" s="1017"/>
    </row>
    <row r="54" spans="2:6" ht="14.5" thickBot="1" x14ac:dyDescent="0.35">
      <c r="B54" s="1010" t="s">
        <v>467</v>
      </c>
      <c r="C54" s="1011"/>
      <c r="D54" s="1011"/>
      <c r="E54" s="1012"/>
      <c r="F54" s="368">
        <f>-(SUM(F42:F52))</f>
        <v>150605.65211800003</v>
      </c>
    </row>
    <row r="57" spans="2:6" hidden="1" x14ac:dyDescent="0.3">
      <c r="B57" s="359" t="str">
        <f>E44</f>
        <v>Licencias SW y HW</v>
      </c>
    </row>
    <row r="58" spans="2:6" ht="28" hidden="1" x14ac:dyDescent="0.3">
      <c r="B58" s="359" t="str">
        <f>E47</f>
        <v>Mantenimiento SW de terceros</v>
      </c>
    </row>
    <row r="59" spans="2:6" hidden="1" x14ac:dyDescent="0.3">
      <c r="B59" s="359" t="str">
        <f>E48</f>
        <v>Subcontrataciones</v>
      </c>
    </row>
    <row r="60" spans="2:6" hidden="1" x14ac:dyDescent="0.3">
      <c r="B60" s="359" t="str">
        <f>E50</f>
        <v>Mantenimiento de HW</v>
      </c>
    </row>
  </sheetData>
  <sheetProtection algorithmName="SHA-512" hashValue="2zg49Xf+SwZ7m5pnMttpe44J5W0X2K3EEXy+PpfAz+M3j+o1x1shpp1MZ9CP6s3r9qutOU+f16+d/qM+p6Hglg==" saltValue="stPHE3dChLvQW7QolqDTuA==" spinCount="100000" sheet="1" objects="1" scenarios="1" formatCells="0" formatColumns="0" formatRows="0" sort="0" autoFilter="0"/>
  <mergeCells count="62">
    <mergeCell ref="B37:D37"/>
    <mergeCell ref="E37:G37"/>
    <mergeCell ref="E38:G38"/>
    <mergeCell ref="C41:D41"/>
    <mergeCell ref="E35:G35"/>
    <mergeCell ref="B39:D39"/>
    <mergeCell ref="E39:G39"/>
    <mergeCell ref="B36:D36"/>
    <mergeCell ref="B38:D38"/>
    <mergeCell ref="B35:D35"/>
    <mergeCell ref="E36:G36"/>
    <mergeCell ref="B54:E54"/>
    <mergeCell ref="C42:D42"/>
    <mergeCell ref="C43:D43"/>
    <mergeCell ref="C52:D52"/>
    <mergeCell ref="B53:F53"/>
    <mergeCell ref="C44:D44"/>
    <mergeCell ref="C46:D46"/>
    <mergeCell ref="C45:D45"/>
    <mergeCell ref="C51:D51"/>
    <mergeCell ref="C50:D50"/>
    <mergeCell ref="C49:D49"/>
    <mergeCell ref="C48:D48"/>
    <mergeCell ref="C47:D47"/>
    <mergeCell ref="C31:E31"/>
    <mergeCell ref="C32:E32"/>
    <mergeCell ref="C30:E30"/>
    <mergeCell ref="C29:E29"/>
    <mergeCell ref="B1:H1"/>
    <mergeCell ref="B3:H3"/>
    <mergeCell ref="C21:E21"/>
    <mergeCell ref="F21:G21"/>
    <mergeCell ref="C22:E22"/>
    <mergeCell ref="F22:G22"/>
    <mergeCell ref="C23:E23"/>
    <mergeCell ref="F23:G23"/>
    <mergeCell ref="C24:E24"/>
    <mergeCell ref="F24:G24"/>
    <mergeCell ref="C25:E25"/>
    <mergeCell ref="F25:G25"/>
    <mergeCell ref="C7:E7"/>
    <mergeCell ref="F7:G7"/>
    <mergeCell ref="C8:E8"/>
    <mergeCell ref="F8:G8"/>
    <mergeCell ref="C9:E9"/>
    <mergeCell ref="F9:G9"/>
    <mergeCell ref="C10:E10"/>
    <mergeCell ref="F10:G10"/>
    <mergeCell ref="C11:E11"/>
    <mergeCell ref="F11:G11"/>
    <mergeCell ref="C12:E12"/>
    <mergeCell ref="F12:G12"/>
    <mergeCell ref="C17:E17"/>
    <mergeCell ref="F17:G17"/>
    <mergeCell ref="C13:E13"/>
    <mergeCell ref="F13:G13"/>
    <mergeCell ref="C14:E14"/>
    <mergeCell ref="F14:G14"/>
    <mergeCell ref="C16:E16"/>
    <mergeCell ref="F16:G16"/>
    <mergeCell ref="C15:E15"/>
    <mergeCell ref="F15:G15"/>
  </mergeCells>
  <pageMargins left="0.19685039370078741" right="0.19685039370078741" top="0.19685039370078741" bottom="0.39370078740157483" header="0.19685039370078741" footer="0.19685039370078741"/>
  <pageSetup paperSize="9" scale="71" orientation="landscape" horizontalDpi="1200" verticalDpi="1200" r:id="rId1"/>
  <headerFooter scaleWithDoc="0" alignWithMargins="0">
    <oddFooter>&amp;LSCI32PT01-PPO - 2023-v3&amp;C&amp;D&amp;R&amp;F&amp;LSCI32PT01-PPO - 2023-v3</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pageSetUpPr fitToPage="1"/>
  </sheetPr>
  <dimension ref="A1:AJ91"/>
  <sheetViews>
    <sheetView showZeros="0" tabSelected="1" topLeftCell="B3" zoomScale="80" zoomScaleNormal="80" zoomScalePageLayoutView="80" workbookViewId="0">
      <selection activeCell="F40" sqref="F40"/>
    </sheetView>
  </sheetViews>
  <sheetFormatPr baseColWidth="10" defaultColWidth="12" defaultRowHeight="13" x14ac:dyDescent="0.3"/>
  <cols>
    <col min="1" max="1" width="4" style="1" hidden="1" customWidth="1"/>
    <col min="2" max="2" width="27.796875" style="165" customWidth="1"/>
    <col min="3" max="3" width="8.796875" style="165" customWidth="1"/>
    <col min="4" max="4" width="24" style="165" customWidth="1"/>
    <col min="5" max="5" width="12.69921875" style="165" bestFit="1" customWidth="1"/>
    <col min="6" max="6" width="22" style="166" customWidth="1"/>
    <col min="7" max="7" width="20" style="166" customWidth="1"/>
    <col min="8" max="8" width="21.5" style="167" bestFit="1" customWidth="1"/>
    <col min="9" max="9" width="21.5" style="165" bestFit="1" customWidth="1"/>
    <col min="10" max="10" width="8.19921875" style="165" customWidth="1"/>
    <col min="11" max="11" width="22.796875" style="167" customWidth="1"/>
    <col min="12" max="12" width="23.5" style="167" customWidth="1"/>
    <col min="13" max="13" width="20.19921875" style="165" customWidth="1"/>
    <col min="14" max="14" width="24" style="165" customWidth="1"/>
    <col min="15" max="15" width="12" style="165"/>
    <col min="16" max="16" width="17.19921875" style="165" customWidth="1"/>
    <col min="17" max="17" width="21.5" style="165" bestFit="1" customWidth="1"/>
    <col min="18" max="18" width="19" style="165" customWidth="1"/>
    <col min="19" max="19" width="20.5" style="165" customWidth="1"/>
    <col min="20" max="21" width="12" style="165"/>
    <col min="22" max="22" width="17.69921875" style="165" customWidth="1"/>
    <col min="23" max="16384" width="12" style="165"/>
  </cols>
  <sheetData>
    <row r="1" spans="1:36" s="228" customFormat="1" ht="16" thickBot="1" x14ac:dyDescent="0.4">
      <c r="A1" s="413"/>
      <c r="B1" s="942" t="s">
        <v>468</v>
      </c>
      <c r="C1" s="926"/>
      <c r="D1" s="887" t="str">
        <f>sector</f>
        <v>Private - Enterprise</v>
      </c>
      <c r="E1" s="940"/>
      <c r="F1" s="940"/>
      <c r="G1" s="336" t="s">
        <v>469</v>
      </c>
      <c r="H1" s="887" t="str">
        <f>oficina</f>
        <v>Madrid</v>
      </c>
      <c r="I1" s="888"/>
      <c r="J1" s="925" t="s">
        <v>470</v>
      </c>
      <c r="K1" s="926"/>
      <c r="L1" s="883" t="e">
        <f>tipo_oferta</f>
        <v>#REF!</v>
      </c>
      <c r="M1" s="884" t="e">
        <f>tipo_oferta</f>
        <v>#REF!</v>
      </c>
      <c r="N1" s="885" t="e">
        <f>tipo_oferta</f>
        <v>#REF!</v>
      </c>
      <c r="O1" s="337"/>
      <c r="Q1" s="337"/>
    </row>
    <row r="2" spans="1:36" s="338" customFormat="1" ht="16" thickBot="1" x14ac:dyDescent="0.4">
      <c r="B2" s="917" t="s">
        <v>471</v>
      </c>
      <c r="C2" s="918"/>
      <c r="D2" s="927" t="str">
        <f>nombreo</f>
        <v>Smart Airport en la nueva terminal de Puerto Vallarta</v>
      </c>
      <c r="E2" s="928"/>
      <c r="F2" s="928"/>
      <c r="G2" s="929"/>
      <c r="H2" s="930"/>
      <c r="I2" s="339">
        <f>codigo_oferta</f>
        <v>20250256445</v>
      </c>
      <c r="J2" s="917" t="s">
        <v>472</v>
      </c>
      <c r="K2" s="918"/>
      <c r="L2" s="335" t="str">
        <f>tipo_contrato</f>
        <v>PC</v>
      </c>
      <c r="M2" s="390"/>
      <c r="N2" s="390"/>
      <c r="O2" s="390"/>
      <c r="P2" s="390"/>
      <c r="Q2" s="390"/>
      <c r="R2" s="390"/>
      <c r="S2" s="390"/>
      <c r="T2" s="390"/>
      <c r="U2" s="390"/>
      <c r="V2" s="390"/>
      <c r="W2" s="390"/>
      <c r="X2" s="390"/>
      <c r="Y2" s="390"/>
      <c r="Z2" s="390"/>
      <c r="AA2" s="390"/>
      <c r="AB2" s="390"/>
      <c r="AC2" s="390"/>
      <c r="AD2" s="390"/>
      <c r="AE2" s="390"/>
      <c r="AF2" s="390"/>
      <c r="AG2" s="390"/>
      <c r="AH2" s="390"/>
      <c r="AI2" s="390"/>
      <c r="AJ2" s="390"/>
    </row>
    <row r="3" spans="1:36" customFormat="1" ht="16" thickBot="1" x14ac:dyDescent="0.4">
      <c r="B3" s="917" t="s">
        <v>473</v>
      </c>
      <c r="C3" s="918"/>
      <c r="D3" s="919" t="str">
        <f>cliente</f>
        <v>GAP</v>
      </c>
      <c r="E3" s="920"/>
      <c r="F3" s="920"/>
      <c r="G3" s="921"/>
      <c r="H3" s="922"/>
      <c r="I3" s="388" t="s">
        <v>474</v>
      </c>
      <c r="J3" s="335">
        <f>duracion</f>
        <v>12</v>
      </c>
      <c r="K3" s="340" t="s">
        <v>475</v>
      </c>
      <c r="L3" s="335" t="str">
        <f>mes_inicio&amp;" - "&amp;año_inicio</f>
        <v>11 - 2025</v>
      </c>
      <c r="M3" s="144"/>
      <c r="N3" s="144"/>
      <c r="O3" s="144"/>
      <c r="P3" s="144"/>
      <c r="Q3" s="144"/>
      <c r="R3" s="144"/>
      <c r="S3" s="144"/>
      <c r="T3" s="144"/>
      <c r="U3" s="144"/>
      <c r="V3" s="144"/>
      <c r="W3" s="144"/>
      <c r="X3" s="144"/>
      <c r="Y3" s="144"/>
      <c r="Z3" s="144"/>
      <c r="AA3" s="144"/>
      <c r="AB3" s="144"/>
      <c r="AC3" s="144"/>
      <c r="AD3" s="144"/>
      <c r="AE3" s="144"/>
      <c r="AF3" s="144"/>
      <c r="AG3" s="144"/>
      <c r="AH3" s="144"/>
      <c r="AI3" s="144"/>
      <c r="AJ3" s="144"/>
    </row>
    <row r="4" spans="1:36" customFormat="1" ht="5.25" customHeight="1" thickBot="1" x14ac:dyDescent="0.35">
      <c r="M4" s="144"/>
      <c r="N4" s="144"/>
      <c r="O4" s="144"/>
      <c r="P4" s="144"/>
      <c r="Q4" s="144"/>
      <c r="R4" s="144"/>
      <c r="S4" s="144"/>
      <c r="T4" s="144"/>
      <c r="U4" s="144"/>
      <c r="V4" s="144"/>
      <c r="W4" s="144"/>
      <c r="X4" s="144"/>
      <c r="Y4" s="144"/>
      <c r="Z4" s="144"/>
      <c r="AA4" s="144"/>
      <c r="AB4" s="144"/>
      <c r="AC4" s="144"/>
      <c r="AD4" s="144"/>
      <c r="AE4" s="144"/>
      <c r="AF4" s="144"/>
      <c r="AG4" s="144"/>
      <c r="AH4" s="144"/>
      <c r="AI4" s="144"/>
      <c r="AJ4" s="144"/>
    </row>
    <row r="5" spans="1:36" customFormat="1" ht="14.5" thickBot="1" x14ac:dyDescent="0.35">
      <c r="B5" s="346" t="s">
        <v>476</v>
      </c>
      <c r="C5" s="384"/>
      <c r="D5" s="346" t="s">
        <v>477</v>
      </c>
      <c r="E5" s="923"/>
      <c r="F5" s="924"/>
      <c r="G5" s="374"/>
      <c r="H5" s="375" t="s">
        <v>478</v>
      </c>
      <c r="I5" s="384"/>
      <c r="J5" s="379"/>
      <c r="K5" s="376" t="s">
        <v>479</v>
      </c>
      <c r="L5" s="383"/>
      <c r="M5" s="144"/>
      <c r="N5" s="144"/>
      <c r="O5" s="144"/>
      <c r="P5" s="144"/>
      <c r="Q5" s="144"/>
      <c r="R5" s="144"/>
      <c r="S5" s="144"/>
      <c r="T5" s="144"/>
      <c r="U5" s="144"/>
      <c r="V5" s="144"/>
      <c r="W5" s="144"/>
      <c r="X5" s="144"/>
      <c r="Y5" s="144"/>
      <c r="Z5" s="144"/>
      <c r="AA5" s="144"/>
      <c r="AB5" s="144"/>
      <c r="AC5" s="144"/>
      <c r="AD5" s="144"/>
      <c r="AE5" s="144"/>
      <c r="AF5" s="144"/>
      <c r="AG5" s="144"/>
      <c r="AH5" s="144"/>
      <c r="AI5" s="144"/>
      <c r="AJ5" s="144"/>
    </row>
    <row r="6" spans="1:36" customFormat="1" ht="10.5" customHeight="1" thickBot="1" x14ac:dyDescent="0.35">
      <c r="B6" s="281"/>
      <c r="C6" s="281"/>
      <c r="D6" s="380"/>
      <c r="E6" s="380"/>
      <c r="F6" s="380"/>
      <c r="G6" s="380"/>
      <c r="H6" s="380"/>
      <c r="I6" s="380"/>
      <c r="J6" s="380"/>
      <c r="K6" s="380"/>
      <c r="L6" s="281"/>
      <c r="M6" s="144"/>
      <c r="N6" s="144"/>
      <c r="O6" s="144"/>
      <c r="P6" s="144"/>
      <c r="Q6" s="144"/>
      <c r="R6" s="144"/>
      <c r="S6" s="144"/>
      <c r="T6" s="144"/>
      <c r="U6" s="144"/>
      <c r="V6" s="144"/>
      <c r="W6" s="144"/>
      <c r="X6" s="144"/>
      <c r="Y6" s="144"/>
      <c r="Z6" s="144"/>
      <c r="AA6" s="144"/>
      <c r="AB6" s="144"/>
      <c r="AC6" s="144"/>
      <c r="AD6" s="144"/>
      <c r="AE6" s="144"/>
      <c r="AF6" s="144"/>
      <c r="AG6" s="144"/>
      <c r="AH6" s="144"/>
      <c r="AI6" s="144"/>
      <c r="AJ6" s="144"/>
    </row>
    <row r="7" spans="1:36" s="228" customFormat="1" ht="16" thickBot="1" x14ac:dyDescent="0.4">
      <c r="A7" s="413"/>
      <c r="B7" s="381"/>
      <c r="C7" s="381"/>
      <c r="D7" s="934" t="s">
        <v>480</v>
      </c>
      <c r="E7" s="935"/>
      <c r="F7" s="935"/>
      <c r="G7" s="935"/>
      <c r="H7" s="385" t="s">
        <v>481</v>
      </c>
      <c r="I7" s="387" t="s">
        <v>108</v>
      </c>
      <c r="J7" s="913"/>
      <c r="K7" s="914"/>
      <c r="L7" s="381"/>
      <c r="M7" s="891" t="s">
        <v>482</v>
      </c>
      <c r="N7" s="892"/>
      <c r="O7" s="892"/>
      <c r="P7" s="893"/>
      <c r="V7" s="846">
        <v>1.1087</v>
      </c>
    </row>
    <row r="8" spans="1:36" s="228" customFormat="1" ht="16.5" customHeight="1" thickBot="1" x14ac:dyDescent="0.4">
      <c r="A8" s="413"/>
      <c r="B8" s="381"/>
      <c r="C8" s="381"/>
      <c r="D8" s="931" t="s">
        <v>483</v>
      </c>
      <c r="E8" s="932"/>
      <c r="F8" s="933"/>
      <c r="G8" s="378"/>
      <c r="H8" s="386" t="s">
        <v>484</v>
      </c>
      <c r="I8" s="389">
        <v>1</v>
      </c>
      <c r="J8" s="915">
        <f>G8*I8</f>
        <v>0</v>
      </c>
      <c r="K8" s="916"/>
      <c r="L8" s="381"/>
      <c r="M8" s="894"/>
      <c r="N8" s="895"/>
      <c r="O8" s="895"/>
      <c r="P8" s="896"/>
      <c r="R8" s="228" t="s">
        <v>767</v>
      </c>
      <c r="S8" s="845">
        <f>VistaCliente!D49</f>
        <v>695946.3</v>
      </c>
    </row>
    <row r="9" spans="1:36" s="229" customFormat="1" ht="16" thickBot="1" x14ac:dyDescent="0.4">
      <c r="A9" s="38"/>
      <c r="B9" s="268"/>
      <c r="C9" s="268"/>
      <c r="D9" s="268"/>
      <c r="E9" s="268"/>
      <c r="J9" s="268"/>
      <c r="M9" s="897">
        <f>F12+J7+J8</f>
        <v>150605.65211800003</v>
      </c>
      <c r="N9" s="898"/>
      <c r="O9" s="899"/>
      <c r="P9" s="903">
        <f>IF(D12=0,0,1-(F16)/D12)</f>
        <v>0.2579320808078075</v>
      </c>
      <c r="R9" s="229" t="s">
        <v>768</v>
      </c>
      <c r="S9" s="229" t="s">
        <v>769</v>
      </c>
      <c r="T9" s="229" t="s">
        <v>770</v>
      </c>
    </row>
    <row r="10" spans="1:36" customFormat="1" ht="15.75" customHeight="1" thickBot="1" x14ac:dyDescent="0.4">
      <c r="B10" s="936" t="s">
        <v>485</v>
      </c>
      <c r="C10" s="937"/>
      <c r="D10" s="89">
        <f>D11+D12</f>
        <v>706514.83000000007</v>
      </c>
      <c r="E10" s="382"/>
      <c r="F10" s="889" t="s">
        <v>486</v>
      </c>
      <c r="G10" s="889" t="s">
        <v>487</v>
      </c>
      <c r="H10" s="889" t="s">
        <v>488</v>
      </c>
      <c r="I10" s="889" t="s">
        <v>489</v>
      </c>
      <c r="J10" s="381"/>
      <c r="K10" s="167"/>
      <c r="L10" s="167"/>
      <c r="M10" s="900"/>
      <c r="N10" s="901"/>
      <c r="O10" s="902"/>
      <c r="P10" s="904"/>
      <c r="Q10" s="144"/>
      <c r="R10" s="144"/>
      <c r="S10" s="765">
        <v>1</v>
      </c>
      <c r="T10" s="844">
        <v>1.1087</v>
      </c>
      <c r="U10" s="144"/>
      <c r="V10" s="144"/>
      <c r="W10" s="144"/>
      <c r="X10" s="144"/>
      <c r="Y10" s="144"/>
      <c r="Z10" s="144"/>
      <c r="AA10" s="144"/>
      <c r="AB10" s="144"/>
      <c r="AC10" s="144"/>
      <c r="AD10" s="144"/>
      <c r="AE10" s="144"/>
      <c r="AF10" s="144"/>
      <c r="AG10" s="144"/>
      <c r="AH10" s="144"/>
      <c r="AI10" s="144"/>
      <c r="AJ10" s="144"/>
    </row>
    <row r="11" spans="1:36" customFormat="1" ht="15.75" customHeight="1" thickBot="1" x14ac:dyDescent="0.4">
      <c r="B11" s="941" t="s">
        <v>490</v>
      </c>
      <c r="C11" s="861"/>
      <c r="D11" s="90">
        <f>ROUND(D12*IVA,2)</f>
        <v>122618.28</v>
      </c>
      <c r="E11" s="382"/>
      <c r="F11" s="890"/>
      <c r="G11" s="890"/>
      <c r="H11" s="890"/>
      <c r="I11" s="890"/>
      <c r="J11" s="381"/>
      <c r="K11" s="167"/>
      <c r="L11" s="167"/>
      <c r="M11" s="165"/>
      <c r="N11" s="165"/>
      <c r="O11" s="165"/>
      <c r="P11" s="165"/>
      <c r="Q11" s="144"/>
      <c r="R11" s="144"/>
      <c r="S11" s="144"/>
      <c r="T11" s="144"/>
      <c r="U11" s="144"/>
      <c r="V11" s="847">
        <v>0.83899999999999997</v>
      </c>
      <c r="W11" s="144"/>
      <c r="X11" s="144"/>
      <c r="Y11" s="144"/>
      <c r="Z11" s="144"/>
      <c r="AA11" s="144"/>
      <c r="AB11" s="144"/>
      <c r="AC11" s="144"/>
      <c r="AD11" s="144"/>
      <c r="AE11" s="144"/>
      <c r="AF11" s="144"/>
      <c r="AG11" s="144"/>
      <c r="AH11" s="144"/>
      <c r="AI11" s="144"/>
      <c r="AJ11" s="144"/>
    </row>
    <row r="12" spans="1:36" customFormat="1" ht="15.75" customHeight="1" thickBot="1" x14ac:dyDescent="0.4">
      <c r="B12" s="859" t="s">
        <v>491</v>
      </c>
      <c r="C12" s="868"/>
      <c r="D12" s="87">
        <f>K14+J7+J8</f>
        <v>583896.55000000005</v>
      </c>
      <c r="E12" s="382"/>
      <c r="F12" s="88">
        <f>$K$14-F16</f>
        <v>150605.65211800003</v>
      </c>
      <c r="G12" s="88">
        <f>$K$14-G16</f>
        <v>121560.10066451621</v>
      </c>
      <c r="H12" s="88">
        <f>$K$14-H16</f>
        <v>121560.10066451621</v>
      </c>
      <c r="I12" s="88">
        <f>$K$14-I16</f>
        <v>121560.10066451621</v>
      </c>
      <c r="J12" s="266"/>
      <c r="K12" s="905" t="s">
        <v>492</v>
      </c>
      <c r="L12" s="906"/>
      <c r="M12" s="144"/>
      <c r="N12" s="144"/>
      <c r="O12" s="144"/>
      <c r="P12" s="144"/>
      <c r="Q12" s="144"/>
      <c r="R12" s="144"/>
      <c r="S12" s="144"/>
      <c r="T12" s="144"/>
      <c r="U12" s="144"/>
      <c r="V12" s="765">
        <f>V11*S8</f>
        <v>583898.94570000004</v>
      </c>
      <c r="W12" s="144"/>
      <c r="X12" s="144"/>
      <c r="Y12" s="144"/>
      <c r="Z12" s="144"/>
      <c r="AA12" s="144"/>
      <c r="AB12" s="144"/>
      <c r="AC12" s="144"/>
      <c r="AD12" s="144"/>
      <c r="AE12" s="144"/>
      <c r="AF12" s="144"/>
      <c r="AG12" s="144"/>
      <c r="AH12" s="144"/>
      <c r="AI12" s="144"/>
      <c r="AJ12" s="144"/>
    </row>
    <row r="13" spans="1:36" customFormat="1" ht="18.75" customHeight="1" thickBot="1" x14ac:dyDescent="0.35">
      <c r="B13" s="420"/>
      <c r="C13" s="421" t="s">
        <v>493</v>
      </c>
      <c r="D13" s="422">
        <f>IF(D14=0,0,(Precio-D14)/D14)</f>
        <v>0</v>
      </c>
      <c r="E13" s="382"/>
      <c r="F13" s="419">
        <f>IF($K$14=0,0,1-(F16)/$K$14)</f>
        <v>0.2579320808078075</v>
      </c>
      <c r="G13" s="426">
        <f>IF($K$14=0,0,1-(G16)/$K$14)</f>
        <v>0.2081877357633235</v>
      </c>
      <c r="H13" s="419">
        <f>IF($K$14=0,0,1-(H16)/$K$14)</f>
        <v>0.2081877357633235</v>
      </c>
      <c r="I13" s="419">
        <f>IF($K$14=0,0,1-(I16)/$K$14)</f>
        <v>0.2081877357633235</v>
      </c>
      <c r="J13" s="266"/>
      <c r="K13" s="907"/>
      <c r="L13" s="908"/>
      <c r="M13" s="144"/>
      <c r="N13" s="144"/>
      <c r="O13" s="144"/>
      <c r="P13" s="144"/>
      <c r="Q13" s="144"/>
      <c r="R13" s="144"/>
      <c r="S13" s="765">
        <f>S8/T10</f>
        <v>627713.80896545504</v>
      </c>
      <c r="T13" s="144"/>
      <c r="U13" s="144"/>
      <c r="V13" s="144"/>
      <c r="W13" s="144"/>
      <c r="X13" s="144"/>
      <c r="Y13" s="144"/>
      <c r="Z13" s="144"/>
      <c r="AA13" s="144"/>
      <c r="AB13" s="144"/>
      <c r="AC13" s="144"/>
      <c r="AD13" s="144"/>
      <c r="AE13" s="144"/>
      <c r="AF13" s="144"/>
      <c r="AG13" s="144"/>
      <c r="AH13" s="144"/>
      <c r="AI13" s="144"/>
      <c r="AJ13" s="144"/>
    </row>
    <row r="14" spans="1:36" s="229" customFormat="1" ht="23.25" customHeight="1" thickBot="1" x14ac:dyDescent="0.4">
      <c r="A14" s="38"/>
      <c r="B14" s="938" t="s">
        <v>494</v>
      </c>
      <c r="C14" s="939"/>
      <c r="D14" s="423"/>
      <c r="E14" s="382"/>
      <c r="F14" s="280"/>
      <c r="G14" s="280"/>
      <c r="H14" s="391"/>
      <c r="I14" s="391"/>
      <c r="J14" s="280"/>
      <c r="K14" s="909">
        <f>ROUND(K18+K42+K46+K52,2)</f>
        <v>583896.55000000005</v>
      </c>
      <c r="L14" s="910"/>
      <c r="M14" s="268"/>
      <c r="N14" s="268"/>
      <c r="V14" s="848">
        <v>583896.55000000005</v>
      </c>
    </row>
    <row r="15" spans="1:36" ht="15.75" customHeight="1" thickBot="1" x14ac:dyDescent="0.4">
      <c r="B15" s="392"/>
      <c r="C15" s="392"/>
      <c r="D15" s="392"/>
      <c r="E15" s="392"/>
      <c r="F15" s="233" t="s">
        <v>495</v>
      </c>
      <c r="G15" s="233" t="s">
        <v>496</v>
      </c>
      <c r="H15" s="233" t="s">
        <v>497</v>
      </c>
      <c r="I15" s="233" t="s">
        <v>498</v>
      </c>
      <c r="J15" s="266"/>
      <c r="K15" s="911"/>
      <c r="L15" s="912"/>
      <c r="M15" s="266"/>
      <c r="O15" s="859" t="s">
        <v>499</v>
      </c>
      <c r="P15" s="868"/>
    </row>
    <row r="16" spans="1:36" s="229" customFormat="1" ht="15.75" customHeight="1" thickBot="1" x14ac:dyDescent="0.4">
      <c r="A16" s="38"/>
      <c r="B16" s="234" t="s">
        <v>346</v>
      </c>
      <c r="C16" s="235"/>
      <c r="D16" s="236">
        <f>IF(SUM(Parametros!K19:P58)+hayerrs=0,0,"ERROR")</f>
        <v>0</v>
      </c>
      <c r="E16" s="233" t="s">
        <v>500</v>
      </c>
      <c r="F16" s="87">
        <f>F18+F40+F42+F46+F52</f>
        <v>433290.89788200002</v>
      </c>
      <c r="G16" s="87">
        <f>G18+G40+G42+G46+G52</f>
        <v>462336.44933548383</v>
      </c>
      <c r="H16" s="87">
        <f>H18+H40+H42+H46+H52</f>
        <v>462336.44933548383</v>
      </c>
      <c r="I16" s="87">
        <f>I18+I40+I42+I46+I52</f>
        <v>462336.44933548383</v>
      </c>
      <c r="J16" s="266"/>
      <c r="M16" s="267"/>
      <c r="N16" s="267"/>
      <c r="O16" s="129" t="s">
        <v>392</v>
      </c>
      <c r="P16" s="327">
        <f>IF(O16="NO",0,SUM(P19:P39))</f>
        <v>0</v>
      </c>
    </row>
    <row r="17" spans="1:19" s="229" customFormat="1" ht="17.25" customHeight="1" thickBot="1" x14ac:dyDescent="0.4">
      <c r="A17" s="38"/>
      <c r="B17" s="1"/>
      <c r="C17" s="1"/>
      <c r="D17" s="424" t="s">
        <v>501</v>
      </c>
      <c r="E17" s="425">
        <f>IF(E18,F18/E18,0)</f>
        <v>27.082913842299188</v>
      </c>
      <c r="F17" s="237"/>
      <c r="G17" s="237"/>
      <c r="H17" s="237"/>
      <c r="I17" s="237"/>
      <c r="J17" s="266"/>
      <c r="K17" s="1"/>
      <c r="L17" s="1"/>
      <c r="M17" s="267"/>
      <c r="N17" s="38"/>
      <c r="O17" s="267"/>
      <c r="P17" s="267"/>
    </row>
    <row r="18" spans="1:19" s="228" customFormat="1" ht="16" thickBot="1" x14ac:dyDescent="0.4">
      <c r="A18" s="413"/>
      <c r="B18" s="233" t="s">
        <v>502</v>
      </c>
      <c r="C18" s="238"/>
      <c r="D18" s="239" t="s">
        <v>335</v>
      </c>
      <c r="E18" s="233">
        <f>SUM(E19:E39)</f>
        <v>13570</v>
      </c>
      <c r="F18" s="240">
        <f>SUM(F19:F39)+D16</f>
        <v>367515.14084000001</v>
      </c>
      <c r="G18" s="241">
        <f>SUM(G19:G39)+D16</f>
        <v>395177.57079569891</v>
      </c>
      <c r="H18" s="241">
        <f>SUM(H19:H39)+D16</f>
        <v>395177.57079569891</v>
      </c>
      <c r="I18" s="242">
        <f>SUM(I19:I39)+D16</f>
        <v>395177.57079569891</v>
      </c>
      <c r="J18" s="266"/>
      <c r="K18" s="136">
        <f>583896.55</f>
        <v>583896.55000000005</v>
      </c>
      <c r="L18" s="417" t="s">
        <v>503</v>
      </c>
      <c r="M18" s="269"/>
      <c r="N18" s="233" t="s">
        <v>500</v>
      </c>
      <c r="O18" s="233" t="s">
        <v>504</v>
      </c>
      <c r="P18" s="233" t="s">
        <v>505</v>
      </c>
    </row>
    <row r="19" spans="1:19" x14ac:dyDescent="0.3">
      <c r="B19" s="244" t="str">
        <f>Presupuesto!L6</f>
        <v>Jefe Proyecto</v>
      </c>
      <c r="C19" s="244" t="str">
        <f>Presupuesto!C6</f>
        <v>Connectis-ICT</v>
      </c>
      <c r="D19" s="245" t="str">
        <f>Presupuesto!D6</f>
        <v>JP</v>
      </c>
      <c r="E19" s="246">
        <f>Presupuesto!K6</f>
        <v>480</v>
      </c>
      <c r="F19" s="247">
        <f>Presupuesto!V6</f>
        <v>19752</v>
      </c>
      <c r="G19" s="248">
        <f t="shared" ref="G19:G39" si="0">F19/Tu</f>
        <v>21238.709677419352</v>
      </c>
      <c r="H19" s="249">
        <f t="shared" ref="H19:H39" si="1">G19*(1+K_1)</f>
        <v>21238.709677419352</v>
      </c>
      <c r="I19" s="250">
        <f t="shared" ref="I19:I40" si="2">H19*(1+K_2)*(1+K_3)</f>
        <v>21238.709677419352</v>
      </c>
      <c r="J19" s="266"/>
      <c r="K19" s="251">
        <f t="shared" ref="K19:K39" si="3">IF($L$22=0,0,H19/(1-$L$22)*($H$18/($H$18-$H$39)))</f>
        <v>29363.341304330203</v>
      </c>
      <c r="L19" s="243" t="s">
        <v>506</v>
      </c>
      <c r="M19" s="266"/>
      <c r="N19" s="133">
        <f t="shared" ref="N19:N39" si="4">E19</f>
        <v>480</v>
      </c>
      <c r="O19" s="130"/>
      <c r="P19" s="252">
        <f>N19*O19</f>
        <v>0</v>
      </c>
      <c r="S19" s="144"/>
    </row>
    <row r="20" spans="1:19" ht="13.5" thickBot="1" x14ac:dyDescent="0.35">
      <c r="B20" s="253" t="str">
        <f>Presupuesto!L7</f>
        <v>Consultor Smart Spaces</v>
      </c>
      <c r="C20" s="244" t="str">
        <f>Presupuesto!C7</f>
        <v>Global Rosetta</v>
      </c>
      <c r="D20" s="245" t="str">
        <f>Presupuesto!D7</f>
        <v>CSS</v>
      </c>
      <c r="E20" s="246">
        <f>Presupuesto!K7</f>
        <v>1740</v>
      </c>
      <c r="F20" s="247">
        <f>Presupuesto!V7</f>
        <v>46363.200000000004</v>
      </c>
      <c r="G20" s="248">
        <f t="shared" si="0"/>
        <v>49852.903225806454</v>
      </c>
      <c r="H20" s="249">
        <f t="shared" si="1"/>
        <v>49852.903225806454</v>
      </c>
      <c r="I20" s="250">
        <f t="shared" si="2"/>
        <v>49852.903225806454</v>
      </c>
      <c r="J20" s="266"/>
      <c r="K20" s="251">
        <f t="shared" si="3"/>
        <v>68923.575615680558</v>
      </c>
      <c r="L20" s="39">
        <f>IF((K18+K42+K46)=0,0,1-(I18+I40+I42+I46)/(K18+K42+K46))</f>
        <v>0.27669302150272368</v>
      </c>
      <c r="M20" s="266"/>
      <c r="N20" s="134">
        <f t="shared" si="4"/>
        <v>1740</v>
      </c>
      <c r="O20" s="131"/>
      <c r="P20" s="254">
        <f t="shared" ref="P20:P39" si="5">N20*O20</f>
        <v>0</v>
      </c>
    </row>
    <row r="21" spans="1:19" x14ac:dyDescent="0.3">
      <c r="B21" s="253" t="str">
        <f>Presupuesto!L8</f>
        <v>Consultor Junior Smart Spaces</v>
      </c>
      <c r="C21" s="244" t="str">
        <f>Presupuesto!C8</f>
        <v>Global Rosetta</v>
      </c>
      <c r="D21" s="245" t="str">
        <f>Presupuesto!D8</f>
        <v>CJSS</v>
      </c>
      <c r="E21" s="246">
        <f>Presupuesto!K8</f>
        <v>1590</v>
      </c>
      <c r="F21" s="247">
        <f>Presupuesto!V8</f>
        <v>26145.600000000002</v>
      </c>
      <c r="G21" s="248">
        <f t="shared" si="0"/>
        <v>28113.548387096776</v>
      </c>
      <c r="H21" s="249">
        <f t="shared" si="1"/>
        <v>28113.548387096776</v>
      </c>
      <c r="I21" s="250">
        <f t="shared" si="2"/>
        <v>28113.548387096776</v>
      </c>
      <c r="J21" s="266"/>
      <c r="K21" s="251">
        <f t="shared" si="3"/>
        <v>38868.072924589709</v>
      </c>
      <c r="L21" s="243" t="s">
        <v>507</v>
      </c>
      <c r="M21" s="266"/>
      <c r="N21" s="134">
        <f t="shared" si="4"/>
        <v>1590</v>
      </c>
      <c r="O21" s="131"/>
      <c r="P21" s="254">
        <f t="shared" si="5"/>
        <v>0</v>
      </c>
    </row>
    <row r="22" spans="1:19" ht="13.5" thickBot="1" x14ac:dyDescent="0.35">
      <c r="B22" s="253" t="str">
        <f>Presupuesto!L9</f>
        <v>Arquitecto</v>
      </c>
      <c r="C22" s="244" t="str">
        <f>Presupuesto!C9</f>
        <v>Global Rosetta</v>
      </c>
      <c r="D22" s="245" t="str">
        <f>Presupuesto!D9</f>
        <v>A</v>
      </c>
      <c r="E22" s="246">
        <f>Presupuesto!K9</f>
        <v>1960</v>
      </c>
      <c r="F22" s="247">
        <f>Presupuesto!V9</f>
        <v>77740.25</v>
      </c>
      <c r="G22" s="248">
        <f t="shared" si="0"/>
        <v>83591.666666666657</v>
      </c>
      <c r="H22" s="249">
        <f t="shared" si="1"/>
        <v>83591.666666666657</v>
      </c>
      <c r="I22" s="250">
        <f t="shared" si="2"/>
        <v>83591.666666666657</v>
      </c>
      <c r="J22" s="266"/>
      <c r="K22" s="251">
        <f t="shared" si="3"/>
        <v>115568.72690532383</v>
      </c>
      <c r="L22" s="39">
        <f>IF((K18+K42+K46)=0,0,1-(H18+H40+H42+H46)/(K18+K42+K46))</f>
        <v>0.27669302150272368</v>
      </c>
      <c r="M22" s="266"/>
      <c r="N22" s="134">
        <f t="shared" si="4"/>
        <v>1960</v>
      </c>
      <c r="O22" s="131"/>
      <c r="P22" s="254">
        <f t="shared" si="5"/>
        <v>0</v>
      </c>
    </row>
    <row r="23" spans="1:19" x14ac:dyDescent="0.3">
      <c r="B23" s="253" t="str">
        <f>Presupuesto!L10</f>
        <v>Ingeniero Integración</v>
      </c>
      <c r="C23" s="244" t="str">
        <f>Presupuesto!C10</f>
        <v>Global Rosetta</v>
      </c>
      <c r="D23" s="245" t="str">
        <f>Presupuesto!D10</f>
        <v>II</v>
      </c>
      <c r="E23" s="246">
        <f>Presupuesto!K10</f>
        <v>3920</v>
      </c>
      <c r="F23" s="247">
        <f>Presupuesto!V10</f>
        <v>108918</v>
      </c>
      <c r="G23" s="248">
        <f t="shared" si="0"/>
        <v>117116.12903225806</v>
      </c>
      <c r="H23" s="249">
        <f t="shared" si="1"/>
        <v>117116.12903225806</v>
      </c>
      <c r="I23" s="250">
        <f t="shared" si="2"/>
        <v>117116.12903225806</v>
      </c>
      <c r="J23" s="266"/>
      <c r="K23" s="251">
        <f t="shared" si="3"/>
        <v>161917.5986322923</v>
      </c>
      <c r="L23" s="243" t="s">
        <v>508</v>
      </c>
      <c r="M23" s="266"/>
      <c r="N23" s="134">
        <f t="shared" si="4"/>
        <v>3920</v>
      </c>
      <c r="O23" s="131"/>
      <c r="P23" s="254">
        <f t="shared" si="5"/>
        <v>0</v>
      </c>
      <c r="R23" s="759">
        <f>(K18-F16)/K18</f>
        <v>0.2579320808078075</v>
      </c>
    </row>
    <row r="24" spans="1:19" ht="13.5" thickBot="1" x14ac:dyDescent="0.35">
      <c r="B24" s="253" t="str">
        <f>Presupuesto!L11</f>
        <v>Configuración Portal</v>
      </c>
      <c r="C24" s="244" t="str">
        <f>Presupuesto!C11</f>
        <v>Global Rosetta</v>
      </c>
      <c r="D24" s="245" t="str">
        <f>Presupuesto!D11</f>
        <v>P</v>
      </c>
      <c r="E24" s="246">
        <f>Presupuesto!K11</f>
        <v>2000</v>
      </c>
      <c r="F24" s="247">
        <f>Presupuesto!V11</f>
        <v>41056</v>
      </c>
      <c r="G24" s="248">
        <f t="shared" si="0"/>
        <v>44146.236559139783</v>
      </c>
      <c r="H24" s="249">
        <f t="shared" si="1"/>
        <v>44146.236559139783</v>
      </c>
      <c r="I24" s="250">
        <f t="shared" si="2"/>
        <v>44146.236559139783</v>
      </c>
      <c r="J24" s="266"/>
      <c r="K24" s="251">
        <f t="shared" si="3"/>
        <v>61033.887231195877</v>
      </c>
      <c r="L24" s="39">
        <f>IF((K18+K42+K46)=0,0,1-(G18+G40+G42+G46)/(K18+K42+K46))</f>
        <v>0.27669302150272368</v>
      </c>
      <c r="M24" s="266"/>
      <c r="N24" s="134">
        <f t="shared" si="4"/>
        <v>2000</v>
      </c>
      <c r="O24" s="131"/>
      <c r="P24" s="254">
        <f t="shared" si="5"/>
        <v>0</v>
      </c>
    </row>
    <row r="25" spans="1:19" x14ac:dyDescent="0.3">
      <c r="B25" s="253" t="str">
        <f>Presupuesto!L12</f>
        <v>Diseñador gráfico</v>
      </c>
      <c r="C25" s="244" t="str">
        <f>Presupuesto!C12</f>
        <v>Global Rosetta</v>
      </c>
      <c r="D25" s="245" t="str">
        <f>Presupuesto!D12</f>
        <v>DG</v>
      </c>
      <c r="E25" s="246">
        <f>Presupuesto!K12</f>
        <v>160</v>
      </c>
      <c r="F25" s="247">
        <f>Presupuesto!V12</f>
        <v>4120</v>
      </c>
      <c r="G25" s="248">
        <f t="shared" si="0"/>
        <v>4430.1075268817203</v>
      </c>
      <c r="H25" s="249">
        <f t="shared" si="1"/>
        <v>4430.1075268817203</v>
      </c>
      <c r="I25" s="250">
        <f t="shared" si="2"/>
        <v>4430.1075268817203</v>
      </c>
      <c r="J25" s="266"/>
      <c r="K25" s="251">
        <f t="shared" si="3"/>
        <v>6124.7957763183704</v>
      </c>
      <c r="L25" s="243" t="s">
        <v>509</v>
      </c>
      <c r="M25" s="266"/>
      <c r="N25" s="134">
        <f t="shared" si="4"/>
        <v>160</v>
      </c>
      <c r="O25" s="131"/>
      <c r="P25" s="254">
        <f t="shared" si="5"/>
        <v>0</v>
      </c>
    </row>
    <row r="26" spans="1:19" ht="13.5" thickBot="1" x14ac:dyDescent="0.35">
      <c r="B26" s="253" t="str">
        <f>Presupuesto!L13</f>
        <v>Ingeniero Integración</v>
      </c>
      <c r="C26" s="244" t="str">
        <f>Presupuesto!C13</f>
        <v>Global Rosetta</v>
      </c>
      <c r="D26" s="245" t="str">
        <f>Presupuesto!D13</f>
        <v>II</v>
      </c>
      <c r="E26" s="246">
        <f>Presupuesto!K13</f>
        <v>860</v>
      </c>
      <c r="F26" s="247">
        <f>Presupuesto!V13</f>
        <v>24943.456439999998</v>
      </c>
      <c r="G26" s="248">
        <f t="shared" si="0"/>
        <v>26820.920903225804</v>
      </c>
      <c r="H26" s="249">
        <f t="shared" si="1"/>
        <v>26820.920903225804</v>
      </c>
      <c r="I26" s="250">
        <f t="shared" si="2"/>
        <v>26820.920903225804</v>
      </c>
      <c r="J26" s="266"/>
      <c r="K26" s="251">
        <f t="shared" si="3"/>
        <v>37080.965206430395</v>
      </c>
      <c r="L26" s="39">
        <f>IF((K18+K42+K46)=0,0,1-(F18+F40+F42+F46)/(K18+K42+K46))</f>
        <v>0.32643736654720779</v>
      </c>
      <c r="M26" s="280"/>
      <c r="N26" s="134">
        <f t="shared" si="4"/>
        <v>860</v>
      </c>
      <c r="O26" s="131"/>
      <c r="P26" s="254">
        <f t="shared" si="5"/>
        <v>0</v>
      </c>
    </row>
    <row r="27" spans="1:19" ht="12.5" x14ac:dyDescent="0.25">
      <c r="B27" s="253" t="str">
        <f>Presupuesto!L14</f>
        <v>Configuración Portal</v>
      </c>
      <c r="C27" s="244" t="str">
        <f>Presupuesto!C14</f>
        <v>Global Rosetta</v>
      </c>
      <c r="D27" s="245" t="str">
        <f>Presupuesto!D14</f>
        <v>P</v>
      </c>
      <c r="E27" s="246">
        <f>Presupuesto!K14</f>
        <v>860</v>
      </c>
      <c r="F27" s="247">
        <f>Presupuesto!V14</f>
        <v>18476.634399999999</v>
      </c>
      <c r="G27" s="248">
        <f t="shared" si="0"/>
        <v>19867.3488172043</v>
      </c>
      <c r="H27" s="249">
        <f t="shared" si="1"/>
        <v>19867.3488172043</v>
      </c>
      <c r="I27" s="250">
        <f t="shared" si="2"/>
        <v>19867.3488172043</v>
      </c>
      <c r="J27" s="266"/>
      <c r="K27" s="251">
        <f t="shared" si="3"/>
        <v>27467.381634392888</v>
      </c>
      <c r="L27" s="394"/>
      <c r="M27" s="280"/>
      <c r="N27" s="134">
        <f t="shared" si="4"/>
        <v>860</v>
      </c>
      <c r="O27" s="131"/>
      <c r="P27" s="254">
        <f t="shared" si="5"/>
        <v>0</v>
      </c>
    </row>
    <row r="28" spans="1:19" ht="12.5" x14ac:dyDescent="0.25">
      <c r="B28" s="253">
        <f>Presupuesto!L15</f>
        <v>0</v>
      </c>
      <c r="C28" s="244">
        <f>Presupuesto!C15</f>
        <v>0</v>
      </c>
      <c r="D28" s="245">
        <f>Presupuesto!D15</f>
        <v>0</v>
      </c>
      <c r="E28" s="246">
        <f>Presupuesto!K15</f>
        <v>0</v>
      </c>
      <c r="F28" s="247">
        <f>Presupuesto!V15</f>
        <v>0</v>
      </c>
      <c r="G28" s="248">
        <f t="shared" si="0"/>
        <v>0</v>
      </c>
      <c r="H28" s="249">
        <f t="shared" si="1"/>
        <v>0</v>
      </c>
      <c r="I28" s="250">
        <f t="shared" si="2"/>
        <v>0</v>
      </c>
      <c r="J28" s="266"/>
      <c r="K28" s="251">
        <f t="shared" si="3"/>
        <v>0</v>
      </c>
      <c r="L28" s="394"/>
      <c r="M28" s="280"/>
      <c r="N28" s="134">
        <f t="shared" si="4"/>
        <v>0</v>
      </c>
      <c r="O28" s="131"/>
      <c r="P28" s="254">
        <f t="shared" si="5"/>
        <v>0</v>
      </c>
    </row>
    <row r="29" spans="1:19" ht="12.5" x14ac:dyDescent="0.25">
      <c r="B29" s="253">
        <f>Presupuesto!L16</f>
        <v>0</v>
      </c>
      <c r="C29" s="244">
        <f>Presupuesto!C16</f>
        <v>0</v>
      </c>
      <c r="D29" s="245">
        <f>Presupuesto!D16</f>
        <v>0</v>
      </c>
      <c r="E29" s="246">
        <f>Presupuesto!K16</f>
        <v>0</v>
      </c>
      <c r="F29" s="247">
        <f>Presupuesto!V16</f>
        <v>0</v>
      </c>
      <c r="G29" s="248">
        <f t="shared" si="0"/>
        <v>0</v>
      </c>
      <c r="H29" s="249">
        <f t="shared" si="1"/>
        <v>0</v>
      </c>
      <c r="I29" s="250">
        <f t="shared" si="2"/>
        <v>0</v>
      </c>
      <c r="J29" s="266"/>
      <c r="K29" s="251">
        <f t="shared" si="3"/>
        <v>0</v>
      </c>
      <c r="L29" s="394"/>
      <c r="M29" s="280"/>
      <c r="N29" s="134">
        <f t="shared" si="4"/>
        <v>0</v>
      </c>
      <c r="O29" s="131"/>
      <c r="P29" s="254">
        <f t="shared" si="5"/>
        <v>0</v>
      </c>
    </row>
    <row r="30" spans="1:19" ht="12.5" x14ac:dyDescent="0.25">
      <c r="B30" s="253">
        <f>Presupuesto!L17</f>
        <v>0</v>
      </c>
      <c r="C30" s="244">
        <f>Presupuesto!C17</f>
        <v>0</v>
      </c>
      <c r="D30" s="245">
        <f>Presupuesto!D17</f>
        <v>0</v>
      </c>
      <c r="E30" s="246">
        <f>Presupuesto!K17</f>
        <v>0</v>
      </c>
      <c r="F30" s="247">
        <f>Presupuesto!V17</f>
        <v>0</v>
      </c>
      <c r="G30" s="248">
        <f t="shared" si="0"/>
        <v>0</v>
      </c>
      <c r="H30" s="249">
        <f t="shared" si="1"/>
        <v>0</v>
      </c>
      <c r="I30" s="250">
        <f t="shared" si="2"/>
        <v>0</v>
      </c>
      <c r="J30" s="266"/>
      <c r="K30" s="251">
        <f t="shared" si="3"/>
        <v>0</v>
      </c>
      <c r="L30" s="394"/>
      <c r="M30" s="280"/>
      <c r="N30" s="134">
        <f t="shared" si="4"/>
        <v>0</v>
      </c>
      <c r="O30" s="131"/>
      <c r="P30" s="254">
        <f t="shared" si="5"/>
        <v>0</v>
      </c>
    </row>
    <row r="31" spans="1:19" ht="12.5" x14ac:dyDescent="0.25">
      <c r="B31" s="253">
        <f>Presupuesto!L18</f>
        <v>0</v>
      </c>
      <c r="C31" s="244">
        <f>Presupuesto!C18</f>
        <v>0</v>
      </c>
      <c r="D31" s="245">
        <f>Presupuesto!D18</f>
        <v>0</v>
      </c>
      <c r="E31" s="246">
        <f>Presupuesto!K18</f>
        <v>0</v>
      </c>
      <c r="F31" s="247">
        <f>Presupuesto!V18</f>
        <v>0</v>
      </c>
      <c r="G31" s="248">
        <f t="shared" si="0"/>
        <v>0</v>
      </c>
      <c r="H31" s="249">
        <f t="shared" si="1"/>
        <v>0</v>
      </c>
      <c r="I31" s="250">
        <f t="shared" si="2"/>
        <v>0</v>
      </c>
      <c r="J31" s="266"/>
      <c r="K31" s="251">
        <f t="shared" si="3"/>
        <v>0</v>
      </c>
      <c r="L31" s="394"/>
      <c r="M31" s="280"/>
      <c r="N31" s="134">
        <f t="shared" si="4"/>
        <v>0</v>
      </c>
      <c r="O31" s="131"/>
      <c r="P31" s="254">
        <f t="shared" si="5"/>
        <v>0</v>
      </c>
    </row>
    <row r="32" spans="1:19" ht="12.5" x14ac:dyDescent="0.25">
      <c r="B32" s="253">
        <f>Presupuesto!L19</f>
        <v>0</v>
      </c>
      <c r="C32" s="244">
        <f>Presupuesto!C19</f>
        <v>0</v>
      </c>
      <c r="D32" s="245">
        <f>Presupuesto!D19</f>
        <v>0</v>
      </c>
      <c r="E32" s="246">
        <f>Presupuesto!K19</f>
        <v>0</v>
      </c>
      <c r="F32" s="247">
        <f>Presupuesto!V19</f>
        <v>0</v>
      </c>
      <c r="G32" s="248">
        <f t="shared" si="0"/>
        <v>0</v>
      </c>
      <c r="H32" s="249">
        <f t="shared" si="1"/>
        <v>0</v>
      </c>
      <c r="I32" s="250">
        <f t="shared" si="2"/>
        <v>0</v>
      </c>
      <c r="J32" s="266"/>
      <c r="K32" s="251">
        <f t="shared" si="3"/>
        <v>0</v>
      </c>
      <c r="L32" s="394"/>
      <c r="M32" s="280"/>
      <c r="N32" s="134">
        <f t="shared" si="4"/>
        <v>0</v>
      </c>
      <c r="O32" s="131"/>
      <c r="P32" s="254">
        <f t="shared" si="5"/>
        <v>0</v>
      </c>
    </row>
    <row r="33" spans="1:36" ht="12.5" x14ac:dyDescent="0.25">
      <c r="B33" s="253">
        <f>Presupuesto!L20</f>
        <v>0</v>
      </c>
      <c r="C33" s="244">
        <f>Presupuesto!C20</f>
        <v>0</v>
      </c>
      <c r="D33" s="245">
        <f>Presupuesto!D20</f>
        <v>0</v>
      </c>
      <c r="E33" s="246">
        <f>Presupuesto!K20</f>
        <v>0</v>
      </c>
      <c r="F33" s="247">
        <f>Presupuesto!V20</f>
        <v>0</v>
      </c>
      <c r="G33" s="248">
        <f t="shared" si="0"/>
        <v>0</v>
      </c>
      <c r="H33" s="249">
        <f t="shared" si="1"/>
        <v>0</v>
      </c>
      <c r="I33" s="250">
        <f t="shared" si="2"/>
        <v>0</v>
      </c>
      <c r="J33" s="266"/>
      <c r="K33" s="251">
        <f t="shared" si="3"/>
        <v>0</v>
      </c>
      <c r="L33" s="394"/>
      <c r="M33" s="280"/>
      <c r="N33" s="134">
        <f t="shared" si="4"/>
        <v>0</v>
      </c>
      <c r="O33" s="131"/>
      <c r="P33" s="254">
        <f t="shared" si="5"/>
        <v>0</v>
      </c>
    </row>
    <row r="34" spans="1:36" ht="12.5" x14ac:dyDescent="0.25">
      <c r="B34" s="244">
        <f>Presupuesto!L21</f>
        <v>0</v>
      </c>
      <c r="C34" s="244">
        <f>Presupuesto!C21</f>
        <v>0</v>
      </c>
      <c r="D34" s="245">
        <f>Presupuesto!D21</f>
        <v>0</v>
      </c>
      <c r="E34" s="246">
        <f>Presupuesto!K21</f>
        <v>0</v>
      </c>
      <c r="F34" s="247">
        <f>Presupuesto!V21</f>
        <v>0</v>
      </c>
      <c r="G34" s="248">
        <f t="shared" si="0"/>
        <v>0</v>
      </c>
      <c r="H34" s="249">
        <f t="shared" si="1"/>
        <v>0</v>
      </c>
      <c r="I34" s="250">
        <f t="shared" si="2"/>
        <v>0</v>
      </c>
      <c r="J34" s="266"/>
      <c r="K34" s="251">
        <f t="shared" si="3"/>
        <v>0</v>
      </c>
      <c r="L34" s="394"/>
      <c r="M34" s="280"/>
      <c r="N34" s="134">
        <f t="shared" si="4"/>
        <v>0</v>
      </c>
      <c r="O34" s="131"/>
      <c r="P34" s="254">
        <f t="shared" si="5"/>
        <v>0</v>
      </c>
    </row>
    <row r="35" spans="1:36" ht="12.5" x14ac:dyDescent="0.25">
      <c r="B35" s="253">
        <f>Presupuesto!L22</f>
        <v>0</v>
      </c>
      <c r="C35" s="244">
        <f>Presupuesto!C22</f>
        <v>0</v>
      </c>
      <c r="D35" s="245">
        <f>Presupuesto!D22</f>
        <v>0</v>
      </c>
      <c r="E35" s="246">
        <f>Presupuesto!K22</f>
        <v>0</v>
      </c>
      <c r="F35" s="247">
        <f>Presupuesto!V22</f>
        <v>0</v>
      </c>
      <c r="G35" s="248">
        <f t="shared" si="0"/>
        <v>0</v>
      </c>
      <c r="H35" s="249">
        <f t="shared" si="1"/>
        <v>0</v>
      </c>
      <c r="I35" s="250">
        <f t="shared" si="2"/>
        <v>0</v>
      </c>
      <c r="J35" s="266"/>
      <c r="K35" s="251">
        <f t="shared" si="3"/>
        <v>0</v>
      </c>
      <c r="L35" s="394"/>
      <c r="M35" s="280"/>
      <c r="N35" s="134">
        <f t="shared" si="4"/>
        <v>0</v>
      </c>
      <c r="O35" s="131"/>
      <c r="P35" s="254">
        <f t="shared" si="5"/>
        <v>0</v>
      </c>
    </row>
    <row r="36" spans="1:36" ht="12.5" x14ac:dyDescent="0.25">
      <c r="B36" s="253">
        <f>Presupuesto!L23</f>
        <v>0</v>
      </c>
      <c r="C36" s="244">
        <f>Presupuesto!C23</f>
        <v>0</v>
      </c>
      <c r="D36" s="245">
        <f>Presupuesto!D23</f>
        <v>0</v>
      </c>
      <c r="E36" s="246">
        <f>Presupuesto!K23</f>
        <v>0</v>
      </c>
      <c r="F36" s="247">
        <f>Presupuesto!V23</f>
        <v>0</v>
      </c>
      <c r="G36" s="248">
        <f t="shared" si="0"/>
        <v>0</v>
      </c>
      <c r="H36" s="249">
        <f t="shared" si="1"/>
        <v>0</v>
      </c>
      <c r="I36" s="250">
        <f t="shared" si="2"/>
        <v>0</v>
      </c>
      <c r="J36" s="266"/>
      <c r="K36" s="251">
        <f t="shared" si="3"/>
        <v>0</v>
      </c>
      <c r="L36" s="394"/>
      <c r="M36" s="280"/>
      <c r="N36" s="134">
        <f t="shared" si="4"/>
        <v>0</v>
      </c>
      <c r="O36" s="131"/>
      <c r="P36" s="254">
        <f t="shared" si="5"/>
        <v>0</v>
      </c>
    </row>
    <row r="37" spans="1:36" ht="12.5" x14ac:dyDescent="0.25">
      <c r="B37" s="253">
        <f>Presupuesto!L24</f>
        <v>0</v>
      </c>
      <c r="C37" s="244">
        <f>Presupuesto!C24</f>
        <v>0</v>
      </c>
      <c r="D37" s="245">
        <f>Presupuesto!D24</f>
        <v>0</v>
      </c>
      <c r="E37" s="246">
        <f>Presupuesto!K24</f>
        <v>0</v>
      </c>
      <c r="F37" s="247">
        <f>Presupuesto!V24</f>
        <v>0</v>
      </c>
      <c r="G37" s="248">
        <f t="shared" si="0"/>
        <v>0</v>
      </c>
      <c r="H37" s="249">
        <f t="shared" si="1"/>
        <v>0</v>
      </c>
      <c r="I37" s="250">
        <f t="shared" si="2"/>
        <v>0</v>
      </c>
      <c r="J37" s="266"/>
      <c r="K37" s="251">
        <f t="shared" si="3"/>
        <v>0</v>
      </c>
      <c r="L37" s="394"/>
      <c r="M37" s="280"/>
      <c r="N37" s="134">
        <f t="shared" si="4"/>
        <v>0</v>
      </c>
      <c r="O37" s="131"/>
      <c r="P37" s="254">
        <f t="shared" si="5"/>
        <v>0</v>
      </c>
    </row>
    <row r="38" spans="1:36" ht="12.5" x14ac:dyDescent="0.25">
      <c r="B38" s="253">
        <f>Presupuesto!L25</f>
        <v>0</v>
      </c>
      <c r="C38" s="244">
        <f>Presupuesto!C25</f>
        <v>0</v>
      </c>
      <c r="D38" s="245">
        <f>Presupuesto!D25</f>
        <v>0</v>
      </c>
      <c r="E38" s="246">
        <f>Presupuesto!K25</f>
        <v>0</v>
      </c>
      <c r="F38" s="247">
        <f>Presupuesto!V25</f>
        <v>0</v>
      </c>
      <c r="G38" s="248">
        <f t="shared" si="0"/>
        <v>0</v>
      </c>
      <c r="H38" s="249">
        <f t="shared" si="1"/>
        <v>0</v>
      </c>
      <c r="I38" s="250">
        <f t="shared" si="2"/>
        <v>0</v>
      </c>
      <c r="J38" s="266"/>
      <c r="K38" s="251">
        <f t="shared" si="3"/>
        <v>0</v>
      </c>
      <c r="L38" s="394"/>
      <c r="M38" s="280"/>
      <c r="N38" s="134">
        <f t="shared" si="4"/>
        <v>0</v>
      </c>
      <c r="O38" s="131"/>
      <c r="P38" s="254">
        <f t="shared" si="5"/>
        <v>0</v>
      </c>
    </row>
    <row r="39" spans="1:36" thickBot="1" x14ac:dyDescent="0.3">
      <c r="A39" s="1">
        <f>ROW()</f>
        <v>39</v>
      </c>
      <c r="B39" s="253">
        <f>Presupuesto!L26</f>
        <v>0</v>
      </c>
      <c r="C39" s="244">
        <f>Presupuesto!C26</f>
        <v>0</v>
      </c>
      <c r="D39" s="245">
        <f>Presupuesto!D26</f>
        <v>0</v>
      </c>
      <c r="E39" s="246">
        <f>Presupuesto!K26</f>
        <v>0</v>
      </c>
      <c r="F39" s="247">
        <f>Presupuesto!V26</f>
        <v>0</v>
      </c>
      <c r="G39" s="248">
        <f t="shared" si="0"/>
        <v>0</v>
      </c>
      <c r="H39" s="249">
        <f t="shared" si="1"/>
        <v>0</v>
      </c>
      <c r="I39" s="250">
        <f t="shared" si="2"/>
        <v>0</v>
      </c>
      <c r="J39" s="266"/>
      <c r="K39" s="255">
        <f t="shared" si="3"/>
        <v>0</v>
      </c>
      <c r="L39" s="394"/>
      <c r="M39" s="280"/>
      <c r="N39" s="135">
        <f t="shared" si="4"/>
        <v>0</v>
      </c>
      <c r="O39" s="132"/>
      <c r="P39" s="256">
        <f t="shared" si="5"/>
        <v>0</v>
      </c>
    </row>
    <row r="40" spans="1:36" s="228" customFormat="1" ht="16" thickBot="1" x14ac:dyDescent="0.4">
      <c r="A40" s="413"/>
      <c r="B40" s="859" t="s">
        <v>385</v>
      </c>
      <c r="C40" s="860"/>
      <c r="D40" s="868"/>
      <c r="E40" s="329"/>
      <c r="F40" s="240">
        <f>Presupuesto!K49</f>
        <v>18375.757042000001</v>
      </c>
      <c r="G40" s="331">
        <f>(Presupuesto!K50/Tu)+Presupuesto!K51+Presupuesto!K52</f>
        <v>19758.878539784946</v>
      </c>
      <c r="H40" s="332">
        <f>((Presupuesto!K50/Tu)*(1+K_1))+Presupuesto!K51+Presupuesto!K52</f>
        <v>19758.878539784946</v>
      </c>
      <c r="I40" s="333">
        <f t="shared" si="2"/>
        <v>19758.878539784946</v>
      </c>
      <c r="J40" s="269"/>
      <c r="K40" s="330">
        <f>SUM(K19:K39)</f>
        <v>546348.34523055411</v>
      </c>
      <c r="L40" s="381"/>
      <c r="M40" s="381"/>
      <c r="N40" s="381"/>
      <c r="O40" s="381"/>
      <c r="P40" s="381"/>
    </row>
    <row r="41" spans="1:36" s="338" customFormat="1" ht="16" thickBot="1" x14ac:dyDescent="0.4">
      <c r="B41" s="377" t="s">
        <v>510</v>
      </c>
      <c r="C41" s="344" t="str">
        <f>IF(haygar=0,"NO","SI")</f>
        <v>NO</v>
      </c>
      <c r="D41" s="857" t="s">
        <v>511</v>
      </c>
      <c r="E41" s="858"/>
      <c r="F41" s="345"/>
      <c r="G41" s="857" t="s">
        <v>512</v>
      </c>
      <c r="H41" s="858"/>
      <c r="I41" s="345"/>
      <c r="L41" s="390"/>
      <c r="M41" s="390"/>
      <c r="N41" s="390"/>
      <c r="O41" s="390"/>
      <c r="P41" s="390"/>
      <c r="Q41" s="390"/>
      <c r="R41" s="390"/>
      <c r="S41" s="390"/>
      <c r="T41" s="390"/>
      <c r="U41" s="390"/>
      <c r="V41" s="390"/>
      <c r="W41" s="390"/>
      <c r="X41" s="390"/>
      <c r="Y41" s="390"/>
      <c r="Z41" s="390"/>
      <c r="AA41" s="390"/>
      <c r="AB41" s="390"/>
      <c r="AC41" s="390"/>
      <c r="AD41" s="390"/>
      <c r="AE41" s="390"/>
      <c r="AF41" s="390"/>
      <c r="AG41" s="390"/>
      <c r="AH41" s="390"/>
      <c r="AI41" s="390"/>
      <c r="AJ41" s="390"/>
    </row>
    <row r="42" spans="1:36" s="228" customFormat="1" ht="16" thickBot="1" x14ac:dyDescent="0.4">
      <c r="A42" s="413"/>
      <c r="B42" s="859" t="s">
        <v>513</v>
      </c>
      <c r="C42" s="860"/>
      <c r="D42" s="861"/>
      <c r="E42" s="271"/>
      <c r="F42" s="341">
        <f>SUM(F43:F45)</f>
        <v>0</v>
      </c>
      <c r="G42" s="342">
        <f>SUM(G43:G45)</f>
        <v>0</v>
      </c>
      <c r="H42" s="342">
        <f>SUM(H43:H45)</f>
        <v>0</v>
      </c>
      <c r="I42" s="343">
        <f>SUM(I43:I45)</f>
        <v>0</v>
      </c>
      <c r="J42" s="266"/>
      <c r="K42" s="128"/>
      <c r="L42" s="243" t="s">
        <v>506</v>
      </c>
      <c r="M42" s="381"/>
    </row>
    <row r="43" spans="1:36" ht="13.5" thickBot="1" x14ac:dyDescent="0.35">
      <c r="B43" s="862">
        <f>Presupuesto!B54</f>
        <v>0</v>
      </c>
      <c r="C43" s="863"/>
      <c r="D43" s="864"/>
      <c r="E43" s="272"/>
      <c r="F43" s="257">
        <f>Presupuesto!K54</f>
        <v>0</v>
      </c>
      <c r="G43" s="258">
        <f>F43/Tu</f>
        <v>0</v>
      </c>
      <c r="H43" s="258">
        <f>G43*(1+K_1)</f>
        <v>0</v>
      </c>
      <c r="I43" s="252">
        <f>H43*(1+K_2)*(1+K_3)</f>
        <v>0</v>
      </c>
      <c r="J43" s="266"/>
      <c r="K43" s="265">
        <f>F43/(1-L$45)</f>
        <v>0</v>
      </c>
      <c r="L43" s="39">
        <f>IF(K42=0,0,1-I42/K42)</f>
        <v>0</v>
      </c>
      <c r="M43" s="280"/>
    </row>
    <row r="44" spans="1:36" x14ac:dyDescent="0.3">
      <c r="B44" s="862">
        <f>Presupuesto!B55</f>
        <v>0</v>
      </c>
      <c r="C44" s="863"/>
      <c r="D44" s="864"/>
      <c r="E44" s="272"/>
      <c r="F44" s="247">
        <f>Presupuesto!K55</f>
        <v>0</v>
      </c>
      <c r="G44" s="248">
        <f>F44/Tu</f>
        <v>0</v>
      </c>
      <c r="H44" s="249">
        <f>G44*(1+K_1)</f>
        <v>0</v>
      </c>
      <c r="I44" s="254">
        <f>H44*(1+K_2)*(1+K_3)</f>
        <v>0</v>
      </c>
      <c r="J44" s="266"/>
      <c r="K44" s="251">
        <f>F44/(1-L$45)</f>
        <v>0</v>
      </c>
      <c r="L44" s="243" t="s">
        <v>514</v>
      </c>
      <c r="M44" s="280"/>
    </row>
    <row r="45" spans="1:36" ht="13.5" thickBot="1" x14ac:dyDescent="0.35">
      <c r="B45" s="865">
        <f>Presupuesto!B56</f>
        <v>0</v>
      </c>
      <c r="C45" s="866"/>
      <c r="D45" s="867"/>
      <c r="E45" s="272"/>
      <c r="F45" s="262">
        <f>Presupuesto!K56</f>
        <v>0</v>
      </c>
      <c r="G45" s="263">
        <f>F45/Tu</f>
        <v>0</v>
      </c>
      <c r="H45" s="264">
        <f>G45*(1+K_1)</f>
        <v>0</v>
      </c>
      <c r="I45" s="256">
        <f>H45*(1+K_2)*(1+K_3)</f>
        <v>0</v>
      </c>
      <c r="J45" s="266"/>
      <c r="K45" s="255">
        <f>F45/(1-L$45)</f>
        <v>0</v>
      </c>
      <c r="L45" s="39">
        <f>IF(K42=0,0,1-F42/K42)</f>
        <v>0</v>
      </c>
      <c r="M45" s="280"/>
    </row>
    <row r="46" spans="1:36" s="228" customFormat="1" ht="16" thickBot="1" x14ac:dyDescent="0.4">
      <c r="A46" s="413"/>
      <c r="B46" s="859" t="s">
        <v>374</v>
      </c>
      <c r="C46" s="860"/>
      <c r="D46" s="868"/>
      <c r="E46" s="271"/>
      <c r="F46" s="240">
        <f>SUM(F47:F50)</f>
        <v>7400</v>
      </c>
      <c r="G46" s="241">
        <f>SUM(G47:G50)</f>
        <v>7400</v>
      </c>
      <c r="H46" s="241">
        <f>SUM(H47:H50)</f>
        <v>7400</v>
      </c>
      <c r="I46" s="242">
        <f>SUM(I47:I50)</f>
        <v>7400</v>
      </c>
      <c r="J46" s="266"/>
      <c r="K46" s="378"/>
      <c r="L46"/>
      <c r="M46"/>
    </row>
    <row r="47" spans="1:36" x14ac:dyDescent="0.3">
      <c r="B47" s="869" t="str">
        <f>Presupuesto!L29</f>
        <v>Agencia de Viajes</v>
      </c>
      <c r="C47" s="870"/>
      <c r="D47" s="871"/>
      <c r="E47" s="272"/>
      <c r="F47" s="257">
        <f>Presupuesto!K29</f>
        <v>6500</v>
      </c>
      <c r="G47" s="258">
        <f t="shared" ref="G47:H50" si="6">F47</f>
        <v>6500</v>
      </c>
      <c r="H47" s="258">
        <f t="shared" si="6"/>
        <v>6500</v>
      </c>
      <c r="I47" s="259">
        <f>H47*(1+K_2)*(1+K_3)</f>
        <v>6500</v>
      </c>
      <c r="J47" s="266"/>
      <c r="K47" s="251"/>
      <c r="L47"/>
      <c r="M47"/>
    </row>
    <row r="48" spans="1:36" x14ac:dyDescent="0.3">
      <c r="B48" s="862" t="str">
        <f>Presupuesto!L30</f>
        <v>Expenses/Gastos</v>
      </c>
      <c r="C48" s="863"/>
      <c r="D48" s="864"/>
      <c r="E48" s="272"/>
      <c r="F48" s="247">
        <f>Presupuesto!K30</f>
        <v>900</v>
      </c>
      <c r="G48" s="249">
        <f>F48</f>
        <v>900</v>
      </c>
      <c r="H48" s="249">
        <f>G48</f>
        <v>900</v>
      </c>
      <c r="I48" s="250">
        <f>H48*(1+K_2)*(1+K_3)</f>
        <v>900</v>
      </c>
      <c r="J48" s="266"/>
      <c r="K48" s="251"/>
      <c r="L48"/>
      <c r="M48"/>
    </row>
    <row r="49" spans="1:13" x14ac:dyDescent="0.3">
      <c r="B49" s="862">
        <f>Presupuesto!L31</f>
        <v>0</v>
      </c>
      <c r="C49" s="863"/>
      <c r="D49" s="864"/>
      <c r="E49" s="272"/>
      <c r="F49" s="247">
        <f>Presupuesto!K31</f>
        <v>0</v>
      </c>
      <c r="G49" s="249">
        <f t="shared" si="6"/>
        <v>0</v>
      </c>
      <c r="H49" s="249">
        <f t="shared" si="6"/>
        <v>0</v>
      </c>
      <c r="I49" s="250">
        <f>H49*(1+K_2)*(1+K_3)</f>
        <v>0</v>
      </c>
      <c r="J49" s="266"/>
      <c r="K49" s="251"/>
      <c r="L49"/>
      <c r="M49"/>
    </row>
    <row r="50" spans="1:13" ht="13.5" thickBot="1" x14ac:dyDescent="0.35">
      <c r="A50" s="1">
        <f>ROW()</f>
        <v>50</v>
      </c>
      <c r="B50" s="865">
        <f>Presupuesto!L32</f>
        <v>0</v>
      </c>
      <c r="C50" s="866"/>
      <c r="D50" s="867"/>
      <c r="E50" s="272"/>
      <c r="F50" s="262">
        <f>Presupuesto!K32</f>
        <v>0</v>
      </c>
      <c r="G50" s="264">
        <f t="shared" si="6"/>
        <v>0</v>
      </c>
      <c r="H50" s="264">
        <f t="shared" si="6"/>
        <v>0</v>
      </c>
      <c r="I50" s="418">
        <f>H50*(1+K_2)*(1+K_3)</f>
        <v>0</v>
      </c>
      <c r="J50" s="266"/>
      <c r="K50" s="255"/>
      <c r="L50"/>
      <c r="M50"/>
    </row>
    <row r="51" spans="1:13" customFormat="1" ht="13.5" thickBot="1" x14ac:dyDescent="0.35"/>
    <row r="52" spans="1:13" s="228" customFormat="1" ht="16" thickBot="1" x14ac:dyDescent="0.4">
      <c r="A52" s="413"/>
      <c r="B52" s="859" t="s">
        <v>378</v>
      </c>
      <c r="C52" s="860"/>
      <c r="D52" s="868"/>
      <c r="E52" s="271"/>
      <c r="F52" s="240">
        <f>SUM(F53:F66)</f>
        <v>40000</v>
      </c>
      <c r="G52" s="241">
        <f>SUM(G53:G66)</f>
        <v>40000</v>
      </c>
      <c r="H52" s="241">
        <f>SUM(H53:H66)</f>
        <v>40000</v>
      </c>
      <c r="I52" s="260">
        <f>SUM(I53:I66)</f>
        <v>40000</v>
      </c>
      <c r="J52" s="266"/>
      <c r="K52" s="128"/>
      <c r="L52" s="563" t="s">
        <v>515</v>
      </c>
      <c r="M52" s="243" t="s">
        <v>506</v>
      </c>
    </row>
    <row r="53" spans="1:13" ht="13.5" thickBot="1" x14ac:dyDescent="0.35">
      <c r="B53" s="862" t="str">
        <f>Presupuesto!L35</f>
        <v>Licencias SW y HW</v>
      </c>
      <c r="C53" s="863"/>
      <c r="D53" s="864"/>
      <c r="E53" s="272"/>
      <c r="F53" s="257">
        <f>Presupuesto!K35</f>
        <v>0</v>
      </c>
      <c r="G53" s="261">
        <f t="shared" ref="G53:H57" si="7">F53</f>
        <v>0</v>
      </c>
      <c r="H53" s="258">
        <f t="shared" si="7"/>
        <v>0</v>
      </c>
      <c r="I53" s="252">
        <f>H53*(1+K_2)*(1+K_3)</f>
        <v>0</v>
      </c>
      <c r="J53" s="266"/>
      <c r="K53" s="561">
        <f t="shared" ref="K53:K66" si="8">H53/(1-L53)</f>
        <v>0</v>
      </c>
      <c r="L53" s="564"/>
      <c r="M53" s="39">
        <f>IF(K52=0,0,1-Presupuesto!K34/K52)</f>
        <v>0</v>
      </c>
    </row>
    <row r="54" spans="1:13" x14ac:dyDescent="0.3">
      <c r="B54" s="862" t="str">
        <f>Presupuesto!L36</f>
        <v>Mantenimiento SW de terceros</v>
      </c>
      <c r="C54" s="863"/>
      <c r="D54" s="864"/>
      <c r="E54" s="272"/>
      <c r="F54" s="247">
        <f>Presupuesto!K36</f>
        <v>0</v>
      </c>
      <c r="G54" s="248">
        <f t="shared" si="7"/>
        <v>0</v>
      </c>
      <c r="H54" s="249">
        <f t="shared" si="7"/>
        <v>0</v>
      </c>
      <c r="I54" s="254">
        <f t="shared" ref="I54:I66" si="9">H54*(1+K_2)*(1+K_3)</f>
        <v>0</v>
      </c>
      <c r="J54" s="266"/>
      <c r="K54" s="561">
        <f t="shared" si="8"/>
        <v>0</v>
      </c>
      <c r="L54" s="565"/>
      <c r="M54" s="243" t="s">
        <v>507</v>
      </c>
    </row>
    <row r="55" spans="1:13" ht="13.5" thickBot="1" x14ac:dyDescent="0.35">
      <c r="B55" s="862" t="str">
        <f>Presupuesto!L37</f>
        <v>Trabajos on site</v>
      </c>
      <c r="C55" s="863"/>
      <c r="D55" s="864"/>
      <c r="E55" s="272"/>
      <c r="F55" s="247">
        <f>Presupuesto!K37</f>
        <v>40000</v>
      </c>
      <c r="G55" s="248">
        <f t="shared" si="7"/>
        <v>40000</v>
      </c>
      <c r="H55" s="249">
        <f t="shared" si="7"/>
        <v>40000</v>
      </c>
      <c r="I55" s="254">
        <f t="shared" si="9"/>
        <v>40000</v>
      </c>
      <c r="J55" s="266"/>
      <c r="K55" s="561">
        <f t="shared" si="8"/>
        <v>40000</v>
      </c>
      <c r="L55" s="565"/>
      <c r="M55" s="39">
        <f>IF(K52=0,0,1-H52/K52)</f>
        <v>0</v>
      </c>
    </row>
    <row r="56" spans="1:13" x14ac:dyDescent="0.3">
      <c r="B56" s="862" t="str">
        <f>Presupuesto!L38</f>
        <v>Mantenimiento de HW</v>
      </c>
      <c r="C56" s="863"/>
      <c r="D56" s="864"/>
      <c r="E56" s="272"/>
      <c r="F56" s="247">
        <f>Presupuesto!K38</f>
        <v>0</v>
      </c>
      <c r="G56" s="248">
        <f t="shared" si="7"/>
        <v>0</v>
      </c>
      <c r="H56" s="249">
        <f t="shared" si="7"/>
        <v>0</v>
      </c>
      <c r="I56" s="254">
        <f t="shared" si="9"/>
        <v>0</v>
      </c>
      <c r="J56" s="266"/>
      <c r="K56" s="561">
        <f t="shared" si="8"/>
        <v>0</v>
      </c>
      <c r="L56" s="565"/>
      <c r="M56" s="243" t="s">
        <v>516</v>
      </c>
    </row>
    <row r="57" spans="1:13" ht="13.5" thickBot="1" x14ac:dyDescent="0.35">
      <c r="B57" s="862">
        <f>Presupuesto!L39</f>
        <v>0</v>
      </c>
      <c r="C57" s="863"/>
      <c r="D57" s="864"/>
      <c r="E57" s="272"/>
      <c r="F57" s="247">
        <f>Presupuesto!K39</f>
        <v>0</v>
      </c>
      <c r="G57" s="248">
        <f t="shared" si="7"/>
        <v>0</v>
      </c>
      <c r="H57" s="249">
        <f t="shared" si="7"/>
        <v>0</v>
      </c>
      <c r="I57" s="254">
        <f t="shared" si="9"/>
        <v>0</v>
      </c>
      <c r="J57" s="266"/>
      <c r="K57" s="561">
        <f t="shared" si="8"/>
        <v>0</v>
      </c>
      <c r="L57" s="565"/>
      <c r="M57" s="39">
        <f>IF(K52=0,0,1-F52/K52)</f>
        <v>0</v>
      </c>
    </row>
    <row r="58" spans="1:13" x14ac:dyDescent="0.3">
      <c r="B58" s="862">
        <f>Presupuesto!L40</f>
        <v>0</v>
      </c>
      <c r="C58" s="863"/>
      <c r="D58" s="864"/>
      <c r="E58" s="272"/>
      <c r="F58" s="247">
        <f>Presupuesto!K40</f>
        <v>0</v>
      </c>
      <c r="G58" s="248">
        <f t="shared" ref="G58:G64" si="10">F58</f>
        <v>0</v>
      </c>
      <c r="H58" s="249">
        <f t="shared" ref="H58:H64" si="11">G58</f>
        <v>0</v>
      </c>
      <c r="I58" s="254">
        <f t="shared" ref="I58:I64" si="12">H58*(1+K_2)*(1+K_3)</f>
        <v>0</v>
      </c>
      <c r="J58" s="266"/>
      <c r="K58" s="561">
        <f t="shared" si="8"/>
        <v>0</v>
      </c>
      <c r="L58" s="565"/>
    </row>
    <row r="59" spans="1:13" x14ac:dyDescent="0.3">
      <c r="B59" s="862">
        <f>Presupuesto!L41</f>
        <v>0</v>
      </c>
      <c r="C59" s="863"/>
      <c r="D59" s="864"/>
      <c r="E59" s="272"/>
      <c r="F59" s="247">
        <f>Presupuesto!K41</f>
        <v>0</v>
      </c>
      <c r="G59" s="248">
        <f t="shared" si="10"/>
        <v>0</v>
      </c>
      <c r="H59" s="249">
        <f t="shared" si="11"/>
        <v>0</v>
      </c>
      <c r="I59" s="254">
        <f t="shared" si="12"/>
        <v>0</v>
      </c>
      <c r="J59" s="266"/>
      <c r="K59" s="561">
        <f t="shared" si="8"/>
        <v>0</v>
      </c>
      <c r="L59" s="565"/>
    </row>
    <row r="60" spans="1:13" x14ac:dyDescent="0.3">
      <c r="B60" s="862">
        <f>Presupuesto!L42</f>
        <v>0</v>
      </c>
      <c r="C60" s="863"/>
      <c r="D60" s="864"/>
      <c r="E60" s="272"/>
      <c r="F60" s="247">
        <f>Presupuesto!K42</f>
        <v>0</v>
      </c>
      <c r="G60" s="248">
        <f t="shared" si="10"/>
        <v>0</v>
      </c>
      <c r="H60" s="249">
        <f t="shared" si="11"/>
        <v>0</v>
      </c>
      <c r="I60" s="254">
        <f t="shared" si="12"/>
        <v>0</v>
      </c>
      <c r="J60" s="266"/>
      <c r="K60" s="561">
        <f t="shared" si="8"/>
        <v>0</v>
      </c>
      <c r="L60" s="565"/>
    </row>
    <row r="61" spans="1:13" x14ac:dyDescent="0.3">
      <c r="B61" s="862">
        <f>Presupuesto!L43</f>
        <v>0</v>
      </c>
      <c r="C61" s="863"/>
      <c r="D61" s="864"/>
      <c r="E61" s="272"/>
      <c r="F61" s="247">
        <f>Presupuesto!K43</f>
        <v>0</v>
      </c>
      <c r="G61" s="248">
        <f t="shared" si="10"/>
        <v>0</v>
      </c>
      <c r="H61" s="249">
        <f t="shared" si="11"/>
        <v>0</v>
      </c>
      <c r="I61" s="254">
        <f t="shared" si="12"/>
        <v>0</v>
      </c>
      <c r="J61" s="266"/>
      <c r="K61" s="561">
        <f t="shared" si="8"/>
        <v>0</v>
      </c>
      <c r="L61" s="565"/>
    </row>
    <row r="62" spans="1:13" x14ac:dyDescent="0.3">
      <c r="B62" s="862">
        <f>Presupuesto!L44</f>
        <v>0</v>
      </c>
      <c r="C62" s="863"/>
      <c r="D62" s="864"/>
      <c r="E62" s="272"/>
      <c r="F62" s="247">
        <f>Presupuesto!K44</f>
        <v>0</v>
      </c>
      <c r="G62" s="248">
        <f t="shared" si="10"/>
        <v>0</v>
      </c>
      <c r="H62" s="249">
        <f t="shared" si="11"/>
        <v>0</v>
      </c>
      <c r="I62" s="254">
        <f t="shared" si="12"/>
        <v>0</v>
      </c>
      <c r="J62" s="266"/>
      <c r="K62" s="561">
        <f t="shared" si="8"/>
        <v>0</v>
      </c>
      <c r="L62" s="565"/>
    </row>
    <row r="63" spans="1:13" x14ac:dyDescent="0.3">
      <c r="B63" s="862" t="str">
        <f>Presupuesto!L45</f>
        <v>Licencias SW y HW</v>
      </c>
      <c r="C63" s="863"/>
      <c r="D63" s="864"/>
      <c r="E63" s="272"/>
      <c r="F63" s="247">
        <f>Presupuesto!K45</f>
        <v>0</v>
      </c>
      <c r="G63" s="248">
        <f t="shared" si="10"/>
        <v>0</v>
      </c>
      <c r="H63" s="249">
        <f t="shared" si="11"/>
        <v>0</v>
      </c>
      <c r="I63" s="254">
        <f t="shared" si="12"/>
        <v>0</v>
      </c>
      <c r="J63" s="266"/>
      <c r="K63" s="561">
        <f t="shared" si="8"/>
        <v>0</v>
      </c>
      <c r="L63" s="565"/>
    </row>
    <row r="64" spans="1:13" x14ac:dyDescent="0.3">
      <c r="B64" s="862" t="str">
        <f>Presupuesto!L46</f>
        <v>Licencias SW y HW</v>
      </c>
      <c r="C64" s="863"/>
      <c r="D64" s="864"/>
      <c r="E64" s="272"/>
      <c r="F64" s="247">
        <f>Presupuesto!K46</f>
        <v>0</v>
      </c>
      <c r="G64" s="248">
        <f t="shared" si="10"/>
        <v>0</v>
      </c>
      <c r="H64" s="249">
        <f t="shared" si="11"/>
        <v>0</v>
      </c>
      <c r="I64" s="254">
        <f t="shared" si="12"/>
        <v>0</v>
      </c>
      <c r="J64" s="266"/>
      <c r="K64" s="561">
        <f t="shared" si="8"/>
        <v>0</v>
      </c>
      <c r="L64" s="565"/>
    </row>
    <row r="65" spans="1:16" x14ac:dyDescent="0.3">
      <c r="B65" s="862" t="str">
        <f>Presupuesto!L47</f>
        <v>Licencias SW y HW</v>
      </c>
      <c r="C65" s="863"/>
      <c r="D65" s="864"/>
      <c r="E65" s="272"/>
      <c r="F65" s="247">
        <f>Presupuesto!K47</f>
        <v>0</v>
      </c>
      <c r="G65" s="248">
        <f>F65</f>
        <v>0</v>
      </c>
      <c r="H65" s="249">
        <f>G65</f>
        <v>0</v>
      </c>
      <c r="I65" s="254">
        <f t="shared" si="9"/>
        <v>0</v>
      </c>
      <c r="J65" s="266"/>
      <c r="K65" s="561">
        <f t="shared" si="8"/>
        <v>0</v>
      </c>
      <c r="L65" s="565"/>
    </row>
    <row r="66" spans="1:16" ht="13.5" thickBot="1" x14ac:dyDescent="0.35">
      <c r="A66" s="1">
        <f>ROW()</f>
        <v>66</v>
      </c>
      <c r="B66" s="865" t="str">
        <f>Presupuesto!L48</f>
        <v>Subcontrataciones</v>
      </c>
      <c r="C66" s="866"/>
      <c r="D66" s="867"/>
      <c r="E66" s="272"/>
      <c r="F66" s="262">
        <f>Presupuesto!K48</f>
        <v>0</v>
      </c>
      <c r="G66" s="263">
        <f>F66</f>
        <v>0</v>
      </c>
      <c r="H66" s="264">
        <f>G66</f>
        <v>0</v>
      </c>
      <c r="I66" s="256">
        <f t="shared" si="9"/>
        <v>0</v>
      </c>
      <c r="J66" s="266"/>
      <c r="K66" s="562">
        <f t="shared" si="8"/>
        <v>0</v>
      </c>
      <c r="L66" s="566"/>
    </row>
    <row r="67" spans="1:16" ht="10.5" customHeight="1" thickBot="1" x14ac:dyDescent="0.3">
      <c r="B67" s="1"/>
      <c r="C67" s="1"/>
      <c r="D67" s="1"/>
      <c r="E67" s="1"/>
      <c r="F67" s="1"/>
      <c r="G67" s="266"/>
      <c r="H67" s="266"/>
      <c r="I67" s="266"/>
      <c r="J67" s="266"/>
      <c r="K67" s="266"/>
      <c r="L67" s="266"/>
      <c r="M67" s="280"/>
    </row>
    <row r="68" spans="1:16" s="230" customFormat="1" ht="21.75" customHeight="1" thickBot="1" x14ac:dyDescent="0.35">
      <c r="A68" s="414"/>
      <c r="B68" s="849" t="s">
        <v>517</v>
      </c>
      <c r="C68" s="850"/>
      <c r="D68" s="851">
        <f>responsable_bid</f>
        <v>0</v>
      </c>
      <c r="E68" s="852"/>
      <c r="F68" s="853"/>
      <c r="G68" s="270"/>
      <c r="H68" s="270"/>
      <c r="I68" s="270"/>
      <c r="J68" s="270"/>
      <c r="K68" s="270"/>
      <c r="L68" s="270"/>
      <c r="M68" s="393"/>
    </row>
    <row r="69" spans="1:16" s="231" customFormat="1" ht="21.75" customHeight="1" x14ac:dyDescent="0.3">
      <c r="A69" s="415"/>
      <c r="B69" s="854" t="s">
        <v>518</v>
      </c>
      <c r="C69" s="855"/>
      <c r="D69" s="856"/>
      <c r="E69" s="854" t="s">
        <v>519</v>
      </c>
      <c r="F69" s="855"/>
      <c r="G69" s="856"/>
      <c r="H69" s="854" t="s">
        <v>520</v>
      </c>
      <c r="I69" s="855"/>
      <c r="J69" s="856"/>
      <c r="K69" s="854" t="s">
        <v>521</v>
      </c>
      <c r="L69" s="855"/>
      <c r="M69" s="875"/>
      <c r="N69" s="854" t="s">
        <v>522</v>
      </c>
      <c r="O69" s="855"/>
      <c r="P69" s="875"/>
    </row>
    <row r="70" spans="1:16" s="231" customFormat="1" ht="21.75" customHeight="1" x14ac:dyDescent="0.3">
      <c r="A70" s="415"/>
      <c r="B70" s="880"/>
      <c r="C70" s="881"/>
      <c r="D70" s="882"/>
      <c r="E70" s="880"/>
      <c r="F70" s="881"/>
      <c r="G70" s="882"/>
      <c r="H70" s="876"/>
      <c r="I70" s="877"/>
      <c r="J70" s="886"/>
      <c r="K70" s="876"/>
      <c r="L70" s="877"/>
      <c r="M70" s="878"/>
      <c r="N70" s="876"/>
      <c r="O70" s="877"/>
      <c r="P70" s="878"/>
    </row>
    <row r="71" spans="1:16" s="230" customFormat="1" ht="21.75" customHeight="1" thickBot="1" x14ac:dyDescent="0.35">
      <c r="A71" s="414"/>
      <c r="B71" s="872"/>
      <c r="C71" s="873"/>
      <c r="D71" s="874"/>
      <c r="E71" s="872"/>
      <c r="F71" s="873"/>
      <c r="G71" s="874"/>
      <c r="H71" s="872"/>
      <c r="I71" s="873"/>
      <c r="J71" s="874"/>
      <c r="K71" s="872"/>
      <c r="L71" s="873"/>
      <c r="M71" s="879"/>
      <c r="N71" s="872"/>
      <c r="O71" s="873"/>
      <c r="P71" s="879"/>
    </row>
    <row r="74" spans="1:16" ht="12.5" x14ac:dyDescent="0.25">
      <c r="E74" s="760"/>
      <c r="F74" s="277"/>
      <c r="G74" s="759"/>
    </row>
    <row r="75" spans="1:16" ht="12.5" x14ac:dyDescent="0.25">
      <c r="E75" s="762"/>
      <c r="F75" s="277"/>
      <c r="G75" s="759"/>
    </row>
    <row r="76" spans="1:16" ht="12.5" x14ac:dyDescent="0.25">
      <c r="E76" s="763"/>
      <c r="F76" s="277"/>
      <c r="G76" s="759"/>
    </row>
    <row r="77" spans="1:16" x14ac:dyDescent="0.3">
      <c r="D77" s="166"/>
      <c r="E77" s="760"/>
      <c r="F77" s="277"/>
      <c r="G77" s="759"/>
    </row>
    <row r="78" spans="1:16" x14ac:dyDescent="0.3">
      <c r="D78" s="761"/>
      <c r="E78" s="760"/>
      <c r="F78" s="277"/>
      <c r="G78" s="759"/>
      <c r="K78" s="759"/>
    </row>
    <row r="79" spans="1:16" x14ac:dyDescent="0.3">
      <c r="D79" s="761"/>
      <c r="E79" s="760"/>
      <c r="F79" s="277"/>
      <c r="G79" s="759"/>
    </row>
    <row r="80" spans="1:16" x14ac:dyDescent="0.3">
      <c r="D80" s="761"/>
      <c r="E80" s="760"/>
      <c r="F80" s="277"/>
      <c r="G80" s="759"/>
    </row>
    <row r="81" spans="3:16" x14ac:dyDescent="0.3">
      <c r="D81" s="761"/>
      <c r="E81" s="760"/>
      <c r="F81" s="277"/>
      <c r="G81" s="759"/>
    </row>
    <row r="82" spans="3:16" x14ac:dyDescent="0.3">
      <c r="D82" s="761"/>
      <c r="E82" s="760"/>
      <c r="F82" s="277"/>
      <c r="G82" s="759"/>
    </row>
    <row r="83" spans="3:16" x14ac:dyDescent="0.3">
      <c r="D83" s="761"/>
      <c r="E83" s="760"/>
      <c r="F83" s="277"/>
      <c r="G83" s="759"/>
    </row>
    <row r="84" spans="3:16" ht="12.5" x14ac:dyDescent="0.25">
      <c r="E84" s="760"/>
      <c r="F84" s="277"/>
      <c r="G84" s="759"/>
    </row>
    <row r="85" spans="3:16" x14ac:dyDescent="0.3">
      <c r="O85" s="759"/>
      <c r="P85" s="759"/>
    </row>
    <row r="86" spans="3:16" x14ac:dyDescent="0.3">
      <c r="C86" s="166"/>
      <c r="D86" s="759"/>
      <c r="E86" s="759"/>
      <c r="F86" s="764"/>
      <c r="G86" s="759"/>
      <c r="H86" s="759"/>
      <c r="I86" s="759"/>
      <c r="J86" s="759"/>
      <c r="K86" s="759"/>
      <c r="L86" s="759"/>
      <c r="M86" s="759"/>
      <c r="N86" s="759"/>
      <c r="O86" s="759"/>
      <c r="P86" s="759"/>
    </row>
    <row r="87" spans="3:16" x14ac:dyDescent="0.3">
      <c r="C87" s="166"/>
    </row>
    <row r="88" spans="3:16" x14ac:dyDescent="0.3">
      <c r="C88" s="166"/>
    </row>
    <row r="89" spans="3:16" x14ac:dyDescent="0.3">
      <c r="C89" s="166"/>
    </row>
    <row r="90" spans="3:16" x14ac:dyDescent="0.3">
      <c r="C90" s="166"/>
    </row>
    <row r="91" spans="3:16" x14ac:dyDescent="0.3">
      <c r="C91" s="166"/>
    </row>
  </sheetData>
  <sheetProtection algorithmName="SHA-512" hashValue="8tz5DJtryrv693AZNBebhC1w2vGaJZnFLiVz6uaj6VSA6pT10MKfbFGvSrqx9HTQI+jjgduhN91NjTyoe9Y5+g==" saltValue="MqjpZcpA8kpzC2BAtmlRKw==" spinCount="100000" sheet="1" formatCells="0" formatColumns="0" formatRows="0" sort="0" autoFilter="0"/>
  <mergeCells count="73">
    <mergeCell ref="B64:D64"/>
    <mergeCell ref="B59:D59"/>
    <mergeCell ref="B60:D60"/>
    <mergeCell ref="B61:D61"/>
    <mergeCell ref="B62:D62"/>
    <mergeCell ref="B63:D63"/>
    <mergeCell ref="B49:D49"/>
    <mergeCell ref="B40:D40"/>
    <mergeCell ref="D1:F1"/>
    <mergeCell ref="B11:C11"/>
    <mergeCell ref="F10:F11"/>
    <mergeCell ref="B1:C1"/>
    <mergeCell ref="B2:C2"/>
    <mergeCell ref="B3:C3"/>
    <mergeCell ref="B12:C12"/>
    <mergeCell ref="B46:D46"/>
    <mergeCell ref="N71:P71"/>
    <mergeCell ref="J2:K2"/>
    <mergeCell ref="D3:H3"/>
    <mergeCell ref="E5:F5"/>
    <mergeCell ref="J1:K1"/>
    <mergeCell ref="B56:D56"/>
    <mergeCell ref="B57:D57"/>
    <mergeCell ref="B65:D65"/>
    <mergeCell ref="D2:H2"/>
    <mergeCell ref="D8:F8"/>
    <mergeCell ref="D7:G7"/>
    <mergeCell ref="B10:C10"/>
    <mergeCell ref="B50:D50"/>
    <mergeCell ref="B48:D48"/>
    <mergeCell ref="B14:C14"/>
    <mergeCell ref="G10:G11"/>
    <mergeCell ref="L1:N1"/>
    <mergeCell ref="H69:J69"/>
    <mergeCell ref="H70:J70"/>
    <mergeCell ref="N69:P69"/>
    <mergeCell ref="N70:P70"/>
    <mergeCell ref="H1:I1"/>
    <mergeCell ref="H10:H11"/>
    <mergeCell ref="I10:I11"/>
    <mergeCell ref="M7:P8"/>
    <mergeCell ref="M9:O10"/>
    <mergeCell ref="P9:P10"/>
    <mergeCell ref="K12:L13"/>
    <mergeCell ref="K14:L15"/>
    <mergeCell ref="O15:P15"/>
    <mergeCell ref="J7:K7"/>
    <mergeCell ref="J8:K8"/>
    <mergeCell ref="B71:D71"/>
    <mergeCell ref="H71:J71"/>
    <mergeCell ref="E71:G71"/>
    <mergeCell ref="K69:M69"/>
    <mergeCell ref="K70:M70"/>
    <mergeCell ref="K71:M71"/>
    <mergeCell ref="B70:D70"/>
    <mergeCell ref="E69:G69"/>
    <mergeCell ref="E70:G70"/>
    <mergeCell ref="B68:C68"/>
    <mergeCell ref="D68:F68"/>
    <mergeCell ref="B69:D69"/>
    <mergeCell ref="D41:E41"/>
    <mergeCell ref="G41:H41"/>
    <mergeCell ref="B42:D42"/>
    <mergeCell ref="B43:D43"/>
    <mergeCell ref="B44:D44"/>
    <mergeCell ref="B45:D45"/>
    <mergeCell ref="B52:D52"/>
    <mergeCell ref="B53:D53"/>
    <mergeCell ref="B54:D54"/>
    <mergeCell ref="B55:D55"/>
    <mergeCell ref="B58:D58"/>
    <mergeCell ref="B66:D66"/>
    <mergeCell ref="B47:D47"/>
  </mergeCells>
  <phoneticPr fontId="5" type="noConversion"/>
  <conditionalFormatting sqref="D16">
    <cfRule type="cellIs" dxfId="71" priority="3" stopIfTrue="1" operator="notEqual">
      <formula>0</formula>
    </cfRule>
  </conditionalFormatting>
  <conditionalFormatting sqref="B19:I39">
    <cfRule type="expression" dxfId="70" priority="4" stopIfTrue="1">
      <formula>$B19="Perfil duplicado"</formula>
    </cfRule>
  </conditionalFormatting>
  <dataValidations count="8">
    <dataValidation type="list" allowBlank="1" showInputMessage="1" showErrorMessage="1" sqref="O16" xr:uid="{00000000-0002-0000-0600-000000000000}">
      <formula1>"Sí,No"</formula1>
    </dataValidation>
    <dataValidation type="list" allowBlank="1" showInputMessage="1" showErrorMessage="1" sqref="E70" xr:uid="{00000000-0002-0000-0600-000001000000}">
      <formula1>respBid</formula1>
    </dataValidation>
    <dataValidation type="list" allowBlank="1" showInputMessage="1" showErrorMessage="1" sqref="K70" xr:uid="{00000000-0002-0000-0600-000002000000}">
      <formula1>RespOperZona</formula1>
    </dataValidation>
    <dataValidation type="list" allowBlank="1" showInputMessage="1" showErrorMessage="1" sqref="N70:P70" xr:uid="{00000000-0002-0000-0600-000007000000}">
      <formula1>resprod</formula1>
    </dataValidation>
    <dataValidation allowBlank="1" showInputMessage="1" showErrorMessage="1" errorTitle="Verificación Fecha" error="Introduzca una fecha valida en formato MM-AA" sqref="I41" xr:uid="{00000000-0002-0000-0600-000008000000}"/>
    <dataValidation allowBlank="1" showInputMessage="1" showErrorMessage="1" errorTitle="Validación Fecha" error="Introduzca una fecha valida en formato MM-AA" sqref="L5 F41" xr:uid="{00000000-0002-0000-0600-000009000000}"/>
    <dataValidation type="list" allowBlank="1" showInputMessage="1" showErrorMessage="1" errorTitle="Validación Fecha" error="Introduzca una fecha valida en formato MM-AA" sqref="C5 I5" xr:uid="{00000000-0002-0000-0600-00000A000000}">
      <formula1>"SI,NO"</formula1>
    </dataValidation>
    <dataValidation type="list" allowBlank="1" showInputMessage="1" showErrorMessage="1" sqref="I7" xr:uid="{00000000-0002-0000-0600-00000B000000}">
      <formula1>productos</formula1>
    </dataValidation>
  </dataValidations>
  <pageMargins left="0.19685039370078741" right="0.19685039370078741" top="0.19685039370078741" bottom="0.19685039370078741" header="0.19685039370078741" footer="0.19685039370078741"/>
  <pageSetup paperSize="9" scale="53" orientation="portrait" horizontalDpi="1200" verticalDpi="1200" r:id="rId1"/>
  <headerFooter scaleWithDoc="0" alignWithMargins="0">
    <oddFooter>&amp;LSCI32PT01-PPO - 2023-v3&amp;C&amp;D&amp;R&amp;F&amp;LSCI32PT01-PPO - 2023-v3</oddFooter>
  </headerFooter>
  <ignoredErrors>
    <ignoredError sqref="N19:N39" unlockedFormula="1"/>
    <ignoredError sqref="I46" formula="1"/>
  </ignoredError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CE719-DCD3-436A-8779-C6705202FC2D}">
  <dimension ref="A1:E49"/>
  <sheetViews>
    <sheetView topLeftCell="A34" zoomScale="115" zoomScaleNormal="115" workbookViewId="0">
      <selection activeCell="D49" sqref="D49:E49"/>
    </sheetView>
  </sheetViews>
  <sheetFormatPr baseColWidth="10" defaultRowHeight="13" x14ac:dyDescent="0.3"/>
  <cols>
    <col min="1" max="1" width="69.5" customWidth="1"/>
    <col min="2" max="2" width="23.5" customWidth="1"/>
    <col min="3" max="3" width="30.19921875" customWidth="1"/>
    <col min="4" max="4" width="23" customWidth="1"/>
    <col min="5" max="5" width="20.296875" customWidth="1"/>
  </cols>
  <sheetData>
    <row r="1" spans="1:5" ht="24" customHeight="1" thickBot="1" x14ac:dyDescent="0.35">
      <c r="A1" s="806"/>
      <c r="B1" s="807"/>
      <c r="C1" s="806"/>
      <c r="D1" s="1036" t="s">
        <v>793</v>
      </c>
      <c r="E1" s="1037"/>
    </row>
    <row r="2" spans="1:5" ht="30" customHeight="1" thickBot="1" x14ac:dyDescent="0.35">
      <c r="A2" s="808"/>
      <c r="B2" s="809" t="s">
        <v>775</v>
      </c>
      <c r="C2" s="809" t="s">
        <v>794</v>
      </c>
      <c r="D2" s="810" t="s">
        <v>777</v>
      </c>
      <c r="E2" s="811" t="s">
        <v>778</v>
      </c>
    </row>
    <row r="3" spans="1:5" ht="30" customHeight="1" x14ac:dyDescent="0.3">
      <c r="A3" s="812" t="s">
        <v>789</v>
      </c>
      <c r="B3" s="813">
        <v>18500</v>
      </c>
      <c r="C3" s="814">
        <f>B3*0.5</f>
        <v>9250</v>
      </c>
      <c r="D3" s="815">
        <f>C3</f>
        <v>9250</v>
      </c>
      <c r="E3" s="770"/>
    </row>
    <row r="4" spans="1:5" ht="13.5" thickBot="1" x14ac:dyDescent="0.35">
      <c r="A4" s="816" t="s">
        <v>790</v>
      </c>
      <c r="B4" s="817">
        <v>48800</v>
      </c>
      <c r="C4" s="818">
        <f>B4</f>
        <v>48800</v>
      </c>
      <c r="D4" s="774">
        <f>C4</f>
        <v>48800</v>
      </c>
      <c r="E4" s="775"/>
    </row>
    <row r="5" spans="1:5" ht="30" customHeight="1" x14ac:dyDescent="0.35">
      <c r="A5" s="766" t="str">
        <f>[5]Hoja1!A2</f>
        <v>HVAC</v>
      </c>
      <c r="B5" s="767"/>
      <c r="C5" s="768"/>
      <c r="D5" s="769"/>
      <c r="E5" s="770"/>
    </row>
    <row r="6" spans="1:5" ht="13.5" thickBot="1" x14ac:dyDescent="0.35">
      <c r="A6" s="771" t="s">
        <v>791</v>
      </c>
      <c r="B6" s="772">
        <v>47000</v>
      </c>
      <c r="C6" s="773">
        <f>B6</f>
        <v>47000</v>
      </c>
      <c r="D6" s="774">
        <f>C6</f>
        <v>47000</v>
      </c>
      <c r="E6" s="775"/>
    </row>
    <row r="7" spans="1:5" ht="30" customHeight="1" x14ac:dyDescent="0.35">
      <c r="A7" s="766" t="str">
        <f>[5]Hoja1!A49</f>
        <v>Iluminación Terminal</v>
      </c>
      <c r="B7" s="767"/>
      <c r="C7" s="768"/>
      <c r="D7" s="776"/>
      <c r="E7" s="777"/>
    </row>
    <row r="8" spans="1:5" ht="30" customHeight="1" x14ac:dyDescent="0.3">
      <c r="A8" s="778" t="s">
        <v>795</v>
      </c>
      <c r="B8" s="779">
        <v>47000</v>
      </c>
      <c r="C8" s="780">
        <f>B8</f>
        <v>47000</v>
      </c>
      <c r="D8" s="781">
        <f>C8</f>
        <v>47000</v>
      </c>
      <c r="E8" s="782"/>
    </row>
    <row r="9" spans="1:5" ht="13.5" thickBot="1" x14ac:dyDescent="0.35">
      <c r="A9" s="778" t="s">
        <v>819</v>
      </c>
      <c r="B9" s="783" t="s">
        <v>779</v>
      </c>
      <c r="C9" s="784">
        <f>280*120</f>
        <v>33600</v>
      </c>
      <c r="D9" s="785">
        <f>C9</f>
        <v>33600</v>
      </c>
      <c r="E9" s="786"/>
    </row>
    <row r="10" spans="1:5" ht="30" customHeight="1" x14ac:dyDescent="0.35">
      <c r="A10" s="766" t="str">
        <f>[5]Hoja1!A34</f>
        <v>UPS</v>
      </c>
      <c r="B10" s="767"/>
      <c r="C10" s="768"/>
      <c r="D10" s="769"/>
      <c r="E10" s="770"/>
    </row>
    <row r="11" spans="1:5" ht="13.5" thickBot="1" x14ac:dyDescent="0.35">
      <c r="A11" s="819" t="s">
        <v>796</v>
      </c>
      <c r="B11" s="787" t="s">
        <v>780</v>
      </c>
      <c r="C11" s="773">
        <f>1318*8</f>
        <v>10544</v>
      </c>
      <c r="D11" s="774">
        <f>C11</f>
        <v>10544</v>
      </c>
      <c r="E11" s="775"/>
    </row>
    <row r="12" spans="1:5" ht="30" customHeight="1" x14ac:dyDescent="0.35">
      <c r="A12" s="766" t="s">
        <v>797</v>
      </c>
      <c r="B12" s="788"/>
      <c r="C12" s="768"/>
      <c r="D12" s="769"/>
      <c r="E12" s="770"/>
    </row>
    <row r="13" spans="1:5" ht="30" customHeight="1" x14ac:dyDescent="0.3">
      <c r="A13" s="820" t="s">
        <v>798</v>
      </c>
      <c r="B13" s="781">
        <v>60041</v>
      </c>
      <c r="C13" s="821">
        <f>B13*0.5</f>
        <v>30020.5</v>
      </c>
      <c r="D13" s="821">
        <f>C13</f>
        <v>30020.5</v>
      </c>
      <c r="E13" s="822"/>
    </row>
    <row r="14" spans="1:5" ht="33.65" customHeight="1" thickBot="1" x14ac:dyDescent="0.35">
      <c r="A14" s="823" t="s">
        <v>792</v>
      </c>
      <c r="B14" s="800">
        <v>60041</v>
      </c>
      <c r="C14" s="818">
        <f>B14*0.5</f>
        <v>30020.5</v>
      </c>
      <c r="D14" s="818">
        <f>C14</f>
        <v>30020.5</v>
      </c>
      <c r="E14" s="775"/>
    </row>
    <row r="15" spans="1:5" ht="14.5" x14ac:dyDescent="0.35">
      <c r="A15" s="766" t="str">
        <f>[5]Hoja1!A28</f>
        <v>Electromecánicas</v>
      </c>
      <c r="B15" s="767"/>
      <c r="C15" s="768"/>
      <c r="D15" s="788"/>
      <c r="E15" s="770"/>
    </row>
    <row r="16" spans="1:5" ht="30" customHeight="1" thickBot="1" x14ac:dyDescent="0.35">
      <c r="A16" s="823" t="s">
        <v>799</v>
      </c>
      <c r="B16" s="773">
        <v>14000</v>
      </c>
      <c r="C16" s="773">
        <v>14000</v>
      </c>
      <c r="D16" s="791"/>
      <c r="E16" s="792">
        <f>C16</f>
        <v>14000</v>
      </c>
    </row>
    <row r="17" spans="1:5" ht="14.5" x14ac:dyDescent="0.35">
      <c r="A17" s="766" t="str">
        <f>[5]Hoja1!A35</f>
        <v>Subestaciones/  Analizadores de red</v>
      </c>
      <c r="B17" s="767"/>
      <c r="C17" s="768"/>
      <c r="D17" s="788"/>
      <c r="E17" s="793"/>
    </row>
    <row r="18" spans="1:5" ht="30" customHeight="1" thickBot="1" x14ac:dyDescent="0.35">
      <c r="A18" s="794" t="s">
        <v>800</v>
      </c>
      <c r="B18" s="795" t="s">
        <v>781</v>
      </c>
      <c r="C18" s="773">
        <f>6100*10*0.5</f>
        <v>30500</v>
      </c>
      <c r="D18" s="791"/>
      <c r="E18" s="796">
        <f>C18</f>
        <v>30500</v>
      </c>
    </row>
    <row r="19" spans="1:5" ht="14.5" x14ac:dyDescent="0.35">
      <c r="A19" s="766" t="str">
        <f>[5]Hoja1!A37</f>
        <v>Hidraúlicos</v>
      </c>
      <c r="B19" s="767"/>
      <c r="C19" s="768"/>
      <c r="D19" s="788"/>
      <c r="E19" s="793"/>
    </row>
    <row r="20" spans="1:5" ht="30" customHeight="1" thickBot="1" x14ac:dyDescent="0.35">
      <c r="A20" s="824" t="s">
        <v>801</v>
      </c>
      <c r="B20" s="789">
        <v>9500</v>
      </c>
      <c r="C20" s="789">
        <v>9500</v>
      </c>
      <c r="D20" s="791"/>
      <c r="E20" s="792">
        <f>C20</f>
        <v>9500</v>
      </c>
    </row>
    <row r="21" spans="1:5" ht="14.5" x14ac:dyDescent="0.35">
      <c r="A21" s="766" t="s">
        <v>802</v>
      </c>
      <c r="B21" s="825"/>
      <c r="C21" s="826"/>
      <c r="D21" s="788"/>
      <c r="E21" s="827"/>
    </row>
    <row r="22" spans="1:5" ht="30" customHeight="1" thickBot="1" x14ac:dyDescent="0.35">
      <c r="A22" s="824" t="s">
        <v>801</v>
      </c>
      <c r="B22" s="789">
        <v>9500</v>
      </c>
      <c r="C22" s="828">
        <v>9500</v>
      </c>
      <c r="D22" s="791"/>
      <c r="E22" s="829">
        <f>C22</f>
        <v>9500</v>
      </c>
    </row>
    <row r="23" spans="1:5" ht="14.5" x14ac:dyDescent="0.35">
      <c r="A23" s="766" t="str">
        <f>[5]Hoja1!A45</f>
        <v>CCTV</v>
      </c>
      <c r="B23" s="767"/>
      <c r="C23" s="768"/>
      <c r="D23" s="788"/>
      <c r="E23" s="793"/>
    </row>
    <row r="24" spans="1:5" ht="30" customHeight="1" thickBot="1" x14ac:dyDescent="0.35">
      <c r="A24" s="824" t="s">
        <v>803</v>
      </c>
      <c r="B24" s="789">
        <v>9500</v>
      </c>
      <c r="C24" s="773">
        <f>B24</f>
        <v>9500</v>
      </c>
      <c r="D24" s="791"/>
      <c r="E24" s="792">
        <f>C24</f>
        <v>9500</v>
      </c>
    </row>
    <row r="25" spans="1:5" ht="14.5" x14ac:dyDescent="0.35">
      <c r="A25" s="766" t="str">
        <f>[5]Hoja1!A46</f>
        <v>E-Gates</v>
      </c>
      <c r="B25" s="790"/>
      <c r="C25" s="768"/>
      <c r="D25" s="788"/>
      <c r="E25" s="793"/>
    </row>
    <row r="26" spans="1:5" ht="30" customHeight="1" thickBot="1" x14ac:dyDescent="0.35">
      <c r="A26" s="830" t="s">
        <v>804</v>
      </c>
      <c r="B26" s="789">
        <v>6500</v>
      </c>
      <c r="C26" s="773">
        <f>B26</f>
        <v>6500</v>
      </c>
      <c r="D26" s="791"/>
      <c r="E26" s="792">
        <f>C26</f>
        <v>6500</v>
      </c>
    </row>
    <row r="27" spans="1:5" ht="14.5" x14ac:dyDescent="0.35">
      <c r="A27" s="766" t="str">
        <f>[5]Hoja1!A48</f>
        <v>Arcos PI</v>
      </c>
      <c r="B27" s="767"/>
      <c r="C27" s="768"/>
      <c r="D27" s="788"/>
      <c r="E27" s="793"/>
    </row>
    <row r="28" spans="1:5" ht="32.5" customHeight="1" thickBot="1" x14ac:dyDescent="0.35">
      <c r="A28" s="831" t="s">
        <v>805</v>
      </c>
      <c r="B28" s="789">
        <v>6500</v>
      </c>
      <c r="C28" s="797">
        <f>B28</f>
        <v>6500</v>
      </c>
      <c r="D28" s="791"/>
      <c r="E28" s="792">
        <f>C28</f>
        <v>6500</v>
      </c>
    </row>
    <row r="29" spans="1:5" ht="14.5" x14ac:dyDescent="0.35">
      <c r="A29" s="766" t="str">
        <f>[5]Hoja1!A47</f>
        <v>Filtro de seguridad Rayos X</v>
      </c>
      <c r="B29" s="825"/>
      <c r="C29" s="826"/>
      <c r="D29" s="788"/>
      <c r="E29" s="832"/>
    </row>
    <row r="30" spans="1:5" ht="13.5" thickBot="1" x14ac:dyDescent="0.35">
      <c r="A30" s="823" t="s">
        <v>806</v>
      </c>
      <c r="B30" s="800">
        <v>21500</v>
      </c>
      <c r="C30" s="800">
        <v>21500</v>
      </c>
      <c r="D30" s="791"/>
      <c r="E30" s="792">
        <f>C30</f>
        <v>21500</v>
      </c>
    </row>
    <row r="31" spans="1:5" ht="14.5" x14ac:dyDescent="0.35">
      <c r="A31" s="766" t="s">
        <v>807</v>
      </c>
      <c r="B31" s="825"/>
      <c r="C31" s="826"/>
      <c r="D31" s="788"/>
      <c r="E31" s="832"/>
    </row>
    <row r="32" spans="1:5" ht="13.5" thickBot="1" x14ac:dyDescent="0.35">
      <c r="A32" s="831" t="s">
        <v>808</v>
      </c>
      <c r="B32" s="789">
        <v>6500</v>
      </c>
      <c r="C32" s="797">
        <f>B32</f>
        <v>6500</v>
      </c>
      <c r="D32" s="791"/>
      <c r="E32" s="792">
        <f>C32</f>
        <v>6500</v>
      </c>
    </row>
    <row r="33" spans="1:5" ht="14.5" x14ac:dyDescent="0.35">
      <c r="A33" s="766" t="s">
        <v>809</v>
      </c>
      <c r="B33" s="825"/>
      <c r="C33" s="826"/>
      <c r="D33" s="788"/>
      <c r="E33" s="832"/>
    </row>
    <row r="34" spans="1:5" ht="13.5" thickBot="1" x14ac:dyDescent="0.35">
      <c r="A34" s="823" t="s">
        <v>806</v>
      </c>
      <c r="B34" s="800">
        <v>21500</v>
      </c>
      <c r="C34" s="800">
        <v>21500</v>
      </c>
      <c r="D34" s="791"/>
      <c r="E34" s="792">
        <f>C34</f>
        <v>21500</v>
      </c>
    </row>
    <row r="35" spans="1:5" ht="14.5" x14ac:dyDescent="0.35">
      <c r="A35" s="766" t="s">
        <v>810</v>
      </c>
      <c r="B35" s="825"/>
      <c r="C35" s="826"/>
      <c r="D35" s="788"/>
      <c r="E35" s="832"/>
    </row>
    <row r="36" spans="1:5" ht="13.5" thickBot="1" x14ac:dyDescent="0.35">
      <c r="A36" s="823" t="s">
        <v>811</v>
      </c>
      <c r="B36" s="800">
        <v>47000</v>
      </c>
      <c r="C36" s="800">
        <v>47000</v>
      </c>
      <c r="D36" s="791"/>
      <c r="E36" s="792">
        <f>C36</f>
        <v>47000</v>
      </c>
    </row>
    <row r="37" spans="1:5" ht="14.5" x14ac:dyDescent="0.35">
      <c r="A37" s="766" t="s">
        <v>812</v>
      </c>
      <c r="B37" s="833"/>
      <c r="C37" s="834"/>
      <c r="D37" s="835"/>
      <c r="E37" s="832"/>
    </row>
    <row r="38" spans="1:5" ht="13.5" thickBot="1" x14ac:dyDescent="0.35">
      <c r="A38" s="823" t="s">
        <v>806</v>
      </c>
      <c r="B38" s="800">
        <v>21500</v>
      </c>
      <c r="C38" s="800">
        <v>21500</v>
      </c>
      <c r="D38" s="791"/>
      <c r="E38" s="792">
        <f>C38</f>
        <v>21500</v>
      </c>
    </row>
    <row r="39" spans="1:5" ht="14.5" x14ac:dyDescent="0.35">
      <c r="A39" s="766" t="str">
        <f>[5]Hoja1!A16</f>
        <v>Sensores IoT</v>
      </c>
      <c r="B39" s="798"/>
      <c r="C39" s="799"/>
      <c r="D39" s="788"/>
      <c r="E39" s="793"/>
    </row>
    <row r="40" spans="1:5" ht="26.5" thickBot="1" x14ac:dyDescent="0.35">
      <c r="A40" s="836" t="s">
        <v>813</v>
      </c>
      <c r="B40" s="800">
        <f>5700*5+960*5+25*250</f>
        <v>39550</v>
      </c>
      <c r="C40" s="797">
        <f>B40</f>
        <v>39550</v>
      </c>
      <c r="D40" s="791"/>
      <c r="E40" s="801">
        <f>C40</f>
        <v>39550</v>
      </c>
    </row>
    <row r="41" spans="1:5" ht="14.5" x14ac:dyDescent="0.35">
      <c r="A41" s="766" t="s">
        <v>814</v>
      </c>
      <c r="B41" s="788"/>
      <c r="C41" s="814"/>
      <c r="D41" s="815"/>
      <c r="E41" s="770"/>
    </row>
    <row r="42" spans="1:5" ht="13.5" thickBot="1" x14ac:dyDescent="0.35">
      <c r="A42" s="823" t="s">
        <v>806</v>
      </c>
      <c r="B42" s="800">
        <v>21500</v>
      </c>
      <c r="C42" s="800">
        <v>21500</v>
      </c>
      <c r="D42" s="791"/>
      <c r="E42" s="792">
        <f>C42</f>
        <v>21500</v>
      </c>
    </row>
    <row r="43" spans="1:5" ht="14.5" x14ac:dyDescent="0.35">
      <c r="A43" s="766" t="s">
        <v>815</v>
      </c>
      <c r="B43" s="788"/>
      <c r="C43" s="814"/>
      <c r="D43" s="815"/>
      <c r="E43" s="770"/>
    </row>
    <row r="44" spans="1:5" ht="13.5" thickBot="1" x14ac:dyDescent="0.35">
      <c r="A44" s="823" t="s">
        <v>806</v>
      </c>
      <c r="B44" s="800">
        <v>21500</v>
      </c>
      <c r="C44" s="800">
        <v>21500</v>
      </c>
      <c r="D44" s="791"/>
      <c r="E44" s="792">
        <f>C44</f>
        <v>21500</v>
      </c>
    </row>
    <row r="45" spans="1:5" ht="14.5" x14ac:dyDescent="0.35">
      <c r="A45" s="766" t="s">
        <v>816</v>
      </c>
      <c r="B45" s="788"/>
      <c r="C45" s="814"/>
      <c r="D45" s="815"/>
      <c r="E45" s="837"/>
    </row>
    <row r="46" spans="1:5" ht="13.5" thickBot="1" x14ac:dyDescent="0.35">
      <c r="A46" s="823" t="s">
        <v>811</v>
      </c>
      <c r="B46" s="800">
        <v>47000</v>
      </c>
      <c r="C46" s="800">
        <v>47000</v>
      </c>
      <c r="D46" s="774"/>
      <c r="E46" s="792">
        <f>C46</f>
        <v>47000</v>
      </c>
    </row>
    <row r="47" spans="1:5" ht="16" thickBot="1" x14ac:dyDescent="0.35">
      <c r="A47" s="802" t="s">
        <v>817</v>
      </c>
      <c r="B47" s="803"/>
      <c r="C47" s="804"/>
      <c r="D47" s="804">
        <f>D3+D4+D5+D6+D7+D8+D9+D15+D16+D10+D11+D17+D18+D19+D20+D23+D24+D25+D26+D27+D28+D39+D40+D12+D13+D14</f>
        <v>256235</v>
      </c>
      <c r="E47" s="805">
        <f>E16+E18+E20+E22+E24+E26+E28+E30+E32+E34+E36+E38+E40+E42+E44+E46</f>
        <v>333550</v>
      </c>
    </row>
    <row r="48" spans="1:5" ht="16" thickBot="1" x14ac:dyDescent="0.35">
      <c r="A48" s="838" t="s">
        <v>818</v>
      </c>
      <c r="B48" s="839"/>
      <c r="C48" s="840"/>
      <c r="D48" s="1038">
        <f>(D47+E47)*0.09*2</f>
        <v>106161.3</v>
      </c>
      <c r="E48" s="1039"/>
    </row>
    <row r="49" spans="1:5" ht="24" thickBot="1" x14ac:dyDescent="0.35">
      <c r="A49" s="841" t="s">
        <v>346</v>
      </c>
      <c r="B49" s="842"/>
      <c r="C49" s="843"/>
      <c r="D49" s="1040">
        <f>D47+E47+D48</f>
        <v>695946.3</v>
      </c>
      <c r="E49" s="1041"/>
    </row>
  </sheetData>
  <mergeCells count="3">
    <mergeCell ref="D1:E1"/>
    <mergeCell ref="D48:E48"/>
    <mergeCell ref="D49:E49"/>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77081-B071-464F-8B9F-5F59887584F2}">
  <dimension ref="B2:AE109"/>
  <sheetViews>
    <sheetView showGridLines="0" zoomScale="70" zoomScaleNormal="70" workbookViewId="0">
      <selection activeCell="D16" sqref="D16:M35"/>
    </sheetView>
  </sheetViews>
  <sheetFormatPr baseColWidth="10" defaultColWidth="13.5" defaultRowHeight="12.5" outlineLevelCol="1" x14ac:dyDescent="0.25"/>
  <cols>
    <col min="1" max="1" width="3.5" style="567" customWidth="1"/>
    <col min="2" max="2" width="4" style="567" bestFit="1" customWidth="1"/>
    <col min="3" max="3" width="30.296875" style="567" customWidth="1"/>
    <col min="4" max="4" width="23.69921875" style="567" customWidth="1"/>
    <col min="5" max="5" width="34.796875" style="567" bestFit="1" customWidth="1"/>
    <col min="6" max="6" width="25" style="567" bestFit="1" customWidth="1"/>
    <col min="7" max="12" width="15" style="567" customWidth="1"/>
    <col min="13" max="13" width="6.19921875" style="567" bestFit="1" customWidth="1"/>
    <col min="14" max="14" width="14.19921875" style="567" customWidth="1" outlineLevel="1"/>
    <col min="15" max="16" width="13.5" style="567" customWidth="1" outlineLevel="1"/>
    <col min="17" max="18" width="14.5" style="567" customWidth="1" outlineLevel="1"/>
    <col min="19" max="19" width="16.796875" style="567" customWidth="1" outlineLevel="1"/>
    <col min="20" max="20" width="3.19921875" style="567" customWidth="1"/>
    <col min="21" max="21" width="28.296875" style="567" customWidth="1" outlineLevel="1"/>
    <col min="22" max="22" width="16.296875" style="567" customWidth="1" outlineLevel="1"/>
    <col min="23" max="23" width="20" style="567" customWidth="1" outlineLevel="1"/>
    <col min="24" max="24" width="3.19921875" style="567" customWidth="1"/>
    <col min="25" max="25" width="16" style="567" customWidth="1" outlineLevel="1"/>
    <col min="26" max="26" width="20.296875" style="567" customWidth="1" outlineLevel="1"/>
    <col min="27" max="27" width="18.69921875" style="567" customWidth="1" outlineLevel="1"/>
    <col min="28" max="28" width="3.19921875" style="567" customWidth="1"/>
    <col min="29" max="29" width="43.5" style="567" customWidth="1" outlineLevel="1"/>
    <col min="30" max="30" width="3.19921875" style="567" customWidth="1"/>
    <col min="31" max="31" width="37" style="567" customWidth="1"/>
    <col min="32" max="16384" width="13.5" style="567"/>
  </cols>
  <sheetData>
    <row r="2" spans="2:31" ht="13" x14ac:dyDescent="0.3">
      <c r="C2" s="568" t="s">
        <v>523</v>
      </c>
      <c r="D2" s="569"/>
      <c r="E2" s="569"/>
      <c r="F2" s="569"/>
      <c r="G2" s="569"/>
      <c r="H2" s="569"/>
      <c r="I2" s="569"/>
      <c r="J2" s="569"/>
      <c r="K2" s="569"/>
      <c r="L2" s="569"/>
      <c r="M2" s="569"/>
      <c r="N2" s="569"/>
      <c r="O2" s="569"/>
      <c r="P2" s="569"/>
      <c r="Q2" s="569"/>
      <c r="R2" s="569"/>
      <c r="S2" s="569"/>
      <c r="T2" s="569"/>
      <c r="U2" s="569"/>
      <c r="V2" s="569"/>
      <c r="W2" s="569"/>
      <c r="X2" s="569"/>
      <c r="Y2" s="569"/>
    </row>
    <row r="3" spans="2:31" ht="4.5" customHeight="1" x14ac:dyDescent="0.3">
      <c r="C3" s="570"/>
    </row>
    <row r="4" spans="2:31" s="571" customFormat="1" ht="15" customHeight="1" x14ac:dyDescent="0.3">
      <c r="C4" s="572" t="s">
        <v>524</v>
      </c>
      <c r="D4" s="1045" t="str">
        <f>'Hoja de datos'!$B$11</f>
        <v>Fixed Price (services)</v>
      </c>
      <c r="E4" s="1046"/>
      <c r="G4" s="1047" t="s">
        <v>525</v>
      </c>
      <c r="H4" s="1048"/>
      <c r="I4" s="1049"/>
      <c r="J4" s="573" t="s">
        <v>526</v>
      </c>
    </row>
    <row r="5" spans="2:31" ht="4.5" customHeight="1" x14ac:dyDescent="0.3">
      <c r="C5" s="570"/>
    </row>
    <row r="6" spans="2:31" s="571" customFormat="1" ht="15" customHeight="1" x14ac:dyDescent="0.3">
      <c r="C6" s="572" t="s">
        <v>527</v>
      </c>
      <c r="D6" s="1045" t="s">
        <v>528</v>
      </c>
      <c r="E6" s="1046"/>
      <c r="G6" s="1047" t="s">
        <v>529</v>
      </c>
      <c r="H6" s="1048"/>
      <c r="I6" s="1049"/>
      <c r="J6" s="573" t="s">
        <v>530</v>
      </c>
    </row>
    <row r="7" spans="2:31" ht="4.5" customHeight="1" x14ac:dyDescent="0.3">
      <c r="C7" s="570"/>
    </row>
    <row r="8" spans="2:31" s="571" customFormat="1" ht="15" customHeight="1" x14ac:dyDescent="0.3">
      <c r="C8" s="572" t="s">
        <v>531</v>
      </c>
      <c r="D8" s="1045"/>
      <c r="E8" s="1046"/>
      <c r="G8" s="1047" t="s">
        <v>532</v>
      </c>
      <c r="H8" s="1048"/>
      <c r="I8" s="1049"/>
      <c r="J8" s="573" t="s">
        <v>526</v>
      </c>
      <c r="K8" s="571" t="s">
        <v>533</v>
      </c>
    </row>
    <row r="9" spans="2:31" ht="4.5" customHeight="1" x14ac:dyDescent="0.3">
      <c r="C9" s="570"/>
    </row>
    <row r="10" spans="2:31" s="571" customFormat="1" ht="15" customHeight="1" x14ac:dyDescent="0.3">
      <c r="G10" s="1047" t="s">
        <v>534</v>
      </c>
      <c r="H10" s="1048"/>
      <c r="I10" s="1049"/>
      <c r="J10" s="573" t="s">
        <v>535</v>
      </c>
      <c r="K10" s="571" t="s">
        <v>536</v>
      </c>
    </row>
    <row r="13" spans="2:31" ht="22.15" customHeight="1" thickBot="1" x14ac:dyDescent="0.3">
      <c r="C13" s="574" t="s">
        <v>537</v>
      </c>
      <c r="D13" s="574"/>
      <c r="E13" s="569"/>
      <c r="F13" s="569"/>
      <c r="G13" s="569"/>
      <c r="H13" s="569"/>
      <c r="I13" s="569"/>
      <c r="J13" s="569"/>
      <c r="K13" s="569"/>
      <c r="L13" s="569"/>
      <c r="M13" s="569"/>
      <c r="N13" s="569"/>
      <c r="O13" s="569"/>
      <c r="P13" s="569"/>
      <c r="Q13" s="569"/>
      <c r="R13" s="569"/>
      <c r="S13" s="569"/>
      <c r="T13" s="569"/>
      <c r="U13" s="569"/>
      <c r="V13" s="569"/>
      <c r="W13" s="569"/>
      <c r="X13" s="569"/>
      <c r="Y13" s="569"/>
      <c r="Z13" s="569"/>
      <c r="AA13" s="569"/>
      <c r="AB13" s="569"/>
      <c r="AD13" s="569"/>
    </row>
    <row r="14" spans="2:31" ht="22.15" customHeight="1" thickBot="1" x14ac:dyDescent="0.3">
      <c r="G14" s="1042" t="s">
        <v>538</v>
      </c>
      <c r="H14" s="1043"/>
      <c r="I14" s="1044"/>
      <c r="J14" s="1042" t="s">
        <v>539</v>
      </c>
      <c r="K14" s="1043"/>
      <c r="L14" s="1044"/>
      <c r="M14" s="575"/>
      <c r="N14" s="1042" t="s">
        <v>540</v>
      </c>
      <c r="O14" s="1043"/>
      <c r="P14" s="1043"/>
      <c r="Q14" s="1043"/>
      <c r="R14" s="1043"/>
      <c r="S14" s="1044"/>
      <c r="T14" s="575"/>
      <c r="U14" s="1050" t="s">
        <v>541</v>
      </c>
      <c r="V14" s="1051"/>
      <c r="W14" s="1052"/>
      <c r="X14" s="575"/>
      <c r="Y14" s="1042" t="s">
        <v>542</v>
      </c>
      <c r="Z14" s="1043"/>
      <c r="AA14" s="1044"/>
      <c r="AB14" s="576"/>
      <c r="AC14" s="577" t="s">
        <v>543</v>
      </c>
      <c r="AD14" s="576"/>
    </row>
    <row r="15" spans="2:31" ht="71.25" customHeight="1" thickBot="1" x14ac:dyDescent="0.3">
      <c r="B15" s="567" t="s">
        <v>544</v>
      </c>
      <c r="C15" s="578" t="s">
        <v>545</v>
      </c>
      <c r="D15" s="579" t="s">
        <v>546</v>
      </c>
      <c r="E15" s="580" t="s">
        <v>547</v>
      </c>
      <c r="F15" s="581" t="s">
        <v>548</v>
      </c>
      <c r="G15" s="582" t="s">
        <v>549</v>
      </c>
      <c r="H15" s="583" t="s">
        <v>550</v>
      </c>
      <c r="I15" s="583" t="s">
        <v>551</v>
      </c>
      <c r="J15" s="584" t="s">
        <v>552</v>
      </c>
      <c r="K15" s="583" t="s">
        <v>553</v>
      </c>
      <c r="L15" s="583" t="s">
        <v>551</v>
      </c>
      <c r="M15" s="585" t="s">
        <v>554</v>
      </c>
      <c r="N15" s="586" t="s">
        <v>555</v>
      </c>
      <c r="O15" s="586" t="s">
        <v>556</v>
      </c>
      <c r="P15" s="586" t="s">
        <v>557</v>
      </c>
      <c r="Q15" s="583" t="s">
        <v>558</v>
      </c>
      <c r="R15" s="583" t="s">
        <v>559</v>
      </c>
      <c r="S15" s="583" t="s">
        <v>560</v>
      </c>
      <c r="T15" s="587" t="s">
        <v>561</v>
      </c>
      <c r="U15" s="586" t="s">
        <v>562</v>
      </c>
      <c r="V15" s="586" t="s">
        <v>563</v>
      </c>
      <c r="W15" s="588" t="s">
        <v>564</v>
      </c>
      <c r="X15" s="587" t="s">
        <v>565</v>
      </c>
      <c r="Y15" s="589" t="s">
        <v>566</v>
      </c>
      <c r="Z15" s="589" t="s">
        <v>567</v>
      </c>
      <c r="AA15" s="589" t="s">
        <v>568</v>
      </c>
      <c r="AB15" s="587" t="s">
        <v>569</v>
      </c>
      <c r="AC15" s="590" t="s">
        <v>570</v>
      </c>
      <c r="AD15" s="587" t="s">
        <v>571</v>
      </c>
      <c r="AE15" s="591" t="s">
        <v>572</v>
      </c>
    </row>
    <row r="16" spans="2:31" x14ac:dyDescent="0.25">
      <c r="B16" s="567">
        <v>1</v>
      </c>
      <c r="C16" s="592"/>
      <c r="D16" s="593"/>
      <c r="E16" s="593"/>
      <c r="F16" s="594"/>
      <c r="G16" s="595"/>
      <c r="H16" s="594"/>
      <c r="I16" s="596"/>
      <c r="J16" s="595"/>
      <c r="K16" s="594"/>
      <c r="L16" s="596"/>
      <c r="M16" s="597"/>
      <c r="N16" s="598"/>
      <c r="O16" s="594"/>
      <c r="P16" s="594"/>
      <c r="Q16" s="594"/>
      <c r="R16" s="594"/>
      <c r="S16" s="599"/>
      <c r="T16" s="600"/>
      <c r="U16" s="593"/>
      <c r="V16" s="594" t="s">
        <v>86</v>
      </c>
      <c r="W16" s="599" t="s">
        <v>526</v>
      </c>
      <c r="X16" s="600"/>
      <c r="Y16" s="593" t="s">
        <v>575</v>
      </c>
      <c r="Z16" s="594" t="s">
        <v>576</v>
      </c>
      <c r="AA16" s="599" t="s">
        <v>577</v>
      </c>
      <c r="AB16" s="601"/>
      <c r="AC16" s="602"/>
      <c r="AD16" s="601"/>
      <c r="AE16" s="602"/>
    </row>
    <row r="17" spans="2:31" x14ac:dyDescent="0.25">
      <c r="B17" s="567">
        <v>2</v>
      </c>
      <c r="C17" s="603"/>
      <c r="D17" s="604"/>
      <c r="E17" s="604"/>
      <c r="F17" s="605"/>
      <c r="G17" s="606"/>
      <c r="H17" s="605"/>
      <c r="I17" s="607"/>
      <c r="J17" s="606"/>
      <c r="K17" s="605"/>
      <c r="L17" s="607"/>
      <c r="M17" s="608"/>
      <c r="N17" s="609"/>
      <c r="O17" s="609"/>
      <c r="P17" s="605"/>
      <c r="Q17" s="605"/>
      <c r="R17" s="605"/>
      <c r="S17" s="610"/>
      <c r="T17" s="611"/>
      <c r="U17" s="604"/>
      <c r="V17" s="605"/>
      <c r="W17" s="610"/>
      <c r="X17" s="611"/>
      <c r="Y17" s="604"/>
      <c r="Z17" s="605"/>
      <c r="AA17" s="610"/>
      <c r="AB17" s="612"/>
      <c r="AC17" s="613"/>
      <c r="AD17" s="612"/>
      <c r="AE17" s="613"/>
    </row>
    <row r="18" spans="2:31" x14ac:dyDescent="0.25">
      <c r="B18" s="567">
        <v>3</v>
      </c>
      <c r="C18" s="603"/>
      <c r="D18" s="604"/>
      <c r="E18" s="604"/>
      <c r="F18" s="605"/>
      <c r="G18" s="606"/>
      <c r="H18" s="605"/>
      <c r="I18" s="607"/>
      <c r="J18" s="606"/>
      <c r="K18" s="605"/>
      <c r="L18" s="607"/>
      <c r="M18" s="608"/>
      <c r="N18" s="609"/>
      <c r="O18" s="609"/>
      <c r="P18" s="605"/>
      <c r="Q18" s="605"/>
      <c r="R18" s="605"/>
      <c r="S18" s="610"/>
      <c r="T18" s="611"/>
      <c r="U18" s="604"/>
      <c r="V18" s="605"/>
      <c r="W18" s="610"/>
      <c r="X18" s="611"/>
      <c r="Y18" s="604"/>
      <c r="Z18" s="605"/>
      <c r="AA18" s="610"/>
      <c r="AB18" s="612"/>
      <c r="AC18" s="613"/>
      <c r="AD18" s="612"/>
      <c r="AE18" s="613"/>
    </row>
    <row r="19" spans="2:31" x14ac:dyDescent="0.25">
      <c r="B19" s="567">
        <v>4</v>
      </c>
      <c r="C19" s="603"/>
      <c r="D19" s="604"/>
      <c r="E19" s="604"/>
      <c r="F19" s="605"/>
      <c r="G19" s="606"/>
      <c r="H19" s="605"/>
      <c r="I19" s="607"/>
      <c r="J19" s="606"/>
      <c r="K19" s="605"/>
      <c r="L19" s="607"/>
      <c r="M19" s="608"/>
      <c r="N19" s="609"/>
      <c r="O19" s="609"/>
      <c r="P19" s="605"/>
      <c r="Q19" s="605"/>
      <c r="R19" s="605"/>
      <c r="S19" s="610"/>
      <c r="T19" s="611"/>
      <c r="U19" s="604"/>
      <c r="V19" s="605"/>
      <c r="W19" s="610"/>
      <c r="X19" s="611"/>
      <c r="Y19" s="604"/>
      <c r="Z19" s="605"/>
      <c r="AA19" s="610"/>
      <c r="AB19" s="612"/>
      <c r="AC19" s="613"/>
      <c r="AD19" s="612"/>
      <c r="AE19" s="613"/>
    </row>
    <row r="20" spans="2:31" x14ac:dyDescent="0.25">
      <c r="B20" s="567">
        <v>5</v>
      </c>
      <c r="C20" s="603"/>
      <c r="D20" s="604"/>
      <c r="E20" s="604"/>
      <c r="F20" s="605"/>
      <c r="G20" s="606"/>
      <c r="H20" s="605"/>
      <c r="I20" s="607"/>
      <c r="J20" s="606"/>
      <c r="K20" s="605"/>
      <c r="L20" s="607"/>
      <c r="M20" s="608"/>
      <c r="N20" s="609"/>
      <c r="O20" s="609"/>
      <c r="P20" s="605"/>
      <c r="Q20" s="605"/>
      <c r="R20" s="605"/>
      <c r="S20" s="610"/>
      <c r="T20" s="611"/>
      <c r="U20" s="604"/>
      <c r="V20" s="605"/>
      <c r="W20" s="610"/>
      <c r="X20" s="611"/>
      <c r="Y20" s="604"/>
      <c r="Z20" s="605"/>
      <c r="AA20" s="610"/>
      <c r="AB20" s="612"/>
      <c r="AC20" s="613"/>
      <c r="AD20" s="612"/>
      <c r="AE20" s="613"/>
    </row>
    <row r="21" spans="2:31" x14ac:dyDescent="0.25">
      <c r="B21" s="567">
        <v>6</v>
      </c>
      <c r="C21" s="603"/>
      <c r="D21" s="604"/>
      <c r="E21" s="604"/>
      <c r="F21" s="605"/>
      <c r="G21" s="606"/>
      <c r="H21" s="605"/>
      <c r="I21" s="607"/>
      <c r="J21" s="606"/>
      <c r="K21" s="605"/>
      <c r="L21" s="607"/>
      <c r="M21" s="608"/>
      <c r="N21" s="609"/>
      <c r="O21" s="609"/>
      <c r="P21" s="605"/>
      <c r="Q21" s="605"/>
      <c r="R21" s="605"/>
      <c r="S21" s="610"/>
      <c r="T21" s="611"/>
      <c r="U21" s="604"/>
      <c r="V21" s="605"/>
      <c r="W21" s="610"/>
      <c r="X21" s="611"/>
      <c r="Y21" s="604"/>
      <c r="Z21" s="605"/>
      <c r="AA21" s="610"/>
      <c r="AB21" s="612"/>
      <c r="AC21" s="613"/>
      <c r="AD21" s="612"/>
      <c r="AE21" s="613"/>
    </row>
    <row r="22" spans="2:31" x14ac:dyDescent="0.25">
      <c r="B22" s="567">
        <v>7</v>
      </c>
      <c r="C22" s="603"/>
      <c r="D22" s="604"/>
      <c r="E22" s="604"/>
      <c r="F22" s="605"/>
      <c r="G22" s="606"/>
      <c r="H22" s="605"/>
      <c r="I22" s="607"/>
      <c r="J22" s="606"/>
      <c r="K22" s="605"/>
      <c r="L22" s="607"/>
      <c r="M22" s="608"/>
      <c r="N22" s="609"/>
      <c r="O22" s="609"/>
      <c r="P22" s="605"/>
      <c r="Q22" s="605"/>
      <c r="R22" s="605"/>
      <c r="S22" s="610"/>
      <c r="T22" s="611"/>
      <c r="U22" s="604"/>
      <c r="V22" s="605"/>
      <c r="W22" s="610"/>
      <c r="X22" s="611"/>
      <c r="Y22" s="604"/>
      <c r="Z22" s="605"/>
      <c r="AA22" s="610"/>
      <c r="AB22" s="612"/>
      <c r="AC22" s="613"/>
      <c r="AD22" s="612"/>
      <c r="AE22" s="613"/>
    </row>
    <row r="23" spans="2:31" x14ac:dyDescent="0.25">
      <c r="B23" s="567">
        <v>8</v>
      </c>
      <c r="C23" s="603"/>
      <c r="D23" s="604"/>
      <c r="E23" s="604"/>
      <c r="F23" s="605"/>
      <c r="G23" s="606"/>
      <c r="H23" s="605"/>
      <c r="I23" s="607"/>
      <c r="J23" s="606"/>
      <c r="K23" s="605"/>
      <c r="L23" s="607"/>
      <c r="M23" s="608"/>
      <c r="N23" s="609"/>
      <c r="O23" s="609"/>
      <c r="P23" s="605"/>
      <c r="Q23" s="605"/>
      <c r="R23" s="605"/>
      <c r="S23" s="610"/>
      <c r="T23" s="611"/>
      <c r="U23" s="604"/>
      <c r="V23" s="605"/>
      <c r="W23" s="610"/>
      <c r="X23" s="611"/>
      <c r="Y23" s="604"/>
      <c r="Z23" s="605"/>
      <c r="AA23" s="610"/>
      <c r="AB23" s="612"/>
      <c r="AC23" s="613"/>
      <c r="AD23" s="612"/>
      <c r="AE23" s="613"/>
    </row>
    <row r="24" spans="2:31" x14ac:dyDescent="0.25">
      <c r="B24" s="567">
        <v>9</v>
      </c>
      <c r="C24" s="603"/>
      <c r="D24" s="604"/>
      <c r="E24" s="604"/>
      <c r="F24" s="605"/>
      <c r="G24" s="606"/>
      <c r="H24" s="605"/>
      <c r="I24" s="607"/>
      <c r="J24" s="606"/>
      <c r="K24" s="605"/>
      <c r="L24" s="607"/>
      <c r="M24" s="608"/>
      <c r="N24" s="609"/>
      <c r="O24" s="609"/>
      <c r="P24" s="605"/>
      <c r="Q24" s="605"/>
      <c r="R24" s="605"/>
      <c r="S24" s="610"/>
      <c r="T24" s="611"/>
      <c r="U24" s="604"/>
      <c r="V24" s="605"/>
      <c r="W24" s="610"/>
      <c r="X24" s="611"/>
      <c r="Y24" s="604"/>
      <c r="Z24" s="605"/>
      <c r="AA24" s="610"/>
      <c r="AB24" s="612"/>
      <c r="AC24" s="613"/>
      <c r="AD24" s="612"/>
      <c r="AE24" s="613"/>
    </row>
    <row r="25" spans="2:31" x14ac:dyDescent="0.25">
      <c r="B25" s="567">
        <v>10</v>
      </c>
      <c r="C25" s="603"/>
      <c r="D25" s="604"/>
      <c r="E25" s="604"/>
      <c r="F25" s="605"/>
      <c r="G25" s="606"/>
      <c r="H25" s="605"/>
      <c r="I25" s="607"/>
      <c r="J25" s="606"/>
      <c r="K25" s="605"/>
      <c r="L25" s="607"/>
      <c r="M25" s="608"/>
      <c r="N25" s="609"/>
      <c r="O25" s="609"/>
      <c r="P25" s="605"/>
      <c r="Q25" s="605"/>
      <c r="R25" s="605"/>
      <c r="S25" s="610"/>
      <c r="T25" s="611"/>
      <c r="U25" s="604"/>
      <c r="V25" s="605"/>
      <c r="W25" s="610"/>
      <c r="X25" s="611"/>
      <c r="Y25" s="604"/>
      <c r="Z25" s="605"/>
      <c r="AA25" s="610"/>
      <c r="AB25" s="612"/>
      <c r="AC25" s="613"/>
      <c r="AD25" s="612"/>
      <c r="AE25" s="613"/>
    </row>
    <row r="26" spans="2:31" x14ac:dyDescent="0.25">
      <c r="B26" s="567">
        <v>11</v>
      </c>
      <c r="C26" s="603"/>
      <c r="D26" s="604"/>
      <c r="E26" s="604"/>
      <c r="F26" s="605"/>
      <c r="G26" s="606"/>
      <c r="H26" s="605"/>
      <c r="I26" s="607"/>
      <c r="J26" s="606"/>
      <c r="K26" s="605"/>
      <c r="L26" s="607"/>
      <c r="M26" s="608"/>
      <c r="N26" s="609"/>
      <c r="O26" s="609"/>
      <c r="P26" s="605"/>
      <c r="Q26" s="605"/>
      <c r="R26" s="605"/>
      <c r="S26" s="610"/>
      <c r="T26" s="611"/>
      <c r="U26" s="604"/>
      <c r="V26" s="605"/>
      <c r="W26" s="610"/>
      <c r="X26" s="611"/>
      <c r="Y26" s="604"/>
      <c r="Z26" s="605"/>
      <c r="AA26" s="610"/>
      <c r="AB26" s="612"/>
      <c r="AC26" s="613"/>
      <c r="AD26" s="612"/>
      <c r="AE26" s="613"/>
    </row>
    <row r="27" spans="2:31" x14ac:dyDescent="0.25">
      <c r="B27" s="567">
        <v>12</v>
      </c>
      <c r="C27" s="603"/>
      <c r="D27" s="604"/>
      <c r="E27" s="604"/>
      <c r="F27" s="605"/>
      <c r="G27" s="606"/>
      <c r="H27" s="605"/>
      <c r="I27" s="607"/>
      <c r="J27" s="606"/>
      <c r="K27" s="605"/>
      <c r="L27" s="607"/>
      <c r="M27" s="608"/>
      <c r="N27" s="609"/>
      <c r="O27" s="605"/>
      <c r="P27" s="605"/>
      <c r="Q27" s="605"/>
      <c r="R27" s="605"/>
      <c r="S27" s="610"/>
      <c r="T27" s="611"/>
      <c r="U27" s="604"/>
      <c r="V27" s="605"/>
      <c r="W27" s="610"/>
      <c r="X27" s="611"/>
      <c r="Y27" s="604"/>
      <c r="Z27" s="605"/>
      <c r="AA27" s="610"/>
      <c r="AB27" s="612"/>
      <c r="AC27" s="613"/>
      <c r="AD27" s="612"/>
      <c r="AE27" s="613"/>
    </row>
    <row r="28" spans="2:31" x14ac:dyDescent="0.25">
      <c r="B28" s="567">
        <v>13</v>
      </c>
      <c r="C28" s="603"/>
      <c r="D28" s="604"/>
      <c r="E28" s="604"/>
      <c r="F28" s="605"/>
      <c r="G28" s="606"/>
      <c r="H28" s="605"/>
      <c r="I28" s="607"/>
      <c r="J28" s="606"/>
      <c r="K28" s="605"/>
      <c r="L28" s="607"/>
      <c r="M28" s="608"/>
      <c r="N28" s="609"/>
      <c r="O28" s="609"/>
      <c r="P28" s="605"/>
      <c r="Q28" s="605"/>
      <c r="R28" s="605"/>
      <c r="S28" s="610"/>
      <c r="T28" s="611"/>
      <c r="U28" s="604"/>
      <c r="V28" s="605"/>
      <c r="W28" s="610"/>
      <c r="X28" s="611"/>
      <c r="Y28" s="604"/>
      <c r="Z28" s="605"/>
      <c r="AA28" s="610"/>
      <c r="AB28" s="612"/>
      <c r="AC28" s="613"/>
      <c r="AD28" s="612"/>
      <c r="AE28" s="613"/>
    </row>
    <row r="29" spans="2:31" x14ac:dyDescent="0.25">
      <c r="B29" s="567">
        <v>14</v>
      </c>
      <c r="C29" s="603"/>
      <c r="D29" s="604"/>
      <c r="E29" s="604"/>
      <c r="F29" s="605"/>
      <c r="G29" s="606"/>
      <c r="H29" s="605"/>
      <c r="I29" s="607"/>
      <c r="J29" s="606"/>
      <c r="K29" s="605"/>
      <c r="L29" s="607"/>
      <c r="M29" s="608"/>
      <c r="N29" s="609"/>
      <c r="O29" s="609"/>
      <c r="P29" s="605"/>
      <c r="Q29" s="605"/>
      <c r="R29" s="605"/>
      <c r="S29" s="610"/>
      <c r="T29" s="611"/>
      <c r="U29" s="604"/>
      <c r="V29" s="605"/>
      <c r="W29" s="610"/>
      <c r="X29" s="611"/>
      <c r="Y29" s="604"/>
      <c r="Z29" s="605"/>
      <c r="AA29" s="610"/>
      <c r="AB29" s="612"/>
      <c r="AC29" s="613"/>
      <c r="AD29" s="612"/>
      <c r="AE29" s="613"/>
    </row>
    <row r="30" spans="2:31" x14ac:dyDescent="0.25">
      <c r="B30" s="567">
        <v>15</v>
      </c>
      <c r="C30" s="603"/>
      <c r="D30" s="604"/>
      <c r="E30" s="604"/>
      <c r="F30" s="605"/>
      <c r="G30" s="606"/>
      <c r="H30" s="605"/>
      <c r="I30" s="607"/>
      <c r="J30" s="606"/>
      <c r="K30" s="605"/>
      <c r="L30" s="607"/>
      <c r="M30" s="608"/>
      <c r="N30" s="609"/>
      <c r="O30" s="609"/>
      <c r="P30" s="605"/>
      <c r="Q30" s="605"/>
      <c r="R30" s="605"/>
      <c r="S30" s="610"/>
      <c r="T30" s="611"/>
      <c r="U30" s="604"/>
      <c r="V30" s="605"/>
      <c r="W30" s="610"/>
      <c r="X30" s="611"/>
      <c r="Y30" s="604"/>
      <c r="Z30" s="605"/>
      <c r="AA30" s="610"/>
      <c r="AB30" s="612"/>
      <c r="AC30" s="613"/>
      <c r="AD30" s="612"/>
      <c r="AE30" s="613"/>
    </row>
    <row r="31" spans="2:31" x14ac:dyDescent="0.25">
      <c r="B31" s="567">
        <v>16</v>
      </c>
      <c r="C31" s="603"/>
      <c r="D31" s="604"/>
      <c r="E31" s="604"/>
      <c r="F31" s="605"/>
      <c r="G31" s="606"/>
      <c r="H31" s="605"/>
      <c r="I31" s="607"/>
      <c r="J31" s="606"/>
      <c r="K31" s="605"/>
      <c r="L31" s="607"/>
      <c r="M31" s="608"/>
      <c r="N31" s="609"/>
      <c r="O31" s="609"/>
      <c r="P31" s="605"/>
      <c r="Q31" s="605"/>
      <c r="R31" s="605"/>
      <c r="S31" s="610"/>
      <c r="T31" s="611"/>
      <c r="U31" s="604"/>
      <c r="V31" s="605"/>
      <c r="W31" s="610"/>
      <c r="X31" s="611"/>
      <c r="Y31" s="604"/>
      <c r="Z31" s="605"/>
      <c r="AA31" s="610"/>
      <c r="AB31" s="612"/>
      <c r="AC31" s="613"/>
      <c r="AD31" s="612"/>
      <c r="AE31" s="613"/>
    </row>
    <row r="32" spans="2:31" x14ac:dyDescent="0.25">
      <c r="B32" s="567">
        <v>17</v>
      </c>
      <c r="C32" s="603"/>
      <c r="D32" s="604"/>
      <c r="E32" s="604"/>
      <c r="F32" s="605"/>
      <c r="G32" s="606"/>
      <c r="H32" s="605"/>
      <c r="I32" s="607"/>
      <c r="J32" s="606"/>
      <c r="K32" s="605"/>
      <c r="L32" s="607"/>
      <c r="M32" s="608"/>
      <c r="N32" s="609"/>
      <c r="O32" s="609"/>
      <c r="P32" s="605"/>
      <c r="Q32" s="605"/>
      <c r="R32" s="605"/>
      <c r="S32" s="610"/>
      <c r="T32" s="611"/>
      <c r="U32" s="604"/>
      <c r="V32" s="605"/>
      <c r="W32" s="610"/>
      <c r="X32" s="611"/>
      <c r="Y32" s="604"/>
      <c r="Z32" s="605"/>
      <c r="AA32" s="610"/>
      <c r="AB32" s="612"/>
      <c r="AC32" s="613"/>
      <c r="AD32" s="612"/>
      <c r="AE32" s="613"/>
    </row>
    <row r="33" spans="2:31" x14ac:dyDescent="0.25">
      <c r="B33" s="567">
        <v>18</v>
      </c>
      <c r="C33" s="603"/>
      <c r="D33" s="604"/>
      <c r="E33" s="604"/>
      <c r="F33" s="605"/>
      <c r="G33" s="606"/>
      <c r="H33" s="605"/>
      <c r="I33" s="607"/>
      <c r="J33" s="606"/>
      <c r="K33" s="605"/>
      <c r="L33" s="607"/>
      <c r="M33" s="608"/>
      <c r="N33" s="609"/>
      <c r="O33" s="609"/>
      <c r="P33" s="605"/>
      <c r="Q33" s="605"/>
      <c r="R33" s="605"/>
      <c r="S33" s="610"/>
      <c r="T33" s="611"/>
      <c r="U33" s="604"/>
      <c r="V33" s="605"/>
      <c r="W33" s="610"/>
      <c r="X33" s="611"/>
      <c r="Y33" s="604"/>
      <c r="Z33" s="605"/>
      <c r="AA33" s="610"/>
      <c r="AB33" s="612"/>
      <c r="AC33" s="613"/>
      <c r="AD33" s="612"/>
      <c r="AE33" s="613"/>
    </row>
    <row r="34" spans="2:31" x14ac:dyDescent="0.25">
      <c r="B34" s="567">
        <v>19</v>
      </c>
      <c r="C34" s="603"/>
      <c r="D34" s="604"/>
      <c r="E34" s="604"/>
      <c r="F34" s="605"/>
      <c r="G34" s="606"/>
      <c r="H34" s="605"/>
      <c r="I34" s="607"/>
      <c r="J34" s="606"/>
      <c r="K34" s="605"/>
      <c r="L34" s="607"/>
      <c r="M34" s="608"/>
      <c r="N34" s="609"/>
      <c r="O34" s="609"/>
      <c r="P34" s="605"/>
      <c r="Q34" s="605"/>
      <c r="R34" s="605"/>
      <c r="S34" s="610"/>
      <c r="T34" s="611"/>
      <c r="U34" s="604"/>
      <c r="V34" s="605"/>
      <c r="W34" s="610"/>
      <c r="X34" s="611"/>
      <c r="Y34" s="604"/>
      <c r="Z34" s="605"/>
      <c r="AA34" s="610"/>
      <c r="AB34" s="612"/>
      <c r="AC34" s="613"/>
      <c r="AD34" s="612"/>
      <c r="AE34" s="613"/>
    </row>
    <row r="35" spans="2:31" ht="13" thickBot="1" x14ac:dyDescent="0.3">
      <c r="B35" s="567">
        <v>20</v>
      </c>
      <c r="C35" s="102"/>
      <c r="D35" s="614"/>
      <c r="E35" s="614"/>
      <c r="F35" s="615"/>
      <c r="G35" s="616"/>
      <c r="H35" s="615"/>
      <c r="I35" s="617"/>
      <c r="J35" s="616"/>
      <c r="K35" s="615"/>
      <c r="L35" s="617"/>
      <c r="M35" s="618"/>
      <c r="N35" s="619"/>
      <c r="O35" s="619"/>
      <c r="P35" s="615"/>
      <c r="Q35" s="615"/>
      <c r="R35" s="615"/>
      <c r="S35" s="620"/>
      <c r="T35" s="621"/>
      <c r="U35" s="614"/>
      <c r="V35" s="615"/>
      <c r="W35" s="620"/>
      <c r="X35" s="621"/>
      <c r="Y35" s="614"/>
      <c r="Z35" s="615"/>
      <c r="AA35" s="620"/>
      <c r="AB35" s="622"/>
      <c r="AC35" s="623"/>
      <c r="AD35" s="622"/>
      <c r="AE35" s="623"/>
    </row>
    <row r="36" spans="2:31" x14ac:dyDescent="0.25">
      <c r="H36" s="624">
        <f>SUM(H15:H35)</f>
        <v>0</v>
      </c>
      <c r="K36" s="624">
        <f>SUM(K15:K35)</f>
        <v>0</v>
      </c>
    </row>
    <row r="37" spans="2:31" ht="13" thickBot="1" x14ac:dyDescent="0.3">
      <c r="H37" s="624"/>
      <c r="K37" s="624"/>
    </row>
    <row r="38" spans="2:31" ht="22.15" customHeight="1" thickBot="1" x14ac:dyDescent="0.3">
      <c r="C38" s="625" t="s">
        <v>596</v>
      </c>
      <c r="D38" s="626" t="s">
        <v>597</v>
      </c>
      <c r="E38" s="627" t="s">
        <v>598</v>
      </c>
    </row>
    <row r="39" spans="2:31" x14ac:dyDescent="0.25">
      <c r="C39" s="628" t="str">
        <f t="shared" ref="C39:C45" si="0">D69</f>
        <v>PM</v>
      </c>
      <c r="D39" s="628">
        <v>182.50673343750003</v>
      </c>
      <c r="E39" s="629"/>
      <c r="K39" s="624"/>
    </row>
    <row r="40" spans="2:31" x14ac:dyDescent="0.25">
      <c r="C40" s="604" t="str">
        <f t="shared" si="0"/>
        <v>BA</v>
      </c>
      <c r="D40" s="604">
        <v>239.45995156249998</v>
      </c>
      <c r="E40" s="630"/>
      <c r="K40" s="624"/>
    </row>
    <row r="41" spans="2:31" x14ac:dyDescent="0.25">
      <c r="C41" s="604" t="str">
        <f t="shared" si="0"/>
        <v>Architecture</v>
      </c>
      <c r="D41" s="604">
        <v>319.0615140624999</v>
      </c>
      <c r="E41" s="630"/>
      <c r="K41" s="624"/>
    </row>
    <row r="42" spans="2:31" x14ac:dyDescent="0.25">
      <c r="C42" s="604" t="str">
        <f t="shared" si="0"/>
        <v>Development</v>
      </c>
      <c r="D42" s="604">
        <v>3812.7957249999999</v>
      </c>
      <c r="E42" s="630"/>
    </row>
    <row r="43" spans="2:31" x14ac:dyDescent="0.25">
      <c r="C43" s="604" t="str">
        <f t="shared" si="0"/>
        <v>UX</v>
      </c>
      <c r="D43" s="604">
        <v>160.88705562499993</v>
      </c>
      <c r="E43" s="630"/>
    </row>
    <row r="44" spans="2:31" x14ac:dyDescent="0.25">
      <c r="C44" s="604" t="str">
        <f t="shared" si="0"/>
        <v>Testing&amp;QA</v>
      </c>
      <c r="D44" s="631">
        <v>201.82180156249996</v>
      </c>
      <c r="E44" s="632"/>
    </row>
    <row r="45" spans="2:31" ht="13" thickBot="1" x14ac:dyDescent="0.3">
      <c r="C45" s="633" t="str">
        <f t="shared" si="0"/>
        <v>Other</v>
      </c>
      <c r="D45" s="633"/>
      <c r="E45" s="634"/>
    </row>
    <row r="46" spans="2:31" x14ac:dyDescent="0.25">
      <c r="D46" s="624">
        <f>SUM(D39:D45)</f>
        <v>4916.53278125</v>
      </c>
      <c r="K46" s="624"/>
    </row>
    <row r="47" spans="2:31" x14ac:dyDescent="0.25">
      <c r="D47" s="624"/>
      <c r="K47" s="624"/>
    </row>
    <row r="48" spans="2:31" x14ac:dyDescent="0.25">
      <c r="D48" s="624"/>
      <c r="K48" s="624"/>
    </row>
    <row r="49" spans="3:11" x14ac:dyDescent="0.25">
      <c r="D49" s="624"/>
      <c r="K49" s="624"/>
    </row>
    <row r="50" spans="3:11" ht="13" thickBot="1" x14ac:dyDescent="0.3">
      <c r="D50" s="624"/>
      <c r="K50" s="624"/>
    </row>
    <row r="51" spans="3:11" ht="14.5" thickBot="1" x14ac:dyDescent="0.3">
      <c r="C51" s="625" t="s">
        <v>599</v>
      </c>
      <c r="D51" s="626" t="s">
        <v>597</v>
      </c>
      <c r="E51" s="627" t="s">
        <v>598</v>
      </c>
      <c r="K51" s="624"/>
    </row>
    <row r="52" spans="3:11" x14ac:dyDescent="0.25">
      <c r="C52" s="628" t="str">
        <f t="shared" ref="C52:C58" si="1">C69</f>
        <v>PM</v>
      </c>
      <c r="D52" s="628">
        <f>D39</f>
        <v>182.50673343750003</v>
      </c>
      <c r="E52" s="629"/>
      <c r="K52" s="624"/>
    </row>
    <row r="53" spans="3:11" x14ac:dyDescent="0.25">
      <c r="C53" s="604" t="str">
        <f t="shared" si="1"/>
        <v>BA</v>
      </c>
      <c r="D53" s="604">
        <f>D40</f>
        <v>239.45995156249998</v>
      </c>
      <c r="E53" s="630"/>
      <c r="K53" s="624"/>
    </row>
    <row r="54" spans="3:11" x14ac:dyDescent="0.25">
      <c r="C54" s="604" t="str">
        <f t="shared" si="1"/>
        <v>Architecture</v>
      </c>
      <c r="D54" s="604">
        <f>D41</f>
        <v>319.0615140624999</v>
      </c>
      <c r="E54" s="630"/>
      <c r="K54" s="624"/>
    </row>
    <row r="55" spans="3:11" x14ac:dyDescent="0.25">
      <c r="C55" s="604" t="str">
        <f t="shared" si="1"/>
        <v>Senior (dev, testing, UX)</v>
      </c>
      <c r="D55" s="604">
        <v>1000</v>
      </c>
      <c r="E55" s="630"/>
      <c r="K55" s="624"/>
    </row>
    <row r="56" spans="3:11" x14ac:dyDescent="0.25">
      <c r="C56" s="604" t="str">
        <f t="shared" si="1"/>
        <v>Medium (dev, testing, UX)</v>
      </c>
      <c r="D56" s="604">
        <v>1200</v>
      </c>
      <c r="E56" s="630"/>
      <c r="K56" s="624"/>
    </row>
    <row r="57" spans="3:11" x14ac:dyDescent="0.25">
      <c r="C57" s="604" t="str">
        <f t="shared" si="1"/>
        <v>Junior ( dev, testing)</v>
      </c>
      <c r="D57" s="631">
        <f>+D46-SUM(D52:D56)</f>
        <v>1975.5045821875001</v>
      </c>
      <c r="E57" s="632"/>
      <c r="K57" s="624"/>
    </row>
    <row r="58" spans="3:11" ht="13" thickBot="1" x14ac:dyDescent="0.3">
      <c r="C58" s="633" t="str">
        <f t="shared" si="1"/>
        <v>Other</v>
      </c>
      <c r="D58" s="633"/>
      <c r="E58" s="634"/>
      <c r="H58" s="624"/>
      <c r="K58" s="624"/>
    </row>
    <row r="59" spans="3:11" x14ac:dyDescent="0.25">
      <c r="D59" s="624">
        <f>SUM(D52:D58)</f>
        <v>4916.53278125</v>
      </c>
    </row>
    <row r="60" spans="3:11" x14ac:dyDescent="0.25">
      <c r="D60" s="624"/>
      <c r="K60" s="624"/>
    </row>
    <row r="61" spans="3:11" x14ac:dyDescent="0.25">
      <c r="D61" s="624"/>
      <c r="K61" s="624"/>
    </row>
    <row r="62" spans="3:11" x14ac:dyDescent="0.25">
      <c r="D62" s="624"/>
      <c r="K62" s="624"/>
    </row>
    <row r="63" spans="3:11" x14ac:dyDescent="0.25">
      <c r="D63" s="624"/>
      <c r="K63" s="624"/>
    </row>
    <row r="64" spans="3:11" x14ac:dyDescent="0.25">
      <c r="D64" s="624"/>
      <c r="K64" s="624"/>
    </row>
    <row r="65" spans="3:30" x14ac:dyDescent="0.25">
      <c r="H65" s="624"/>
      <c r="K65" s="624"/>
    </row>
    <row r="67" spans="3:30" ht="22.15" hidden="1" customHeight="1" x14ac:dyDescent="0.25">
      <c r="C67" s="574" t="s">
        <v>600</v>
      </c>
      <c r="D67" s="574"/>
      <c r="E67" s="569"/>
      <c r="F67" s="569"/>
      <c r="G67" s="569"/>
      <c r="H67" s="569"/>
      <c r="I67" s="569"/>
      <c r="J67" s="569"/>
      <c r="K67" s="569"/>
      <c r="L67" s="569"/>
      <c r="M67" s="569"/>
      <c r="N67" s="569"/>
      <c r="O67" s="569"/>
      <c r="P67" s="569"/>
      <c r="Q67" s="569"/>
      <c r="R67" s="569"/>
      <c r="S67" s="569"/>
      <c r="T67" s="569"/>
      <c r="U67" s="569"/>
      <c r="V67" s="569"/>
      <c r="W67" s="569"/>
      <c r="X67" s="569"/>
      <c r="Y67" s="569"/>
      <c r="Z67" s="569"/>
      <c r="AA67" s="569"/>
      <c r="AB67" s="569"/>
      <c r="AD67" s="569"/>
    </row>
    <row r="68" spans="3:30" ht="14.5" hidden="1" x14ac:dyDescent="0.35">
      <c r="C68" s="635" t="s">
        <v>601</v>
      </c>
      <c r="D68" s="635" t="s">
        <v>602</v>
      </c>
      <c r="E68" s="635" t="s">
        <v>547</v>
      </c>
      <c r="F68" s="635" t="s">
        <v>548</v>
      </c>
      <c r="G68" s="635" t="s">
        <v>603</v>
      </c>
      <c r="H68" s="635" t="s">
        <v>604</v>
      </c>
      <c r="I68" s="635" t="s">
        <v>605</v>
      </c>
      <c r="J68" s="635" t="s">
        <v>606</v>
      </c>
      <c r="K68" s="635" t="s">
        <v>607</v>
      </c>
    </row>
    <row r="69" spans="3:30" ht="14.5" hidden="1" x14ac:dyDescent="0.35">
      <c r="C69" s="636" t="s">
        <v>40</v>
      </c>
      <c r="D69" s="636" t="s">
        <v>40</v>
      </c>
      <c r="E69" s="636" t="s">
        <v>608</v>
      </c>
      <c r="F69" s="636" t="s">
        <v>574</v>
      </c>
      <c r="G69" s="636" t="s">
        <v>609</v>
      </c>
      <c r="H69" s="636" t="s">
        <v>16</v>
      </c>
      <c r="I69" s="636" t="s">
        <v>528</v>
      </c>
      <c r="J69" s="636" t="s">
        <v>530</v>
      </c>
      <c r="K69" s="636" t="s">
        <v>610</v>
      </c>
    </row>
    <row r="70" spans="3:30" ht="14.5" hidden="1" x14ac:dyDescent="0.35">
      <c r="C70" s="636" t="s">
        <v>578</v>
      </c>
      <c r="D70" s="636" t="s">
        <v>578</v>
      </c>
      <c r="E70" s="637" t="s">
        <v>337</v>
      </c>
      <c r="F70" s="636" t="s">
        <v>611</v>
      </c>
      <c r="G70" s="636" t="s">
        <v>526</v>
      </c>
      <c r="H70" s="636" t="s">
        <v>25</v>
      </c>
      <c r="I70" s="636" t="s">
        <v>612</v>
      </c>
      <c r="J70" s="636" t="s">
        <v>535</v>
      </c>
      <c r="K70" s="636" t="s">
        <v>613</v>
      </c>
    </row>
    <row r="71" spans="3:30" ht="14.5" hidden="1" x14ac:dyDescent="0.35">
      <c r="C71" s="636" t="s">
        <v>580</v>
      </c>
      <c r="D71" s="636" t="s">
        <v>580</v>
      </c>
      <c r="E71" s="636" t="s">
        <v>579</v>
      </c>
      <c r="F71" s="636" t="s">
        <v>614</v>
      </c>
      <c r="G71" s="636"/>
      <c r="H71" s="636" t="s">
        <v>33</v>
      </c>
      <c r="J71" s="636" t="s">
        <v>615</v>
      </c>
      <c r="K71" s="636" t="s">
        <v>616</v>
      </c>
    </row>
    <row r="72" spans="3:30" ht="14.5" hidden="1" x14ac:dyDescent="0.35">
      <c r="C72" s="636" t="s">
        <v>617</v>
      </c>
      <c r="D72" s="636" t="s">
        <v>582</v>
      </c>
      <c r="E72" s="636" t="s">
        <v>618</v>
      </c>
      <c r="F72" s="636" t="s">
        <v>619</v>
      </c>
      <c r="H72" s="636" t="s">
        <v>41</v>
      </c>
    </row>
    <row r="73" spans="3:30" ht="14.5" hidden="1" x14ac:dyDescent="0.35">
      <c r="C73" s="636" t="s">
        <v>620</v>
      </c>
      <c r="D73" s="636" t="s">
        <v>590</v>
      </c>
      <c r="E73" s="636" t="s">
        <v>584</v>
      </c>
      <c r="F73" s="636" t="s">
        <v>621</v>
      </c>
      <c r="H73" s="636" t="s">
        <v>53</v>
      </c>
    </row>
    <row r="74" spans="3:30" ht="14.5" hidden="1" x14ac:dyDescent="0.35">
      <c r="C74" s="636" t="s">
        <v>622</v>
      </c>
      <c r="D74" s="636" t="s">
        <v>588</v>
      </c>
      <c r="E74" s="636" t="s">
        <v>581</v>
      </c>
      <c r="F74" s="636" t="s">
        <v>595</v>
      </c>
      <c r="H74" s="758" t="s">
        <v>59</v>
      </c>
    </row>
    <row r="75" spans="3:30" ht="14.5" hidden="1" x14ac:dyDescent="0.35">
      <c r="C75" s="636" t="s">
        <v>593</v>
      </c>
      <c r="D75" s="636" t="s">
        <v>593</v>
      </c>
      <c r="E75" s="636" t="s">
        <v>592</v>
      </c>
      <c r="F75" s="636" t="s">
        <v>623</v>
      </c>
      <c r="H75" s="636" t="s">
        <v>65</v>
      </c>
    </row>
    <row r="76" spans="3:30" ht="14.5" hidden="1" x14ac:dyDescent="0.35">
      <c r="E76" s="637" t="s">
        <v>624</v>
      </c>
      <c r="F76" s="636" t="s">
        <v>625</v>
      </c>
      <c r="H76" s="636" t="s">
        <v>73</v>
      </c>
    </row>
    <row r="77" spans="3:30" ht="14.5" hidden="1" x14ac:dyDescent="0.35">
      <c r="E77" s="637" t="s">
        <v>624</v>
      </c>
      <c r="F77" s="636" t="s">
        <v>626</v>
      </c>
      <c r="H77" s="636" t="s">
        <v>80</v>
      </c>
    </row>
    <row r="78" spans="3:30" ht="14.5" hidden="1" x14ac:dyDescent="0.35">
      <c r="E78" s="637" t="s">
        <v>627</v>
      </c>
      <c r="F78" s="636" t="s">
        <v>83</v>
      </c>
      <c r="H78" s="636" t="s">
        <v>85</v>
      </c>
    </row>
    <row r="79" spans="3:30" ht="14.5" hidden="1" x14ac:dyDescent="0.35">
      <c r="E79" s="637" t="s">
        <v>628</v>
      </c>
      <c r="F79" s="636" t="s">
        <v>629</v>
      </c>
      <c r="H79" s="636" t="s">
        <v>91</v>
      </c>
    </row>
    <row r="80" spans="3:30" ht="14.5" hidden="1" x14ac:dyDescent="0.35">
      <c r="E80" s="637" t="s">
        <v>630</v>
      </c>
      <c r="F80" s="636" t="s">
        <v>631</v>
      </c>
    </row>
    <row r="81" spans="5:6" ht="14.5" hidden="1" x14ac:dyDescent="0.35">
      <c r="E81" s="636" t="s">
        <v>632</v>
      </c>
      <c r="F81" s="636" t="s">
        <v>633</v>
      </c>
    </row>
    <row r="82" spans="5:6" ht="14.5" hidden="1" x14ac:dyDescent="0.35">
      <c r="E82" s="637" t="s">
        <v>634</v>
      </c>
      <c r="F82" s="636" t="s">
        <v>635</v>
      </c>
    </row>
    <row r="83" spans="5:6" ht="14.5" hidden="1" x14ac:dyDescent="0.35">
      <c r="E83" s="636" t="s">
        <v>581</v>
      </c>
      <c r="F83" s="636" t="s">
        <v>636</v>
      </c>
    </row>
    <row r="84" spans="5:6" ht="14.5" hidden="1" x14ac:dyDescent="0.35">
      <c r="E84" s="636" t="s">
        <v>637</v>
      </c>
    </row>
    <row r="85" spans="5:6" ht="14.5" hidden="1" x14ac:dyDescent="0.35">
      <c r="E85" s="636" t="s">
        <v>585</v>
      </c>
    </row>
    <row r="86" spans="5:6" ht="14.5" hidden="1" x14ac:dyDescent="0.25">
      <c r="E86" s="637" t="s">
        <v>586</v>
      </c>
    </row>
    <row r="87" spans="5:6" ht="14.5" hidden="1" x14ac:dyDescent="0.35">
      <c r="E87" s="636" t="s">
        <v>587</v>
      </c>
    </row>
    <row r="88" spans="5:6" ht="14.5" hidden="1" x14ac:dyDescent="0.35">
      <c r="E88" s="636" t="s">
        <v>638</v>
      </c>
    </row>
    <row r="89" spans="5:6" ht="14.5" hidden="1" x14ac:dyDescent="0.35">
      <c r="E89" s="636" t="s">
        <v>639</v>
      </c>
    </row>
    <row r="90" spans="5:6" ht="14.5" hidden="1" x14ac:dyDescent="0.35">
      <c r="E90" s="636" t="s">
        <v>640</v>
      </c>
    </row>
    <row r="91" spans="5:6" ht="14.5" hidden="1" x14ac:dyDescent="0.25">
      <c r="E91" s="637" t="s">
        <v>594</v>
      </c>
    </row>
    <row r="92" spans="5:6" ht="14.5" hidden="1" x14ac:dyDescent="0.25">
      <c r="E92" s="637" t="s">
        <v>641</v>
      </c>
    </row>
    <row r="93" spans="5:6" ht="14.5" hidden="1" x14ac:dyDescent="0.35">
      <c r="E93" s="636" t="s">
        <v>573</v>
      </c>
    </row>
    <row r="94" spans="5:6" ht="14.5" hidden="1" x14ac:dyDescent="0.35">
      <c r="E94" s="636" t="s">
        <v>642</v>
      </c>
    </row>
    <row r="95" spans="5:6" ht="14.5" hidden="1" x14ac:dyDescent="0.35">
      <c r="E95" s="636" t="s">
        <v>643</v>
      </c>
    </row>
    <row r="96" spans="5:6" ht="14.5" hidden="1" x14ac:dyDescent="0.35">
      <c r="E96" s="636" t="s">
        <v>644</v>
      </c>
    </row>
    <row r="97" spans="5:5" ht="14.5" hidden="1" x14ac:dyDescent="0.35">
      <c r="E97" s="636" t="s">
        <v>583</v>
      </c>
    </row>
    <row r="98" spans="5:5" ht="14.5" hidden="1" x14ac:dyDescent="0.35">
      <c r="E98" s="636" t="s">
        <v>645</v>
      </c>
    </row>
    <row r="99" spans="5:5" ht="14.5" hidden="1" x14ac:dyDescent="0.25">
      <c r="E99" s="637" t="s">
        <v>646</v>
      </c>
    </row>
    <row r="100" spans="5:5" ht="14.5" hidden="1" x14ac:dyDescent="0.25">
      <c r="E100" s="637" t="s">
        <v>647</v>
      </c>
    </row>
    <row r="101" spans="5:5" ht="14.5" hidden="1" x14ac:dyDescent="0.35">
      <c r="E101" s="636" t="s">
        <v>648</v>
      </c>
    </row>
    <row r="102" spans="5:5" ht="14.5" hidden="1" x14ac:dyDescent="0.35">
      <c r="E102" s="636" t="s">
        <v>649</v>
      </c>
    </row>
    <row r="103" spans="5:5" ht="14.5" hidden="1" x14ac:dyDescent="0.35">
      <c r="E103" s="636" t="s">
        <v>650</v>
      </c>
    </row>
    <row r="104" spans="5:5" ht="14.5" hidden="1" x14ac:dyDescent="0.35">
      <c r="E104" s="636" t="s">
        <v>589</v>
      </c>
    </row>
    <row r="105" spans="5:5" ht="14.5" hidden="1" x14ac:dyDescent="0.35">
      <c r="E105" s="636" t="s">
        <v>651</v>
      </c>
    </row>
    <row r="106" spans="5:5" ht="14.5" hidden="1" x14ac:dyDescent="0.35">
      <c r="E106" s="636" t="s">
        <v>652</v>
      </c>
    </row>
    <row r="107" spans="5:5" ht="14.5" hidden="1" x14ac:dyDescent="0.35">
      <c r="E107" s="636" t="s">
        <v>653</v>
      </c>
    </row>
    <row r="108" spans="5:5" ht="14.5" hidden="1" x14ac:dyDescent="0.35">
      <c r="E108" s="636" t="s">
        <v>591</v>
      </c>
    </row>
    <row r="109" spans="5:5" hidden="1" x14ac:dyDescent="0.25"/>
  </sheetData>
  <sheetProtection formatCells="0" formatColumns="0" formatRows="0" insertColumns="0" insertRows="0" insertHyperlinks="0" deleteColumns="0" deleteRows="0" sort="0" autoFilter="0" pivotTables="0"/>
  <mergeCells count="12">
    <mergeCell ref="Y14:AA14"/>
    <mergeCell ref="D4:E4"/>
    <mergeCell ref="G4:I4"/>
    <mergeCell ref="D6:E6"/>
    <mergeCell ref="G6:I6"/>
    <mergeCell ref="D8:E8"/>
    <mergeCell ref="G8:I8"/>
    <mergeCell ref="G10:I10"/>
    <mergeCell ref="G14:I14"/>
    <mergeCell ref="J14:L14"/>
    <mergeCell ref="N14:S14"/>
    <mergeCell ref="U14:W14"/>
  </mergeCells>
  <dataValidations count="8">
    <dataValidation type="list" allowBlank="1" showInputMessage="1" showErrorMessage="1" sqref="U16:U35" xr:uid="{43EF8ABC-5773-46CB-874E-15D672361E7D}">
      <formula1>$K$69:$K$71</formula1>
    </dataValidation>
    <dataValidation type="list" allowBlank="1" showInputMessage="1" showErrorMessage="1" sqref="D16:D35" xr:uid="{52F46499-96D4-42A4-A397-474C0FC13849}">
      <formula1>$D$69:$D$75</formula1>
    </dataValidation>
    <dataValidation type="list" allowBlank="1" showInputMessage="1" showErrorMessage="1" sqref="J6 J10" xr:uid="{E668F48C-BC67-4359-BB63-64C01B1527EB}">
      <formula1>$J$69:$J$71</formula1>
    </dataValidation>
    <dataValidation type="list" allowBlank="1" showInputMessage="1" showErrorMessage="1" sqref="F16:F35" xr:uid="{23A364A6-2136-4131-8D96-639209045060}">
      <formula1>$F$69:$F$83</formula1>
    </dataValidation>
    <dataValidation type="list" allowBlank="1" showInputMessage="1" showErrorMessage="1" sqref="E16:E35" xr:uid="{3FEA6431-A211-43B1-8499-0DC0B817E9F9}">
      <formula1>$E$69:$E$108</formula1>
    </dataValidation>
    <dataValidation type="list" allowBlank="1" showInputMessage="1" showErrorMessage="1" sqref="J4 D8:E8 J8" xr:uid="{1BB3A904-7595-4746-B0BD-D870F80137E1}">
      <formula1>$G$69:$G$70</formula1>
    </dataValidation>
    <dataValidation type="list" allowBlank="1" showInputMessage="1" showErrorMessage="1" sqref="D6" xr:uid="{B662D81F-F548-449E-A1F3-BEBC53A49D97}">
      <formula1>$I$69:$I$70</formula1>
    </dataValidation>
    <dataValidation type="list" allowBlank="1" showInputMessage="1" showErrorMessage="1" sqref="G11 W16:W35 R17:R35 N16:Q35" xr:uid="{AAB0CD9C-D77C-4F08-89AD-D2D91836E285}">
      <formula1>"SI,NO,"</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A07FC-DDB0-46FC-837C-48BF69D2838C}">
  <sheetPr codeName="Hoja8">
    <pageSetUpPr fitToPage="1"/>
  </sheetPr>
  <dimension ref="A1:AC24"/>
  <sheetViews>
    <sheetView zoomScale="80" zoomScaleNormal="80" workbookViewId="0">
      <selection activeCell="B4" sqref="B4"/>
    </sheetView>
  </sheetViews>
  <sheetFormatPr baseColWidth="10" defaultColWidth="12" defaultRowHeight="15.5" x14ac:dyDescent="0.35"/>
  <cols>
    <col min="1" max="1" width="35.5" style="531" customWidth="1"/>
    <col min="2" max="28" width="18.5" style="531" customWidth="1"/>
    <col min="29" max="29" width="17.5" style="531" bestFit="1" customWidth="1"/>
    <col min="30" max="16384" width="12" style="531"/>
  </cols>
  <sheetData>
    <row r="1" spans="1:29" ht="16" thickBot="1" x14ac:dyDescent="0.4">
      <c r="A1" s="544"/>
      <c r="B1" s="544" t="s">
        <v>654</v>
      </c>
      <c r="C1" s="233" t="s">
        <v>655</v>
      </c>
      <c r="D1" s="233" t="s">
        <v>656</v>
      </c>
      <c r="E1" s="233" t="s">
        <v>657</v>
      </c>
      <c r="F1" s="233" t="s">
        <v>658</v>
      </c>
      <c r="G1" s="233" t="s">
        <v>659</v>
      </c>
      <c r="H1" s="233" t="s">
        <v>660</v>
      </c>
      <c r="I1" s="233" t="s">
        <v>661</v>
      </c>
      <c r="J1" s="233" t="s">
        <v>662</v>
      </c>
      <c r="K1" s="233" t="s">
        <v>663</v>
      </c>
      <c r="L1" s="233" t="s">
        <v>664</v>
      </c>
      <c r="M1" s="233" t="s">
        <v>665</v>
      </c>
      <c r="N1" s="233" t="s">
        <v>666</v>
      </c>
      <c r="O1" s="233" t="s">
        <v>667</v>
      </c>
      <c r="P1" s="233" t="s">
        <v>668</v>
      </c>
      <c r="Q1" s="233" t="s">
        <v>669</v>
      </c>
      <c r="R1" s="233" t="s">
        <v>670</v>
      </c>
      <c r="S1" s="233" t="s">
        <v>671</v>
      </c>
      <c r="T1" s="233" t="s">
        <v>672</v>
      </c>
      <c r="U1" s="233" t="s">
        <v>673</v>
      </c>
      <c r="V1" s="233" t="s">
        <v>674</v>
      </c>
      <c r="W1" s="233" t="s">
        <v>675</v>
      </c>
      <c r="X1" s="233" t="s">
        <v>676</v>
      </c>
      <c r="Y1" s="233" t="s">
        <v>677</v>
      </c>
      <c r="Z1" s="233" t="s">
        <v>678</v>
      </c>
      <c r="AA1" s="233" t="s">
        <v>679</v>
      </c>
      <c r="AB1" s="233" t="s">
        <v>680</v>
      </c>
      <c r="AC1" s="233" t="s">
        <v>346</v>
      </c>
    </row>
    <row r="2" spans="1:29" x14ac:dyDescent="0.35">
      <c r="A2" s="549" t="s">
        <v>681</v>
      </c>
      <c r="B2" s="547">
        <v>0</v>
      </c>
      <c r="C2" s="547">
        <v>0</v>
      </c>
      <c r="D2" s="547">
        <v>0</v>
      </c>
      <c r="E2" s="547">
        <v>0</v>
      </c>
      <c r="F2" s="547">
        <v>0</v>
      </c>
      <c r="G2" s="547">
        <v>0</v>
      </c>
      <c r="H2" s="547">
        <v>0</v>
      </c>
      <c r="I2" s="547">
        <v>0</v>
      </c>
      <c r="J2" s="547">
        <v>0</v>
      </c>
      <c r="K2" s="547">
        <v>0</v>
      </c>
      <c r="L2" s="547">
        <v>0</v>
      </c>
      <c r="M2" s="547">
        <v>0</v>
      </c>
      <c r="N2" s="547">
        <v>0</v>
      </c>
      <c r="O2" s="547">
        <v>0</v>
      </c>
      <c r="P2" s="547">
        <v>0</v>
      </c>
      <c r="Q2" s="547">
        <v>0</v>
      </c>
      <c r="R2" s="547">
        <v>0</v>
      </c>
      <c r="S2" s="547">
        <v>0</v>
      </c>
      <c r="T2" s="547">
        <v>0</v>
      </c>
      <c r="U2" s="547">
        <v>0</v>
      </c>
      <c r="V2" s="547">
        <v>0</v>
      </c>
      <c r="W2" s="547">
        <v>0</v>
      </c>
      <c r="X2" s="547">
        <v>0</v>
      </c>
      <c r="Y2" s="547">
        <v>0</v>
      </c>
      <c r="Z2" s="547">
        <v>0</v>
      </c>
      <c r="AA2" s="547">
        <v>0</v>
      </c>
      <c r="AB2" s="547">
        <v>0</v>
      </c>
      <c r="AC2" s="560"/>
    </row>
    <row r="3" spans="1:29" x14ac:dyDescent="0.35">
      <c r="A3" s="550" t="s">
        <v>682</v>
      </c>
      <c r="B3" s="551">
        <v>0</v>
      </c>
      <c r="C3" s="551">
        <v>0</v>
      </c>
      <c r="D3" s="551">
        <v>0</v>
      </c>
      <c r="E3" s="551">
        <v>0</v>
      </c>
      <c r="F3" s="551">
        <v>0</v>
      </c>
      <c r="G3" s="551">
        <v>0</v>
      </c>
      <c r="H3" s="551">
        <v>0</v>
      </c>
      <c r="I3" s="551">
        <v>0</v>
      </c>
      <c r="J3" s="551">
        <v>0</v>
      </c>
      <c r="K3" s="551">
        <v>0</v>
      </c>
      <c r="L3" s="551">
        <v>0</v>
      </c>
      <c r="M3" s="551">
        <v>0</v>
      </c>
      <c r="N3" s="551">
        <v>0</v>
      </c>
      <c r="O3" s="551">
        <v>0</v>
      </c>
      <c r="P3" s="551">
        <v>0</v>
      </c>
      <c r="Q3" s="551">
        <v>0</v>
      </c>
      <c r="R3" s="551">
        <v>0</v>
      </c>
      <c r="S3" s="551">
        <v>0</v>
      </c>
      <c r="T3" s="551">
        <v>0</v>
      </c>
      <c r="U3" s="551">
        <v>0</v>
      </c>
      <c r="V3" s="551">
        <v>0</v>
      </c>
      <c r="W3" s="551">
        <v>0</v>
      </c>
      <c r="X3" s="551">
        <v>0</v>
      </c>
      <c r="Y3" s="551">
        <v>0</v>
      </c>
      <c r="Z3" s="551">
        <v>0</v>
      </c>
      <c r="AA3" s="551">
        <v>0</v>
      </c>
      <c r="AB3" s="551">
        <v>0</v>
      </c>
      <c r="AC3" s="560">
        <f t="shared" ref="AC3:AC8" si="0">SUM(B3:AB3)</f>
        <v>0</v>
      </c>
    </row>
    <row r="4" spans="1:29" x14ac:dyDescent="0.35">
      <c r="A4" s="550" t="s">
        <v>683</v>
      </c>
      <c r="B4" s="551">
        <v>0</v>
      </c>
      <c r="C4" s="551">
        <v>0</v>
      </c>
      <c r="D4" s="551">
        <v>0</v>
      </c>
      <c r="E4" s="551">
        <v>0</v>
      </c>
      <c r="F4" s="551">
        <v>0</v>
      </c>
      <c r="G4" s="551">
        <v>0</v>
      </c>
      <c r="H4" s="551">
        <v>0</v>
      </c>
      <c r="I4" s="551">
        <v>0</v>
      </c>
      <c r="J4" s="551">
        <v>0</v>
      </c>
      <c r="K4" s="551">
        <v>0</v>
      </c>
      <c r="L4" s="551">
        <v>0</v>
      </c>
      <c r="M4" s="551">
        <v>0</v>
      </c>
      <c r="N4" s="551">
        <v>0</v>
      </c>
      <c r="O4" s="551">
        <v>0</v>
      </c>
      <c r="P4" s="551">
        <v>0</v>
      </c>
      <c r="Q4" s="551">
        <v>0</v>
      </c>
      <c r="R4" s="551">
        <v>0</v>
      </c>
      <c r="S4" s="551">
        <v>0</v>
      </c>
      <c r="T4" s="551">
        <v>0</v>
      </c>
      <c r="U4" s="551">
        <v>0</v>
      </c>
      <c r="V4" s="551">
        <v>0</v>
      </c>
      <c r="W4" s="551">
        <v>0</v>
      </c>
      <c r="X4" s="551">
        <v>0</v>
      </c>
      <c r="Y4" s="551">
        <v>0</v>
      </c>
      <c r="Z4" s="551">
        <v>0</v>
      </c>
      <c r="AA4" s="551">
        <v>0</v>
      </c>
      <c r="AB4" s="551">
        <v>0</v>
      </c>
      <c r="AC4" s="560">
        <f t="shared" si="0"/>
        <v>0</v>
      </c>
    </row>
    <row r="5" spans="1:29" ht="16" thickBot="1" x14ac:dyDescent="0.4">
      <c r="A5" s="550" t="s">
        <v>684</v>
      </c>
      <c r="B5" s="552"/>
      <c r="C5" s="552">
        <v>0</v>
      </c>
      <c r="D5" s="552">
        <v>0</v>
      </c>
      <c r="E5" s="552">
        <v>0</v>
      </c>
      <c r="F5" s="552">
        <v>0</v>
      </c>
      <c r="G5" s="552">
        <v>0</v>
      </c>
      <c r="H5" s="552">
        <v>0</v>
      </c>
      <c r="I5" s="552">
        <v>0</v>
      </c>
      <c r="J5" s="552">
        <v>0</v>
      </c>
      <c r="K5" s="552">
        <v>0</v>
      </c>
      <c r="L5" s="552">
        <v>0</v>
      </c>
      <c r="M5" s="552">
        <v>0</v>
      </c>
      <c r="N5" s="552">
        <v>0</v>
      </c>
      <c r="O5" s="552">
        <v>0</v>
      </c>
      <c r="P5" s="552">
        <v>0</v>
      </c>
      <c r="Q5" s="552">
        <v>0</v>
      </c>
      <c r="R5" s="552">
        <v>0</v>
      </c>
      <c r="S5" s="552">
        <v>0</v>
      </c>
      <c r="T5" s="552">
        <v>0</v>
      </c>
      <c r="U5" s="552">
        <v>0</v>
      </c>
      <c r="V5" s="552">
        <v>0</v>
      </c>
      <c r="W5" s="552">
        <v>0</v>
      </c>
      <c r="X5" s="552">
        <v>0</v>
      </c>
      <c r="Y5" s="552">
        <v>0</v>
      </c>
      <c r="Z5" s="552">
        <v>0</v>
      </c>
      <c r="AA5" s="552">
        <v>0</v>
      </c>
      <c r="AB5" s="552">
        <v>0</v>
      </c>
      <c r="AC5" s="560">
        <f t="shared" si="0"/>
        <v>0</v>
      </c>
    </row>
    <row r="6" spans="1:29" ht="16" thickBot="1" x14ac:dyDescent="0.4">
      <c r="A6" s="554" t="s">
        <v>685</v>
      </c>
      <c r="B6" s="548"/>
      <c r="C6" s="548">
        <v>0</v>
      </c>
      <c r="D6" s="548">
        <v>0</v>
      </c>
      <c r="E6" s="548">
        <v>0</v>
      </c>
      <c r="F6" s="548">
        <v>0</v>
      </c>
      <c r="G6" s="548">
        <v>0</v>
      </c>
      <c r="H6" s="548">
        <v>0</v>
      </c>
      <c r="I6" s="548">
        <v>0</v>
      </c>
      <c r="J6" s="548">
        <v>0</v>
      </c>
      <c r="K6" s="548">
        <v>0</v>
      </c>
      <c r="L6" s="548">
        <v>0</v>
      </c>
      <c r="M6" s="548">
        <v>0</v>
      </c>
      <c r="N6" s="548">
        <v>0</v>
      </c>
      <c r="O6" s="548">
        <v>0</v>
      </c>
      <c r="P6" s="548">
        <v>0</v>
      </c>
      <c r="Q6" s="548">
        <v>0</v>
      </c>
      <c r="R6" s="548">
        <v>0</v>
      </c>
      <c r="S6" s="548">
        <v>0</v>
      </c>
      <c r="T6" s="548">
        <v>0</v>
      </c>
      <c r="U6" s="548">
        <v>0</v>
      </c>
      <c r="V6" s="548">
        <v>0</v>
      </c>
      <c r="W6" s="548">
        <v>0</v>
      </c>
      <c r="X6" s="548">
        <v>0</v>
      </c>
      <c r="Y6" s="548">
        <v>0</v>
      </c>
      <c r="Z6" s="548">
        <v>0</v>
      </c>
      <c r="AA6" s="548">
        <v>0</v>
      </c>
      <c r="AB6" s="548">
        <v>0</v>
      </c>
      <c r="AC6" s="560">
        <f t="shared" si="0"/>
        <v>0</v>
      </c>
    </row>
    <row r="7" spans="1:29" ht="16" thickBot="1" x14ac:dyDescent="0.4">
      <c r="A7" s="554" t="s">
        <v>686</v>
      </c>
      <c r="B7" s="548"/>
      <c r="C7" s="548">
        <v>0</v>
      </c>
      <c r="D7" s="548">
        <v>0</v>
      </c>
      <c r="E7" s="548">
        <v>0</v>
      </c>
      <c r="F7" s="548">
        <v>0</v>
      </c>
      <c r="G7" s="548">
        <v>0</v>
      </c>
      <c r="H7" s="548">
        <v>0</v>
      </c>
      <c r="I7" s="548">
        <v>0</v>
      </c>
      <c r="J7" s="548">
        <v>0</v>
      </c>
      <c r="K7" s="548">
        <v>0</v>
      </c>
      <c r="L7" s="548">
        <v>0</v>
      </c>
      <c r="M7" s="548">
        <v>0</v>
      </c>
      <c r="N7" s="548">
        <v>0</v>
      </c>
      <c r="O7" s="548">
        <v>0</v>
      </c>
      <c r="P7" s="548">
        <v>0</v>
      </c>
      <c r="Q7" s="548">
        <v>0</v>
      </c>
      <c r="R7" s="548">
        <v>0</v>
      </c>
      <c r="S7" s="548">
        <v>0</v>
      </c>
      <c r="T7" s="548">
        <v>0</v>
      </c>
      <c r="U7" s="548">
        <v>0</v>
      </c>
      <c r="V7" s="548">
        <v>0</v>
      </c>
      <c r="W7" s="548">
        <v>0</v>
      </c>
      <c r="X7" s="548">
        <v>0</v>
      </c>
      <c r="Y7" s="548">
        <v>0</v>
      </c>
      <c r="Z7" s="548">
        <v>0</v>
      </c>
      <c r="AA7" s="548">
        <v>0</v>
      </c>
      <c r="AB7" s="548">
        <v>0</v>
      </c>
      <c r="AC7" s="560">
        <f t="shared" si="0"/>
        <v>0</v>
      </c>
    </row>
    <row r="8" spans="1:29" ht="16" thickBot="1" x14ac:dyDescent="0.4">
      <c r="A8" s="553" t="s">
        <v>687</v>
      </c>
      <c r="B8" s="548"/>
      <c r="C8" s="555">
        <v>0</v>
      </c>
      <c r="D8" s="555">
        <v>0</v>
      </c>
      <c r="E8" s="555">
        <v>0</v>
      </c>
      <c r="F8" s="555">
        <v>0</v>
      </c>
      <c r="G8" s="555">
        <v>0</v>
      </c>
      <c r="H8" s="555">
        <v>0</v>
      </c>
      <c r="I8" s="555">
        <v>0</v>
      </c>
      <c r="J8" s="555">
        <v>0</v>
      </c>
      <c r="K8" s="555">
        <v>0</v>
      </c>
      <c r="L8" s="555">
        <v>0</v>
      </c>
      <c r="M8" s="555">
        <v>0</v>
      </c>
      <c r="N8" s="555">
        <v>0</v>
      </c>
      <c r="O8" s="555">
        <v>0</v>
      </c>
      <c r="P8" s="555">
        <v>0</v>
      </c>
      <c r="Q8" s="555">
        <v>0</v>
      </c>
      <c r="R8" s="555">
        <v>0</v>
      </c>
      <c r="S8" s="555">
        <v>0</v>
      </c>
      <c r="T8" s="555">
        <v>0</v>
      </c>
      <c r="U8" s="555">
        <v>0</v>
      </c>
      <c r="V8" s="555">
        <v>0</v>
      </c>
      <c r="W8" s="555">
        <v>0</v>
      </c>
      <c r="X8" s="555">
        <v>0</v>
      </c>
      <c r="Y8" s="555">
        <v>0</v>
      </c>
      <c r="Z8" s="555">
        <v>0</v>
      </c>
      <c r="AA8" s="555">
        <v>0</v>
      </c>
      <c r="AB8" s="555">
        <v>0</v>
      </c>
      <c r="AC8" s="560">
        <f t="shared" si="0"/>
        <v>0</v>
      </c>
    </row>
    <row r="9" spans="1:29" ht="16" thickBot="1" x14ac:dyDescent="0.4">
      <c r="A9" s="556" t="s">
        <v>688</v>
      </c>
      <c r="B9" s="545">
        <f>B8-SUM(B3:B5)</f>
        <v>0</v>
      </c>
      <c r="C9" s="545">
        <f t="shared" ref="C9:O9" si="1">C8-SUM(C3:C5)+B9</f>
        <v>0</v>
      </c>
      <c r="D9" s="545">
        <f t="shared" si="1"/>
        <v>0</v>
      </c>
      <c r="E9" s="545">
        <f t="shared" si="1"/>
        <v>0</v>
      </c>
      <c r="F9" s="545">
        <f t="shared" si="1"/>
        <v>0</v>
      </c>
      <c r="G9" s="545">
        <f t="shared" si="1"/>
        <v>0</v>
      </c>
      <c r="H9" s="545">
        <f t="shared" si="1"/>
        <v>0</v>
      </c>
      <c r="I9" s="545">
        <f t="shared" si="1"/>
        <v>0</v>
      </c>
      <c r="J9" s="545">
        <f t="shared" si="1"/>
        <v>0</v>
      </c>
      <c r="K9" s="545">
        <f t="shared" si="1"/>
        <v>0</v>
      </c>
      <c r="L9" s="545">
        <f t="shared" si="1"/>
        <v>0</v>
      </c>
      <c r="M9" s="545">
        <f t="shared" si="1"/>
        <v>0</v>
      </c>
      <c r="N9" s="545">
        <f t="shared" si="1"/>
        <v>0</v>
      </c>
      <c r="O9" s="545">
        <f t="shared" si="1"/>
        <v>0</v>
      </c>
      <c r="P9" s="545">
        <f t="shared" ref="P9:AB9" si="2">P8-SUM(P3:P5)+O9</f>
        <v>0</v>
      </c>
      <c r="Q9" s="545">
        <f t="shared" si="2"/>
        <v>0</v>
      </c>
      <c r="R9" s="545">
        <f t="shared" si="2"/>
        <v>0</v>
      </c>
      <c r="S9" s="545">
        <f t="shared" si="2"/>
        <v>0</v>
      </c>
      <c r="T9" s="545">
        <f t="shared" si="2"/>
        <v>0</v>
      </c>
      <c r="U9" s="545">
        <f t="shared" si="2"/>
        <v>0</v>
      </c>
      <c r="V9" s="545">
        <f t="shared" si="2"/>
        <v>0</v>
      </c>
      <c r="W9" s="545">
        <f t="shared" si="2"/>
        <v>0</v>
      </c>
      <c r="X9" s="545">
        <f t="shared" si="2"/>
        <v>0</v>
      </c>
      <c r="Y9" s="545">
        <f t="shared" si="2"/>
        <v>0</v>
      </c>
      <c r="Z9" s="545">
        <f t="shared" si="2"/>
        <v>0</v>
      </c>
      <c r="AA9" s="545">
        <f t="shared" si="2"/>
        <v>0</v>
      </c>
      <c r="AB9" s="545">
        <f t="shared" si="2"/>
        <v>0</v>
      </c>
      <c r="AC9" s="560"/>
    </row>
    <row r="10" spans="1:29" ht="16" thickBot="1" x14ac:dyDescent="0.4">
      <c r="A10" s="546" t="s">
        <v>689</v>
      </c>
      <c r="B10" s="545">
        <f>B8-SUM(B3:B5)</f>
        <v>0</v>
      </c>
      <c r="C10" s="545">
        <f t="shared" ref="C10:AB10" si="3">C8-SUM(C3:C5)</f>
        <v>0</v>
      </c>
      <c r="D10" s="545">
        <f t="shared" si="3"/>
        <v>0</v>
      </c>
      <c r="E10" s="545">
        <f t="shared" si="3"/>
        <v>0</v>
      </c>
      <c r="F10" s="545">
        <f t="shared" si="3"/>
        <v>0</v>
      </c>
      <c r="G10" s="545">
        <f t="shared" si="3"/>
        <v>0</v>
      </c>
      <c r="H10" s="545">
        <f t="shared" si="3"/>
        <v>0</v>
      </c>
      <c r="I10" s="545">
        <f t="shared" si="3"/>
        <v>0</v>
      </c>
      <c r="J10" s="545">
        <f t="shared" si="3"/>
        <v>0</v>
      </c>
      <c r="K10" s="545">
        <f t="shared" si="3"/>
        <v>0</v>
      </c>
      <c r="L10" s="545">
        <f t="shared" si="3"/>
        <v>0</v>
      </c>
      <c r="M10" s="545">
        <f t="shared" si="3"/>
        <v>0</v>
      </c>
      <c r="N10" s="545">
        <f t="shared" si="3"/>
        <v>0</v>
      </c>
      <c r="O10" s="545">
        <f t="shared" si="3"/>
        <v>0</v>
      </c>
      <c r="P10" s="545">
        <f t="shared" si="3"/>
        <v>0</v>
      </c>
      <c r="Q10" s="545">
        <f t="shared" si="3"/>
        <v>0</v>
      </c>
      <c r="R10" s="545">
        <f t="shared" si="3"/>
        <v>0</v>
      </c>
      <c r="S10" s="545">
        <f t="shared" si="3"/>
        <v>0</v>
      </c>
      <c r="T10" s="545">
        <f t="shared" si="3"/>
        <v>0</v>
      </c>
      <c r="U10" s="545">
        <f t="shared" si="3"/>
        <v>0</v>
      </c>
      <c r="V10" s="545">
        <f t="shared" si="3"/>
        <v>0</v>
      </c>
      <c r="W10" s="545">
        <f t="shared" si="3"/>
        <v>0</v>
      </c>
      <c r="X10" s="545">
        <f t="shared" si="3"/>
        <v>0</v>
      </c>
      <c r="Y10" s="545">
        <f t="shared" si="3"/>
        <v>0</v>
      </c>
      <c r="Z10" s="545">
        <f t="shared" si="3"/>
        <v>0</v>
      </c>
      <c r="AA10" s="545">
        <f t="shared" si="3"/>
        <v>0</v>
      </c>
      <c r="AB10" s="545">
        <f t="shared" si="3"/>
        <v>0</v>
      </c>
      <c r="AC10" s="560"/>
    </row>
    <row r="11" spans="1:29" x14ac:dyDescent="0.35">
      <c r="B11" s="534"/>
      <c r="C11" s="534"/>
      <c r="D11" s="534"/>
      <c r="E11" s="534"/>
      <c r="F11" s="534"/>
      <c r="G11" s="534"/>
      <c r="H11" s="534"/>
      <c r="I11" s="534"/>
      <c r="J11" s="534"/>
      <c r="K11" s="534"/>
      <c r="L11" s="534"/>
      <c r="M11" s="534"/>
      <c r="N11" s="534"/>
      <c r="O11" s="534"/>
      <c r="AC11" s="532"/>
    </row>
    <row r="12" spans="1:29" ht="16" thickBot="1" x14ac:dyDescent="0.4">
      <c r="A12" s="533" t="s">
        <v>690</v>
      </c>
      <c r="B12" s="530">
        <f>B6-SUM(B3:B5)</f>
        <v>0</v>
      </c>
      <c r="C12" s="530">
        <f t="shared" ref="C12:AB12" si="4">C6-SUM(C3:C5)+B12</f>
        <v>0</v>
      </c>
      <c r="D12" s="530">
        <f t="shared" si="4"/>
        <v>0</v>
      </c>
      <c r="E12" s="530">
        <f t="shared" si="4"/>
        <v>0</v>
      </c>
      <c r="F12" s="530">
        <f t="shared" si="4"/>
        <v>0</v>
      </c>
      <c r="G12" s="530">
        <f t="shared" si="4"/>
        <v>0</v>
      </c>
      <c r="H12" s="530">
        <f t="shared" si="4"/>
        <v>0</v>
      </c>
      <c r="I12" s="530">
        <f t="shared" si="4"/>
        <v>0</v>
      </c>
      <c r="J12" s="530">
        <f t="shared" si="4"/>
        <v>0</v>
      </c>
      <c r="K12" s="530">
        <f t="shared" si="4"/>
        <v>0</v>
      </c>
      <c r="L12" s="530">
        <f t="shared" si="4"/>
        <v>0</v>
      </c>
      <c r="M12" s="530">
        <f t="shared" si="4"/>
        <v>0</v>
      </c>
      <c r="N12" s="530">
        <f t="shared" si="4"/>
        <v>0</v>
      </c>
      <c r="O12" s="530">
        <f t="shared" si="4"/>
        <v>0</v>
      </c>
      <c r="P12" s="530">
        <f t="shared" si="4"/>
        <v>0</v>
      </c>
      <c r="Q12" s="530">
        <f t="shared" si="4"/>
        <v>0</v>
      </c>
      <c r="R12" s="530">
        <f t="shared" si="4"/>
        <v>0</v>
      </c>
      <c r="S12" s="530">
        <f t="shared" si="4"/>
        <v>0</v>
      </c>
      <c r="T12" s="530">
        <f t="shared" si="4"/>
        <v>0</v>
      </c>
      <c r="U12" s="530">
        <f t="shared" si="4"/>
        <v>0</v>
      </c>
      <c r="V12" s="530">
        <f t="shared" si="4"/>
        <v>0</v>
      </c>
      <c r="W12" s="530">
        <f t="shared" si="4"/>
        <v>0</v>
      </c>
      <c r="X12" s="530">
        <f t="shared" si="4"/>
        <v>0</v>
      </c>
      <c r="Y12" s="530">
        <f t="shared" si="4"/>
        <v>0</v>
      </c>
      <c r="Z12" s="530">
        <f t="shared" si="4"/>
        <v>0</v>
      </c>
      <c r="AA12" s="530">
        <f t="shared" si="4"/>
        <v>0</v>
      </c>
      <c r="AB12" s="530">
        <f t="shared" si="4"/>
        <v>0</v>
      </c>
      <c r="AC12" s="535"/>
    </row>
    <row r="14" spans="1:29" x14ac:dyDescent="0.35">
      <c r="A14" s="534"/>
      <c r="B14" s="534"/>
      <c r="C14" s="534"/>
      <c r="D14" s="534"/>
      <c r="E14" s="534"/>
      <c r="F14" s="534"/>
    </row>
    <row r="15" spans="1:29" ht="16" thickBot="1" x14ac:dyDescent="0.4">
      <c r="A15" s="534"/>
      <c r="B15" s="534"/>
      <c r="C15" s="534"/>
      <c r="D15" s="534"/>
      <c r="E15" s="534"/>
      <c r="F15" s="534"/>
    </row>
    <row r="16" spans="1:29" ht="16" thickBot="1" x14ac:dyDescent="0.4">
      <c r="A16" s="1058" t="s">
        <v>691</v>
      </c>
      <c r="B16" s="1059"/>
      <c r="C16" s="1059"/>
      <c r="D16" s="1059"/>
      <c r="E16" s="1060"/>
      <c r="F16" s="536" t="s">
        <v>692</v>
      </c>
      <c r="G16" s="537" t="s">
        <v>693</v>
      </c>
      <c r="H16" s="536" t="s">
        <v>694</v>
      </c>
    </row>
    <row r="17" spans="1:8" x14ac:dyDescent="0.35">
      <c r="A17" s="1061" t="s">
        <v>695</v>
      </c>
      <c r="B17" s="1062"/>
      <c r="C17" s="1062"/>
      <c r="D17" s="1062"/>
      <c r="E17" s="1062"/>
      <c r="F17" s="538"/>
      <c r="G17" s="539">
        <v>0</v>
      </c>
      <c r="H17" s="557" t="s">
        <v>696</v>
      </c>
    </row>
    <row r="18" spans="1:8" x14ac:dyDescent="0.35">
      <c r="A18" s="1053" t="s">
        <v>695</v>
      </c>
      <c r="B18" s="1054"/>
      <c r="C18" s="1054"/>
      <c r="D18" s="1054"/>
      <c r="E18" s="1055"/>
      <c r="F18" s="540"/>
      <c r="G18" s="541">
        <v>0</v>
      </c>
      <c r="H18" s="558"/>
    </row>
    <row r="19" spans="1:8" x14ac:dyDescent="0.35">
      <c r="A19" s="1053" t="s">
        <v>695</v>
      </c>
      <c r="B19" s="1054"/>
      <c r="C19" s="1054"/>
      <c r="D19" s="1054"/>
      <c r="E19" s="1055"/>
      <c r="F19" s="540"/>
      <c r="G19" s="541">
        <v>0</v>
      </c>
      <c r="H19" s="558"/>
    </row>
    <row r="20" spans="1:8" x14ac:dyDescent="0.35">
      <c r="A20" s="1053" t="s">
        <v>695</v>
      </c>
      <c r="B20" s="1054"/>
      <c r="C20" s="1054"/>
      <c r="D20" s="1054"/>
      <c r="E20" s="1055"/>
      <c r="F20" s="540"/>
      <c r="G20" s="541">
        <v>0</v>
      </c>
      <c r="H20" s="558"/>
    </row>
    <row r="21" spans="1:8" x14ac:dyDescent="0.35">
      <c r="A21" s="1053" t="s">
        <v>695</v>
      </c>
      <c r="B21" s="1054"/>
      <c r="C21" s="1054"/>
      <c r="D21" s="1054"/>
      <c r="E21" s="1055"/>
      <c r="F21" s="540"/>
      <c r="G21" s="541">
        <v>0</v>
      </c>
      <c r="H21" s="558"/>
    </row>
    <row r="22" spans="1:8" x14ac:dyDescent="0.35">
      <c r="A22" s="1053" t="s">
        <v>695</v>
      </c>
      <c r="B22" s="1054"/>
      <c r="C22" s="1054"/>
      <c r="D22" s="1054"/>
      <c r="E22" s="1055"/>
      <c r="F22" s="540"/>
      <c r="G22" s="541">
        <v>0</v>
      </c>
      <c r="H22" s="558"/>
    </row>
    <row r="23" spans="1:8" x14ac:dyDescent="0.35">
      <c r="A23" s="1053" t="s">
        <v>695</v>
      </c>
      <c r="B23" s="1054"/>
      <c r="C23" s="1054"/>
      <c r="D23" s="1054"/>
      <c r="E23" s="1055"/>
      <c r="F23" s="540"/>
      <c r="G23" s="541">
        <v>0</v>
      </c>
      <c r="H23" s="558"/>
    </row>
    <row r="24" spans="1:8" ht="16" thickBot="1" x14ac:dyDescent="0.4">
      <c r="A24" s="1056" t="s">
        <v>695</v>
      </c>
      <c r="B24" s="1057"/>
      <c r="C24" s="1057"/>
      <c r="D24" s="1057"/>
      <c r="E24" s="1057"/>
      <c r="F24" s="542"/>
      <c r="G24" s="543">
        <v>0</v>
      </c>
      <c r="H24" s="559"/>
    </row>
  </sheetData>
  <sheetProtection formatCells="0" formatColumns="0" formatRows="0" sort="0" autoFilter="0"/>
  <mergeCells count="9">
    <mergeCell ref="A22:E22"/>
    <mergeCell ref="A23:E23"/>
    <mergeCell ref="A24:E24"/>
    <mergeCell ref="A16:E16"/>
    <mergeCell ref="A17:E17"/>
    <mergeCell ref="A18:E18"/>
    <mergeCell ref="A19:E19"/>
    <mergeCell ref="A20:E20"/>
    <mergeCell ref="A21:E21"/>
  </mergeCells>
  <phoneticPr fontId="50" type="noConversion"/>
  <conditionalFormatting sqref="B9:AB10">
    <cfRule type="cellIs" dxfId="0" priority="1" operator="lessThan">
      <formula>0</formula>
    </cfRule>
  </conditionalFormatting>
  <pageMargins left="0.70866141732283472" right="0.70866141732283472" top="0.74803149606299213" bottom="0.74803149606299213" header="0.31496062992125984" footer="0.31496062992125984"/>
  <pageSetup paperSize="9" fitToWidth="0" orientation="landscape" r:id="rId1"/>
  <headerFooter>
    <oddFooter>&amp;LSCI32PT01-PPO - 2023-v3&amp;C&amp;D&amp;R&amp;F&amp;LSCI32PT01-PPO - 2023-v3</odd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pageSetUpPr fitToPage="1"/>
  </sheetPr>
  <dimension ref="A1:A20"/>
  <sheetViews>
    <sheetView zoomScale="80" zoomScaleNormal="80" workbookViewId="0">
      <selection activeCell="A8" sqref="A8"/>
    </sheetView>
  </sheetViews>
  <sheetFormatPr baseColWidth="10" defaultColWidth="13.296875" defaultRowHeight="12.5" x14ac:dyDescent="0.25"/>
  <cols>
    <col min="1" max="1" width="192.796875" style="41" customWidth="1"/>
    <col min="2" max="16384" width="13.296875" style="40"/>
  </cols>
  <sheetData>
    <row r="1" spans="1:1" s="65" customFormat="1" ht="18.5" thickBot="1" x14ac:dyDescent="0.45">
      <c r="A1" s="412" t="str">
        <f>"Código Oferta: "&amp;codigo_oferta</f>
        <v>Código Oferta: 20250256445</v>
      </c>
    </row>
    <row r="2" spans="1:1" s="65" customFormat="1" ht="16" thickBot="1" x14ac:dyDescent="0.4">
      <c r="A2" s="81" t="s">
        <v>697</v>
      </c>
    </row>
    <row r="3" spans="1:1" s="65" customFormat="1" ht="20.25" customHeight="1" thickBot="1" x14ac:dyDescent="0.3">
      <c r="A3" s="82" t="s">
        <v>698</v>
      </c>
    </row>
    <row r="4" spans="1:1" ht="28.5" customHeight="1" thickBot="1" x14ac:dyDescent="0.35">
      <c r="A4" s="80" t="s">
        <v>699</v>
      </c>
    </row>
    <row r="5" spans="1:1" ht="13.5" thickBot="1" x14ac:dyDescent="0.35">
      <c r="A5" s="83" t="s">
        <v>700</v>
      </c>
    </row>
    <row r="6" spans="1:1" ht="117.75" customHeight="1" thickBot="1" x14ac:dyDescent="0.3">
      <c r="A6" s="84" t="s">
        <v>701</v>
      </c>
    </row>
    <row r="7" spans="1:1" ht="13.5" thickBot="1" x14ac:dyDescent="0.35">
      <c r="A7" s="83" t="s">
        <v>702</v>
      </c>
    </row>
    <row r="8" spans="1:1" ht="75.5" thickBot="1" x14ac:dyDescent="0.3">
      <c r="A8" s="84" t="s">
        <v>703</v>
      </c>
    </row>
    <row r="9" spans="1:1" ht="13.5" thickBot="1" x14ac:dyDescent="0.35">
      <c r="A9" s="83" t="s">
        <v>704</v>
      </c>
    </row>
    <row r="10" spans="1:1" ht="63" thickBot="1" x14ac:dyDescent="0.3">
      <c r="A10" s="84" t="s">
        <v>705</v>
      </c>
    </row>
    <row r="11" spans="1:1" ht="13.5" thickBot="1" x14ac:dyDescent="0.35">
      <c r="A11" s="83" t="s">
        <v>706</v>
      </c>
    </row>
    <row r="12" spans="1:1" ht="75.5" thickBot="1" x14ac:dyDescent="0.3">
      <c r="A12" s="84" t="s">
        <v>707</v>
      </c>
    </row>
    <row r="13" spans="1:1" ht="13.5" thickBot="1" x14ac:dyDescent="0.35">
      <c r="A13" s="83" t="s">
        <v>708</v>
      </c>
    </row>
    <row r="14" spans="1:1" ht="92.25" customHeight="1" thickBot="1" x14ac:dyDescent="0.3">
      <c r="A14" s="84" t="s">
        <v>709</v>
      </c>
    </row>
    <row r="15" spans="1:1" ht="13.5" thickBot="1" x14ac:dyDescent="0.35">
      <c r="A15" s="83" t="s">
        <v>710</v>
      </c>
    </row>
    <row r="16" spans="1:1" ht="63" thickBot="1" x14ac:dyDescent="0.3">
      <c r="A16" s="84" t="s">
        <v>711</v>
      </c>
    </row>
    <row r="17" spans="1:1" ht="13.5" thickBot="1" x14ac:dyDescent="0.35">
      <c r="A17" s="83" t="s">
        <v>712</v>
      </c>
    </row>
    <row r="18" spans="1:1" ht="100.5" thickBot="1" x14ac:dyDescent="0.3">
      <c r="A18" s="84" t="s">
        <v>713</v>
      </c>
    </row>
    <row r="19" spans="1:1" ht="13.5" thickBot="1" x14ac:dyDescent="0.35">
      <c r="A19" s="83" t="s">
        <v>714</v>
      </c>
    </row>
    <row r="20" spans="1:1" ht="75.5" thickBot="1" x14ac:dyDescent="0.3">
      <c r="A20" s="84" t="s">
        <v>715</v>
      </c>
    </row>
  </sheetData>
  <sheetProtection sheet="1" objects="1" scenarios="1" formatCells="0" formatColumns="0" formatRows="0" sort="0" autoFilter="0"/>
  <pageMargins left="0.19685039370078741" right="0.19685039370078741" top="0.19685039370078741" bottom="0.39370078740157483" header="0.19685039370078741" footer="0.19685039370078741"/>
  <pageSetup paperSize="9" scale="63" orientation="landscape" horizontalDpi="1200" verticalDpi="1200" r:id="rId1"/>
  <headerFooter scaleWithDoc="0" alignWithMargins="0">
    <oddFooter>&amp;LSCI32PT01-PPO - 2023-v3&amp;C&amp;D&amp;R&amp;F&amp;LSCI32PT01-PPO - 2023-v3</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pageSetUpPr fitToPage="1"/>
  </sheetPr>
  <dimension ref="A1:H48"/>
  <sheetViews>
    <sheetView zoomScaleNormal="100" workbookViewId="0">
      <selection activeCell="B47" sqref="B47"/>
    </sheetView>
  </sheetViews>
  <sheetFormatPr baseColWidth="10" defaultColWidth="12" defaultRowHeight="12.5" x14ac:dyDescent="0.25"/>
  <cols>
    <col min="1" max="1" width="6.19921875" style="91" customWidth="1"/>
    <col min="2" max="2" width="33" style="91" customWidth="1"/>
    <col min="3" max="3" width="46" style="91" customWidth="1"/>
    <col min="4" max="4" width="23" style="91" customWidth="1"/>
    <col min="5" max="5" width="14.5" style="91" customWidth="1"/>
    <col min="6" max="6" width="10.5" style="91" customWidth="1"/>
    <col min="7" max="7" width="10.5" style="91" bestFit="1" customWidth="1"/>
    <col min="8" max="8" width="23" style="91" bestFit="1" customWidth="1"/>
    <col min="9" max="12" width="9.296875" style="91" customWidth="1"/>
    <col min="13" max="16384" width="12" style="91"/>
  </cols>
  <sheetData>
    <row r="1" spans="1:8" ht="13.5" thickBot="1" x14ac:dyDescent="0.35">
      <c r="A1" s="1067" t="s">
        <v>716</v>
      </c>
      <c r="B1" s="1068"/>
      <c r="C1" s="1068"/>
      <c r="D1" s="1068"/>
      <c r="E1" s="1069"/>
    </row>
    <row r="2" spans="1:8" ht="13" thickBot="1" x14ac:dyDescent="0.3">
      <c r="A2" s="1065" t="s">
        <v>717</v>
      </c>
      <c r="B2" s="1066"/>
      <c r="C2" s="1066"/>
      <c r="D2" s="477"/>
      <c r="E2" s="478" t="s">
        <v>718</v>
      </c>
    </row>
    <row r="3" spans="1:8" ht="13" thickBot="1" x14ac:dyDescent="0.3"/>
    <row r="4" spans="1:8" ht="13.5" thickBot="1" x14ac:dyDescent="0.35">
      <c r="A4" s="1067" t="s">
        <v>719</v>
      </c>
      <c r="B4" s="1068"/>
      <c r="C4" s="1068"/>
      <c r="D4" s="1068"/>
      <c r="E4" s="1068"/>
      <c r="F4" s="1068"/>
      <c r="G4" s="1068"/>
      <c r="H4" s="1069"/>
    </row>
    <row r="5" spans="1:8" ht="13" thickBot="1" x14ac:dyDescent="0.3">
      <c r="A5" s="519"/>
      <c r="B5" s="520"/>
      <c r="C5" s="520"/>
      <c r="D5" s="520"/>
      <c r="E5" s="520"/>
      <c r="F5" s="520"/>
      <c r="G5" s="520"/>
      <c r="H5" s="521"/>
    </row>
    <row r="6" spans="1:8" ht="26.5" thickBot="1" x14ac:dyDescent="0.35">
      <c r="A6" s="454"/>
      <c r="B6" s="522" t="s">
        <v>720</v>
      </c>
      <c r="C6" s="522" t="s">
        <v>721</v>
      </c>
      <c r="D6" s="522" t="s">
        <v>722</v>
      </c>
      <c r="E6" s="447" t="s">
        <v>723</v>
      </c>
      <c r="F6" s="510" t="s">
        <v>724</v>
      </c>
      <c r="G6" s="511" t="s">
        <v>725</v>
      </c>
      <c r="H6" s="455"/>
    </row>
    <row r="7" spans="1:8" x14ac:dyDescent="0.25">
      <c r="A7" s="454"/>
      <c r="B7" s="448" t="s">
        <v>171</v>
      </c>
      <c r="C7" s="483" t="s">
        <v>726</v>
      </c>
      <c r="D7" s="428" t="s">
        <v>727</v>
      </c>
      <c r="E7" s="429">
        <v>0.12</v>
      </c>
      <c r="F7" s="430">
        <v>0.05</v>
      </c>
      <c r="G7" s="431">
        <v>0.05</v>
      </c>
      <c r="H7" s="455"/>
    </row>
    <row r="8" spans="1:8" ht="13" thickBot="1" x14ac:dyDescent="0.3">
      <c r="A8" s="454"/>
      <c r="B8" s="489" t="s">
        <v>171</v>
      </c>
      <c r="C8" s="490" t="s">
        <v>728</v>
      </c>
      <c r="D8" s="491" t="s">
        <v>727</v>
      </c>
      <c r="E8" s="434">
        <v>0.2</v>
      </c>
      <c r="F8" s="435">
        <v>0.05</v>
      </c>
      <c r="G8" s="436">
        <v>0.05</v>
      </c>
      <c r="H8" s="455"/>
    </row>
    <row r="9" spans="1:8" ht="13" thickBot="1" x14ac:dyDescent="0.3">
      <c r="A9" s="454"/>
      <c r="B9" s="492" t="s">
        <v>729</v>
      </c>
      <c r="C9" s="493"/>
      <c r="D9" s="438" t="s">
        <v>730</v>
      </c>
      <c r="E9" s="485">
        <v>0.15</v>
      </c>
      <c r="F9" s="486">
        <v>0.15</v>
      </c>
      <c r="G9" s="487">
        <v>0.13</v>
      </c>
      <c r="H9" s="455"/>
    </row>
    <row r="10" spans="1:8" ht="13" thickBot="1" x14ac:dyDescent="0.3">
      <c r="A10" s="454"/>
      <c r="B10" s="492" t="s">
        <v>137</v>
      </c>
      <c r="C10" s="495"/>
      <c r="D10" s="496" t="s">
        <v>731</v>
      </c>
      <c r="E10" s="504">
        <v>0.3</v>
      </c>
      <c r="F10" s="505">
        <v>0.22</v>
      </c>
      <c r="G10" s="506">
        <v>0.19</v>
      </c>
      <c r="H10" s="455" t="s">
        <v>732</v>
      </c>
    </row>
    <row r="11" spans="1:8" x14ac:dyDescent="0.25">
      <c r="A11" s="454"/>
      <c r="B11" s="494" t="s">
        <v>160</v>
      </c>
      <c r="C11" s="497"/>
      <c r="D11" s="437" t="s">
        <v>733</v>
      </c>
      <c r="E11" s="507">
        <v>0.35</v>
      </c>
      <c r="F11" s="430">
        <v>0.28000000000000003</v>
      </c>
      <c r="G11" s="431">
        <v>0.26</v>
      </c>
      <c r="H11" s="455"/>
    </row>
    <row r="12" spans="1:8" ht="13" thickBot="1" x14ac:dyDescent="0.3">
      <c r="A12" s="454"/>
      <c r="B12" s="498" t="s">
        <v>160</v>
      </c>
      <c r="C12" s="499" t="s">
        <v>734</v>
      </c>
      <c r="D12" s="500" t="s">
        <v>733</v>
      </c>
      <c r="E12" s="657">
        <v>0.15</v>
      </c>
      <c r="F12" s="658">
        <v>0.12</v>
      </c>
      <c r="G12" s="659">
        <v>0.1</v>
      </c>
      <c r="H12" s="455"/>
    </row>
    <row r="13" spans="1:8" ht="13" thickBot="1" x14ac:dyDescent="0.3">
      <c r="A13" s="454"/>
      <c r="B13" s="665" t="s">
        <v>735</v>
      </c>
      <c r="C13" s="483"/>
      <c r="D13" s="483" t="s">
        <v>23</v>
      </c>
      <c r="E13" s="666">
        <v>0.3</v>
      </c>
      <c r="F13" s="667">
        <v>0.24</v>
      </c>
      <c r="G13" s="668">
        <v>0.18</v>
      </c>
      <c r="H13" s="455"/>
    </row>
    <row r="14" spans="1:8" x14ac:dyDescent="0.25">
      <c r="A14" s="454"/>
      <c r="B14" s="669"/>
      <c r="C14" s="663" t="s">
        <v>736</v>
      </c>
      <c r="D14" s="663" t="s">
        <v>737</v>
      </c>
      <c r="E14" s="664" t="s">
        <v>738</v>
      </c>
      <c r="F14" s="667">
        <v>0.24</v>
      </c>
      <c r="G14" s="668">
        <v>0.18</v>
      </c>
      <c r="H14" s="455" t="s">
        <v>732</v>
      </c>
    </row>
    <row r="15" spans="1:8" ht="13" thickBot="1" x14ac:dyDescent="0.3">
      <c r="A15" s="454"/>
      <c r="B15" s="670"/>
      <c r="C15" s="484" t="s">
        <v>739</v>
      </c>
      <c r="D15" s="663" t="s">
        <v>737</v>
      </c>
      <c r="E15" s="671" t="s">
        <v>740</v>
      </c>
      <c r="F15" s="672">
        <v>0.24</v>
      </c>
      <c r="G15" s="673">
        <v>0.18</v>
      </c>
      <c r="H15" s="455"/>
    </row>
    <row r="16" spans="1:8" ht="13" thickBot="1" x14ac:dyDescent="0.3">
      <c r="A16" s="454"/>
      <c r="B16" s="660" t="s">
        <v>157</v>
      </c>
      <c r="C16" s="661"/>
      <c r="D16" s="662" t="s">
        <v>731</v>
      </c>
      <c r="E16" s="485">
        <v>0.23</v>
      </c>
      <c r="F16" s="486">
        <v>0.18</v>
      </c>
      <c r="G16" s="487">
        <v>0.16</v>
      </c>
      <c r="H16" s="459"/>
    </row>
    <row r="17" spans="1:8" ht="13" thickBot="1" x14ac:dyDescent="0.3">
      <c r="A17" s="454"/>
      <c r="B17" s="451" t="s">
        <v>142</v>
      </c>
      <c r="C17" s="488"/>
      <c r="D17" s="439" t="s">
        <v>731</v>
      </c>
      <c r="E17" s="440">
        <v>0.3</v>
      </c>
      <c r="F17" s="441">
        <v>0.22</v>
      </c>
      <c r="G17" s="442">
        <v>0.2</v>
      </c>
      <c r="H17" s="455" t="s">
        <v>732</v>
      </c>
    </row>
    <row r="18" spans="1:8" ht="13" thickBot="1" x14ac:dyDescent="0.3">
      <c r="A18" s="454"/>
      <c r="B18" s="451" t="s">
        <v>130</v>
      </c>
      <c r="C18" s="488"/>
      <c r="D18" s="439" t="s">
        <v>741</v>
      </c>
      <c r="E18" s="440">
        <v>0.35</v>
      </c>
      <c r="F18" s="441">
        <v>0.3</v>
      </c>
      <c r="G18" s="442">
        <v>0.25</v>
      </c>
      <c r="H18" s="455"/>
    </row>
    <row r="19" spans="1:8" ht="13" thickBot="1" x14ac:dyDescent="0.3">
      <c r="A19" s="454"/>
      <c r="B19" s="451" t="s">
        <v>163</v>
      </c>
      <c r="C19" s="488"/>
      <c r="D19" s="439" t="s">
        <v>731</v>
      </c>
      <c r="E19" s="440">
        <v>0.28000000000000003</v>
      </c>
      <c r="F19" s="441">
        <v>0.22</v>
      </c>
      <c r="G19" s="442">
        <v>0.19</v>
      </c>
      <c r="H19" s="455"/>
    </row>
    <row r="20" spans="1:8" ht="13" thickBot="1" x14ac:dyDescent="0.3">
      <c r="A20" s="454"/>
      <c r="B20" s="451" t="s">
        <v>152</v>
      </c>
      <c r="C20" s="488"/>
      <c r="D20" s="439" t="s">
        <v>742</v>
      </c>
      <c r="E20" s="440">
        <v>0.25</v>
      </c>
      <c r="F20" s="441">
        <v>0.15</v>
      </c>
      <c r="G20" s="442">
        <v>0.12</v>
      </c>
      <c r="H20" s="455" t="s">
        <v>732</v>
      </c>
    </row>
    <row r="21" spans="1:8" ht="13" thickBot="1" x14ac:dyDescent="0.3">
      <c r="A21" s="454"/>
      <c r="B21" s="451" t="s">
        <v>743</v>
      </c>
      <c r="C21" s="488"/>
      <c r="D21" s="439" t="s">
        <v>744</v>
      </c>
      <c r="E21" s="504">
        <v>0.3</v>
      </c>
      <c r="F21" s="505">
        <v>0.25</v>
      </c>
      <c r="G21" s="506">
        <v>0.22</v>
      </c>
      <c r="H21" s="455"/>
    </row>
    <row r="22" spans="1:8" x14ac:dyDescent="0.25">
      <c r="A22" s="454"/>
      <c r="B22" s="448" t="s">
        <v>56</v>
      </c>
      <c r="C22" s="483" t="s">
        <v>745</v>
      </c>
      <c r="D22" s="501" t="s">
        <v>744</v>
      </c>
      <c r="E22" s="507">
        <v>0.3</v>
      </c>
      <c r="F22" s="430">
        <v>0.21</v>
      </c>
      <c r="G22" s="431">
        <v>0.18</v>
      </c>
      <c r="H22" s="455"/>
    </row>
    <row r="23" spans="1:8" x14ac:dyDescent="0.25">
      <c r="A23" s="454"/>
      <c r="B23" s="449"/>
      <c r="C23" s="482" t="s">
        <v>746</v>
      </c>
      <c r="D23" s="502" t="s">
        <v>744</v>
      </c>
      <c r="E23" s="508">
        <v>0.25</v>
      </c>
      <c r="F23" s="432">
        <v>0.22</v>
      </c>
      <c r="G23" s="433">
        <v>0.2</v>
      </c>
      <c r="H23" s="455"/>
    </row>
    <row r="24" spans="1:8" x14ac:dyDescent="0.25">
      <c r="A24" s="454"/>
      <c r="B24" s="449"/>
      <c r="C24" s="482" t="s">
        <v>747</v>
      </c>
      <c r="D24" s="502" t="s">
        <v>744</v>
      </c>
      <c r="E24" s="508">
        <v>0.35</v>
      </c>
      <c r="F24" s="432">
        <v>0.25</v>
      </c>
      <c r="G24" s="433">
        <v>0.2</v>
      </c>
      <c r="H24" s="455"/>
    </row>
    <row r="25" spans="1:8" ht="13" thickBot="1" x14ac:dyDescent="0.3">
      <c r="A25" s="454"/>
      <c r="B25" s="450"/>
      <c r="C25" s="484" t="s">
        <v>208</v>
      </c>
      <c r="D25" s="503" t="s">
        <v>744</v>
      </c>
      <c r="E25" s="509">
        <v>0.4</v>
      </c>
      <c r="F25" s="435">
        <v>0.36</v>
      </c>
      <c r="G25" s="436">
        <v>0.33</v>
      </c>
      <c r="H25" s="455"/>
    </row>
    <row r="26" spans="1:8" ht="13" thickBot="1" x14ac:dyDescent="0.3">
      <c r="A26" s="454"/>
      <c r="B26" s="1070"/>
      <c r="C26" s="1070"/>
      <c r="D26" s="1070"/>
      <c r="E26" s="1070"/>
      <c r="F26" s="1070"/>
      <c r="G26" s="1070"/>
      <c r="H26" s="455"/>
    </row>
    <row r="27" spans="1:8" ht="13" thickBot="1" x14ac:dyDescent="0.3">
      <c r="A27" s="454"/>
      <c r="B27" s="451" t="s">
        <v>748</v>
      </c>
      <c r="C27" s="488"/>
      <c r="D27" s="439"/>
      <c r="E27" s="440">
        <v>0.3</v>
      </c>
      <c r="F27" s="441">
        <v>0.2</v>
      </c>
      <c r="G27" s="442">
        <v>0.18</v>
      </c>
      <c r="H27" s="455"/>
    </row>
    <row r="28" spans="1:8" ht="13" thickBot="1" x14ac:dyDescent="0.3">
      <c r="A28" s="454"/>
      <c r="B28" s="480"/>
      <c r="C28" s="480"/>
      <c r="D28" s="480"/>
      <c r="E28" s="480"/>
      <c r="F28" s="480"/>
      <c r="G28" s="480"/>
      <c r="H28" s="455"/>
    </row>
    <row r="29" spans="1:8" ht="13" x14ac:dyDescent="0.25">
      <c r="A29" s="454"/>
      <c r="B29" s="525" t="s">
        <v>749</v>
      </c>
      <c r="C29" s="479"/>
      <c r="D29" s="479"/>
      <c r="E29" s="479"/>
      <c r="F29" s="479"/>
      <c r="G29" s="481"/>
      <c r="H29" s="455"/>
    </row>
    <row r="30" spans="1:8" x14ac:dyDescent="0.25">
      <c r="A30" s="454"/>
      <c r="B30" s="454" t="s">
        <v>750</v>
      </c>
      <c r="C30" s="480"/>
      <c r="D30" s="480"/>
      <c r="E30" s="480"/>
      <c r="F30" s="480"/>
      <c r="G30" s="455"/>
      <c r="H30" s="455"/>
    </row>
    <row r="31" spans="1:8" x14ac:dyDescent="0.25">
      <c r="A31" s="454"/>
      <c r="B31" s="454" t="s">
        <v>751</v>
      </c>
      <c r="C31" s="480"/>
      <c r="D31" s="480"/>
      <c r="E31" s="480"/>
      <c r="F31" s="480"/>
      <c r="G31" s="455"/>
      <c r="H31" s="455"/>
    </row>
    <row r="32" spans="1:8" x14ac:dyDescent="0.25">
      <c r="A32" s="454"/>
      <c r="B32" s="454" t="s">
        <v>752</v>
      </c>
      <c r="C32" s="480"/>
      <c r="D32" s="480"/>
      <c r="E32" s="480"/>
      <c r="F32" s="480"/>
      <c r="G32" s="455"/>
      <c r="H32" s="455"/>
    </row>
    <row r="33" spans="1:8" x14ac:dyDescent="0.25">
      <c r="A33" s="454"/>
      <c r="B33" s="454"/>
      <c r="C33" s="480"/>
      <c r="D33" s="480"/>
      <c r="E33" s="480"/>
      <c r="F33" s="480"/>
      <c r="G33" s="455"/>
      <c r="H33" s="455"/>
    </row>
    <row r="34" spans="1:8" x14ac:dyDescent="0.25">
      <c r="A34" s="454"/>
      <c r="B34" s="454" t="s">
        <v>753</v>
      </c>
      <c r="C34" s="480" t="s">
        <v>732</v>
      </c>
      <c r="D34" s="480"/>
      <c r="E34" s="480"/>
      <c r="F34" s="480" t="s">
        <v>732</v>
      </c>
      <c r="G34" s="455" t="s">
        <v>732</v>
      </c>
      <c r="H34" s="455"/>
    </row>
    <row r="35" spans="1:8" x14ac:dyDescent="0.25">
      <c r="A35" s="454"/>
      <c r="B35" s="454"/>
      <c r="C35" s="480"/>
      <c r="D35" s="480"/>
      <c r="E35" s="480"/>
      <c r="F35" s="480"/>
      <c r="G35" s="455"/>
      <c r="H35" s="455"/>
    </row>
    <row r="36" spans="1:8" x14ac:dyDescent="0.25">
      <c r="A36" s="454"/>
      <c r="B36" s="454" t="s">
        <v>754</v>
      </c>
      <c r="C36" s="480"/>
      <c r="D36" s="480"/>
      <c r="E36" s="523"/>
      <c r="F36" s="523"/>
      <c r="G36" s="526"/>
      <c r="H36" s="524"/>
    </row>
    <row r="37" spans="1:8" ht="13" thickBot="1" x14ac:dyDescent="0.3">
      <c r="A37" s="453"/>
      <c r="B37" s="456" t="s">
        <v>755</v>
      </c>
      <c r="C37" s="457"/>
      <c r="D37" s="457"/>
      <c r="E37" s="457"/>
      <c r="F37" s="457"/>
      <c r="G37" s="458"/>
      <c r="H37" s="524"/>
    </row>
    <row r="38" spans="1:8" x14ac:dyDescent="0.25">
      <c r="A38" s="454"/>
      <c r="B38" s="480"/>
      <c r="C38" s="480"/>
      <c r="D38" s="480"/>
      <c r="E38" s="480"/>
      <c r="F38" s="480"/>
      <c r="G38" s="480"/>
      <c r="H38" s="524"/>
    </row>
    <row r="39" spans="1:8" ht="13" x14ac:dyDescent="0.25">
      <c r="A39" s="454"/>
      <c r="B39" s="452" t="s">
        <v>756</v>
      </c>
      <c r="C39" s="445"/>
      <c r="D39" s="445"/>
      <c r="E39" s="445"/>
      <c r="F39" s="445"/>
      <c r="G39" s="445"/>
      <c r="H39" s="524"/>
    </row>
    <row r="40" spans="1:8" x14ac:dyDescent="0.25">
      <c r="A40" s="453"/>
      <c r="B40" s="527" t="s">
        <v>757</v>
      </c>
      <c r="C40" s="528"/>
      <c r="D40" s="528"/>
      <c r="E40" s="528"/>
      <c r="F40" s="528"/>
      <c r="G40" s="529"/>
      <c r="H40" s="524"/>
    </row>
    <row r="41" spans="1:8" x14ac:dyDescent="0.25">
      <c r="A41" s="453"/>
      <c r="B41" s="443" t="s">
        <v>758</v>
      </c>
      <c r="C41" s="480"/>
      <c r="D41" s="480"/>
      <c r="E41" s="480"/>
      <c r="F41" s="480"/>
      <c r="G41" s="444"/>
      <c r="H41" s="524"/>
    </row>
    <row r="42" spans="1:8" x14ac:dyDescent="0.25">
      <c r="A42" s="444"/>
      <c r="B42" s="480" t="s">
        <v>759</v>
      </c>
      <c r="C42" s="480"/>
      <c r="D42" s="480"/>
      <c r="E42" s="480"/>
      <c r="F42" s="480"/>
      <c r="G42" s="444"/>
      <c r="H42" s="524"/>
    </row>
    <row r="43" spans="1:8" x14ac:dyDescent="0.25">
      <c r="A43" s="444"/>
      <c r="B43" s="445" t="s">
        <v>760</v>
      </c>
      <c r="C43" s="445"/>
      <c r="D43" s="445"/>
      <c r="E43" s="445"/>
      <c r="F43" s="445"/>
      <c r="G43" s="446"/>
      <c r="H43" s="524"/>
    </row>
    <row r="44" spans="1:8" ht="13.5" thickBot="1" x14ac:dyDescent="0.35">
      <c r="A44" s="675"/>
      <c r="B44" s="674"/>
      <c r="C44" s="457"/>
      <c r="D44" s="457"/>
      <c r="E44" s="457"/>
      <c r="F44" s="457"/>
      <c r="G44" s="457"/>
      <c r="H44" s="458"/>
    </row>
    <row r="45" spans="1:8" ht="13" thickBot="1" x14ac:dyDescent="0.3">
      <c r="A45" s="516"/>
      <c r="B45" s="480"/>
      <c r="C45" s="480"/>
      <c r="D45" s="480"/>
      <c r="E45" s="480"/>
      <c r="F45" s="480"/>
      <c r="G45" s="480"/>
      <c r="H45" s="480"/>
    </row>
    <row r="46" spans="1:8" ht="13.5" thickBot="1" x14ac:dyDescent="0.35">
      <c r="A46" s="513" t="s">
        <v>761</v>
      </c>
      <c r="B46" s="514"/>
      <c r="C46" s="514"/>
      <c r="D46" s="514"/>
      <c r="E46" s="514"/>
      <c r="F46" s="515"/>
    </row>
    <row r="47" spans="1:8" ht="13" x14ac:dyDescent="0.3">
      <c r="A47" s="516" t="s">
        <v>762</v>
      </c>
      <c r="B47" s="517"/>
      <c r="C47" s="517"/>
      <c r="D47" s="517"/>
      <c r="E47" s="517"/>
      <c r="F47" s="518"/>
    </row>
    <row r="48" spans="1:8" ht="13" thickBot="1" x14ac:dyDescent="0.3">
      <c r="A48" s="512"/>
      <c r="B48" s="475"/>
      <c r="C48" s="1063" t="s">
        <v>763</v>
      </c>
      <c r="D48" s="1063"/>
      <c r="E48" s="1063"/>
      <c r="F48" s="1064"/>
    </row>
  </sheetData>
  <sheetProtection formatCells="0" formatColumns="0" formatRows="0" sort="0" autoFilter="0"/>
  <mergeCells count="5">
    <mergeCell ref="C48:F48"/>
    <mergeCell ref="A2:C2"/>
    <mergeCell ref="A1:E1"/>
    <mergeCell ref="A4:H4"/>
    <mergeCell ref="B26:G26"/>
  </mergeCells>
  <hyperlinks>
    <hyperlink ref="C48:F48" r:id="rId1" display="Matriz actualizada de responsabilidades" xr:uid="{AA656E27-47E8-4A3A-AF02-5243A0E6AF23}"/>
    <hyperlink ref="E2" r:id="rId2" xr:uid="{9C65BF2B-2283-4FF7-8639-F16C801FAB9E}"/>
  </hyperlinks>
  <pageMargins left="0.31496062992125984" right="0.31496062992125984" top="0" bottom="0.55118110236220474" header="0.31496062992125984" footer="0.31496062992125984"/>
  <pageSetup paperSize="9" orientation="landscape" r:id="rId3"/>
  <headerFooter>
    <oddFooter>&amp;LSCI32PT01-PPO - 2023-v3</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25DED45DF1C6D4099FFCFEB2A52CE16" ma:contentTypeVersion="13" ma:contentTypeDescription="Create a new document." ma:contentTypeScope="" ma:versionID="15e9c240eecacc075b02056ff9c1b1e5">
  <xsd:schema xmlns:xsd="http://www.w3.org/2001/XMLSchema" xmlns:xs="http://www.w3.org/2001/XMLSchema" xmlns:p="http://schemas.microsoft.com/office/2006/metadata/properties" xmlns:ns2="5903b023-5d00-4beb-a324-080ab04b0729" xmlns:ns3="61476589-8720-427a-b670-5885a34d07d4" targetNamespace="http://schemas.microsoft.com/office/2006/metadata/properties" ma:root="true" ma:fieldsID="81b47a070b89076df4e1c691edcb1c1c" ns2:_="" ns3:_="">
    <xsd:import namespace="5903b023-5d00-4beb-a324-080ab04b0729"/>
    <xsd:import namespace="61476589-8720-427a-b670-5885a34d07d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03b023-5d00-4beb-a324-080ab04b072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1476589-8720-427a-b670-5885a34d07d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B01AE13-F8DD-4649-9570-24EF18ACEF44}">
  <ds:schemaRefs>
    <ds:schemaRef ds:uri="http://schemas.microsoft.com/sharepoint/v3/contenttype/forms"/>
  </ds:schemaRefs>
</ds:datastoreItem>
</file>

<file path=customXml/itemProps2.xml><?xml version="1.0" encoding="utf-8"?>
<ds:datastoreItem xmlns:ds="http://schemas.openxmlformats.org/officeDocument/2006/customXml" ds:itemID="{9A52AA9A-1C61-46CD-AF19-0F81965C996C}">
  <ds:schemaRefs>
    <ds:schemaRef ds:uri="http://schemas.microsoft.com/office/2006/documentManagement/types"/>
    <ds:schemaRef ds:uri="http://purl.org/dc/elements/1.1/"/>
    <ds:schemaRef ds:uri="http://purl.org/dc/terms/"/>
    <ds:schemaRef ds:uri="http://schemas.microsoft.com/office/2006/metadata/properties"/>
    <ds:schemaRef ds:uri="http://schemas.openxmlformats.org/package/2006/metadata/core-properties"/>
    <ds:schemaRef ds:uri="http://schemas.microsoft.com/office/infopath/2007/PartnerControls"/>
    <ds:schemaRef ds:uri="61476589-8720-427a-b670-5885a34d07d4"/>
    <ds:schemaRef ds:uri="5903b023-5d00-4beb-a324-080ab04b0729"/>
    <ds:schemaRef ds:uri="http://www.w3.org/XML/1998/namespace"/>
    <ds:schemaRef ds:uri="http://purl.org/dc/dcmitype/"/>
  </ds:schemaRefs>
</ds:datastoreItem>
</file>

<file path=customXml/itemProps3.xml><?xml version="1.0" encoding="utf-8"?>
<ds:datastoreItem xmlns:ds="http://schemas.openxmlformats.org/officeDocument/2006/customXml" ds:itemID="{909EE08E-FD48-411C-94F0-81E9B9FFA1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03b023-5d00-4beb-a324-080ab04b0729"/>
    <ds:schemaRef ds:uri="61476589-8720-427a-b670-5885a34d07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040b5de6-6e2e-46f2-bca1-507eb809bbf7}" enabled="1" method="Privileged" siteId="{56d7daaa-b378-45b3-aa11-af9402b401b9}"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103</vt:i4>
      </vt:variant>
    </vt:vector>
  </HeadingPairs>
  <TitlesOfParts>
    <vt:vector size="116" baseType="lpstr">
      <vt:lpstr>tablas</vt:lpstr>
      <vt:lpstr>Hoja de datos</vt:lpstr>
      <vt:lpstr>Parametros</vt:lpstr>
      <vt:lpstr>Viajes</vt:lpstr>
      <vt:lpstr>Presupuesto</vt:lpstr>
      <vt:lpstr>Riesgos</vt:lpstr>
      <vt:lpstr>Facturación y SAP</vt:lpstr>
      <vt:lpstr>Sintesis Precio</vt:lpstr>
      <vt:lpstr>VistaCliente</vt:lpstr>
      <vt:lpstr>Detailed analysis</vt:lpstr>
      <vt:lpstr>CashFlow</vt:lpstr>
      <vt:lpstr>Escalado</vt:lpstr>
      <vt:lpstr>Criterios Escalado</vt:lpstr>
      <vt:lpstr>_F4F_APP</vt:lpstr>
      <vt:lpstr>_F4F_CMS</vt:lpstr>
      <vt:lpstr>_F4F_DIGWP</vt:lpstr>
      <vt:lpstr>_F4F_FOSS</vt:lpstr>
      <vt:lpstr>_F4F_MCM</vt:lpstr>
      <vt:lpstr>_F4F_NWSERV</vt:lpstr>
      <vt:lpstr>_F4F_PROD</vt:lpstr>
      <vt:lpstr>_F4F_SDESK</vt:lpstr>
      <vt:lpstr>_F4F_SEC</vt:lpstr>
      <vt:lpstr>_F4F_SMSP</vt:lpstr>
      <vt:lpstr>_F4F_STAF</vt:lpstr>
      <vt:lpstr>_F4FADSV</vt:lpstr>
      <vt:lpstr>_F4FGTPR</vt:lpstr>
      <vt:lpstr>_F4FIMS</vt:lpstr>
      <vt:lpstr>_F4FSCAD</vt:lpstr>
      <vt:lpstr>_F4FSWDV</vt:lpstr>
      <vt:lpstr>año_inicio</vt:lpstr>
      <vt:lpstr>'Hoja de datos'!Área_de_impresión</vt:lpstr>
      <vt:lpstr>Presupuesto!Área_de_impresión</vt:lpstr>
      <vt:lpstr>'Sintesis Precio'!Área_de_impresión</vt:lpstr>
      <vt:lpstr>basmax</vt:lpstr>
      <vt:lpstr>cliente</vt:lpstr>
      <vt:lpstr>codent</vt:lpstr>
      <vt:lpstr>codigo_oferta</vt:lpstr>
      <vt:lpstr>codprod</vt:lpstr>
      <vt:lpstr>codsec</vt:lpstr>
      <vt:lpstr>comercial</vt:lpstr>
      <vt:lpstr>coste_seg</vt:lpstr>
      <vt:lpstr>Costes_reales</vt:lpstr>
      <vt:lpstr>duracion</vt:lpstr>
      <vt:lpstr>entidad</vt:lpstr>
      <vt:lpstr>entidades</vt:lpstr>
      <vt:lpstr>hayerrs</vt:lpstr>
      <vt:lpstr>haygar</vt:lpstr>
      <vt:lpstr>IVA</vt:lpstr>
      <vt:lpstr>K_1</vt:lpstr>
      <vt:lpstr>K_2</vt:lpstr>
      <vt:lpstr>K_3</vt:lpstr>
      <vt:lpstr>maxf</vt:lpstr>
      <vt:lpstr>maxp</vt:lpstr>
      <vt:lpstr>maxt</vt:lpstr>
      <vt:lpstr>mercantil</vt:lpstr>
      <vt:lpstr>mes_inicio</vt:lpstr>
      <vt:lpstr>negocio</vt:lpstr>
      <vt:lpstr>nombreo</vt:lpstr>
      <vt:lpstr>Nombres</vt:lpstr>
      <vt:lpstr>ocurre</vt:lpstr>
      <vt:lpstr>oficina</vt:lpstr>
      <vt:lpstr>oficinas</vt:lpstr>
      <vt:lpstr>oppor</vt:lpstr>
      <vt:lpstr>opporty</vt:lpstr>
      <vt:lpstr>ozona</vt:lpstr>
      <vt:lpstr>Perfiles</vt:lpstr>
      <vt:lpstr>portf</vt:lpstr>
      <vt:lpstr>portfolio</vt:lpstr>
      <vt:lpstr>portfolios</vt:lpstr>
      <vt:lpstr>Precio</vt:lpstr>
      <vt:lpstr>producto</vt:lpstr>
      <vt:lpstr>productos</vt:lpstr>
      <vt:lpstr>respBid</vt:lpstr>
      <vt:lpstr>responsable_bid</vt:lpstr>
      <vt:lpstr>RespOperZona</vt:lpstr>
      <vt:lpstr>resprod</vt:lpstr>
      <vt:lpstr>resris</vt:lpstr>
      <vt:lpstr>rminimo</vt:lpstr>
      <vt:lpstr>Rs</vt:lpstr>
      <vt:lpstr>sector</vt:lpstr>
      <vt:lpstr>sectores</vt:lpstr>
      <vt:lpstr>Security_Operations_Centre</vt:lpstr>
      <vt:lpstr>ssfij</vt:lpstr>
      <vt:lpstr>sspar</vt:lpstr>
      <vt:lpstr>sstem</vt:lpstr>
      <vt:lpstr>subport</vt:lpstr>
      <vt:lpstr>subportf</vt:lpstr>
      <vt:lpstr>subportfolio</vt:lpstr>
      <vt:lpstr>subpract</vt:lpstr>
      <vt:lpstr>subpractica</vt:lpstr>
      <vt:lpstr>subsec</vt:lpstr>
      <vt:lpstr>subsectores</vt:lpstr>
      <vt:lpstr>tcontrata</vt:lpstr>
      <vt:lpstr>tipo_contrato</vt:lpstr>
      <vt:lpstr>tipos_compras</vt:lpstr>
      <vt:lpstr>toferta</vt:lpstr>
      <vt:lpstr>triesgo</vt:lpstr>
      <vt:lpstr>tservicios</vt:lpstr>
      <vt:lpstr>Tu</vt:lpstr>
      <vt:lpstr>ulincom</vt:lpstr>
      <vt:lpstr>ulincom2</vt:lpstr>
      <vt:lpstr>ulinf1</vt:lpstr>
      <vt:lpstr>ulinf2</vt:lpstr>
      <vt:lpstr>ulinf3</vt:lpstr>
      <vt:lpstr>ulinf4</vt:lpstr>
      <vt:lpstr>ulingas</vt:lpstr>
      <vt:lpstr>ulingas2</vt:lpstr>
      <vt:lpstr>ulinma</vt:lpstr>
      <vt:lpstr>ulinma2</vt:lpstr>
      <vt:lpstr>ulinpar</vt:lpstr>
      <vt:lpstr>ulinris</vt:lpstr>
      <vt:lpstr>unidades</vt:lpstr>
      <vt:lpstr>vtocli</vt:lpstr>
      <vt:lpstr>vtos</vt:lpstr>
      <vt:lpstr>zcode</vt:lpstr>
      <vt:lpstr>zona</vt:lpstr>
    </vt:vector>
  </TitlesOfParts>
  <Manager>José Luis Ramos</Manager>
  <Company>Getronics Iberia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PPO 2025 - V01</dc:title>
  <dc:subject>presupuesto ofertas</dc:subject>
  <dc:creator>Plaza Sánchez, Raúl</dc:creator>
  <cp:keywords>SCI32PT01</cp:keywords>
  <dc:description>Versión 2024-agosto</dc:description>
  <cp:lastModifiedBy>Ortega Angulo, Alvaro</cp:lastModifiedBy>
  <cp:revision/>
  <dcterms:created xsi:type="dcterms:W3CDTF">1996-10-15T09:56:23Z</dcterms:created>
  <dcterms:modified xsi:type="dcterms:W3CDTF">2026-05-11T00:18:34Z</dcterms:modified>
  <cp:category>plantilla</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echa de registro">
    <vt:filetime>2024-08-08T10:00:00Z</vt:filetime>
  </property>
  <property fmtid="{D5CDD505-2E9C-101B-9397-08002B2CF9AE}" pid="3" name="Propietario">
    <vt:lpwstr>P&amp;O</vt:lpwstr>
  </property>
  <property fmtid="{D5CDD505-2E9C-101B-9397-08002B2CF9AE}" pid="4" name="Asunto">
    <vt:lpwstr>presupuesto ofertas</vt:lpwstr>
  </property>
  <property fmtid="{D5CDD505-2E9C-101B-9397-08002B2CF9AE}" pid="5" name="Departamento">
    <vt:lpwstr>Preventa</vt:lpwstr>
  </property>
  <property fmtid="{D5CDD505-2E9C-101B-9397-08002B2CF9AE}" pid="6" name="Elaborado por">
    <vt:lpwstr>Joan Vilaseca</vt:lpwstr>
  </property>
  <property fmtid="{D5CDD505-2E9C-101B-9397-08002B2CF9AE}" pid="7" name="Referencia">
    <vt:lpwstr>SCI32PT01</vt:lpwstr>
  </property>
  <property fmtid="{D5CDD505-2E9C-101B-9397-08002B2CF9AE}" pid="8" name="pw">
    <vt:lpwstr>ppo2023v1</vt:lpwstr>
  </property>
  <property fmtid="{D5CDD505-2E9C-101B-9397-08002B2CF9AE}" pid="9" name="MediaServiceImageTags">
    <vt:lpwstr/>
  </property>
  <property fmtid="{D5CDD505-2E9C-101B-9397-08002B2CF9AE}" pid="10" name="ContentTypeId">
    <vt:lpwstr>0x010100325DED45DF1C6D4099FFCFEB2A52CE16</vt:lpwstr>
  </property>
  <property fmtid="{D5CDD505-2E9C-101B-9397-08002B2CF9AE}" pid="11" name="_dlc_DocIdItemGuid">
    <vt:lpwstr>3b4f99dd-fe41-4476-918a-d481e540bab4</vt:lpwstr>
  </property>
  <property fmtid="{D5CDD505-2E9C-101B-9397-08002B2CF9AE}" pid="12" name="Order">
    <vt:r8>1000</vt:r8>
  </property>
  <property fmtid="{D5CDD505-2E9C-101B-9397-08002B2CF9AE}" pid="13" name="xd_Signature">
    <vt:bool>false</vt:bool>
  </property>
  <property fmtid="{D5CDD505-2E9C-101B-9397-08002B2CF9AE}" pid="14" name="xd_ProgID">
    <vt:lpwstr/>
  </property>
  <property fmtid="{D5CDD505-2E9C-101B-9397-08002B2CF9AE}" pid="15" name="ComplianceAssetId">
    <vt:lpwstr/>
  </property>
  <property fmtid="{D5CDD505-2E9C-101B-9397-08002B2CF9AE}" pid="16" name="TemplateUrl">
    <vt:lpwstr/>
  </property>
  <property fmtid="{D5CDD505-2E9C-101B-9397-08002B2CF9AE}" pid="17" name="_ExtendedDescription">
    <vt:lpwstr/>
  </property>
  <property fmtid="{D5CDD505-2E9C-101B-9397-08002B2CF9AE}" pid="18" name="TriggerFlowInfo">
    <vt:lpwstr/>
  </property>
</Properties>
</file>