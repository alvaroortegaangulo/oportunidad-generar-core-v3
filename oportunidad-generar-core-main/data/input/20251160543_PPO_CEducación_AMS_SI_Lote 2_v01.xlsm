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ortega\Downloads\oportunidad-generar-core-v2-commit-anterior\oportunidad-generar-core-referencia\oportunidad-generar-core-main\data\input\"/>
    </mc:Choice>
  </mc:AlternateContent>
  <xr:revisionPtr revIDLastSave="0" documentId="8_{AB127836-0892-4630-9F9D-09B0106B753C}" xr6:coauthVersionLast="47" xr6:coauthVersionMax="47" xr10:uidLastSave="{00000000-0000-0000-0000-000000000000}"/>
  <bookViews>
    <workbookView xWindow="28680" yWindow="-120" windowWidth="29040" windowHeight="17520" tabRatio="732" firstSheet="1" activeTab="6" xr2:uid="{00000000-000D-0000-FFFF-FFFF00000000}"/>
  </bookViews>
  <sheets>
    <sheet name="tablas" sheetId="21" state="hidden" r:id="rId1"/>
    <sheet name="Hoja de datos" sheetId="17" r:id="rId2"/>
    <sheet name="Parametros" sheetId="3" r:id="rId3"/>
    <sheet name="Presupuesto" sheetId="11" r:id="rId4"/>
    <sheet name="Riesgos" sheetId="18" r:id="rId5"/>
    <sheet name="Facturación y SAP" sheetId="23" r:id="rId6"/>
    <sheet name="Sintesis Precio" sheetId="12" r:id="rId7"/>
    <sheet name="Criterios Licitación" sheetId="27" r:id="rId8"/>
    <sheet name="Escalado" sheetId="20" r:id="rId9"/>
    <sheet name="Criterios Escalado" sheetId="25" r:id="rId10"/>
    <sheet name="Requisitos equipo" sheetId="26" r:id="rId11"/>
  </sheets>
  <externalReferences>
    <externalReference r:id="rId12"/>
  </externalReferences>
  <definedNames>
    <definedName name="año_inicio">'Hoja de datos'!$B$24</definedName>
    <definedName name="_xlnm.Print_Area" localSheetId="1">'Hoja de datos'!$A$1:$D$32</definedName>
    <definedName name="_xlnm.Print_Area" localSheetId="3">Presupuesto!$B$1:$L$51</definedName>
    <definedName name="_xlnm.Print_Area" localSheetId="6">'Sintesis Precio'!$B$1:$L$65</definedName>
    <definedName name="basmax">tablas!$N$6</definedName>
    <definedName name="ceo">tablas!#REF!</definedName>
    <definedName name="cliente">'Hoja de datos'!$B$19</definedName>
    <definedName name="codent">tablas!$A$2:$B$5</definedName>
    <definedName name="codigo_oferta">'Hoja de datos'!$B$18</definedName>
    <definedName name="codprod">tablas!$H$17:$I$24</definedName>
    <definedName name="codsec">tablas!$C$2:$D$8</definedName>
    <definedName name="comercial">'Hoja de datos'!$B$16</definedName>
    <definedName name="coste_seg">tablas!$M$9</definedName>
    <definedName name="Costes_reales">Parametros!$E$19:$J$58</definedName>
    <definedName name="DirCom">tablas!#REF!</definedName>
    <definedName name="dirope">tablas!#REF!</definedName>
    <definedName name="dirpb">tablas!#REF!</definedName>
    <definedName name="duracion">'Hoja de datos'!$B$25</definedName>
    <definedName name="entidad">'Hoja de datos'!$B$9</definedName>
    <definedName name="entidades">tablas!$A$2:$A$5</definedName>
    <definedName name="GSectores">tablas!#REF!</definedName>
    <definedName name="hayerrs">Presupuesto!$M$5</definedName>
    <definedName name="haygar">Presupuesto!$K$47</definedName>
    <definedName name="IVA">Parametros!$D$6</definedName>
    <definedName name="K_1">tablas!$B$19</definedName>
    <definedName name="K_2">tablas!$B$20</definedName>
    <definedName name="K_3">tablas!$B$21</definedName>
    <definedName name="maxf">tablas!$O$6</definedName>
    <definedName name="maxp">tablas!$Q$6</definedName>
    <definedName name="maxt">tablas!$P$6</definedName>
    <definedName name="mercantil">Parametros!$C$19:$C$58</definedName>
    <definedName name="mes_inicio">'Hoja de datos'!$B$23</definedName>
    <definedName name="negocio">tablas!$A$8:$B$12</definedName>
    <definedName name="nombreo">'Hoja de datos'!$B$21</definedName>
    <definedName name="Nombres">Parametros!$B$19:$B$58</definedName>
    <definedName name="ocurre">Riesgos!$E$4:$E$5</definedName>
    <definedName name="oficina">'Hoja de datos'!$B$11</definedName>
    <definedName name="oficinas">tablas!$J$2:$J$15</definedName>
    <definedName name="ozona">tablas!$J$2:$K$15</definedName>
    <definedName name="Perfiles">Parametros!$D$19:$D$58</definedName>
    <definedName name="Precio">'Sintesis Precio'!$D$12</definedName>
    <definedName name="producto">tablas!$H$17:$H$24</definedName>
    <definedName name="productos">tablas!$H$11:$H$14</definedName>
    <definedName name="respBid">tablas!$E$2:$E$4</definedName>
    <definedName name="responsable_bid">'Hoja de datos'!$B$17</definedName>
    <definedName name="RespOperZona">tablas!$E$7:$E$10</definedName>
    <definedName name="resprod">tablas!$E$13:$E$15</definedName>
    <definedName name="resris">Riesgos!$I$36</definedName>
    <definedName name="rminimo">Parametros!$E$5</definedName>
    <definedName name="Rs">Parametros!$D$5</definedName>
    <definedName name="sector">'Hoja de datos'!$B$8</definedName>
    <definedName name="sectores">tablas!$C$2:$C$8</definedName>
    <definedName name="ssfij">tablas!$N$3</definedName>
    <definedName name="sspar">tablas!$N$5</definedName>
    <definedName name="sstem">tablas!$N$4</definedName>
    <definedName name="tcontrata">tablas!$F$2:$F$4</definedName>
    <definedName name="tipo_contrato">'Hoja de datos'!$B$15</definedName>
    <definedName name="tipo_oferta">'Hoja de datos'!$B$14</definedName>
    <definedName name="tipos_compras">'Facturación y SAP'!$B$57:$B$60</definedName>
    <definedName name="toferta">tablas!$H$2:$H$8</definedName>
    <definedName name="triesgo">tablas!$F$2:$G$4</definedName>
    <definedName name="tservicios">tablas!$H$2:$I$8</definedName>
    <definedName name="Tu">Parametros!$D$7</definedName>
    <definedName name="ulincom">Presupuesto!$A$42</definedName>
    <definedName name="ulincom2">'Sintesis Precio'!$A$60</definedName>
    <definedName name="ulinf1">'Facturación y SAP'!$A$17</definedName>
    <definedName name="ulinf2">'Facturación y SAP'!$A$25</definedName>
    <definedName name="ulinf3">'Facturación y SAP'!$A$32</definedName>
    <definedName name="ulinf4">'Facturación y SAP'!$A$39</definedName>
    <definedName name="ulingas">Presupuesto!$A$32</definedName>
    <definedName name="ulingas2">'Sintesis Precio'!$A$50</definedName>
    <definedName name="ulinma">Presupuesto!$A$26</definedName>
    <definedName name="ulinma2">'Sintesis Precio'!$A$39</definedName>
    <definedName name="ulinpar">Parametros!$A$59</definedName>
    <definedName name="ulinris">Riesgos!$A$35</definedName>
    <definedName name="unidades">tablas!$A$8:$A$12</definedName>
    <definedName name="vtocli">'Hoja de datos'!$B$20</definedName>
    <definedName name="vtos">tablas!$E$18:$E$20</definedName>
    <definedName name="zona">tablas!$K$2:$K$15</definedName>
    <definedName name="Zonas">tablas!#REF!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9" i="12" l="1"/>
  <c r="R18" i="12"/>
  <c r="AB13" i="11"/>
  <c r="AB4" i="11"/>
  <c r="AB11" i="11"/>
  <c r="AB8" i="11"/>
  <c r="AB9" i="11"/>
  <c r="AB7" i="11"/>
  <c r="Z8" i="11"/>
  <c r="Y8" i="11"/>
  <c r="Z7" i="11"/>
  <c r="Y7" i="11"/>
  <c r="F22" i="3"/>
  <c r="D14" i="12" l="1"/>
  <c r="I9" i="27"/>
  <c r="K18" i="12"/>
  <c r="I19" i="27"/>
  <c r="B1" i="27"/>
  <c r="C16" i="27" s="1"/>
  <c r="R35" i="12"/>
  <c r="L36" i="11"/>
  <c r="L35" i="11"/>
  <c r="L30" i="11"/>
  <c r="C13" i="27" l="1"/>
  <c r="C5" i="27"/>
  <c r="C6" i="27"/>
  <c r="C14" i="27"/>
  <c r="D2" i="27" s="1"/>
  <c r="D3" i="27" s="1"/>
  <c r="C7" i="27"/>
  <c r="C15" i="27"/>
  <c r="C11" i="27"/>
  <c r="C20" i="27"/>
  <c r="C12" i="27"/>
  <c r="C8" i="27"/>
  <c r="C17" i="27"/>
  <c r="C9" i="27"/>
  <c r="C18" i="27"/>
  <c r="C10" i="27"/>
  <c r="C19" i="27"/>
  <c r="H22" i="23"/>
  <c r="H23" i="23"/>
  <c r="H32" i="23" l="1"/>
  <c r="H31" i="23"/>
  <c r="H25" i="23"/>
  <c r="H24" i="23"/>
  <c r="H17" i="23"/>
  <c r="H16" i="23"/>
  <c r="B28" i="17" l="1"/>
  <c r="B45" i="12" l="1"/>
  <c r="B44" i="12"/>
  <c r="B43" i="12"/>
  <c r="L40" i="11" l="1"/>
  <c r="B58" i="12" s="1"/>
  <c r="K40" i="11"/>
  <c r="F58" i="12" s="1"/>
  <c r="G58" i="12" s="1"/>
  <c r="H58" i="12" s="1"/>
  <c r="I58" i="12" l="1"/>
  <c r="W26" i="11"/>
  <c r="R26" i="11" s="1"/>
  <c r="W25" i="11"/>
  <c r="S25" i="11" s="1"/>
  <c r="W24" i="11"/>
  <c r="R24" i="11" s="1"/>
  <c r="W23" i="11"/>
  <c r="U23" i="11" s="1"/>
  <c r="W22" i="11"/>
  <c r="R22" i="11" s="1"/>
  <c r="W21" i="11"/>
  <c r="S21" i="11" s="1"/>
  <c r="W20" i="11"/>
  <c r="R20" i="11" s="1"/>
  <c r="W19" i="11"/>
  <c r="U19" i="11" s="1"/>
  <c r="W18" i="11"/>
  <c r="R18" i="11" s="1"/>
  <c r="W17" i="11"/>
  <c r="S17" i="11" s="1"/>
  <c r="W16" i="11"/>
  <c r="R16" i="11" s="1"/>
  <c r="W15" i="11"/>
  <c r="W14" i="11"/>
  <c r="T14" i="11" s="1"/>
  <c r="W13" i="11"/>
  <c r="U13" i="11" s="1"/>
  <c r="W12" i="11"/>
  <c r="R12" i="11" s="1"/>
  <c r="W11" i="11"/>
  <c r="W10" i="11"/>
  <c r="T10" i="11" s="1"/>
  <c r="W9" i="11"/>
  <c r="W8" i="11"/>
  <c r="W7" i="11"/>
  <c r="W6" i="11"/>
  <c r="P5" i="11"/>
  <c r="Q5" i="11" s="1"/>
  <c r="R5" i="11" s="1"/>
  <c r="S5" i="11" s="1"/>
  <c r="T5" i="11" s="1"/>
  <c r="U5" i="11" s="1"/>
  <c r="K41" i="11"/>
  <c r="F59" i="12" s="1"/>
  <c r="G59" i="12" s="1"/>
  <c r="H59" i="12" s="1"/>
  <c r="I59" i="12" s="1"/>
  <c r="L41" i="11"/>
  <c r="B59" i="12" s="1"/>
  <c r="B48" i="12"/>
  <c r="K30" i="11"/>
  <c r="F48" i="12" s="1"/>
  <c r="G48" i="12" s="1"/>
  <c r="H48" i="12" s="1"/>
  <c r="A60" i="12"/>
  <c r="A50" i="12"/>
  <c r="A39" i="12"/>
  <c r="A1" i="20"/>
  <c r="I33" i="18"/>
  <c r="F33" i="18"/>
  <c r="I32" i="18"/>
  <c r="F32" i="18"/>
  <c r="I31" i="18"/>
  <c r="F31" i="18"/>
  <c r="B1" i="23"/>
  <c r="A39" i="23"/>
  <c r="A32" i="23"/>
  <c r="A25" i="23"/>
  <c r="A17" i="23"/>
  <c r="A35" i="18"/>
  <c r="B1" i="18"/>
  <c r="A42" i="11"/>
  <c r="A32" i="11"/>
  <c r="A26" i="11"/>
  <c r="S16" i="11" l="1"/>
  <c r="S12" i="11"/>
  <c r="P16" i="11"/>
  <c r="Q24" i="11"/>
  <c r="Q22" i="11"/>
  <c r="P24" i="11"/>
  <c r="T12" i="11"/>
  <c r="Q20" i="11"/>
  <c r="S24" i="11"/>
  <c r="Q18" i="11"/>
  <c r="Q16" i="11"/>
  <c r="S20" i="11"/>
  <c r="Q26" i="11"/>
  <c r="P18" i="11"/>
  <c r="S26" i="11"/>
  <c r="U15" i="11"/>
  <c r="P6" i="11"/>
  <c r="P20" i="11"/>
  <c r="U12" i="11"/>
  <c r="T16" i="11"/>
  <c r="U18" i="11"/>
  <c r="T20" i="11"/>
  <c r="U22" i="11"/>
  <c r="T24" i="11"/>
  <c r="U26" i="11"/>
  <c r="P26" i="11"/>
  <c r="S18" i="11"/>
  <c r="S22" i="11"/>
  <c r="P8" i="11"/>
  <c r="P22" i="11"/>
  <c r="U14" i="11"/>
  <c r="U16" i="11"/>
  <c r="T19" i="11"/>
  <c r="U20" i="11"/>
  <c r="T23" i="11"/>
  <c r="U24" i="11"/>
  <c r="R15" i="11"/>
  <c r="T17" i="11"/>
  <c r="R19" i="11"/>
  <c r="T21" i="11"/>
  <c r="R23" i="11"/>
  <c r="T25" i="11"/>
  <c r="P7" i="11"/>
  <c r="P17" i="11"/>
  <c r="P21" i="11"/>
  <c r="P25" i="11"/>
  <c r="U10" i="11"/>
  <c r="Q12" i="11"/>
  <c r="Q14" i="11"/>
  <c r="S15" i="11"/>
  <c r="Q17" i="11"/>
  <c r="U17" i="11"/>
  <c r="T18" i="11"/>
  <c r="S19" i="11"/>
  <c r="Q21" i="11"/>
  <c r="U21" i="11"/>
  <c r="T22" i="11"/>
  <c r="S23" i="11"/>
  <c r="Q25" i="11"/>
  <c r="U25" i="11"/>
  <c r="T26" i="11"/>
  <c r="T15" i="11"/>
  <c r="R17" i="11"/>
  <c r="R21" i="11"/>
  <c r="R25" i="11"/>
  <c r="P15" i="11"/>
  <c r="P19" i="11"/>
  <c r="P23" i="11"/>
  <c r="Q15" i="11"/>
  <c r="Q19" i="11"/>
  <c r="Q23" i="11"/>
  <c r="P13" i="11"/>
  <c r="R13" i="11"/>
  <c r="P9" i="11"/>
  <c r="P14" i="11"/>
  <c r="S13" i="11"/>
  <c r="R14" i="11"/>
  <c r="P11" i="11"/>
  <c r="Q10" i="11"/>
  <c r="T13" i="11"/>
  <c r="S14" i="11"/>
  <c r="P12" i="11"/>
  <c r="R10" i="11"/>
  <c r="Q13" i="11"/>
  <c r="S10" i="11"/>
  <c r="P10" i="11"/>
  <c r="I48" i="12"/>
  <c r="P56" i="3"/>
  <c r="O56" i="3"/>
  <c r="N56" i="3"/>
  <c r="M56" i="3"/>
  <c r="L56" i="3"/>
  <c r="K56" i="3"/>
  <c r="F56" i="3"/>
  <c r="G56" i="3" s="1"/>
  <c r="H56" i="3" s="1"/>
  <c r="I56" i="3" s="1"/>
  <c r="J56" i="3" s="1"/>
  <c r="A56" i="3"/>
  <c r="P55" i="3"/>
  <c r="O55" i="3"/>
  <c r="N55" i="3"/>
  <c r="M55" i="3"/>
  <c r="L55" i="3"/>
  <c r="K55" i="3"/>
  <c r="F55" i="3"/>
  <c r="G55" i="3" s="1"/>
  <c r="H55" i="3" s="1"/>
  <c r="I55" i="3" s="1"/>
  <c r="J55" i="3" s="1"/>
  <c r="A55" i="3"/>
  <c r="P54" i="3"/>
  <c r="O54" i="3"/>
  <c r="N54" i="3"/>
  <c r="M54" i="3"/>
  <c r="L54" i="3"/>
  <c r="K54" i="3"/>
  <c r="F54" i="3"/>
  <c r="G54" i="3" s="1"/>
  <c r="H54" i="3" s="1"/>
  <c r="I54" i="3" s="1"/>
  <c r="J54" i="3" s="1"/>
  <c r="A54" i="3"/>
  <c r="P53" i="3"/>
  <c r="O53" i="3"/>
  <c r="N53" i="3"/>
  <c r="M53" i="3"/>
  <c r="L53" i="3"/>
  <c r="K53" i="3"/>
  <c r="F53" i="3"/>
  <c r="G53" i="3" s="1"/>
  <c r="H53" i="3" s="1"/>
  <c r="I53" i="3" s="1"/>
  <c r="J53" i="3" s="1"/>
  <c r="A53" i="3"/>
  <c r="P52" i="3"/>
  <c r="O52" i="3"/>
  <c r="N52" i="3"/>
  <c r="M52" i="3"/>
  <c r="L52" i="3"/>
  <c r="K52" i="3"/>
  <c r="F52" i="3"/>
  <c r="G52" i="3" s="1"/>
  <c r="H52" i="3" s="1"/>
  <c r="I52" i="3" s="1"/>
  <c r="J52" i="3" s="1"/>
  <c r="A52" i="3"/>
  <c r="P51" i="3"/>
  <c r="O51" i="3"/>
  <c r="N51" i="3"/>
  <c r="M51" i="3"/>
  <c r="L51" i="3"/>
  <c r="K51" i="3"/>
  <c r="F51" i="3"/>
  <c r="G51" i="3" s="1"/>
  <c r="H51" i="3" s="1"/>
  <c r="I51" i="3" s="1"/>
  <c r="J51" i="3" s="1"/>
  <c r="A51" i="3"/>
  <c r="P50" i="3"/>
  <c r="O50" i="3"/>
  <c r="N50" i="3"/>
  <c r="M50" i="3"/>
  <c r="L50" i="3"/>
  <c r="K50" i="3"/>
  <c r="F50" i="3"/>
  <c r="G50" i="3" s="1"/>
  <c r="H50" i="3" s="1"/>
  <c r="I50" i="3" s="1"/>
  <c r="J50" i="3" s="1"/>
  <c r="A50" i="3"/>
  <c r="P49" i="3"/>
  <c r="O49" i="3"/>
  <c r="N49" i="3"/>
  <c r="M49" i="3"/>
  <c r="L49" i="3"/>
  <c r="K49" i="3"/>
  <c r="F49" i="3"/>
  <c r="G49" i="3" s="1"/>
  <c r="H49" i="3" s="1"/>
  <c r="I49" i="3" s="1"/>
  <c r="J49" i="3" s="1"/>
  <c r="A49" i="3"/>
  <c r="P48" i="3"/>
  <c r="O48" i="3"/>
  <c r="N48" i="3"/>
  <c r="M48" i="3"/>
  <c r="L48" i="3"/>
  <c r="K48" i="3"/>
  <c r="F48" i="3"/>
  <c r="G48" i="3" s="1"/>
  <c r="H48" i="3" s="1"/>
  <c r="I48" i="3" s="1"/>
  <c r="J48" i="3" s="1"/>
  <c r="A48" i="3"/>
  <c r="P47" i="3"/>
  <c r="O47" i="3"/>
  <c r="N47" i="3"/>
  <c r="M47" i="3"/>
  <c r="L47" i="3"/>
  <c r="K47" i="3"/>
  <c r="F47" i="3"/>
  <c r="G47" i="3" s="1"/>
  <c r="H47" i="3" s="1"/>
  <c r="I47" i="3" s="1"/>
  <c r="J47" i="3" s="1"/>
  <c r="A47" i="3"/>
  <c r="P46" i="3"/>
  <c r="O46" i="3"/>
  <c r="N46" i="3"/>
  <c r="M46" i="3"/>
  <c r="L46" i="3"/>
  <c r="K46" i="3"/>
  <c r="F46" i="3"/>
  <c r="G46" i="3" s="1"/>
  <c r="H46" i="3" s="1"/>
  <c r="I46" i="3" s="1"/>
  <c r="J46" i="3" s="1"/>
  <c r="A46" i="3"/>
  <c r="P45" i="3"/>
  <c r="O45" i="3"/>
  <c r="N45" i="3"/>
  <c r="M45" i="3"/>
  <c r="L45" i="3"/>
  <c r="K45" i="3"/>
  <c r="F45" i="3"/>
  <c r="G45" i="3" s="1"/>
  <c r="H45" i="3" s="1"/>
  <c r="I45" i="3" s="1"/>
  <c r="J45" i="3" s="1"/>
  <c r="A45" i="3"/>
  <c r="P44" i="3"/>
  <c r="O44" i="3"/>
  <c r="N44" i="3"/>
  <c r="M44" i="3"/>
  <c r="L44" i="3"/>
  <c r="K44" i="3"/>
  <c r="F44" i="3"/>
  <c r="G44" i="3" s="1"/>
  <c r="H44" i="3" s="1"/>
  <c r="I44" i="3" s="1"/>
  <c r="J44" i="3" s="1"/>
  <c r="A44" i="3"/>
  <c r="A59" i="3"/>
  <c r="E4" i="11" l="1"/>
  <c r="J8" i="12"/>
  <c r="B18" i="23" l="1"/>
  <c r="B26" i="23"/>
  <c r="L3" i="12"/>
  <c r="F49" i="23" l="1"/>
  <c r="B58" i="23"/>
  <c r="B59" i="23"/>
  <c r="B60" i="23"/>
  <c r="B57" i="23"/>
  <c r="D9" i="11" l="1"/>
  <c r="D8" i="11"/>
  <c r="D7" i="11"/>
  <c r="D6" i="11"/>
  <c r="I9" i="18" l="1"/>
  <c r="M9" i="21"/>
  <c r="D62" i="12"/>
  <c r="B33" i="23"/>
  <c r="C26" i="11"/>
  <c r="C25" i="11"/>
  <c r="C38" i="12" s="1"/>
  <c r="C24" i="11"/>
  <c r="C37" i="12" s="1"/>
  <c r="C23" i="11"/>
  <c r="C22" i="11"/>
  <c r="C21" i="11"/>
  <c r="C20" i="11"/>
  <c r="C19" i="11"/>
  <c r="C18" i="11"/>
  <c r="C31" i="12" s="1"/>
  <c r="C17" i="11"/>
  <c r="C16" i="11"/>
  <c r="C29" i="12" s="1"/>
  <c r="C15" i="11"/>
  <c r="C14" i="11"/>
  <c r="C13" i="11"/>
  <c r="C12" i="11"/>
  <c r="C25" i="12" s="1"/>
  <c r="C11" i="11"/>
  <c r="C10" i="11"/>
  <c r="C23" i="12" s="1"/>
  <c r="C9" i="11"/>
  <c r="C8" i="11"/>
  <c r="C7" i="11"/>
  <c r="C6" i="11"/>
  <c r="J3" i="12"/>
  <c r="N1" i="12"/>
  <c r="M1" i="12"/>
  <c r="L1" i="12"/>
  <c r="H1" i="12"/>
  <c r="D1" i="12"/>
  <c r="D2" i="12"/>
  <c r="D1" i="11"/>
  <c r="Q6" i="21"/>
  <c r="P6" i="21"/>
  <c r="O6" i="21"/>
  <c r="E5" i="3"/>
  <c r="B12" i="17"/>
  <c r="D15" i="11"/>
  <c r="F26" i="3"/>
  <c r="G26" i="3" s="1"/>
  <c r="H26" i="3" s="1"/>
  <c r="I26" i="3" s="1"/>
  <c r="J26" i="3" s="1"/>
  <c r="D15" i="3"/>
  <c r="K6" i="11"/>
  <c r="E19" i="12" s="1"/>
  <c r="I8" i="18"/>
  <c r="I10" i="18"/>
  <c r="I11" i="18"/>
  <c r="I12" i="18"/>
  <c r="I13" i="18"/>
  <c r="I14" i="18"/>
  <c r="I16" i="18"/>
  <c r="I17" i="18"/>
  <c r="I18" i="18"/>
  <c r="I19" i="18"/>
  <c r="I20" i="18"/>
  <c r="I21" i="18"/>
  <c r="I22" i="18"/>
  <c r="I23" i="18"/>
  <c r="I25" i="18"/>
  <c r="I26" i="18"/>
  <c r="I27" i="18"/>
  <c r="I28" i="18"/>
  <c r="I30" i="18"/>
  <c r="I34" i="18"/>
  <c r="I35" i="18"/>
  <c r="F28" i="18"/>
  <c r="F25" i="18"/>
  <c r="F26" i="18"/>
  <c r="F27" i="18"/>
  <c r="F14" i="18"/>
  <c r="F11" i="18"/>
  <c r="F8" i="18"/>
  <c r="F12" i="18"/>
  <c r="F13" i="18"/>
  <c r="F16" i="18"/>
  <c r="F17" i="18"/>
  <c r="F18" i="18"/>
  <c r="F19" i="18"/>
  <c r="F20" i="18"/>
  <c r="F21" i="18"/>
  <c r="F22" i="18"/>
  <c r="F23" i="18"/>
  <c r="F10" i="18"/>
  <c r="F9" i="18"/>
  <c r="F30" i="18"/>
  <c r="F34" i="18"/>
  <c r="F35" i="18"/>
  <c r="I2" i="12"/>
  <c r="D3" i="12"/>
  <c r="L2" i="12"/>
  <c r="K7" i="11"/>
  <c r="E20" i="12" s="1"/>
  <c r="F19" i="3"/>
  <c r="K19" i="3"/>
  <c r="O19" i="3"/>
  <c r="P19" i="3"/>
  <c r="K20" i="3"/>
  <c r="M20" i="3"/>
  <c r="N20" i="3"/>
  <c r="O20" i="3"/>
  <c r="P20" i="3"/>
  <c r="K21" i="3"/>
  <c r="M21" i="3"/>
  <c r="N21" i="3"/>
  <c r="O21" i="3"/>
  <c r="P21" i="3"/>
  <c r="K22" i="3"/>
  <c r="L22" i="3"/>
  <c r="O22" i="3"/>
  <c r="P22" i="3"/>
  <c r="K23" i="3"/>
  <c r="M23" i="3"/>
  <c r="N23" i="3"/>
  <c r="O23" i="3"/>
  <c r="P23" i="3"/>
  <c r="K24" i="3"/>
  <c r="L24" i="3"/>
  <c r="M24" i="3"/>
  <c r="N24" i="3"/>
  <c r="O24" i="3"/>
  <c r="P24" i="3"/>
  <c r="K25" i="3"/>
  <c r="L25" i="3"/>
  <c r="M25" i="3"/>
  <c r="N25" i="3"/>
  <c r="O25" i="3"/>
  <c r="P25" i="3"/>
  <c r="K26" i="3"/>
  <c r="L26" i="3"/>
  <c r="M26" i="3"/>
  <c r="N26" i="3"/>
  <c r="O26" i="3"/>
  <c r="P26" i="3"/>
  <c r="K27" i="3"/>
  <c r="L27" i="3"/>
  <c r="M27" i="3"/>
  <c r="N27" i="3"/>
  <c r="O27" i="3"/>
  <c r="P27" i="3"/>
  <c r="K28" i="3"/>
  <c r="L28" i="3"/>
  <c r="M28" i="3"/>
  <c r="N28" i="3"/>
  <c r="O28" i="3"/>
  <c r="P28" i="3"/>
  <c r="K29" i="3"/>
  <c r="L29" i="3"/>
  <c r="M29" i="3"/>
  <c r="N29" i="3"/>
  <c r="O29" i="3"/>
  <c r="P29" i="3"/>
  <c r="K30" i="3"/>
  <c r="L30" i="3"/>
  <c r="M30" i="3"/>
  <c r="N30" i="3"/>
  <c r="O30" i="3"/>
  <c r="P30" i="3"/>
  <c r="K31" i="3"/>
  <c r="L31" i="3"/>
  <c r="M31" i="3"/>
  <c r="N31" i="3"/>
  <c r="O31" i="3"/>
  <c r="P31" i="3"/>
  <c r="K32" i="3"/>
  <c r="L32" i="3"/>
  <c r="M32" i="3"/>
  <c r="N32" i="3"/>
  <c r="O32" i="3"/>
  <c r="P32" i="3"/>
  <c r="K33" i="3"/>
  <c r="L33" i="3"/>
  <c r="M33" i="3"/>
  <c r="N33" i="3"/>
  <c r="O33" i="3"/>
  <c r="P33" i="3"/>
  <c r="K34" i="3"/>
  <c r="L34" i="3"/>
  <c r="M34" i="3"/>
  <c r="N34" i="3"/>
  <c r="O34" i="3"/>
  <c r="P34" i="3"/>
  <c r="K35" i="3"/>
  <c r="L35" i="3"/>
  <c r="M35" i="3"/>
  <c r="N35" i="3"/>
  <c r="O35" i="3"/>
  <c r="P35" i="3"/>
  <c r="K36" i="3"/>
  <c r="L36" i="3"/>
  <c r="M36" i="3"/>
  <c r="N36" i="3"/>
  <c r="O36" i="3"/>
  <c r="P36" i="3"/>
  <c r="K37" i="3"/>
  <c r="L37" i="3"/>
  <c r="M37" i="3"/>
  <c r="N37" i="3"/>
  <c r="O37" i="3"/>
  <c r="P37" i="3"/>
  <c r="K38" i="3"/>
  <c r="L38" i="3"/>
  <c r="M38" i="3"/>
  <c r="N38" i="3"/>
  <c r="O38" i="3"/>
  <c r="P38" i="3"/>
  <c r="K39" i="3"/>
  <c r="L39" i="3"/>
  <c r="M39" i="3"/>
  <c r="N39" i="3"/>
  <c r="O39" i="3"/>
  <c r="P39" i="3"/>
  <c r="K40" i="3"/>
  <c r="L40" i="3"/>
  <c r="M40" i="3"/>
  <c r="N40" i="3"/>
  <c r="O40" i="3"/>
  <c r="P40" i="3"/>
  <c r="K41" i="3"/>
  <c r="L41" i="3"/>
  <c r="M41" i="3"/>
  <c r="N41" i="3"/>
  <c r="O41" i="3"/>
  <c r="P41" i="3"/>
  <c r="K42" i="3"/>
  <c r="L42" i="3"/>
  <c r="M42" i="3"/>
  <c r="N42" i="3"/>
  <c r="O42" i="3"/>
  <c r="P42" i="3"/>
  <c r="K43" i="3"/>
  <c r="L43" i="3"/>
  <c r="M43" i="3"/>
  <c r="N43" i="3"/>
  <c r="O43" i="3"/>
  <c r="P43" i="3"/>
  <c r="K57" i="3"/>
  <c r="L57" i="3"/>
  <c r="M57" i="3"/>
  <c r="N57" i="3"/>
  <c r="O57" i="3"/>
  <c r="P57" i="3"/>
  <c r="K58" i="3"/>
  <c r="L58" i="3"/>
  <c r="M58" i="3"/>
  <c r="N58" i="3"/>
  <c r="O58" i="3"/>
  <c r="P58" i="3"/>
  <c r="K31" i="11"/>
  <c r="F46" i="23" s="1"/>
  <c r="K36" i="11"/>
  <c r="D19" i="12"/>
  <c r="D20" i="12"/>
  <c r="D21" i="12"/>
  <c r="D22" i="12"/>
  <c r="D10" i="11"/>
  <c r="D11" i="11"/>
  <c r="D12" i="11"/>
  <c r="D13" i="11"/>
  <c r="D26" i="12" s="1"/>
  <c r="D14" i="11"/>
  <c r="D27" i="12" s="1"/>
  <c r="D16" i="11"/>
  <c r="D17" i="11"/>
  <c r="D30" i="12" s="1"/>
  <c r="D18" i="11"/>
  <c r="D19" i="11"/>
  <c r="D20" i="11"/>
  <c r="D33" i="12" s="1"/>
  <c r="D21" i="11"/>
  <c r="D34" i="12" s="1"/>
  <c r="D22" i="11"/>
  <c r="D35" i="12" s="1"/>
  <c r="D23" i="11"/>
  <c r="D36" i="12" s="1"/>
  <c r="D24" i="11"/>
  <c r="D37" i="12" s="1"/>
  <c r="D25" i="11"/>
  <c r="D38" i="12" s="1"/>
  <c r="D26" i="11"/>
  <c r="D39" i="12" s="1"/>
  <c r="E3" i="11"/>
  <c r="F3" i="11" s="1"/>
  <c r="G3" i="11" s="1"/>
  <c r="H3" i="11" s="1"/>
  <c r="I3" i="11" s="1"/>
  <c r="J3" i="11" s="1"/>
  <c r="E5" i="11"/>
  <c r="F5" i="11"/>
  <c r="G5" i="11"/>
  <c r="H5" i="11"/>
  <c r="I5" i="11"/>
  <c r="J5" i="11"/>
  <c r="K8" i="11"/>
  <c r="K9" i="11"/>
  <c r="K10" i="11"/>
  <c r="K11" i="11"/>
  <c r="K12" i="11"/>
  <c r="K13" i="11"/>
  <c r="K14" i="11"/>
  <c r="K15" i="11"/>
  <c r="E28" i="12" s="1"/>
  <c r="N28" i="12" s="1"/>
  <c r="P28" i="12" s="1"/>
  <c r="K16" i="11"/>
  <c r="K17" i="11"/>
  <c r="K18" i="11"/>
  <c r="K19" i="11"/>
  <c r="K20" i="11"/>
  <c r="K21" i="11"/>
  <c r="K22" i="11"/>
  <c r="K23" i="11"/>
  <c r="K24" i="11"/>
  <c r="K25" i="11"/>
  <c r="K26" i="11"/>
  <c r="E28" i="11"/>
  <c r="F28" i="11"/>
  <c r="G28" i="11"/>
  <c r="H28" i="11"/>
  <c r="I28" i="11"/>
  <c r="J28" i="11"/>
  <c r="K29" i="11"/>
  <c r="L29" i="11"/>
  <c r="B47" i="12" s="1"/>
  <c r="L31" i="11"/>
  <c r="B49" i="12" s="1"/>
  <c r="K32" i="11"/>
  <c r="F50" i="12" s="1"/>
  <c r="G50" i="12" s="1"/>
  <c r="H50" i="12" s="1"/>
  <c r="I50" i="12" s="1"/>
  <c r="L32" i="11"/>
  <c r="B50" i="12" s="1"/>
  <c r="E33" i="11"/>
  <c r="F33" i="11" s="1"/>
  <c r="G33" i="11" s="1"/>
  <c r="H33" i="11" s="1"/>
  <c r="I33" i="11" s="1"/>
  <c r="J33" i="11" s="1"/>
  <c r="E34" i="11"/>
  <c r="F34" i="11"/>
  <c r="G34" i="11"/>
  <c r="H34" i="11"/>
  <c r="I34" i="11"/>
  <c r="J34" i="11"/>
  <c r="K35" i="11"/>
  <c r="B53" i="12"/>
  <c r="B54" i="12"/>
  <c r="K37" i="11"/>
  <c r="B55" i="12"/>
  <c r="K38" i="11"/>
  <c r="L38" i="11"/>
  <c r="B56" i="12" s="1"/>
  <c r="K39" i="11"/>
  <c r="F57" i="12" s="1"/>
  <c r="G57" i="12" s="1"/>
  <c r="H57" i="12" s="1"/>
  <c r="I57" i="12" s="1"/>
  <c r="L39" i="11"/>
  <c r="B57" i="12" s="1"/>
  <c r="K42" i="11"/>
  <c r="F60" i="12" s="1"/>
  <c r="G60" i="12" s="1"/>
  <c r="H60" i="12" s="1"/>
  <c r="I60" i="12" s="1"/>
  <c r="L42" i="11"/>
  <c r="B60" i="12" s="1"/>
  <c r="B44" i="11"/>
  <c r="L44" i="11" s="1"/>
  <c r="L45" i="11"/>
  <c r="K46" i="11"/>
  <c r="L46" i="11"/>
  <c r="E47" i="11"/>
  <c r="H47" i="11"/>
  <c r="I47" i="11"/>
  <c r="J47" i="11"/>
  <c r="L48" i="11"/>
  <c r="K49" i="11"/>
  <c r="F44" i="12" s="1"/>
  <c r="L49" i="11"/>
  <c r="K50" i="11"/>
  <c r="F45" i="12" s="1"/>
  <c r="L50" i="11"/>
  <c r="C1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57" i="3"/>
  <c r="A58" i="3"/>
  <c r="E18" i="3"/>
  <c r="F18" i="3"/>
  <c r="G18" i="3" s="1"/>
  <c r="H18" i="3" s="1"/>
  <c r="I18" i="3" s="1"/>
  <c r="J18" i="3" s="1"/>
  <c r="F20" i="3"/>
  <c r="L20" i="3" s="1"/>
  <c r="F21" i="3"/>
  <c r="L21" i="3" s="1"/>
  <c r="F24" i="3"/>
  <c r="G24" i="3" s="1"/>
  <c r="H24" i="3" s="1"/>
  <c r="I24" i="3" s="1"/>
  <c r="J24" i="3" s="1"/>
  <c r="F25" i="3"/>
  <c r="G25" i="3" s="1"/>
  <c r="H25" i="3" s="1"/>
  <c r="I25" i="3" s="1"/>
  <c r="J25" i="3" s="1"/>
  <c r="F27" i="3"/>
  <c r="G27" i="3" s="1"/>
  <c r="H27" i="3" s="1"/>
  <c r="I27" i="3" s="1"/>
  <c r="J27" i="3" s="1"/>
  <c r="F28" i="3"/>
  <c r="G28" i="3" s="1"/>
  <c r="H28" i="3" s="1"/>
  <c r="I28" i="3" s="1"/>
  <c r="J28" i="3" s="1"/>
  <c r="F29" i="3"/>
  <c r="G29" i="3" s="1"/>
  <c r="H29" i="3" s="1"/>
  <c r="I29" i="3" s="1"/>
  <c r="J29" i="3" s="1"/>
  <c r="F30" i="3"/>
  <c r="G30" i="3" s="1"/>
  <c r="H30" i="3" s="1"/>
  <c r="I30" i="3" s="1"/>
  <c r="J30" i="3" s="1"/>
  <c r="F31" i="3"/>
  <c r="G31" i="3" s="1"/>
  <c r="H31" i="3" s="1"/>
  <c r="I31" i="3" s="1"/>
  <c r="J31" i="3" s="1"/>
  <c r="F32" i="3"/>
  <c r="G32" i="3" s="1"/>
  <c r="H32" i="3" s="1"/>
  <c r="I32" i="3" s="1"/>
  <c r="J32" i="3" s="1"/>
  <c r="F33" i="3"/>
  <c r="G33" i="3" s="1"/>
  <c r="H33" i="3" s="1"/>
  <c r="I33" i="3" s="1"/>
  <c r="J33" i="3" s="1"/>
  <c r="F34" i="3"/>
  <c r="G34" i="3" s="1"/>
  <c r="H34" i="3" s="1"/>
  <c r="I34" i="3" s="1"/>
  <c r="J34" i="3" s="1"/>
  <c r="F35" i="3"/>
  <c r="G35" i="3" s="1"/>
  <c r="H35" i="3" s="1"/>
  <c r="I35" i="3" s="1"/>
  <c r="J35" i="3" s="1"/>
  <c r="F36" i="3"/>
  <c r="G36" i="3" s="1"/>
  <c r="H36" i="3" s="1"/>
  <c r="I36" i="3" s="1"/>
  <c r="J36" i="3" s="1"/>
  <c r="F37" i="3"/>
  <c r="G37" i="3" s="1"/>
  <c r="H37" i="3" s="1"/>
  <c r="I37" i="3" s="1"/>
  <c r="J37" i="3" s="1"/>
  <c r="F38" i="3"/>
  <c r="G38" i="3" s="1"/>
  <c r="H38" i="3" s="1"/>
  <c r="I38" i="3" s="1"/>
  <c r="J38" i="3" s="1"/>
  <c r="F39" i="3"/>
  <c r="G39" i="3" s="1"/>
  <c r="H39" i="3" s="1"/>
  <c r="I39" i="3" s="1"/>
  <c r="J39" i="3" s="1"/>
  <c r="F40" i="3"/>
  <c r="G40" i="3" s="1"/>
  <c r="H40" i="3" s="1"/>
  <c r="I40" i="3" s="1"/>
  <c r="J40" i="3" s="1"/>
  <c r="F41" i="3"/>
  <c r="G41" i="3" s="1"/>
  <c r="H41" i="3" s="1"/>
  <c r="I41" i="3" s="1"/>
  <c r="J41" i="3" s="1"/>
  <c r="F42" i="3"/>
  <c r="G42" i="3" s="1"/>
  <c r="H42" i="3" s="1"/>
  <c r="I42" i="3" s="1"/>
  <c r="J42" i="3" s="1"/>
  <c r="F43" i="3"/>
  <c r="G43" i="3" s="1"/>
  <c r="H43" i="3" s="1"/>
  <c r="I43" i="3" s="1"/>
  <c r="J43" i="3" s="1"/>
  <c r="F57" i="3"/>
  <c r="G57" i="3" s="1"/>
  <c r="H57" i="3" s="1"/>
  <c r="I57" i="3" s="1"/>
  <c r="J57" i="3" s="1"/>
  <c r="F58" i="3"/>
  <c r="G58" i="3" s="1"/>
  <c r="H58" i="3" s="1"/>
  <c r="I58" i="3" s="1"/>
  <c r="J58" i="3" s="1"/>
  <c r="D12" i="3"/>
  <c r="L19" i="3"/>
  <c r="H12" i="3"/>
  <c r="I12" i="3" s="1"/>
  <c r="K15" i="3"/>
  <c r="Q11" i="11" l="1"/>
  <c r="L23" i="3"/>
  <c r="N20" i="12"/>
  <c r="P20" i="12" s="1"/>
  <c r="N19" i="12"/>
  <c r="G22" i="3"/>
  <c r="M22" i="3" s="1"/>
  <c r="Q9" i="11"/>
  <c r="G21" i="3"/>
  <c r="Q8" i="11"/>
  <c r="H15" i="3"/>
  <c r="I15" i="3" s="1"/>
  <c r="J15" i="3" s="1"/>
  <c r="F15" i="3" s="1"/>
  <c r="G20" i="3"/>
  <c r="Q7" i="11"/>
  <c r="G19" i="3"/>
  <c r="M19" i="3" s="1"/>
  <c r="Q6" i="11"/>
  <c r="F45" i="23"/>
  <c r="E31" i="12"/>
  <c r="N31" i="12" s="1"/>
  <c r="P31" i="12" s="1"/>
  <c r="M18" i="11"/>
  <c r="L18" i="11" s="1"/>
  <c r="B31" i="12" s="1"/>
  <c r="E39" i="12"/>
  <c r="N39" i="12" s="1"/>
  <c r="P39" i="12" s="1"/>
  <c r="M26" i="11"/>
  <c r="L26" i="11" s="1"/>
  <c r="B39" i="12" s="1"/>
  <c r="E23" i="12"/>
  <c r="N23" i="12" s="1"/>
  <c r="P23" i="12" s="1"/>
  <c r="E34" i="12"/>
  <c r="N34" i="12" s="1"/>
  <c r="P34" i="12" s="1"/>
  <c r="M21" i="11"/>
  <c r="L21" i="11" s="1"/>
  <c r="B34" i="12" s="1"/>
  <c r="E26" i="12"/>
  <c r="N26" i="12" s="1"/>
  <c r="P26" i="12" s="1"/>
  <c r="M13" i="11"/>
  <c r="L13" i="11" s="1"/>
  <c r="B26" i="12" s="1"/>
  <c r="E22" i="12"/>
  <c r="E27" i="12"/>
  <c r="N27" i="12" s="1"/>
  <c r="P27" i="12" s="1"/>
  <c r="M14" i="11"/>
  <c r="L14" i="11" s="1"/>
  <c r="B27" i="12" s="1"/>
  <c r="E38" i="12"/>
  <c r="N38" i="12" s="1"/>
  <c r="P38" i="12" s="1"/>
  <c r="M25" i="11"/>
  <c r="L25" i="11" s="1"/>
  <c r="B38" i="12" s="1"/>
  <c r="E30" i="12"/>
  <c r="N30" i="12" s="1"/>
  <c r="P30" i="12" s="1"/>
  <c r="M17" i="11"/>
  <c r="L17" i="11" s="1"/>
  <c r="B30" i="12" s="1"/>
  <c r="E37" i="12"/>
  <c r="N37" i="12" s="1"/>
  <c r="P37" i="12" s="1"/>
  <c r="M24" i="11"/>
  <c r="L24" i="11" s="1"/>
  <c r="B37" i="12" s="1"/>
  <c r="E33" i="12"/>
  <c r="N33" i="12" s="1"/>
  <c r="P33" i="12" s="1"/>
  <c r="M20" i="11"/>
  <c r="L20" i="11" s="1"/>
  <c r="B33" i="12" s="1"/>
  <c r="E29" i="12"/>
  <c r="N29" i="12" s="1"/>
  <c r="P29" i="12" s="1"/>
  <c r="M16" i="11"/>
  <c r="L16" i="11" s="1"/>
  <c r="B29" i="12" s="1"/>
  <c r="E25" i="12"/>
  <c r="N25" i="12" s="1"/>
  <c r="P25" i="12" s="1"/>
  <c r="M12" i="11"/>
  <c r="L12" i="11" s="1"/>
  <c r="B25" i="12" s="1"/>
  <c r="E21" i="12"/>
  <c r="E36" i="12"/>
  <c r="N36" i="12" s="1"/>
  <c r="P36" i="12" s="1"/>
  <c r="M23" i="11"/>
  <c r="L23" i="11" s="1"/>
  <c r="B36" i="12" s="1"/>
  <c r="E32" i="12"/>
  <c r="N32" i="12" s="1"/>
  <c r="P32" i="12" s="1"/>
  <c r="M19" i="11"/>
  <c r="L19" i="11" s="1"/>
  <c r="B32" i="12" s="1"/>
  <c r="E24" i="12"/>
  <c r="N24" i="12" s="1"/>
  <c r="P24" i="12" s="1"/>
  <c r="E35" i="12"/>
  <c r="N35" i="12" s="1"/>
  <c r="P35" i="12" s="1"/>
  <c r="M22" i="11"/>
  <c r="L22" i="11" s="1"/>
  <c r="B35" i="12" s="1"/>
  <c r="V13" i="11"/>
  <c r="F26" i="12" s="1"/>
  <c r="V24" i="11"/>
  <c r="F37" i="12" s="1"/>
  <c r="V23" i="11"/>
  <c r="F36" i="12" s="1"/>
  <c r="V25" i="11"/>
  <c r="F38" i="12" s="1"/>
  <c r="V22" i="11"/>
  <c r="F35" i="12" s="1"/>
  <c r="V10" i="11"/>
  <c r="F23" i="12" s="1"/>
  <c r="V14" i="11"/>
  <c r="F27" i="12" s="1"/>
  <c r="V19" i="11"/>
  <c r="F32" i="12" s="1"/>
  <c r="V15" i="11"/>
  <c r="V20" i="11"/>
  <c r="F33" i="12" s="1"/>
  <c r="V21" i="11"/>
  <c r="F34" i="12" s="1"/>
  <c r="V18" i="11"/>
  <c r="F31" i="12" s="1"/>
  <c r="V12" i="11"/>
  <c r="F25" i="12" s="1"/>
  <c r="V17" i="11"/>
  <c r="F30" i="12" s="1"/>
  <c r="V16" i="11"/>
  <c r="F29" i="12" s="1"/>
  <c r="V26" i="11"/>
  <c r="F39" i="12" s="1"/>
  <c r="F44" i="23"/>
  <c r="F47" i="23"/>
  <c r="F36" i="18"/>
  <c r="B4" i="18" s="1"/>
  <c r="K28" i="11"/>
  <c r="L15" i="3"/>
  <c r="K34" i="11"/>
  <c r="K5" i="11"/>
  <c r="F54" i="12"/>
  <c r="G54" i="12" s="1"/>
  <c r="H54" i="12" s="1"/>
  <c r="I54" i="12" s="1"/>
  <c r="C33" i="12"/>
  <c r="F53" i="12"/>
  <c r="G53" i="12" s="1"/>
  <c r="H53" i="12" s="1"/>
  <c r="I53" i="12" s="1"/>
  <c r="I36" i="18"/>
  <c r="D45" i="11" s="1"/>
  <c r="E45" i="11" s="1"/>
  <c r="K45" i="11" s="1"/>
  <c r="F49" i="12"/>
  <c r="G49" i="12" s="1"/>
  <c r="H49" i="12" s="1"/>
  <c r="I49" i="12" s="1"/>
  <c r="C34" i="12"/>
  <c r="C26" i="12"/>
  <c r="C35" i="12"/>
  <c r="F55" i="12"/>
  <c r="G55" i="12" s="1"/>
  <c r="H55" i="12" s="1"/>
  <c r="I55" i="12" s="1"/>
  <c r="F48" i="23"/>
  <c r="F56" i="12"/>
  <c r="G56" i="12" s="1"/>
  <c r="H56" i="12" s="1"/>
  <c r="I56" i="12" s="1"/>
  <c r="F50" i="23"/>
  <c r="F47" i="12"/>
  <c r="C19" i="12"/>
  <c r="B17" i="3"/>
  <c r="C39" i="12"/>
  <c r="C21" i="12"/>
  <c r="C27" i="12"/>
  <c r="C24" i="12"/>
  <c r="C22" i="12"/>
  <c r="C30" i="12"/>
  <c r="C20" i="12"/>
  <c r="C28" i="12"/>
  <c r="C36" i="12"/>
  <c r="C32" i="12"/>
  <c r="D44" i="11"/>
  <c r="J12" i="3"/>
  <c r="K12" i="3" s="1"/>
  <c r="M12" i="3" s="1"/>
  <c r="D28" i="12"/>
  <c r="D31" i="12"/>
  <c r="D23" i="12"/>
  <c r="D32" i="12"/>
  <c r="D24" i="12"/>
  <c r="D25" i="12"/>
  <c r="D29" i="12"/>
  <c r="P19" i="12" l="1"/>
  <c r="R11" i="11"/>
  <c r="N22" i="12"/>
  <c r="P22" i="12" s="1"/>
  <c r="N21" i="12"/>
  <c r="P21" i="12" s="1"/>
  <c r="H22" i="3"/>
  <c r="N22" i="3" s="1"/>
  <c r="R9" i="11"/>
  <c r="H21" i="3"/>
  <c r="R8" i="11"/>
  <c r="F4" i="11"/>
  <c r="G47" i="11" s="1"/>
  <c r="H19" i="3"/>
  <c r="N19" i="3" s="1"/>
  <c r="R6" i="11"/>
  <c r="H20" i="3"/>
  <c r="R7" i="11"/>
  <c r="G45" i="12"/>
  <c r="H45" i="12" s="1"/>
  <c r="I45" i="12" s="1"/>
  <c r="G44" i="12"/>
  <c r="E18" i="12"/>
  <c r="M10" i="11"/>
  <c r="L10" i="11" s="1"/>
  <c r="B23" i="12" s="1"/>
  <c r="F28" i="12"/>
  <c r="G28" i="12" s="1"/>
  <c r="H28" i="12" s="1"/>
  <c r="I28" i="12" s="1"/>
  <c r="M15" i="11"/>
  <c r="L15" i="11" s="1"/>
  <c r="B28" i="12" s="1"/>
  <c r="I52" i="12"/>
  <c r="K52" i="12" s="1"/>
  <c r="G38" i="12"/>
  <c r="H38" i="12" s="1"/>
  <c r="I38" i="12" s="1"/>
  <c r="G36" i="12"/>
  <c r="H36" i="12" s="1"/>
  <c r="I36" i="12" s="1"/>
  <c r="G32" i="12"/>
  <c r="H32" i="12" s="1"/>
  <c r="I32" i="12" s="1"/>
  <c r="G34" i="12"/>
  <c r="H34" i="12" s="1"/>
  <c r="I34" i="12" s="1"/>
  <c r="G30" i="12"/>
  <c r="H30" i="12" s="1"/>
  <c r="I30" i="12" s="1"/>
  <c r="F52" i="12"/>
  <c r="G52" i="12"/>
  <c r="H52" i="12"/>
  <c r="G47" i="12"/>
  <c r="F46" i="12"/>
  <c r="G33" i="12"/>
  <c r="H33" i="12" s="1"/>
  <c r="I33" i="12" s="1"/>
  <c r="G25" i="12"/>
  <c r="H25" i="12" s="1"/>
  <c r="I25" i="12" s="1"/>
  <c r="G39" i="12"/>
  <c r="H39" i="12" s="1"/>
  <c r="I39" i="12" s="1"/>
  <c r="G23" i="12"/>
  <c r="H23" i="12" s="1"/>
  <c r="I23" i="12" s="1"/>
  <c r="G29" i="12"/>
  <c r="H29" i="12" s="1"/>
  <c r="I29" i="12" s="1"/>
  <c r="G26" i="12"/>
  <c r="H26" i="12" s="1"/>
  <c r="I26" i="12" s="1"/>
  <c r="G27" i="12"/>
  <c r="H27" i="12" s="1"/>
  <c r="I27" i="12" s="1"/>
  <c r="L12" i="3"/>
  <c r="S11" i="11" l="1"/>
  <c r="L53" i="12"/>
  <c r="L55" i="12"/>
  <c r="K53" i="12" s="1"/>
  <c r="L57" i="12"/>
  <c r="P16" i="12"/>
  <c r="F44" i="11"/>
  <c r="F43" i="11" s="1"/>
  <c r="I22" i="3"/>
  <c r="S9" i="11"/>
  <c r="I21" i="3"/>
  <c r="S8" i="11"/>
  <c r="I20" i="3"/>
  <c r="S7" i="11"/>
  <c r="G4" i="11"/>
  <c r="G44" i="11" s="1"/>
  <c r="G43" i="11" s="1"/>
  <c r="I19" i="3"/>
  <c r="S6" i="11"/>
  <c r="H44" i="12"/>
  <c r="G46" i="12"/>
  <c r="H47" i="12"/>
  <c r="G35" i="12"/>
  <c r="H35" i="12" s="1"/>
  <c r="I35" i="12" s="1"/>
  <c r="G37" i="12"/>
  <c r="H37" i="12" s="1"/>
  <c r="I37" i="12" s="1"/>
  <c r="G31" i="12"/>
  <c r="H31" i="12" s="1"/>
  <c r="I31" i="12" s="1"/>
  <c r="E44" i="11"/>
  <c r="U11" i="11" l="1"/>
  <c r="T11" i="11"/>
  <c r="K54" i="12"/>
  <c r="K55" i="12"/>
  <c r="K59" i="12"/>
  <c r="K58" i="12"/>
  <c r="K57" i="12"/>
  <c r="K56" i="12"/>
  <c r="K60" i="12"/>
  <c r="F47" i="11"/>
  <c r="K47" i="11" s="1"/>
  <c r="K48" i="11"/>
  <c r="F43" i="12" s="1"/>
  <c r="J22" i="3"/>
  <c r="U9" i="11" s="1"/>
  <c r="T9" i="11"/>
  <c r="J21" i="3"/>
  <c r="U8" i="11" s="1"/>
  <c r="T8" i="11"/>
  <c r="H4" i="11"/>
  <c r="H44" i="11" s="1"/>
  <c r="H43" i="11" s="1"/>
  <c r="J19" i="3"/>
  <c r="U6" i="11" s="1"/>
  <c r="T6" i="11"/>
  <c r="J20" i="3"/>
  <c r="U7" i="11" s="1"/>
  <c r="T7" i="11"/>
  <c r="I44" i="12"/>
  <c r="I47" i="12"/>
  <c r="I46" i="12" s="1"/>
  <c r="H46" i="12"/>
  <c r="E43" i="11"/>
  <c r="V11" i="11" l="1"/>
  <c r="F24" i="12" s="1"/>
  <c r="G24" i="12" s="1"/>
  <c r="H24" i="12" s="1"/>
  <c r="I24" i="12" s="1"/>
  <c r="V9" i="11"/>
  <c r="F22" i="12" s="1"/>
  <c r="G22" i="12" s="1"/>
  <c r="H22" i="12" s="1"/>
  <c r="I22" i="12" s="1"/>
  <c r="G43" i="12"/>
  <c r="F42" i="12"/>
  <c r="L45" i="12" s="1"/>
  <c r="C41" i="12"/>
  <c r="F51" i="23"/>
  <c r="M9" i="11"/>
  <c r="L9" i="11" s="1"/>
  <c r="B22" i="12" s="1"/>
  <c r="V8" i="11"/>
  <c r="L43" i="12"/>
  <c r="I4" i="11"/>
  <c r="I44" i="11" s="1"/>
  <c r="I43" i="11" s="1"/>
  <c r="V7" i="11"/>
  <c r="F20" i="12" s="1"/>
  <c r="G20" i="12" s="1"/>
  <c r="H20" i="12" s="1"/>
  <c r="I20" i="12" s="1"/>
  <c r="J4" i="11"/>
  <c r="J44" i="11" s="1"/>
  <c r="J43" i="11" s="1"/>
  <c r="V6" i="11"/>
  <c r="M11" i="11" l="1"/>
  <c r="B24" i="12" s="1"/>
  <c r="K43" i="12"/>
  <c r="K45" i="12"/>
  <c r="K44" i="12"/>
  <c r="H43" i="12"/>
  <c r="G42" i="12"/>
  <c r="F21" i="12"/>
  <c r="G21" i="12" s="1"/>
  <c r="H21" i="12" s="1"/>
  <c r="I21" i="12" s="1"/>
  <c r="M8" i="11"/>
  <c r="L8" i="11" s="1"/>
  <c r="B21" i="12" s="1"/>
  <c r="M7" i="11"/>
  <c r="L7" i="11" s="1"/>
  <c r="B20" i="12" s="1"/>
  <c r="K43" i="11"/>
  <c r="F40" i="12" s="1"/>
  <c r="K44" i="11"/>
  <c r="G40" i="12" s="1"/>
  <c r="K4" i="11"/>
  <c r="F43" i="23" s="1"/>
  <c r="M6" i="11"/>
  <c r="F19" i="12"/>
  <c r="G19" i="12" s="1"/>
  <c r="H19" i="12" s="1"/>
  <c r="I19" i="12" s="1"/>
  <c r="I43" i="12" l="1"/>
  <c r="I42" i="12" s="1"/>
  <c r="H42" i="12"/>
  <c r="F52" i="23"/>
  <c r="H40" i="12"/>
  <c r="L6" i="11"/>
  <c r="B19" i="12" s="1"/>
  <c r="M5" i="11"/>
  <c r="D16" i="12" s="1"/>
  <c r="I18" i="12" l="1"/>
  <c r="G18" i="12"/>
  <c r="F18" i="12"/>
  <c r="R15" i="12" s="1"/>
  <c r="H18" i="12"/>
  <c r="I40" i="12"/>
  <c r="G16" i="12" l="1"/>
  <c r="H16" i="12"/>
  <c r="F16" i="12"/>
  <c r="E17" i="12"/>
  <c r="I16" i="12"/>
  <c r="D12" i="27" l="1"/>
  <c r="D9" i="27"/>
  <c r="D11" i="27"/>
  <c r="D19" i="27"/>
  <c r="D17" i="27"/>
  <c r="D6" i="27"/>
  <c r="D20" i="27"/>
  <c r="D15" i="27"/>
  <c r="D13" i="27"/>
  <c r="D5" i="27"/>
  <c r="D16" i="27"/>
  <c r="D10" i="27"/>
  <c r="D8" i="27"/>
  <c r="D7" i="27"/>
  <c r="D14" i="27"/>
  <c r="D18" i="27"/>
  <c r="L22" i="12"/>
  <c r="K38" i="12" s="1"/>
  <c r="K14" i="12"/>
  <c r="D12" i="12" s="1"/>
  <c r="L20" i="12"/>
  <c r="L24" i="12"/>
  <c r="L26" i="12"/>
  <c r="K36" i="12" l="1"/>
  <c r="K28" i="12"/>
  <c r="K34" i="12"/>
  <c r="K31" i="12"/>
  <c r="F13" i="12"/>
  <c r="E2" i="27" s="1"/>
  <c r="K25" i="12"/>
  <c r="K37" i="12"/>
  <c r="K35" i="12"/>
  <c r="K23" i="12"/>
  <c r="I13" i="12"/>
  <c r="K32" i="12"/>
  <c r="K26" i="12"/>
  <c r="K30" i="12"/>
  <c r="D11" i="12"/>
  <c r="D10" i="12" s="1"/>
  <c r="D13" i="12"/>
  <c r="B2" i="27" s="1"/>
  <c r="P9" i="12"/>
  <c r="E16" i="27"/>
  <c r="E11" i="27"/>
  <c r="E15" i="27"/>
  <c r="E10" i="27"/>
  <c r="E6" i="27"/>
  <c r="E7" i="27"/>
  <c r="E14" i="27"/>
  <c r="E8" i="27"/>
  <c r="E20" i="27"/>
  <c r="E12" i="27"/>
  <c r="E18" i="27"/>
  <c r="E13" i="27"/>
  <c r="E19" i="27"/>
  <c r="J7" i="27"/>
  <c r="J9" i="27" s="1"/>
  <c r="E9" i="27"/>
  <c r="E17" i="27"/>
  <c r="E5" i="27"/>
  <c r="I12" i="12"/>
  <c r="H13" i="12"/>
  <c r="K27" i="12"/>
  <c r="K29" i="12"/>
  <c r="K19" i="12"/>
  <c r="H12" i="12"/>
  <c r="G13" i="12"/>
  <c r="F42" i="23"/>
  <c r="F54" i="23" s="1"/>
  <c r="K33" i="12"/>
  <c r="K22" i="12"/>
  <c r="G12" i="12"/>
  <c r="K24" i="12"/>
  <c r="K20" i="12"/>
  <c r="K21" i="12"/>
  <c r="F12" i="12"/>
  <c r="M9" i="12" s="1"/>
  <c r="K39" i="12"/>
  <c r="K40" i="1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rafael.vazquez</author>
  </authors>
  <commentList>
    <comment ref="B34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Consolidar aquí los importes totales para las partidas de compras según las categorías definidas. 
Si se requieren desgloses adicionales, deben incluirse en pestaña aparte y consolidar aquí.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 Irureta</author>
  </authors>
  <commentList>
    <comment ref="O18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Tarifa de Venta Indicada en Euros/hora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<sst xmlns="http://schemas.openxmlformats.org/spreadsheetml/2006/main" count="553" uniqueCount="422">
  <si>
    <t>TOTAL</t>
  </si>
  <si>
    <t>Gastos</t>
  </si>
  <si>
    <t>Compras</t>
  </si>
  <si>
    <t>Año</t>
  </si>
  <si>
    <t>Garantía</t>
  </si>
  <si>
    <t>Margen Bruto</t>
  </si>
  <si>
    <t>Riesgos</t>
  </si>
  <si>
    <t>K_2</t>
  </si>
  <si>
    <t>Otros</t>
  </si>
  <si>
    <t>Perfil</t>
  </si>
  <si>
    <t>Costes de Producción Previsional (CPP Referencia)</t>
  </si>
  <si>
    <t>Coeficientes Gestión</t>
  </si>
  <si>
    <t>Coste Directo</t>
  </si>
  <si>
    <t>Margen Neto</t>
  </si>
  <si>
    <t>Horas</t>
  </si>
  <si>
    <t>IVA</t>
  </si>
  <si>
    <t xml:space="preserve">IVA </t>
  </si>
  <si>
    <t>Oferta con IVA</t>
  </si>
  <si>
    <t>Tasa de utilización</t>
  </si>
  <si>
    <t>Descripción del Item (opcional)</t>
  </si>
  <si>
    <t>Código Oferta/Proyecto:</t>
  </si>
  <si>
    <t>Cliente:</t>
  </si>
  <si>
    <t>Coste Elaboración Oferta(C.E.O):</t>
  </si>
  <si>
    <t>Garantía (Mano de Obra)</t>
  </si>
  <si>
    <t>Garantía (M. O.)</t>
  </si>
  <si>
    <t>Estimación Mano de Obra</t>
  </si>
  <si>
    <t>Coste Directo Mano de Obra</t>
  </si>
  <si>
    <t>Riesgos  (Mano de Obra)</t>
  </si>
  <si>
    <t>Responsable Comercial:</t>
  </si>
  <si>
    <t>Responsable Oferta:</t>
  </si>
  <si>
    <t>Coste Total</t>
  </si>
  <si>
    <t>Coste +K1</t>
  </si>
  <si>
    <t>Duración (meses)</t>
  </si>
  <si>
    <t>Tipo de Contratación:</t>
  </si>
  <si>
    <t>K_3</t>
  </si>
  <si>
    <t>Mano de Obra</t>
  </si>
  <si>
    <t>Margen
Bruto</t>
  </si>
  <si>
    <t>Margen
Neto</t>
  </si>
  <si>
    <t>Oficina</t>
  </si>
  <si>
    <t>Cálculo por Tarifas</t>
  </si>
  <si>
    <t>Tarifa</t>
  </si>
  <si>
    <t>Venta</t>
  </si>
  <si>
    <t>Codigo Oferta:</t>
  </si>
  <si>
    <t>Margen Directo</t>
  </si>
  <si>
    <t>Mínimo</t>
  </si>
  <si>
    <t>Eur</t>
  </si>
  <si>
    <t>Sigla</t>
  </si>
  <si>
    <t>Coste + impr.</t>
  </si>
  <si>
    <t>Descripción Oferta:</t>
  </si>
  <si>
    <t>Mes Inicio servicio:</t>
  </si>
  <si>
    <t>Año Inicio servicio:</t>
  </si>
  <si>
    <t>Duración prevista (meses):</t>
  </si>
  <si>
    <t>Si</t>
  </si>
  <si>
    <t>No</t>
  </si>
  <si>
    <t>Revisado y validado por:</t>
  </si>
  <si>
    <t>Ocurrencia</t>
  </si>
  <si>
    <t>Comentarios</t>
  </si>
  <si>
    <t>rr</t>
  </si>
  <si>
    <t>hay</t>
  </si>
  <si>
    <t>Del Cliente:</t>
  </si>
  <si>
    <t>Es la primera vez que se trabaja con este cliente?</t>
  </si>
  <si>
    <t>si</t>
  </si>
  <si>
    <t>Han existido problemas de cobro, o de algún otro tipo, en proyectos anteriores con este cliente?</t>
  </si>
  <si>
    <t>La situación financiera del cliente es inestable, o nos es desconocida?</t>
  </si>
  <si>
    <t>Es el Cliente de naturaleza problemática, intrínsecos a su sector o al tipo de negocio?</t>
  </si>
  <si>
    <t>Es un cliente extranjero o afectado por las restricciones de exportación?</t>
  </si>
  <si>
    <t>Al cliente se la factura en una divisa distinta del euro?</t>
  </si>
  <si>
    <t>Cliente afectado por condicionantes legales específicas o especiales?</t>
  </si>
  <si>
    <t>De la Oferta:</t>
  </si>
  <si>
    <t>Se trata de un proyecto o servicio crítico para el negocio del cliente?</t>
  </si>
  <si>
    <t>Es la primera vez que se realiza un proyecto en este entorno de negocio?</t>
  </si>
  <si>
    <t>Es la primera vez que se realiza un proyecto con esta tecnología?</t>
  </si>
  <si>
    <t>Hay limitaciones en el precio de la oferta que condicionen el margen resultante?</t>
  </si>
  <si>
    <t>El importe de la oferta es superior a 500K€</t>
  </si>
  <si>
    <t>Se contemplan Penalizaciones en la oferta?</t>
  </si>
  <si>
    <t>Son necesarios acuerdos previos con algún proveedor/socio antes de tener la oferta aceptada?</t>
  </si>
  <si>
    <t>Es necesaria la constitución de una UTE antes de tener la oferta aceptada?</t>
  </si>
  <si>
    <t>Hay conocimiento del entorno de Negocio por parte de equipo de oferta?</t>
  </si>
  <si>
    <t>no</t>
  </si>
  <si>
    <t>Hay suficiente personal en el equipo de oferta que conozca las tecnologías implicadas?</t>
  </si>
  <si>
    <t>Hay tiempo/disponibilidad suficiente para preparar la oferta en condiciones optimas?</t>
  </si>
  <si>
    <t>Depende parte de contenido de la oferta de algún socio o proveedor?</t>
  </si>
  <si>
    <t>Otros riesgos específicos</t>
  </si>
  <si>
    <t>Calculadora salario - coste hora</t>
  </si>
  <si>
    <t>Salario Base</t>
  </si>
  <si>
    <t>Variable</t>
  </si>
  <si>
    <t>Total empl.</t>
  </si>
  <si>
    <t>Coste ss</t>
  </si>
  <si>
    <t>Coste total</t>
  </si>
  <si>
    <t>Horas jornada</t>
  </si>
  <si>
    <t>Tipo contr</t>
  </si>
  <si>
    <t>Coste jornada</t>
  </si>
  <si>
    <t>Coste hora</t>
  </si>
  <si>
    <t>Horas anuales</t>
  </si>
  <si>
    <t>Coste max ss</t>
  </si>
  <si>
    <t>Total impacto</t>
  </si>
  <si>
    <t>Listado Riesgos generales</t>
  </si>
  <si>
    <t>Del proyecto/servicio:</t>
  </si>
  <si>
    <t>Margen
Directo + TU</t>
  </si>
  <si>
    <t>Margen
Directo (sin TU)</t>
  </si>
  <si>
    <t>Parámetros cálculo costes jornada</t>
  </si>
  <si>
    <t>%SS para fijos</t>
  </si>
  <si>
    <t>%SS para temporales</t>
  </si>
  <si>
    <t>%SS para temp. y t. parcial</t>
  </si>
  <si>
    <t>Máximo fijo</t>
  </si>
  <si>
    <t>Máximo temp.</t>
  </si>
  <si>
    <t>Máximo t.parcial</t>
  </si>
  <si>
    <t>Base cotización máxima:</t>
  </si>
  <si>
    <t>F</t>
  </si>
  <si>
    <t>Días anuales</t>
  </si>
  <si>
    <t>Cuantificación del Riesgo</t>
  </si>
  <si>
    <t>Probabilidad
(%)</t>
  </si>
  <si>
    <t>Impacto
económico</t>
  </si>
  <si>
    <t>Reserva a 
provisionar</t>
  </si>
  <si>
    <t>Riesgo genérico</t>
  </si>
  <si>
    <t>Riesgo evaluado en chklst</t>
  </si>
  <si>
    <t>Fecha de revisión</t>
  </si>
  <si>
    <t>Sector</t>
  </si>
  <si>
    <t>Tipo de Oferta</t>
  </si>
  <si>
    <t>Proyecto/Servicio:</t>
  </si>
  <si>
    <t>M.Directo + TU</t>
  </si>
  <si>
    <t>M.Directo sin TU</t>
  </si>
  <si>
    <t>M.Directo (sin TU)</t>
  </si>
  <si>
    <t>Calculadora inversa:  coste hora --&gt; salario</t>
  </si>
  <si>
    <t>COMPETENCIA CONOCIDA</t>
  </si>
  <si>
    <t>MOTIVOS POR EL CUAL SE ESCALA</t>
  </si>
  <si>
    <t>CONSIDERACIONES SOBRE EL PRECIO</t>
  </si>
  <si>
    <t>MOTIVOS POR LOS CUALES SE SOLICITA LA APROBACIÓN DE SU PRESENTACIÓN</t>
  </si>
  <si>
    <t>Justificación de los motivos por los cuales, pese a no cumplir los requerimientos estándar, el responsable de esta Oferta considera oportuno presentarla, por lo cual la escala a Dirección para su aprobación</t>
  </si>
  <si>
    <t>CONTEXTO DEL CLIENTE Y DEL PROYECTO</t>
  </si>
  <si>
    <t>CONSIDERACIONES SOBRE LA ESTIMACIÓN DE LOS COSTES</t>
  </si>
  <si>
    <t>nombre apellidos</t>
  </si>
  <si>
    <t>CONDICIONES DE FACTURACIÓN Y COBRO</t>
  </si>
  <si>
    <t>CRITERIOS DE VALORACIÓN DE LA OFERTA POR PARTE DEL CLIENTE</t>
  </si>
  <si>
    <t>Entidades</t>
  </si>
  <si>
    <t>Sectores</t>
  </si>
  <si>
    <t>Industria</t>
  </si>
  <si>
    <t>TContrata</t>
  </si>
  <si>
    <t>AT</t>
  </si>
  <si>
    <t>HW/SW</t>
  </si>
  <si>
    <t>A Coruña</t>
  </si>
  <si>
    <t>Barcelona</t>
  </si>
  <si>
    <t>Bilbao</t>
  </si>
  <si>
    <t>Murcia</t>
  </si>
  <si>
    <t>Oviedo</t>
  </si>
  <si>
    <t>Vigo</t>
  </si>
  <si>
    <t>Sevilla</t>
  </si>
  <si>
    <t>Valencia</t>
  </si>
  <si>
    <t>Zaragoza</t>
  </si>
  <si>
    <t>Madrid</t>
  </si>
  <si>
    <t>Valladolid</t>
  </si>
  <si>
    <t>Zona</t>
  </si>
  <si>
    <t>Norte</t>
  </si>
  <si>
    <t>Sur</t>
  </si>
  <si>
    <t>Este</t>
  </si>
  <si>
    <t>Centro</t>
  </si>
  <si>
    <t>Entidad</t>
  </si>
  <si>
    <t xml:space="preserve">Sector: </t>
  </si>
  <si>
    <t xml:space="preserve">Oficina: </t>
  </si>
  <si>
    <t>sin oficina</t>
  </si>
  <si>
    <t>n/a</t>
  </si>
  <si>
    <t xml:space="preserve">Zona: </t>
  </si>
  <si>
    <t>Puede consultar la ayuda detallada para cumplimentar este documento en el siguiente enlace:</t>
  </si>
  <si>
    <t>Oficinas</t>
  </si>
  <si>
    <t>Riesgo</t>
  </si>
  <si>
    <t>Gerente operaciones</t>
  </si>
  <si>
    <t>Responsable de Bid</t>
  </si>
  <si>
    <t>José Luis Ramos</t>
  </si>
  <si>
    <t>José Enrique Leal</t>
  </si>
  <si>
    <t>José Carracedo</t>
  </si>
  <si>
    <t>Antoni Montes</t>
  </si>
  <si>
    <t>DATOS FACTURACIÓN</t>
  </si>
  <si>
    <t>Importe</t>
  </si>
  <si>
    <t>Hitos Facturacion</t>
  </si>
  <si>
    <t>Fecha prev. Emisión</t>
  </si>
  <si>
    <t>Días para Vencimiento</t>
  </si>
  <si>
    <t>Total</t>
  </si>
  <si>
    <t>Persona de Contacto</t>
  </si>
  <si>
    <t>Forma de presentación de las facturas</t>
  </si>
  <si>
    <t>días de pago</t>
  </si>
  <si>
    <t>Condiciones Facturación contractuales</t>
  </si>
  <si>
    <t xml:space="preserve">Fecha Fin Previsto: </t>
  </si>
  <si>
    <t xml:space="preserve">Fecha Inicio Real: </t>
  </si>
  <si>
    <t xml:space="preserve">Fecha Inicio Garantia: </t>
  </si>
  <si>
    <t xml:space="preserve">Fecha Fin Garantia: </t>
  </si>
  <si>
    <t>Responsable BID</t>
  </si>
  <si>
    <t>RespOperZona</t>
  </si>
  <si>
    <t>Raul de Luis</t>
  </si>
  <si>
    <t>BID Manager</t>
  </si>
  <si>
    <t>Coste seguros y otros</t>
  </si>
  <si>
    <t>Sector Público</t>
  </si>
  <si>
    <t>Director operaciones zona</t>
  </si>
  <si>
    <t xml:space="preserve">Entidad Presentadora: </t>
  </si>
  <si>
    <t>unidades</t>
  </si>
  <si>
    <t>(la unidad interna donde se quiere imputar la venta)</t>
  </si>
  <si>
    <t>Financiero</t>
  </si>
  <si>
    <t>Sector Sanitario</t>
  </si>
  <si>
    <t>Subcontrataciones</t>
  </si>
  <si>
    <t>Mantenimiento de HW</t>
  </si>
  <si>
    <t>Cost Element</t>
  </si>
  <si>
    <t>Text SAP</t>
  </si>
  <si>
    <t>Descripción</t>
  </si>
  <si>
    <t>(ME) PROJECT SERVICE</t>
  </si>
  <si>
    <t>Billing</t>
  </si>
  <si>
    <t>SALARIES</t>
  </si>
  <si>
    <t>Coste Personal</t>
  </si>
  <si>
    <t>THIRD PARTY SW PROD.</t>
  </si>
  <si>
    <t>Licencias SW y HW</t>
  </si>
  <si>
    <t>TRAVELLING EXPENSES</t>
  </si>
  <si>
    <t>Agencia de Viajes</t>
  </si>
  <si>
    <t>LOCAL GEN TRAVEL</t>
  </si>
  <si>
    <t>Expenses/Gastos</t>
  </si>
  <si>
    <t>SOFTWARE - EXPENSED</t>
  </si>
  <si>
    <t>Mantenimiento SW de terceros</t>
  </si>
  <si>
    <t>SUB CONTRACTORS</t>
  </si>
  <si>
    <t>HW MAINTENANCE  I.S.</t>
  </si>
  <si>
    <t>WARRANTY PROVISIONS</t>
  </si>
  <si>
    <t>Garantías</t>
  </si>
  <si>
    <t>accrual future loss</t>
  </si>
  <si>
    <t>Riegos</t>
  </si>
  <si>
    <t>Total Margen</t>
  </si>
  <si>
    <t>Subc Cost fr Affilia</t>
  </si>
  <si>
    <t>Intercos</t>
  </si>
  <si>
    <t>Responsable comercial</t>
  </si>
  <si>
    <t xml:space="preserve">Hay periodo Garantía: </t>
  </si>
  <si>
    <t>Descripción Gastos</t>
  </si>
  <si>
    <t>Descripción Compras</t>
  </si>
  <si>
    <t>(mercantil a nombre de la cual se presenta la oferta)</t>
  </si>
  <si>
    <t>Parámetros cálculo coste SS: (2017)</t>
  </si>
  <si>
    <t>SFERE</t>
  </si>
  <si>
    <t>TiWORKS</t>
  </si>
  <si>
    <t>Cesar Wagener</t>
  </si>
  <si>
    <t>Luis Lozano</t>
  </si>
  <si>
    <t>Resp. Producto</t>
  </si>
  <si>
    <t>Responsable de Producto</t>
  </si>
  <si>
    <t xml:space="preserve">Inicio: </t>
  </si>
  <si>
    <t xml:space="preserve">Es necesario Aval: </t>
  </si>
  <si>
    <t xml:space="preserve">Importe Aval: </t>
  </si>
  <si>
    <t xml:space="preserve">¿contrato con penalizaciones?: </t>
  </si>
  <si>
    <t xml:space="preserve">Imp.máx.penalización: </t>
  </si>
  <si>
    <t>Datos de contacto para Facturación</t>
  </si>
  <si>
    <t>Por la parte de Desarrollo o Servicio</t>
  </si>
  <si>
    <t>Por la parte de Soporte a Productos (propios o de terceros)</t>
  </si>
  <si>
    <t>Por la parte de venta de Producto (propios o de terceros)</t>
  </si>
  <si>
    <t>Fecha 1ª Emisión</t>
  </si>
  <si>
    <t>Fecha última emisión</t>
  </si>
  <si>
    <t>Variación Salarios prevista</t>
  </si>
  <si>
    <t>Productos</t>
  </si>
  <si>
    <t>TiFLOWS</t>
  </si>
  <si>
    <t>GEMA</t>
  </si>
  <si>
    <t>Importe licencias Productos Propios</t>
  </si>
  <si>
    <t xml:space="preserve">Producto: </t>
  </si>
  <si>
    <t>Precio Total
(sin productos propios)</t>
  </si>
  <si>
    <t>Total Oferta sin IVA</t>
  </si>
  <si>
    <t xml:space="preserve">nº años : </t>
  </si>
  <si>
    <t xml:space="preserve">Importe anual cuota soporte Producto : </t>
  </si>
  <si>
    <t>Margen teorico contribución
(M.Directo + licencias + cuota soporte)</t>
  </si>
  <si>
    <t>Presupuesto Oferta (PPO)</t>
  </si>
  <si>
    <t>Kas</t>
  </si>
  <si>
    <t>tipo</t>
  </si>
  <si>
    <t>Propuesta de Escalado validada y presentada por:</t>
  </si>
  <si>
    <t>Mano obra + gastos</t>
  </si>
  <si>
    <t>Dto %</t>
  </si>
  <si>
    <t>Precio máx licitación:</t>
  </si>
  <si>
    <t>coste medio m.o.:</t>
  </si>
  <si>
    <r>
      <t xml:space="preserve">Resumen de las principales características del Cliente y del Proyecto, relevantes para evaluar la importancia de esta oferta en su contexto:
</t>
    </r>
    <r>
      <rPr>
        <sz val="10"/>
        <color rgb="FFFF0000"/>
        <rFont val="Arial"/>
        <family val="2"/>
      </rPr>
      <t>- posición nuestra en el cliente
- precedentes históricos
- hitos principales del proyecto
- impacto económico en el cliente
- contexto del mercado
- complejidades significativas
- etc…</t>
    </r>
  </si>
  <si>
    <r>
      <t xml:space="preserve">Describir qué otras empresas están licitando por el mismo proyecto, si las hay y su posición:
</t>
    </r>
    <r>
      <rPr>
        <sz val="10"/>
        <color rgb="FFFF0000"/>
        <rFont val="Arial"/>
        <family val="2"/>
      </rPr>
      <t>- presencia previa en el cliente
- ventajas que tiene
- posición respecto a nosotros
- criterios del cliente respecto a la competencia
- etc…</t>
    </r>
  </si>
  <si>
    <r>
      <t xml:space="preserve">Elementos a destacar o matizar respecto a los costes contemplados en este PPO:
</t>
    </r>
    <r>
      <rPr>
        <sz val="10"/>
        <color rgb="FFFF0000"/>
        <rFont val="Arial"/>
        <family val="2"/>
      </rPr>
      <t>- reutilización
- riesgos
- utilización de personal disponible
- etc…</t>
    </r>
  </si>
  <si>
    <r>
      <t xml:space="preserve">indicar las condicones de facturación y cobro con las que se presenta la oferta:
</t>
    </r>
    <r>
      <rPr>
        <sz val="10"/>
        <color rgb="FFFF0000"/>
        <rFont val="Arial"/>
        <family val="2"/>
      </rPr>
      <t>- plan de facturación previsto (hitos, periodicidades,...)
- periodo de vencimiento con el que se emitiran las facturas (remarcarlo especialmente si va a ser superior a 30 días)
- indicar si la facturación será en moneda distinta del euro
- otros condicionantes que puedan ser significativos en estos aspectos (significativa diferencia temporal entre la procucción y la facturación,...)
- etc....</t>
    </r>
  </si>
  <si>
    <r>
      <t xml:space="preserve">Justificación sobre el precio presentado:
</t>
    </r>
    <r>
      <rPr>
        <sz val="10"/>
        <color rgb="FFFF0000"/>
        <rFont val="Arial"/>
        <family val="2"/>
      </rPr>
      <t>- expectativas del cliente
- precios del mercado, competencia, ….
- posibles rebajas, descuentos, …
- posibilidad de disminuir descuentos
- etc…</t>
    </r>
  </si>
  <si>
    <r>
      <t xml:space="preserve">enumeración del motivo o motivos por el cual es necesario escalar la aprobación de esta oferta:
</t>
    </r>
    <r>
      <rPr>
        <sz val="10"/>
        <color rgb="FFFF0000"/>
        <rFont val="Arial"/>
        <family val="2"/>
      </rPr>
      <t>- márgenes inferiores a los estándar
- riesgos elevados
- importe superior a 500k€
- condiciones de facturación o pago especiales
- importe en divisa distinta de euros
- penalizaciones especiales
- condiciones contractuales especiales</t>
    </r>
  </si>
  <si>
    <r>
      <t xml:space="preserve">Exponer y justificar el motivo por el cual, pese a las condiciones desfavorables indicadas, se pretende que Dirección apruebe la presentación de esta Oferta:
</t>
    </r>
    <r>
      <rPr>
        <sz val="10"/>
        <color rgb="FFFF0000"/>
        <rFont val="Arial"/>
        <family val="2"/>
      </rPr>
      <t>- oportunidad de negocio
- posición en el cliente
- mercado
- disponibles
- etc…</t>
    </r>
  </si>
  <si>
    <t>Almeria</t>
  </si>
  <si>
    <t>CMC</t>
  </si>
  <si>
    <t>Fecha prevista presentación al Cliente :</t>
  </si>
  <si>
    <t>NORMAS PARA LA APROBACIÓN Y ESCALADO DE LAS OFERTAS</t>
  </si>
  <si>
    <t>El proceso BID y sus normas estan disponibles en :</t>
  </si>
  <si>
    <t>Proposal STD margin:</t>
  </si>
  <si>
    <t>Standard</t>
  </si>
  <si>
    <t xml:space="preserve">Regional </t>
  </si>
  <si>
    <t>Central</t>
  </si>
  <si>
    <t>Getronics Managed Services</t>
  </si>
  <si>
    <t>Internal resource</t>
  </si>
  <si>
    <t>GWA Partner</t>
  </si>
  <si>
    <t>Subcontracting</t>
  </si>
  <si>
    <t>Cloud:</t>
  </si>
  <si>
    <t>Compute</t>
  </si>
  <si>
    <t xml:space="preserve"> </t>
  </si>
  <si>
    <t>Storage</t>
  </si>
  <si>
    <t>Backup</t>
  </si>
  <si>
    <t>Products and licenses for services 
(SNOW, SPLA, Service ONE etc.)</t>
  </si>
  <si>
    <t>Consulting</t>
  </si>
  <si>
    <t>Professional services</t>
  </si>
  <si>
    <t>Staff Augmentation*</t>
  </si>
  <si>
    <t>*No SLA; No Back Fill</t>
  </si>
  <si>
    <t>Products resell:</t>
  </si>
  <si>
    <t>Licenses resell:</t>
  </si>
  <si>
    <t>Total Deal overall</t>
  </si>
  <si>
    <t>Cash Flow</t>
  </si>
  <si>
    <t>Leasing allowed</t>
  </si>
  <si>
    <t>Current internal people not in calculation</t>
  </si>
  <si>
    <t>Cash flow positive</t>
  </si>
  <si>
    <t>&lt;2 months</t>
  </si>
  <si>
    <t>&lt;3 months</t>
  </si>
  <si>
    <t>3+ months</t>
  </si>
  <si>
    <t xml:space="preserve">Payback &amp; Capex </t>
  </si>
  <si>
    <t>see sign out thresholds</t>
  </si>
  <si>
    <t>Note</t>
  </si>
  <si>
    <t>The margin per business line can be lower if overall margin is in line with approval level</t>
  </si>
  <si>
    <t>Improving the current margin allowed to deviate from above if Operations wants to renew</t>
  </si>
  <si>
    <t>Financial approval is required for negative cashflow</t>
  </si>
  <si>
    <t>Reach out to finance as early as possible during bid response</t>
  </si>
  <si>
    <t>SCI32PR01</t>
  </si>
  <si>
    <t>CRITERIOS PARA EL ESCALADO</t>
  </si>
  <si>
    <t>Matriz actualizada de responsabilidades</t>
  </si>
  <si>
    <t>Disponible en :</t>
  </si>
  <si>
    <t>MATRIZ DE PREAPROBACIONES</t>
  </si>
  <si>
    <t>cod</t>
  </si>
  <si>
    <t>EV</t>
  </si>
  <si>
    <t>EZ</t>
  </si>
  <si>
    <t>EO</t>
  </si>
  <si>
    <t>EX</t>
  </si>
  <si>
    <t>GR</t>
  </si>
  <si>
    <t>Connectis-ICT</t>
  </si>
  <si>
    <t>Global Rosetta</t>
  </si>
  <si>
    <t>C-UC Portugal</t>
  </si>
  <si>
    <t>CS</t>
  </si>
  <si>
    <t>UC</t>
  </si>
  <si>
    <t>W</t>
  </si>
  <si>
    <t>X</t>
  </si>
  <si>
    <t>0</t>
  </si>
  <si>
    <t>ICT</t>
  </si>
  <si>
    <t>Getronics</t>
  </si>
  <si>
    <t>LATAM</t>
  </si>
  <si>
    <t>Internal</t>
  </si>
  <si>
    <t>I</t>
  </si>
  <si>
    <t>P</t>
  </si>
  <si>
    <t>S</t>
  </si>
  <si>
    <t>G</t>
  </si>
  <si>
    <t>L</t>
  </si>
  <si>
    <t>N</t>
  </si>
  <si>
    <t>Servicio</t>
  </si>
  <si>
    <t>codser</t>
  </si>
  <si>
    <t>Servicios profesionales (AT)</t>
  </si>
  <si>
    <t>PC (inc implantación)</t>
  </si>
  <si>
    <t>GL</t>
  </si>
  <si>
    <t>PE (hardware otras compras)</t>
  </si>
  <si>
    <t>PM (Mant &amp; Soporte)</t>
  </si>
  <si>
    <t>Licencias (Liq. Tipo PE)</t>
  </si>
  <si>
    <t>PR Reparaciones</t>
  </si>
  <si>
    <t>Producto</t>
  </si>
  <si>
    <t>Sin producto</t>
  </si>
  <si>
    <t>A</t>
  </si>
  <si>
    <t>B</t>
  </si>
  <si>
    <t>C</t>
  </si>
  <si>
    <t>EADMIN</t>
  </si>
  <si>
    <t>ERP</t>
  </si>
  <si>
    <t>Movility</t>
  </si>
  <si>
    <t>Seguridad</t>
  </si>
  <si>
    <t>Sol. Industriales</t>
  </si>
  <si>
    <t>D</t>
  </si>
  <si>
    <t>E</t>
  </si>
  <si>
    <t>H</t>
  </si>
  <si>
    <t xml:space="preserve">Unidad Negocio: </t>
  </si>
  <si>
    <t>Tipo Servicio:</t>
  </si>
  <si>
    <t>Tipo Producto:</t>
  </si>
  <si>
    <t>CEBE:</t>
  </si>
  <si>
    <t>versión enero 2019v1</t>
  </si>
  <si>
    <t>K_1</t>
  </si>
  <si>
    <t xml:space="preserve">Plazo de vencimiento de  facturas: </t>
  </si>
  <si>
    <t>Vencimiento</t>
  </si>
  <si>
    <t>N030</t>
  </si>
  <si>
    <t>N060</t>
  </si>
  <si>
    <t>(obligatorio)</t>
  </si>
  <si>
    <t>Jaime Murcia</t>
  </si>
  <si>
    <t>AP</t>
  </si>
  <si>
    <t>JP</t>
  </si>
  <si>
    <t>CO</t>
  </si>
  <si>
    <t>Experiencia en los últimos 4 años de al menos 2 años en los siguientes aspectos (se requiere experiencia
en todos ellos):
- Desarrollo informático J2EE Framework STRUTS y en Angular, JEE, Spring, API Restful y Oracle BD.
- Informes Jasper Report.
- Desarrollo de aplicaciones de Administración electrónica para cualquier Administración Pública.</t>
  </si>
  <si>
    <t>Titulado universitario de grado superior
Experiencia como Jefe de proyecto de al menos 2 años en los últimos 4 años en proyectos de
Administración Electrónica para cualquier Administración Pública basados en las dos siguientes
arquitecturas: J2EE y Angular 2+.</t>
  </si>
  <si>
    <t>Titulado universitario de grado superior
Experiencia como analista/consultor de al menos 2 años en los últimos 4 años en todas las siguientes
arquitecturas J2EE Framework STRUTS, Angular, JEE, Spring, API Restful y Oracle BD.</t>
  </si>
  <si>
    <t>La oferta recibirá 10 puntos de valoración si la persona propuesta como Consultor, además
de cumplir los requisitos indicados en la adscripción de medios personales, cuenta con 2 años
de experiencia en los últimos 4 años en proyectos de Administración Electrónica para la
tramitación de procedimientos administrativos de sectores del ámbito energético y/o industrial.</t>
  </si>
  <si>
    <t>Garantía 12 meses</t>
  </si>
  <si>
    <t>PC / AMS</t>
  </si>
  <si>
    <t>AMS</t>
  </si>
  <si>
    <t>Javier Sans</t>
  </si>
  <si>
    <t>NO</t>
  </si>
  <si>
    <t>SEMESTRE 2</t>
  </si>
  <si>
    <t>SEMESTRE 3</t>
  </si>
  <si>
    <t>SEMESTRE 4</t>
  </si>
  <si>
    <t xml:space="preserve">SEMESTRE 1 </t>
  </si>
  <si>
    <t>SEMESTRE 5</t>
  </si>
  <si>
    <t>SEMESTRE 6</t>
  </si>
  <si>
    <t>SEMESTRE 7</t>
  </si>
  <si>
    <t>SEMESTRE 8</t>
  </si>
  <si>
    <t>Consejería Educación JCyL</t>
  </si>
  <si>
    <t>Licitación</t>
  </si>
  <si>
    <t>Margen Estimado</t>
  </si>
  <si>
    <t>Puntos Económica</t>
  </si>
  <si>
    <t>Descuentos</t>
  </si>
  <si>
    <t>Oponente</t>
  </si>
  <si>
    <t>Dif. Con GTN</t>
  </si>
  <si>
    <t>Criterios no evaluables mediante fórmulas</t>
  </si>
  <si>
    <t xml:space="preserve">Puntuación Max. </t>
  </si>
  <si>
    <t>Puntuación</t>
  </si>
  <si>
    <t>Adecuación del equipo de trabajo</t>
  </si>
  <si>
    <t>Criterios evaluables mediante fórmulas</t>
  </si>
  <si>
    <t>Precio u Oferta económica</t>
  </si>
  <si>
    <t>Yolanda Romero</t>
  </si>
  <si>
    <t>Raul González</t>
  </si>
  <si>
    <t>Javier Sans / Martín Martín</t>
  </si>
  <si>
    <t>Puntos</t>
  </si>
  <si>
    <t>Experiencia adicional a las competencias mínimas</t>
  </si>
  <si>
    <t>Alineamiento tecnológico de las capacidades del equipo</t>
  </si>
  <si>
    <t>Dominio de tecnologías específicas del proyecto</t>
  </si>
  <si>
    <t>Alineamiento con la naturaleza de las tareas a realizar</t>
  </si>
  <si>
    <t>Tipología de proyectos en mantenimiento y desarrollo de software</t>
  </si>
  <si>
    <t>Lote 2: Núcleo Estructural Java</t>
  </si>
  <si>
    <t>Susana Matarranz</t>
  </si>
  <si>
    <t>Jorge Puertas</t>
  </si>
  <si>
    <t>PR</t>
  </si>
  <si>
    <t>Sopore especializado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</si>
</sst>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#,##0.0"/>
    <numFmt numFmtId="166" formatCode="0.0%"/>
    <numFmt numFmtId="167" formatCode="#,##0.000"/>
    <numFmt numFmtId="168" formatCode="&quot;£&quot;#,##0;[Red]\-&quot;£&quot;#,##0"/>
    <numFmt numFmtId="169" formatCode="#,##0_);\(#,##0\)"/>
    <numFmt numFmtId="170" formatCode="#,##0.00\ \€"/>
    <numFmt numFmtId="171" formatCode="[$-C0A]d\-mmm\-yyyy;@"/>
    <numFmt numFmtId="172" formatCode="#,##0_ ;[Red]\-#,##0\ "/>
    <numFmt numFmtId="173" formatCode="[$-C0A]d\-mmm\-yy;@"/>
    <numFmt numFmtId="174" formatCode="#,##0.00\ &quot;€&quot;"/>
    <numFmt numFmtId="175" formatCode="[$-C0A]mmmm\-yy;@"/>
    <numFmt numFmtId="176" formatCode="[$-C0A]mmm\-yy;@"/>
    <numFmt numFmtId="177" formatCode="[$-C0A]dd\-mmm\-yy;@"/>
    <numFmt numFmtId="178" formatCode="#,##0\ &quot;€&quot;"/>
    <numFmt numFmtId="179" formatCode="0.000%"/>
  </numFmts>
  <fonts count="54" x14ac:knownFonts="1"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MS Sans Serif"/>
      <family val="2"/>
    </font>
    <font>
      <u/>
      <sz val="10"/>
      <color indexed="12"/>
      <name val="Times New Roman"/>
      <family val="1"/>
    </font>
    <font>
      <sz val="10"/>
      <name val="Courier"/>
      <family val="3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20"/>
      <name val="Arial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sz val="10"/>
      <name val="Times New Roman"/>
      <family val="1"/>
    </font>
    <font>
      <b/>
      <sz val="8"/>
      <color theme="0" tint="-0.14999847407452621"/>
      <name val="Arial"/>
      <family val="2"/>
    </font>
    <font>
      <sz val="8"/>
      <color theme="0" tint="-0.14999847407452621"/>
      <name val="Arial"/>
      <family val="2"/>
    </font>
    <font>
      <b/>
      <sz val="10"/>
      <color theme="3" tint="0.39997558519241921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b/>
      <sz val="11"/>
      <color indexed="9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sz val="11"/>
      <color indexed="8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i/>
      <sz val="12"/>
      <name val="Arial"/>
      <family val="2"/>
    </font>
    <font>
      <b/>
      <sz val="11"/>
      <color theme="0"/>
      <name val="Arial"/>
      <family val="2"/>
    </font>
    <font>
      <sz val="12"/>
      <name val="Times New Roman"/>
      <family val="1"/>
    </font>
    <font>
      <sz val="11"/>
      <name val="Times New Roman"/>
      <family val="1"/>
    </font>
    <font>
      <sz val="11"/>
      <color rgb="FF262626"/>
      <name val="Arial"/>
      <family val="2"/>
    </font>
    <font>
      <b/>
      <sz val="11"/>
      <color rgb="FF262626"/>
      <name val="Arial"/>
      <family val="2"/>
    </font>
    <font>
      <sz val="14"/>
      <name val="Arial"/>
      <family val="2"/>
    </font>
    <font>
      <sz val="10"/>
      <color rgb="FFFF0000"/>
      <name val="Arial"/>
      <family val="2"/>
    </font>
    <font>
      <sz val="10"/>
      <color theme="0" tint="-0.14999847407452621"/>
      <name val="Arial"/>
      <family val="2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0"/>
      <color theme="0" tint="-0.499984740745262"/>
      <name val="Arial"/>
      <family val="2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b/>
      <sz val="16"/>
      <name val="Times New Roman"/>
      <family val="1"/>
    </font>
    <font>
      <b/>
      <sz val="10"/>
      <name val="Times New Roman"/>
      <family val="1"/>
    </font>
    <font>
      <sz val="9"/>
      <name val="Arial"/>
      <family val="2"/>
    </font>
    <font>
      <sz val="8"/>
      <name val="Times New Roman"/>
      <family val="1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4D4D4C"/>
      <name val="Courier New"/>
      <family val="3"/>
    </font>
  </fonts>
  <fills count="3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lightGray">
        <fgColor indexed="9"/>
        <bgColor indexed="13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9"/>
        <bgColor indexed="4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ECBCB"/>
        <bgColor indexed="64"/>
      </patternFill>
    </fill>
    <fill>
      <patternFill patternType="solid">
        <fgColor rgb="FF38062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1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/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medium">
        <color indexed="64"/>
      </right>
      <top style="thin">
        <color indexed="9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1">
    <xf numFmtId="0" fontId="0" fillId="0" borderId="0"/>
    <xf numFmtId="168" fontId="3" fillId="0" borderId="0" applyFont="0" applyFill="0" applyBorder="0" applyAlignment="0" applyProtection="0"/>
    <xf numFmtId="169" fontId="5" fillId="0" borderId="0"/>
    <xf numFmtId="0" fontId="16" fillId="0" borderId="0"/>
    <xf numFmtId="10" fontId="3" fillId="0" borderId="0" applyFont="0" applyFill="0" applyBorder="0" applyAlignment="0" applyProtection="0"/>
    <xf numFmtId="0" fontId="21" fillId="0" borderId="0"/>
    <xf numFmtId="0" fontId="2" fillId="0" borderId="0"/>
    <xf numFmtId="0" fontId="31" fillId="0" borderId="0"/>
    <xf numFmtId="9" fontId="3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44" fontId="21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" fillId="0" borderId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0">
    <xf numFmtId="3" fontId="0" fillId="0" borderId="0" xfId="0" applyNumberFormat="1"/>
    <xf numFmtId="3" fontId="10" fillId="0" borderId="0" xfId="5" applyNumberFormat="1" applyFont="1"/>
    <xf numFmtId="3" fontId="9" fillId="0" borderId="0" xfId="5" applyNumberFormat="1" applyFont="1" applyAlignment="1">
      <alignment horizontal="center"/>
    </xf>
    <xf numFmtId="3" fontId="10" fillId="0" borderId="0" xfId="5" applyNumberFormat="1" applyFont="1" applyAlignment="1">
      <alignment horizontal="center"/>
    </xf>
    <xf numFmtId="3" fontId="10" fillId="3" borderId="15" xfId="5" applyNumberFormat="1" applyFont="1" applyFill="1" applyBorder="1" applyAlignment="1" applyProtection="1">
      <alignment horizontal="left"/>
      <protection locked="0"/>
    </xf>
    <xf numFmtId="3" fontId="10" fillId="3" borderId="15" xfId="5" applyNumberFormat="1" applyFont="1" applyFill="1" applyBorder="1" applyAlignment="1" applyProtection="1">
      <alignment horizontal="center"/>
      <protection locked="0"/>
    </xf>
    <xf numFmtId="8" fontId="10" fillId="3" borderId="21" xfId="5" applyNumberFormat="1" applyFont="1" applyFill="1" applyBorder="1" applyAlignment="1" applyProtection="1">
      <alignment horizontal="center"/>
      <protection locked="0"/>
    </xf>
    <xf numFmtId="8" fontId="10" fillId="4" borderId="22" xfId="5" applyNumberFormat="1" applyFont="1" applyFill="1" applyBorder="1" applyAlignment="1" applyProtection="1">
      <alignment horizontal="center"/>
      <protection locked="0"/>
    </xf>
    <xf numFmtId="8" fontId="10" fillId="4" borderId="23" xfId="5" applyNumberFormat="1" applyFont="1" applyFill="1" applyBorder="1" applyAlignment="1" applyProtection="1">
      <alignment horizontal="center"/>
      <protection locked="0"/>
    </xf>
    <xf numFmtId="3" fontId="10" fillId="3" borderId="11" xfId="5" applyNumberFormat="1" applyFont="1" applyFill="1" applyBorder="1" applyAlignment="1" applyProtection="1">
      <alignment horizontal="left"/>
      <protection locked="0"/>
    </xf>
    <xf numFmtId="3" fontId="10" fillId="3" borderId="11" xfId="5" applyNumberFormat="1" applyFont="1" applyFill="1" applyBorder="1" applyAlignment="1" applyProtection="1">
      <alignment horizontal="center"/>
      <protection locked="0"/>
    </xf>
    <xf numFmtId="8" fontId="10" fillId="3" borderId="10" xfId="5" applyNumberFormat="1" applyFont="1" applyFill="1" applyBorder="1" applyAlignment="1" applyProtection="1">
      <alignment horizontal="center"/>
      <protection locked="0"/>
    </xf>
    <xf numFmtId="8" fontId="10" fillId="4" borderId="24" xfId="5" applyNumberFormat="1" applyFont="1" applyFill="1" applyBorder="1" applyAlignment="1" applyProtection="1">
      <alignment horizontal="center"/>
      <protection locked="0"/>
    </xf>
    <xf numFmtId="8" fontId="10" fillId="4" borderId="25" xfId="5" applyNumberFormat="1" applyFont="1" applyFill="1" applyBorder="1" applyAlignment="1" applyProtection="1">
      <alignment horizontal="center"/>
      <protection locked="0"/>
    </xf>
    <xf numFmtId="8" fontId="10" fillId="3" borderId="26" xfId="5" applyNumberFormat="1" applyFont="1" applyFill="1" applyBorder="1" applyAlignment="1" applyProtection="1">
      <alignment horizontal="center"/>
      <protection locked="0"/>
    </xf>
    <xf numFmtId="3" fontId="10" fillId="3" borderId="16" xfId="5" applyNumberFormat="1" applyFont="1" applyFill="1" applyBorder="1" applyAlignment="1" applyProtection="1">
      <alignment horizontal="center"/>
      <protection locked="0"/>
    </xf>
    <xf numFmtId="8" fontId="10" fillId="3" borderId="28" xfId="5" applyNumberFormat="1" applyFont="1" applyFill="1" applyBorder="1" applyAlignment="1" applyProtection="1">
      <alignment horizontal="center"/>
      <protection locked="0"/>
    </xf>
    <xf numFmtId="8" fontId="10" fillId="4" borderId="29" xfId="5" applyNumberFormat="1" applyFont="1" applyFill="1" applyBorder="1" applyAlignment="1" applyProtection="1">
      <alignment horizontal="center"/>
      <protection locked="0"/>
    </xf>
    <xf numFmtId="8" fontId="10" fillId="4" borderId="30" xfId="5" applyNumberFormat="1" applyFont="1" applyFill="1" applyBorder="1" applyAlignment="1" applyProtection="1">
      <alignment horizontal="center"/>
      <protection locked="0"/>
    </xf>
    <xf numFmtId="3" fontId="9" fillId="0" borderId="0" xfId="5" applyNumberFormat="1" applyFont="1"/>
    <xf numFmtId="3" fontId="10" fillId="5" borderId="11" xfId="5" applyNumberFormat="1" applyFont="1" applyFill="1" applyBorder="1" applyAlignment="1" applyProtection="1">
      <alignment horizontal="center"/>
      <protection locked="0"/>
    </xf>
    <xf numFmtId="3" fontId="10" fillId="3" borderId="2" xfId="5" applyNumberFormat="1" applyFont="1" applyFill="1" applyBorder="1" applyAlignment="1" applyProtection="1">
      <alignment horizontal="center"/>
      <protection locked="0"/>
    </xf>
    <xf numFmtId="3" fontId="10" fillId="5" borderId="15" xfId="5" applyNumberFormat="1" applyFont="1" applyFill="1" applyBorder="1" applyProtection="1">
      <protection locked="0"/>
    </xf>
    <xf numFmtId="3" fontId="10" fillId="5" borderId="11" xfId="5" applyNumberFormat="1" applyFont="1" applyFill="1" applyBorder="1" applyProtection="1">
      <protection locked="0"/>
    </xf>
    <xf numFmtId="3" fontId="10" fillId="3" borderId="26" xfId="5" applyNumberFormat="1" applyFont="1" applyFill="1" applyBorder="1" applyAlignment="1" applyProtection="1">
      <alignment horizontal="center"/>
      <protection locked="0"/>
    </xf>
    <xf numFmtId="3" fontId="10" fillId="3" borderId="24" xfId="5" applyNumberFormat="1" applyFont="1" applyFill="1" applyBorder="1" applyAlignment="1" applyProtection="1">
      <alignment horizontal="center"/>
      <protection locked="0"/>
    </xf>
    <xf numFmtId="3" fontId="10" fillId="5" borderId="16" xfId="5" applyNumberFormat="1" applyFont="1" applyFill="1" applyBorder="1" applyAlignment="1" applyProtection="1">
      <alignment horizontal="center"/>
      <protection locked="0"/>
    </xf>
    <xf numFmtId="3" fontId="10" fillId="3" borderId="28" xfId="5" applyNumberFormat="1" applyFont="1" applyFill="1" applyBorder="1" applyAlignment="1" applyProtection="1">
      <alignment horizontal="center"/>
      <protection locked="0"/>
    </xf>
    <xf numFmtId="3" fontId="10" fillId="3" borderId="35" xfId="5" applyNumberFormat="1" applyFont="1" applyFill="1" applyBorder="1" applyAlignment="1" applyProtection="1">
      <alignment horizontal="center"/>
      <protection locked="0"/>
    </xf>
    <xf numFmtId="3" fontId="10" fillId="3" borderId="29" xfId="5" applyNumberFormat="1" applyFont="1" applyFill="1" applyBorder="1" applyAlignment="1" applyProtection="1">
      <alignment horizontal="center"/>
      <protection locked="0"/>
    </xf>
    <xf numFmtId="3" fontId="10" fillId="5" borderId="16" xfId="5" applyNumberFormat="1" applyFont="1" applyFill="1" applyBorder="1" applyProtection="1">
      <protection locked="0"/>
    </xf>
    <xf numFmtId="9" fontId="10" fillId="2" borderId="11" xfId="4" applyNumberFormat="1" applyFont="1" applyFill="1" applyBorder="1" applyAlignment="1" applyProtection="1">
      <alignment horizontal="center"/>
    </xf>
    <xf numFmtId="40" fontId="10" fillId="3" borderId="32" xfId="5" applyNumberFormat="1" applyFont="1" applyFill="1" applyBorder="1" applyAlignment="1" applyProtection="1">
      <alignment horizontal="center"/>
      <protection locked="0"/>
    </xf>
    <xf numFmtId="40" fontId="10" fillId="3" borderId="22" xfId="5" applyNumberFormat="1" applyFont="1" applyFill="1" applyBorder="1" applyAlignment="1" applyProtection="1">
      <alignment horizontal="center"/>
      <protection locked="0"/>
    </xf>
    <xf numFmtId="40" fontId="10" fillId="3" borderId="26" xfId="5" applyNumberFormat="1" applyFont="1" applyFill="1" applyBorder="1" applyAlignment="1" applyProtection="1">
      <alignment horizontal="center"/>
      <protection locked="0"/>
    </xf>
    <xf numFmtId="40" fontId="10" fillId="3" borderId="24" xfId="5" applyNumberFormat="1" applyFont="1" applyFill="1" applyBorder="1" applyAlignment="1" applyProtection="1">
      <alignment horizontal="center"/>
      <protection locked="0"/>
    </xf>
    <xf numFmtId="40" fontId="10" fillId="3" borderId="28" xfId="5" applyNumberFormat="1" applyFont="1" applyFill="1" applyBorder="1" applyAlignment="1" applyProtection="1">
      <alignment horizontal="center"/>
      <protection locked="0"/>
    </xf>
    <xf numFmtId="40" fontId="10" fillId="3" borderId="29" xfId="5" applyNumberFormat="1" applyFont="1" applyFill="1" applyBorder="1" applyAlignment="1" applyProtection="1">
      <alignment horizontal="center"/>
      <protection locked="0"/>
    </xf>
    <xf numFmtId="3" fontId="7" fillId="0" borderId="0" xfId="5" applyNumberFormat="1" applyFont="1"/>
    <xf numFmtId="10" fontId="9" fillId="7" borderId="16" xfId="4" applyFont="1" applyFill="1" applyBorder="1" applyAlignment="1" applyProtection="1">
      <alignment horizontal="center"/>
    </xf>
    <xf numFmtId="0" fontId="16" fillId="0" borderId="0" xfId="3" applyProtection="1">
      <protection hidden="1"/>
    </xf>
    <xf numFmtId="0" fontId="16" fillId="0" borderId="0" xfId="3" applyAlignment="1" applyProtection="1">
      <alignment wrapText="1"/>
      <protection hidden="1"/>
    </xf>
    <xf numFmtId="0" fontId="16" fillId="4" borderId="47" xfId="3" applyFill="1" applyBorder="1" applyAlignment="1" applyProtection="1">
      <alignment horizontal="center" vertical="center"/>
      <protection locked="0"/>
    </xf>
    <xf numFmtId="0" fontId="16" fillId="4" borderId="48" xfId="3" applyFill="1" applyBorder="1" applyProtection="1">
      <protection locked="0"/>
    </xf>
    <xf numFmtId="0" fontId="16" fillId="4" borderId="49" xfId="3" applyFill="1" applyBorder="1" applyAlignment="1" applyProtection="1">
      <alignment horizontal="center" vertical="center"/>
      <protection locked="0"/>
    </xf>
    <xf numFmtId="0" fontId="16" fillId="4" borderId="50" xfId="3" applyFill="1" applyBorder="1" applyProtection="1">
      <protection locked="0"/>
    </xf>
    <xf numFmtId="3" fontId="19" fillId="0" borderId="0" xfId="5" applyNumberFormat="1" applyFont="1"/>
    <xf numFmtId="10" fontId="19" fillId="0" borderId="0" xfId="4" applyFont="1" applyFill="1" applyBorder="1" applyAlignment="1" applyProtection="1">
      <alignment horizontal="center"/>
    </xf>
    <xf numFmtId="3" fontId="19" fillId="9" borderId="9" xfId="5" applyNumberFormat="1" applyFont="1" applyFill="1" applyBorder="1" applyAlignment="1">
      <alignment horizontal="center" wrapText="1"/>
    </xf>
    <xf numFmtId="3" fontId="18" fillId="4" borderId="9" xfId="5" applyNumberFormat="1" applyFont="1" applyFill="1" applyBorder="1" applyProtection="1">
      <protection locked="0"/>
    </xf>
    <xf numFmtId="2" fontId="18" fillId="4" borderId="9" xfId="5" applyNumberFormat="1" applyFont="1" applyFill="1" applyBorder="1" applyProtection="1">
      <protection locked="0"/>
    </xf>
    <xf numFmtId="4" fontId="18" fillId="2" borderId="9" xfId="5" applyNumberFormat="1" applyFont="1" applyFill="1" applyBorder="1"/>
    <xf numFmtId="0" fontId="18" fillId="4" borderId="9" xfId="5" applyFont="1" applyFill="1" applyBorder="1" applyAlignment="1" applyProtection="1">
      <alignment horizontal="center"/>
      <protection locked="0"/>
    </xf>
    <xf numFmtId="174" fontId="18" fillId="4" borderId="9" xfId="5" applyNumberFormat="1" applyFont="1" applyFill="1" applyBorder="1" applyProtection="1">
      <protection locked="0"/>
    </xf>
    <xf numFmtId="174" fontId="18" fillId="2" borderId="9" xfId="5" applyNumberFormat="1" applyFont="1" applyFill="1" applyBorder="1"/>
    <xf numFmtId="0" fontId="20" fillId="0" borderId="0" xfId="5" applyFont="1" applyAlignment="1">
      <alignment horizontal="center"/>
    </xf>
    <xf numFmtId="174" fontId="16" fillId="4" borderId="46" xfId="3" applyNumberFormat="1" applyFill="1" applyBorder="1" applyAlignment="1" applyProtection="1">
      <alignment wrapText="1"/>
      <protection locked="0"/>
    </xf>
    <xf numFmtId="174" fontId="16" fillId="4" borderId="54" xfId="3" applyNumberFormat="1" applyFill="1" applyBorder="1" applyAlignment="1" applyProtection="1">
      <alignment wrapText="1"/>
      <protection locked="0"/>
    </xf>
    <xf numFmtId="0" fontId="16" fillId="4" borderId="55" xfId="3" applyFill="1" applyBorder="1" applyProtection="1">
      <protection locked="0"/>
    </xf>
    <xf numFmtId="0" fontId="16" fillId="4" borderId="38" xfId="3" applyFill="1" applyBorder="1" applyAlignment="1" applyProtection="1">
      <alignment horizontal="center" vertical="center"/>
      <protection locked="0"/>
    </xf>
    <xf numFmtId="0" fontId="16" fillId="4" borderId="45" xfId="3" applyFill="1" applyBorder="1" applyProtection="1">
      <protection locked="0"/>
    </xf>
    <xf numFmtId="174" fontId="16" fillId="4" borderId="44" xfId="3" applyNumberFormat="1" applyFill="1" applyBorder="1" applyAlignment="1" applyProtection="1">
      <alignment wrapText="1"/>
      <protection locked="0"/>
    </xf>
    <xf numFmtId="166" fontId="16" fillId="4" borderId="46" xfId="3" applyNumberFormat="1" applyFill="1" applyBorder="1" applyAlignment="1" applyProtection="1">
      <alignment horizontal="center" wrapText="1"/>
      <protection locked="0"/>
    </xf>
    <xf numFmtId="166" fontId="16" fillId="4" borderId="54" xfId="3" applyNumberFormat="1" applyFill="1" applyBorder="1" applyAlignment="1" applyProtection="1">
      <alignment horizontal="center" wrapText="1"/>
      <protection locked="0"/>
    </xf>
    <xf numFmtId="166" fontId="16" fillId="4" borderId="44" xfId="3" applyNumberFormat="1" applyFill="1" applyBorder="1" applyAlignment="1" applyProtection="1">
      <alignment horizontal="center" wrapText="1"/>
      <protection locked="0"/>
    </xf>
    <xf numFmtId="0" fontId="10" fillId="0" borderId="0" xfId="3" applyFont="1" applyProtection="1">
      <protection hidden="1"/>
    </xf>
    <xf numFmtId="3" fontId="18" fillId="0" borderId="0" xfId="5" applyNumberFormat="1" applyFont="1"/>
    <xf numFmtId="174" fontId="18" fillId="13" borderId="9" xfId="5" applyNumberFormat="1" applyFont="1" applyFill="1" applyBorder="1" applyProtection="1">
      <protection locked="0"/>
    </xf>
    <xf numFmtId="174" fontId="18" fillId="2" borderId="52" xfId="5" applyNumberFormat="1" applyFont="1" applyFill="1" applyBorder="1"/>
    <xf numFmtId="3" fontId="22" fillId="12" borderId="9" xfId="5" applyNumberFormat="1" applyFont="1" applyFill="1" applyBorder="1" applyAlignment="1" applyProtection="1">
      <alignment horizontal="center" wrapText="1"/>
      <protection hidden="1"/>
    </xf>
    <xf numFmtId="174" fontId="23" fillId="12" borderId="9" xfId="5" applyNumberFormat="1" applyFont="1" applyFill="1" applyBorder="1" applyProtection="1">
      <protection hidden="1"/>
    </xf>
    <xf numFmtId="0" fontId="18" fillId="10" borderId="0" xfId="5" applyFont="1" applyFill="1"/>
    <xf numFmtId="0" fontId="18" fillId="10" borderId="39" xfId="5" applyFont="1" applyFill="1" applyBorder="1"/>
    <xf numFmtId="0" fontId="18" fillId="2" borderId="11" xfId="5" applyFont="1" applyFill="1" applyBorder="1"/>
    <xf numFmtId="0" fontId="18" fillId="9" borderId="6" xfId="5" applyFont="1" applyFill="1" applyBorder="1"/>
    <xf numFmtId="0" fontId="18" fillId="9" borderId="9" xfId="5" applyFont="1" applyFill="1" applyBorder="1"/>
    <xf numFmtId="0" fontId="18" fillId="2" borderId="16" xfId="5" applyFont="1" applyFill="1" applyBorder="1"/>
    <xf numFmtId="174" fontId="18" fillId="2" borderId="16" xfId="5" applyNumberFormat="1" applyFont="1" applyFill="1" applyBorder="1"/>
    <xf numFmtId="174" fontId="18" fillId="6" borderId="17" xfId="5" applyNumberFormat="1" applyFont="1" applyFill="1" applyBorder="1"/>
    <xf numFmtId="174" fontId="18" fillId="6" borderId="51" xfId="5" applyNumberFormat="1" applyFont="1" applyFill="1" applyBorder="1"/>
    <xf numFmtId="0" fontId="24" fillId="0" borderId="17" xfId="3" applyFont="1" applyBorder="1" applyAlignment="1" applyProtection="1">
      <alignment wrapText="1"/>
      <protection hidden="1"/>
    </xf>
    <xf numFmtId="0" fontId="7" fillId="6" borderId="9" xfId="3" applyFont="1" applyFill="1" applyBorder="1" applyAlignment="1" applyProtection="1">
      <alignment wrapText="1"/>
      <protection hidden="1"/>
    </xf>
    <xf numFmtId="0" fontId="10" fillId="7" borderId="9" xfId="3" applyFont="1" applyFill="1" applyBorder="1" applyAlignment="1" applyProtection="1">
      <alignment horizontal="left" wrapText="1"/>
      <protection locked="0"/>
    </xf>
    <xf numFmtId="0" fontId="9" fillId="14" borderId="9" xfId="3" applyFont="1" applyFill="1" applyBorder="1" applyAlignment="1" applyProtection="1">
      <alignment wrapText="1"/>
      <protection hidden="1"/>
    </xf>
    <xf numFmtId="0" fontId="10" fillId="15" borderId="9" xfId="3" applyFont="1" applyFill="1" applyBorder="1" applyAlignment="1" applyProtection="1">
      <alignment vertical="top" wrapText="1"/>
      <protection locked="0"/>
    </xf>
    <xf numFmtId="0" fontId="10" fillId="4" borderId="37" xfId="3" applyFont="1" applyFill="1" applyBorder="1" applyAlignment="1" applyProtection="1">
      <alignment horizontal="center" vertical="center"/>
      <protection locked="0"/>
    </xf>
    <xf numFmtId="40" fontId="7" fillId="2" borderId="9" xfId="5" applyNumberFormat="1" applyFont="1" applyFill="1" applyBorder="1" applyAlignment="1">
      <alignment horizontal="center"/>
    </xf>
    <xf numFmtId="40" fontId="7" fillId="2" borderId="31" xfId="5" applyNumberFormat="1" applyFont="1" applyFill="1" applyBorder="1" applyAlignment="1">
      <alignment horizontal="center" vertical="center"/>
    </xf>
    <xf numFmtId="40" fontId="7" fillId="2" borderId="40" xfId="5" applyNumberFormat="1" applyFont="1" applyFill="1" applyBorder="1" applyAlignment="1">
      <alignment horizontal="center"/>
    </xf>
    <xf numFmtId="40" fontId="9" fillId="2" borderId="31" xfId="5" applyNumberFormat="1" applyFont="1" applyFill="1" applyBorder="1" applyAlignment="1">
      <alignment horizontal="center"/>
    </xf>
    <xf numFmtId="3" fontId="10" fillId="0" borderId="0" xfId="0" applyNumberFormat="1" applyFont="1"/>
    <xf numFmtId="3" fontId="9" fillId="0" borderId="0" xfId="0" applyNumberFormat="1" applyFont="1"/>
    <xf numFmtId="3" fontId="10" fillId="15" borderId="15" xfId="0" applyNumberFormat="1" applyFont="1" applyFill="1" applyBorder="1"/>
    <xf numFmtId="3" fontId="10" fillId="15" borderId="11" xfId="0" applyNumberFormat="1" applyFont="1" applyFill="1" applyBorder="1"/>
    <xf numFmtId="3" fontId="10" fillId="15" borderId="16" xfId="0" applyNumberFormat="1" applyFont="1" applyFill="1" applyBorder="1"/>
    <xf numFmtId="3" fontId="10" fillId="15" borderId="21" xfId="0" applyNumberFormat="1" applyFont="1" applyFill="1" applyBorder="1"/>
    <xf numFmtId="3" fontId="10" fillId="15" borderId="10" xfId="0" applyNumberFormat="1" applyFont="1" applyFill="1" applyBorder="1"/>
    <xf numFmtId="3" fontId="10" fillId="15" borderId="27" xfId="0" applyNumberFormat="1" applyFont="1" applyFill="1" applyBorder="1"/>
    <xf numFmtId="3" fontId="10" fillId="14" borderId="39" xfId="0" applyNumberFormat="1" applyFont="1" applyFill="1" applyBorder="1"/>
    <xf numFmtId="3" fontId="10" fillId="14" borderId="51" xfId="0" applyNumberFormat="1" applyFont="1" applyFill="1" applyBorder="1"/>
    <xf numFmtId="3" fontId="9" fillId="16" borderId="9" xfId="0" applyNumberFormat="1" applyFont="1" applyFill="1" applyBorder="1"/>
    <xf numFmtId="169" fontId="9" fillId="3" borderId="15" xfId="2" applyFont="1" applyFill="1" applyBorder="1" applyProtection="1">
      <protection locked="0"/>
    </xf>
    <xf numFmtId="169" fontId="9" fillId="3" borderId="11" xfId="2" applyFont="1" applyFill="1" applyBorder="1" applyProtection="1">
      <protection locked="0"/>
    </xf>
    <xf numFmtId="171" fontId="9" fillId="3" borderId="11" xfId="2" applyNumberFormat="1" applyFont="1" applyFill="1" applyBorder="1" applyAlignment="1" applyProtection="1">
      <alignment horizontal="left"/>
      <protection locked="0"/>
    </xf>
    <xf numFmtId="1" fontId="9" fillId="3" borderId="11" xfId="2" applyNumberFormat="1" applyFont="1" applyFill="1" applyBorder="1" applyAlignment="1" applyProtection="1">
      <alignment horizontal="left"/>
      <protection locked="0"/>
    </xf>
    <xf numFmtId="166" fontId="10" fillId="14" borderId="15" xfId="4" applyNumberFormat="1" applyFont="1" applyFill="1" applyBorder="1"/>
    <xf numFmtId="166" fontId="10" fillId="14" borderId="11" xfId="4" applyNumberFormat="1" applyFont="1" applyFill="1" applyBorder="1"/>
    <xf numFmtId="166" fontId="10" fillId="14" borderId="16" xfId="4" applyNumberFormat="1" applyFont="1" applyFill="1" applyBorder="1"/>
    <xf numFmtId="10" fontId="10" fillId="15" borderId="31" xfId="4" applyFont="1" applyFill="1" applyBorder="1" applyAlignment="1" applyProtection="1">
      <alignment horizontal="center"/>
      <protection locked="0"/>
    </xf>
    <xf numFmtId="3" fontId="10" fillId="3" borderId="10" xfId="5" applyNumberFormat="1" applyFont="1" applyFill="1" applyBorder="1" applyAlignment="1" applyProtection="1">
      <alignment horizontal="left"/>
      <protection locked="0"/>
    </xf>
    <xf numFmtId="3" fontId="10" fillId="3" borderId="27" xfId="5" applyNumberFormat="1" applyFont="1" applyFill="1" applyBorder="1" applyAlignment="1" applyProtection="1">
      <alignment horizontal="left"/>
      <protection locked="0"/>
    </xf>
    <xf numFmtId="3" fontId="10" fillId="20" borderId="10" xfId="5" applyNumberFormat="1" applyFont="1" applyFill="1" applyBorder="1" applyAlignment="1">
      <alignment horizontal="center" vertical="center"/>
    </xf>
    <xf numFmtId="3" fontId="10" fillId="20" borderId="27" xfId="5" applyNumberFormat="1" applyFont="1" applyFill="1" applyBorder="1" applyAlignment="1">
      <alignment horizontal="center" vertical="center"/>
    </xf>
    <xf numFmtId="9" fontId="10" fillId="15" borderId="31" xfId="4" applyNumberFormat="1" applyFont="1" applyFill="1" applyBorder="1" applyAlignment="1" applyProtection="1">
      <alignment horizontal="center"/>
      <protection locked="0"/>
    </xf>
    <xf numFmtId="40" fontId="10" fillId="15" borderId="47" xfId="5" applyNumberFormat="1" applyFont="1" applyFill="1" applyBorder="1" applyAlignment="1" applyProtection="1">
      <alignment horizontal="center"/>
      <protection locked="0"/>
    </xf>
    <xf numFmtId="0" fontId="16" fillId="0" borderId="0" xfId="3"/>
    <xf numFmtId="176" fontId="28" fillId="0" borderId="77" xfId="0" applyNumberFormat="1" applyFont="1" applyBorder="1"/>
    <xf numFmtId="0" fontId="26" fillId="0" borderId="73" xfId="0" applyFont="1" applyBorder="1"/>
    <xf numFmtId="0" fontId="26" fillId="0" borderId="78" xfId="0" applyFont="1" applyBorder="1"/>
    <xf numFmtId="0" fontId="26" fillId="0" borderId="77" xfId="0" applyFont="1" applyBorder="1"/>
    <xf numFmtId="0" fontId="29" fillId="24" borderId="80" xfId="0" applyFont="1" applyFill="1" applyBorder="1"/>
    <xf numFmtId="0" fontId="28" fillId="15" borderId="48" xfId="0" applyFont="1" applyFill="1" applyBorder="1" applyProtection="1">
      <protection locked="0"/>
    </xf>
    <xf numFmtId="0" fontId="28" fillId="15" borderId="50" xfId="0" applyFont="1" applyFill="1" applyBorder="1" applyProtection="1">
      <protection locked="0"/>
    </xf>
    <xf numFmtId="0" fontId="26" fillId="0" borderId="76" xfId="0" applyFont="1" applyBorder="1"/>
    <xf numFmtId="8" fontId="26" fillId="20" borderId="9" xfId="0" applyNumberFormat="1" applyFont="1" applyFill="1" applyBorder="1" applyAlignment="1">
      <alignment horizontal="center"/>
    </xf>
    <xf numFmtId="0" fontId="29" fillId="24" borderId="88" xfId="0" applyFont="1" applyFill="1" applyBorder="1" applyAlignment="1">
      <alignment horizontal="center"/>
    </xf>
    <xf numFmtId="0" fontId="29" fillId="24" borderId="90" xfId="0" applyFont="1" applyFill="1" applyBorder="1" applyAlignment="1">
      <alignment horizontal="center"/>
    </xf>
    <xf numFmtId="177" fontId="28" fillId="15" borderId="41" xfId="0" applyNumberFormat="1" applyFont="1" applyFill="1" applyBorder="1" applyAlignment="1" applyProtection="1">
      <alignment horizontal="center"/>
      <protection locked="0"/>
    </xf>
    <xf numFmtId="0" fontId="26" fillId="0" borderId="91" xfId="0" applyFont="1" applyBorder="1" applyAlignment="1">
      <alignment horizontal="right"/>
    </xf>
    <xf numFmtId="176" fontId="28" fillId="0" borderId="93" xfId="0" applyNumberFormat="1" applyFont="1" applyBorder="1"/>
    <xf numFmtId="0" fontId="26" fillId="0" borderId="92" xfId="0" applyFont="1" applyBorder="1" applyAlignment="1">
      <alignment horizontal="right"/>
    </xf>
    <xf numFmtId="0" fontId="26" fillId="0" borderId="95" xfId="0" applyFont="1" applyBorder="1"/>
    <xf numFmtId="8" fontId="30" fillId="15" borderId="46" xfId="0" applyNumberFormat="1" applyFont="1" applyFill="1" applyBorder="1" applyAlignment="1" applyProtection="1">
      <alignment horizontal="center"/>
      <protection locked="0"/>
    </xf>
    <xf numFmtId="8" fontId="30" fillId="15" borderId="54" xfId="0" applyNumberFormat="1" applyFont="1" applyFill="1" applyBorder="1" applyAlignment="1" applyProtection="1">
      <alignment horizontal="center"/>
      <protection locked="0"/>
    </xf>
    <xf numFmtId="0" fontId="26" fillId="0" borderId="93" xfId="0" applyFont="1" applyBorder="1"/>
    <xf numFmtId="0" fontId="26" fillId="0" borderId="96" xfId="0" applyFont="1" applyBorder="1"/>
    <xf numFmtId="8" fontId="7" fillId="13" borderId="6" xfId="5" applyNumberFormat="1" applyFont="1" applyFill="1" applyBorder="1" applyAlignment="1" applyProtection="1">
      <alignment horizontal="center"/>
      <protection locked="0"/>
    </xf>
    <xf numFmtId="167" fontId="8" fillId="13" borderId="9" xfId="5" applyNumberFormat="1" applyFont="1" applyFill="1" applyBorder="1" applyAlignment="1" applyProtection="1">
      <alignment horizontal="center"/>
      <protection locked="0"/>
    </xf>
    <xf numFmtId="40" fontId="10" fillId="13" borderId="22" xfId="5" applyNumberFormat="1" applyFont="1" applyFill="1" applyBorder="1" applyAlignment="1" applyProtection="1">
      <alignment horizontal="center"/>
      <protection locked="0"/>
    </xf>
    <xf numFmtId="40" fontId="10" fillId="13" borderId="24" xfId="5" applyNumberFormat="1" applyFont="1" applyFill="1" applyBorder="1" applyAlignment="1" applyProtection="1">
      <alignment horizontal="center"/>
      <protection locked="0"/>
    </xf>
    <xf numFmtId="40" fontId="10" fillId="13" borderId="29" xfId="5" applyNumberFormat="1" applyFont="1" applyFill="1" applyBorder="1" applyAlignment="1" applyProtection="1">
      <alignment horizontal="center"/>
      <protection locked="0"/>
    </xf>
    <xf numFmtId="172" fontId="10" fillId="15" borderId="26" xfId="5" applyNumberFormat="1" applyFont="1" applyFill="1" applyBorder="1" applyAlignment="1" applyProtection="1">
      <alignment horizontal="center"/>
      <protection locked="0"/>
    </xf>
    <xf numFmtId="172" fontId="10" fillId="15" borderId="28" xfId="5" applyNumberFormat="1" applyFont="1" applyFill="1" applyBorder="1" applyAlignment="1" applyProtection="1">
      <alignment horizontal="center"/>
      <protection locked="0"/>
    </xf>
    <xf numFmtId="8" fontId="7" fillId="15" borderId="6" xfId="5" applyNumberFormat="1" applyFont="1" applyFill="1" applyBorder="1" applyAlignment="1" applyProtection="1">
      <alignment horizontal="center"/>
      <protection locked="0"/>
    </xf>
    <xf numFmtId="10" fontId="18" fillId="2" borderId="11" xfId="4" applyFont="1" applyFill="1" applyBorder="1" applyProtection="1"/>
    <xf numFmtId="3" fontId="9" fillId="16" borderId="8" xfId="0" applyNumberFormat="1" applyFont="1" applyFill="1" applyBorder="1"/>
    <xf numFmtId="3" fontId="10" fillId="15" borderId="43" xfId="0" applyNumberFormat="1" applyFont="1" applyFill="1" applyBorder="1"/>
    <xf numFmtId="3" fontId="10" fillId="15" borderId="39" xfId="0" applyNumberFormat="1" applyFont="1" applyFill="1" applyBorder="1"/>
    <xf numFmtId="3" fontId="10" fillId="15" borderId="51" xfId="0" applyNumberFormat="1" applyFont="1" applyFill="1" applyBorder="1"/>
    <xf numFmtId="3" fontId="9" fillId="25" borderId="9" xfId="0" applyNumberFormat="1" applyFont="1" applyFill="1" applyBorder="1"/>
    <xf numFmtId="169" fontId="10" fillId="0" borderId="0" xfId="2" applyFont="1" applyProtection="1">
      <protection locked="0"/>
    </xf>
    <xf numFmtId="3" fontId="0" fillId="0" borderId="0" xfId="0" applyNumberFormat="1" applyProtection="1">
      <protection locked="0"/>
    </xf>
    <xf numFmtId="169" fontId="9" fillId="22" borderId="11" xfId="2" applyFont="1" applyFill="1" applyBorder="1" applyProtection="1">
      <protection locked="0"/>
    </xf>
    <xf numFmtId="169" fontId="9" fillId="0" borderId="0" xfId="2" applyFont="1" applyProtection="1">
      <protection locked="0"/>
    </xf>
    <xf numFmtId="169" fontId="10" fillId="0" borderId="3" xfId="2" applyFont="1" applyBorder="1"/>
    <xf numFmtId="169" fontId="10" fillId="0" borderId="4" xfId="2" applyFont="1" applyBorder="1"/>
    <xf numFmtId="169" fontId="10" fillId="0" borderId="1" xfId="2" applyFont="1" applyBorder="1"/>
    <xf numFmtId="169" fontId="10" fillId="0" borderId="0" xfId="2" applyFont="1"/>
    <xf numFmtId="169" fontId="10" fillId="0" borderId="2" xfId="2" applyFont="1" applyBorder="1"/>
    <xf numFmtId="169" fontId="12" fillId="0" borderId="0" xfId="2" applyFont="1" applyAlignment="1">
      <alignment vertical="center"/>
    </xf>
    <xf numFmtId="169" fontId="10" fillId="0" borderId="3" xfId="2" applyFont="1" applyBorder="1" applyAlignment="1">
      <alignment horizontal="right" vertical="center"/>
    </xf>
    <xf numFmtId="169" fontId="10" fillId="0" borderId="1" xfId="2" applyFont="1" applyBorder="1" applyAlignment="1">
      <alignment horizontal="right" vertical="center"/>
    </xf>
    <xf numFmtId="169" fontId="10" fillId="0" borderId="0" xfId="2" applyFont="1" applyAlignment="1">
      <alignment horizontal="right" vertical="center"/>
    </xf>
    <xf numFmtId="169" fontId="9" fillId="0" borderId="1" xfId="2" applyFont="1" applyBorder="1" applyAlignment="1">
      <alignment horizontal="right" vertical="center"/>
    </xf>
    <xf numFmtId="169" fontId="10" fillId="0" borderId="12" xfId="2" applyFont="1" applyBorder="1" applyAlignment="1">
      <alignment horizontal="right" vertical="center"/>
    </xf>
    <xf numFmtId="169" fontId="9" fillId="0" borderId="4" xfId="2" applyFont="1" applyBorder="1" applyAlignment="1">
      <alignment vertical="center"/>
    </xf>
    <xf numFmtId="169" fontId="9" fillId="0" borderId="4" xfId="2" applyFont="1" applyBorder="1"/>
    <xf numFmtId="169" fontId="9" fillId="0" borderId="5" xfId="2" applyFont="1" applyBorder="1"/>
    <xf numFmtId="169" fontId="10" fillId="0" borderId="13" xfId="2" applyFont="1" applyBorder="1"/>
    <xf numFmtId="169" fontId="10" fillId="0" borderId="14" xfId="2" applyFont="1" applyBorder="1"/>
    <xf numFmtId="3" fontId="10" fillId="12" borderId="0" xfId="5" applyNumberFormat="1" applyFont="1" applyFill="1"/>
    <xf numFmtId="3" fontId="9" fillId="16" borderId="9" xfId="5" applyNumberFormat="1" applyFont="1" applyFill="1" applyBorder="1" applyAlignment="1">
      <alignment horizontal="center" vertical="center"/>
    </xf>
    <xf numFmtId="1" fontId="9" fillId="16" borderId="18" xfId="5" applyNumberFormat="1" applyFont="1" applyFill="1" applyBorder="1" applyAlignment="1">
      <alignment horizontal="center" wrapText="1"/>
    </xf>
    <xf numFmtId="1" fontId="9" fillId="16" borderId="19" xfId="5" applyNumberFormat="1" applyFont="1" applyFill="1" applyBorder="1" applyAlignment="1">
      <alignment horizontal="center"/>
    </xf>
    <xf numFmtId="1" fontId="9" fillId="16" borderId="20" xfId="5" applyNumberFormat="1" applyFont="1" applyFill="1" applyBorder="1" applyAlignment="1">
      <alignment horizontal="center"/>
    </xf>
    <xf numFmtId="1" fontId="10" fillId="16" borderId="18" xfId="5" applyNumberFormat="1" applyFont="1" applyFill="1" applyBorder="1" applyAlignment="1">
      <alignment horizontal="center"/>
    </xf>
    <xf numFmtId="1" fontId="10" fillId="16" borderId="19" xfId="5" applyNumberFormat="1" applyFont="1" applyFill="1" applyBorder="1" applyAlignment="1">
      <alignment horizontal="center"/>
    </xf>
    <xf numFmtId="1" fontId="10" fillId="16" borderId="20" xfId="5" applyNumberFormat="1" applyFont="1" applyFill="1" applyBorder="1" applyAlignment="1">
      <alignment horizontal="center"/>
    </xf>
    <xf numFmtId="3" fontId="10" fillId="0" borderId="0" xfId="5" applyNumberFormat="1" applyFont="1" applyProtection="1">
      <protection locked="0"/>
    </xf>
    <xf numFmtId="3" fontId="9" fillId="0" borderId="0" xfId="5" applyNumberFormat="1" applyFont="1" applyAlignment="1" applyProtection="1">
      <alignment horizontal="center"/>
      <protection locked="0"/>
    </xf>
    <xf numFmtId="3" fontId="10" fillId="0" borderId="0" xfId="5" applyNumberFormat="1" applyFont="1" applyAlignment="1" applyProtection="1">
      <alignment horizontal="center"/>
      <protection locked="0"/>
    </xf>
    <xf numFmtId="3" fontId="18" fillId="0" borderId="0" xfId="5" applyNumberFormat="1" applyFont="1" applyProtection="1">
      <protection locked="0"/>
    </xf>
    <xf numFmtId="3" fontId="10" fillId="16" borderId="15" xfId="0" applyNumberFormat="1" applyFont="1" applyFill="1" applyBorder="1"/>
    <xf numFmtId="3" fontId="9" fillId="16" borderId="6" xfId="5" applyNumberFormat="1" applyFont="1" applyFill="1" applyBorder="1"/>
    <xf numFmtId="3" fontId="9" fillId="16" borderId="9" xfId="5" applyNumberFormat="1" applyFont="1" applyFill="1" applyBorder="1" applyAlignment="1">
      <alignment horizontal="center"/>
    </xf>
    <xf numFmtId="3" fontId="10" fillId="16" borderId="10" xfId="5" applyNumberFormat="1" applyFont="1" applyFill="1" applyBorder="1"/>
    <xf numFmtId="3" fontId="9" fillId="16" borderId="10" xfId="5" applyNumberFormat="1" applyFont="1" applyFill="1" applyBorder="1" applyAlignment="1">
      <alignment horizontal="center"/>
    </xf>
    <xf numFmtId="9" fontId="10" fillId="16" borderId="15" xfId="4" applyNumberFormat="1" applyFont="1" applyFill="1" applyBorder="1" applyAlignment="1" applyProtection="1">
      <alignment horizontal="center"/>
    </xf>
    <xf numFmtId="3" fontId="10" fillId="16" borderId="10" xfId="5" applyNumberFormat="1" applyFont="1" applyFill="1" applyBorder="1" applyAlignment="1">
      <alignment horizontal="center"/>
    </xf>
    <xf numFmtId="3" fontId="10" fillId="16" borderId="43" xfId="5" applyNumberFormat="1" applyFont="1" applyFill="1" applyBorder="1" applyAlignment="1">
      <alignment horizontal="center"/>
    </xf>
    <xf numFmtId="9" fontId="14" fillId="6" borderId="9" xfId="4" applyNumberFormat="1" applyFont="1" applyFill="1" applyBorder="1" applyAlignment="1" applyProtection="1">
      <alignment horizontal="center" vertical="center"/>
    </xf>
    <xf numFmtId="3" fontId="10" fillId="16" borderId="15" xfId="5" applyNumberFormat="1" applyFont="1" applyFill="1" applyBorder="1" applyAlignment="1">
      <alignment horizontal="center"/>
    </xf>
    <xf numFmtId="1" fontId="10" fillId="16" borderId="32" xfId="5" applyNumberFormat="1" applyFont="1" applyFill="1" applyBorder="1" applyAlignment="1">
      <alignment horizontal="center"/>
    </xf>
    <xf numFmtId="1" fontId="10" fillId="16" borderId="33" xfId="5" applyNumberFormat="1" applyFont="1" applyFill="1" applyBorder="1" applyAlignment="1">
      <alignment horizontal="center"/>
    </xf>
    <xf numFmtId="1" fontId="10" fillId="16" borderId="22" xfId="5" applyNumberFormat="1" applyFont="1" applyFill="1" applyBorder="1" applyAlignment="1">
      <alignment horizontal="center"/>
    </xf>
    <xf numFmtId="3" fontId="9" fillId="16" borderId="9" xfId="5" applyNumberFormat="1" applyFont="1" applyFill="1" applyBorder="1"/>
    <xf numFmtId="3" fontId="10" fillId="16" borderId="6" xfId="5" applyNumberFormat="1" applyFont="1" applyFill="1" applyBorder="1" applyAlignment="1">
      <alignment horizontal="center"/>
    </xf>
    <xf numFmtId="40" fontId="10" fillId="16" borderId="18" xfId="5" applyNumberFormat="1" applyFont="1" applyFill="1" applyBorder="1" applyAlignment="1">
      <alignment horizontal="center"/>
    </xf>
    <xf numFmtId="40" fontId="10" fillId="16" borderId="19" xfId="5" applyNumberFormat="1" applyFont="1" applyFill="1" applyBorder="1" applyAlignment="1">
      <alignment horizontal="center"/>
    </xf>
    <xf numFmtId="40" fontId="10" fillId="16" borderId="9" xfId="5" applyNumberFormat="1" applyFont="1" applyFill="1" applyBorder="1" applyAlignment="1">
      <alignment horizontal="center"/>
    </xf>
    <xf numFmtId="3" fontId="9" fillId="16" borderId="8" xfId="5" applyNumberFormat="1" applyFont="1" applyFill="1" applyBorder="1" applyAlignment="1">
      <alignment horizontal="center"/>
    </xf>
    <xf numFmtId="3" fontId="9" fillId="16" borderId="18" xfId="5" applyNumberFormat="1" applyFont="1" applyFill="1" applyBorder="1" applyAlignment="1">
      <alignment horizontal="center"/>
    </xf>
    <xf numFmtId="3" fontId="9" fillId="16" borderId="34" xfId="5" applyNumberFormat="1" applyFont="1" applyFill="1" applyBorder="1" applyAlignment="1">
      <alignment horizontal="center"/>
    </xf>
    <xf numFmtId="3" fontId="9" fillId="16" borderId="19" xfId="5" applyNumberFormat="1" applyFont="1" applyFill="1" applyBorder="1" applyAlignment="1">
      <alignment horizontal="center"/>
    </xf>
    <xf numFmtId="40" fontId="10" fillId="16" borderId="20" xfId="5" applyNumberFormat="1" applyFont="1" applyFill="1" applyBorder="1" applyAlignment="1">
      <alignment horizontal="center"/>
    </xf>
    <xf numFmtId="3" fontId="9" fillId="16" borderId="9" xfId="5" applyNumberFormat="1" applyFont="1" applyFill="1" applyBorder="1" applyAlignment="1">
      <alignment horizontal="left"/>
    </xf>
    <xf numFmtId="3" fontId="10" fillId="16" borderId="21" xfId="5" applyNumberFormat="1" applyFont="1" applyFill="1" applyBorder="1" applyAlignment="1">
      <alignment horizontal="center"/>
    </xf>
    <xf numFmtId="40" fontId="10" fillId="16" borderId="8" xfId="5" applyNumberFormat="1" applyFont="1" applyFill="1" applyBorder="1" applyAlignment="1">
      <alignment horizontal="center"/>
    </xf>
    <xf numFmtId="40" fontId="9" fillId="16" borderId="28" xfId="5" applyNumberFormat="1" applyFont="1" applyFill="1" applyBorder="1" applyAlignment="1">
      <alignment horizontal="center"/>
    </xf>
    <xf numFmtId="40" fontId="9" fillId="16" borderId="29" xfId="5" applyNumberFormat="1" applyFont="1" applyFill="1" applyBorder="1" applyAlignment="1">
      <alignment horizontal="center"/>
    </xf>
    <xf numFmtId="40" fontId="9" fillId="16" borderId="16" xfId="5" applyNumberFormat="1" applyFont="1" applyFill="1" applyBorder="1" applyAlignment="1">
      <alignment horizontal="center"/>
    </xf>
    <xf numFmtId="40" fontId="10" fillId="16" borderId="26" xfId="5" applyNumberFormat="1" applyFont="1" applyFill="1" applyBorder="1" applyAlignment="1">
      <alignment horizontal="center"/>
    </xf>
    <xf numFmtId="40" fontId="10" fillId="16" borderId="24" xfId="5" applyNumberFormat="1" applyFont="1" applyFill="1" applyBorder="1" applyAlignment="1">
      <alignment horizontal="center"/>
    </xf>
    <xf numFmtId="40" fontId="9" fillId="16" borderId="18" xfId="5" applyNumberFormat="1" applyFont="1" applyFill="1" applyBorder="1" applyAlignment="1">
      <alignment horizontal="center"/>
    </xf>
    <xf numFmtId="40" fontId="9" fillId="16" borderId="19" xfId="5" applyNumberFormat="1" applyFont="1" applyFill="1" applyBorder="1" applyAlignment="1">
      <alignment horizontal="center"/>
    </xf>
    <xf numFmtId="40" fontId="9" fillId="16" borderId="9" xfId="5" applyNumberFormat="1" applyFont="1" applyFill="1" applyBorder="1" applyAlignment="1">
      <alignment horizontal="center"/>
    </xf>
    <xf numFmtId="4" fontId="10" fillId="12" borderId="3" xfId="5" applyNumberFormat="1" applyFont="1" applyFill="1" applyBorder="1"/>
    <xf numFmtId="4" fontId="10" fillId="12" borderId="4" xfId="5" applyNumberFormat="1" applyFont="1" applyFill="1" applyBorder="1"/>
    <xf numFmtId="4" fontId="10" fillId="12" borderId="5" xfId="5" applyNumberFormat="1" applyFont="1" applyFill="1" applyBorder="1"/>
    <xf numFmtId="4" fontId="10" fillId="12" borderId="37" xfId="5" applyNumberFormat="1" applyFont="1" applyFill="1" applyBorder="1" applyAlignment="1">
      <alignment horizontal="center"/>
    </xf>
    <xf numFmtId="3" fontId="10" fillId="12" borderId="3" xfId="5" applyNumberFormat="1" applyFont="1" applyFill="1" applyBorder="1" applyAlignment="1">
      <alignment horizontal="center"/>
    </xf>
    <xf numFmtId="4" fontId="10" fillId="12" borderId="1" xfId="5" applyNumberFormat="1" applyFont="1" applyFill="1" applyBorder="1"/>
    <xf numFmtId="4" fontId="10" fillId="12" borderId="0" xfId="5" applyNumberFormat="1" applyFont="1" applyFill="1"/>
    <xf numFmtId="4" fontId="10" fillId="12" borderId="2" xfId="5" applyNumberFormat="1" applyFont="1" applyFill="1" applyBorder="1"/>
    <xf numFmtId="4" fontId="10" fillId="12" borderId="24" xfId="5" applyNumberFormat="1" applyFont="1" applyFill="1" applyBorder="1" applyAlignment="1">
      <alignment horizontal="center"/>
    </xf>
    <xf numFmtId="3" fontId="10" fillId="12" borderId="1" xfId="5" applyNumberFormat="1" applyFont="1" applyFill="1" applyBorder="1" applyAlignment="1">
      <alignment horizontal="center"/>
    </xf>
    <xf numFmtId="4" fontId="10" fillId="12" borderId="12" xfId="5" applyNumberFormat="1" applyFont="1" applyFill="1" applyBorder="1"/>
    <xf numFmtId="4" fontId="10" fillId="12" borderId="13" xfId="5" applyNumberFormat="1" applyFont="1" applyFill="1" applyBorder="1"/>
    <xf numFmtId="4" fontId="10" fillId="12" borderId="14" xfId="5" applyNumberFormat="1" applyFont="1" applyFill="1" applyBorder="1"/>
    <xf numFmtId="4" fontId="10" fillId="12" borderId="38" xfId="5" applyNumberFormat="1" applyFont="1" applyFill="1" applyBorder="1" applyAlignment="1">
      <alignment horizontal="center"/>
    </xf>
    <xf numFmtId="3" fontId="10" fillId="12" borderId="12" xfId="5" applyNumberFormat="1" applyFont="1" applyFill="1" applyBorder="1" applyAlignment="1">
      <alignment horizontal="center"/>
    </xf>
    <xf numFmtId="3" fontId="10" fillId="12" borderId="0" xfId="5" applyNumberFormat="1" applyFont="1" applyFill="1" applyAlignment="1">
      <alignment horizontal="center"/>
    </xf>
    <xf numFmtId="3" fontId="10" fillId="16" borderId="11" xfId="5" applyNumberFormat="1" applyFont="1" applyFill="1" applyBorder="1" applyAlignment="1">
      <alignment horizontal="center"/>
    </xf>
    <xf numFmtId="3" fontId="10" fillId="16" borderId="16" xfId="5" applyNumberFormat="1" applyFont="1" applyFill="1" applyBorder="1" applyAlignment="1">
      <alignment horizontal="center"/>
    </xf>
    <xf numFmtId="40" fontId="10" fillId="16" borderId="11" xfId="5" applyNumberFormat="1" applyFont="1" applyFill="1" applyBorder="1" applyAlignment="1">
      <alignment horizontal="center"/>
    </xf>
    <xf numFmtId="40" fontId="10" fillId="16" borderId="16" xfId="5" applyNumberFormat="1" applyFont="1" applyFill="1" applyBorder="1" applyAlignment="1">
      <alignment horizontal="center"/>
    </xf>
    <xf numFmtId="9" fontId="10" fillId="16" borderId="11" xfId="4" applyNumberFormat="1" applyFont="1" applyFill="1" applyBorder="1" applyAlignment="1" applyProtection="1">
      <alignment horizontal="center"/>
    </xf>
    <xf numFmtId="0" fontId="20" fillId="12" borderId="0" xfId="5" applyFont="1" applyFill="1" applyAlignment="1">
      <alignment horizontal="center"/>
    </xf>
    <xf numFmtId="3" fontId="10" fillId="16" borderId="11" xfId="5" applyNumberFormat="1" applyFont="1" applyFill="1" applyBorder="1"/>
    <xf numFmtId="3" fontId="10" fillId="16" borderId="16" xfId="5" applyNumberFormat="1" applyFont="1" applyFill="1" applyBorder="1"/>
    <xf numFmtId="3" fontId="0" fillId="12" borderId="0" xfId="0" applyNumberFormat="1" applyFill="1"/>
    <xf numFmtId="3" fontId="8" fillId="0" borderId="0" xfId="5" applyNumberFormat="1" applyFont="1" applyProtection="1">
      <protection locked="0"/>
    </xf>
    <xf numFmtId="3" fontId="7" fillId="0" borderId="0" xfId="5" applyNumberFormat="1" applyFont="1" applyProtection="1">
      <protection locked="0"/>
    </xf>
    <xf numFmtId="3" fontId="28" fillId="0" borderId="0" xfId="5" applyNumberFormat="1" applyFont="1" applyAlignment="1" applyProtection="1">
      <alignment vertical="center"/>
      <protection locked="0"/>
    </xf>
    <xf numFmtId="3" fontId="26" fillId="0" borderId="0" xfId="5" applyNumberFormat="1" applyFont="1" applyAlignment="1" applyProtection="1">
      <alignment vertical="center"/>
      <protection locked="0"/>
    </xf>
    <xf numFmtId="3" fontId="28" fillId="0" borderId="0" xfId="0" applyNumberFormat="1" applyFont="1" applyProtection="1">
      <protection locked="0"/>
    </xf>
    <xf numFmtId="3" fontId="7" fillId="16" borderId="9" xfId="5" applyNumberFormat="1" applyFont="1" applyFill="1" applyBorder="1" applyAlignment="1">
      <alignment horizontal="center"/>
    </xf>
    <xf numFmtId="3" fontId="7" fillId="16" borderId="6" xfId="5" applyNumberFormat="1" applyFont="1" applyFill="1" applyBorder="1"/>
    <xf numFmtId="3" fontId="7" fillId="16" borderId="7" xfId="5" applyNumberFormat="1" applyFont="1" applyFill="1" applyBorder="1"/>
    <xf numFmtId="3" fontId="9" fillId="16" borderId="7" xfId="5" applyNumberFormat="1" applyFont="1" applyFill="1" applyBorder="1" applyAlignment="1">
      <alignment horizontal="center"/>
    </xf>
    <xf numFmtId="40" fontId="10" fillId="0" borderId="0" xfId="5" applyNumberFormat="1" applyFont="1"/>
    <xf numFmtId="3" fontId="7" fillId="16" borderId="7" xfId="5" applyNumberFormat="1" applyFont="1" applyFill="1" applyBorder="1" applyAlignment="1">
      <alignment horizontal="center"/>
    </xf>
    <xf numFmtId="3" fontId="7" fillId="16" borderId="42" xfId="5" applyNumberFormat="1" applyFont="1" applyFill="1" applyBorder="1" applyAlignment="1">
      <alignment horizontal="center"/>
    </xf>
    <xf numFmtId="40" fontId="7" fillId="16" borderId="18" xfId="5" applyNumberFormat="1" applyFont="1" applyFill="1" applyBorder="1" applyAlignment="1">
      <alignment horizontal="center"/>
    </xf>
    <xf numFmtId="40" fontId="7" fillId="16" borderId="19" xfId="5" applyNumberFormat="1" applyFont="1" applyFill="1" applyBorder="1" applyAlignment="1">
      <alignment horizontal="center"/>
    </xf>
    <xf numFmtId="40" fontId="7" fillId="16" borderId="8" xfId="5" applyNumberFormat="1" applyFont="1" applyFill="1" applyBorder="1" applyAlignment="1">
      <alignment horizontal="center"/>
    </xf>
    <xf numFmtId="3" fontId="9" fillId="16" borderId="15" xfId="5" applyNumberFormat="1" applyFont="1" applyFill="1" applyBorder="1" applyAlignment="1">
      <alignment horizontal="center"/>
    </xf>
    <xf numFmtId="3" fontId="10" fillId="26" borderId="10" xfId="5" applyNumberFormat="1" applyFont="1" applyFill="1" applyBorder="1" applyAlignment="1">
      <alignment horizontal="left"/>
    </xf>
    <xf numFmtId="3" fontId="10" fillId="26" borderId="10" xfId="5" applyNumberFormat="1" applyFont="1" applyFill="1" applyBorder="1" applyAlignment="1">
      <alignment horizontal="center"/>
    </xf>
    <xf numFmtId="3" fontId="10" fillId="26" borderId="11" xfId="5" applyNumberFormat="1" applyFont="1" applyFill="1" applyBorder="1" applyAlignment="1">
      <alignment horizontal="center"/>
    </xf>
    <xf numFmtId="40" fontId="10" fillId="26" borderId="26" xfId="5" applyNumberFormat="1" applyFont="1" applyFill="1" applyBorder="1" applyAlignment="1">
      <alignment horizontal="center"/>
    </xf>
    <xf numFmtId="40" fontId="10" fillId="26" borderId="2" xfId="5" applyNumberFormat="1" applyFont="1" applyFill="1" applyBorder="1" applyAlignment="1">
      <alignment horizontal="center"/>
    </xf>
    <xf numFmtId="40" fontId="10" fillId="26" borderId="24" xfId="5" applyNumberFormat="1" applyFont="1" applyFill="1" applyBorder="1" applyAlignment="1">
      <alignment horizontal="center"/>
    </xf>
    <xf numFmtId="40" fontId="10" fillId="26" borderId="39" xfId="5" applyNumberFormat="1" applyFont="1" applyFill="1" applyBorder="1" applyAlignment="1">
      <alignment horizontal="center"/>
    </xf>
    <xf numFmtId="38" fontId="10" fillId="26" borderId="11" xfId="5" applyNumberFormat="1" applyFont="1" applyFill="1" applyBorder="1" applyAlignment="1">
      <alignment horizontal="center"/>
    </xf>
    <xf numFmtId="40" fontId="10" fillId="26" borderId="23" xfId="5" applyNumberFormat="1" applyFont="1" applyFill="1" applyBorder="1" applyAlignment="1">
      <alignment horizontal="center"/>
    </xf>
    <xf numFmtId="3" fontId="10" fillId="26" borderId="11" xfId="5" applyNumberFormat="1" applyFont="1" applyFill="1" applyBorder="1" applyAlignment="1">
      <alignment horizontal="left"/>
    </xf>
    <xf numFmtId="40" fontId="10" fillId="26" borderId="25" xfId="5" applyNumberFormat="1" applyFont="1" applyFill="1" applyBorder="1" applyAlignment="1">
      <alignment horizontal="center"/>
    </xf>
    <xf numFmtId="38" fontId="10" fillId="26" borderId="16" xfId="5" applyNumberFormat="1" applyFont="1" applyFill="1" applyBorder="1" applyAlignment="1">
      <alignment horizontal="center"/>
    </xf>
    <xf numFmtId="40" fontId="10" fillId="26" borderId="30" xfId="5" applyNumberFormat="1" applyFont="1" applyFill="1" applyBorder="1" applyAlignment="1">
      <alignment horizontal="center"/>
    </xf>
    <xf numFmtId="40" fontId="10" fillId="26" borderId="32" xfId="5" applyNumberFormat="1" applyFont="1" applyFill="1" applyBorder="1" applyAlignment="1">
      <alignment horizontal="center"/>
    </xf>
    <xf numFmtId="40" fontId="10" fillId="26" borderId="22" xfId="5" applyNumberFormat="1" applyFont="1" applyFill="1" applyBorder="1" applyAlignment="1">
      <alignment horizontal="center"/>
    </xf>
    <xf numFmtId="40" fontId="10" fillId="26" borderId="43" xfId="5" applyNumberFormat="1" applyFont="1" applyFill="1" applyBorder="1" applyAlignment="1">
      <alignment horizontal="center"/>
    </xf>
    <xf numFmtId="40" fontId="7" fillId="16" borderId="20" xfId="5" applyNumberFormat="1" applyFont="1" applyFill="1" applyBorder="1" applyAlignment="1">
      <alignment horizontal="center"/>
    </xf>
    <xf numFmtId="40" fontId="10" fillId="26" borderId="33" xfId="5" applyNumberFormat="1" applyFont="1" applyFill="1" applyBorder="1" applyAlignment="1">
      <alignment horizontal="center"/>
    </xf>
    <xf numFmtId="40" fontId="10" fillId="26" borderId="28" xfId="5" applyNumberFormat="1" applyFont="1" applyFill="1" applyBorder="1" applyAlignment="1">
      <alignment horizontal="center"/>
    </xf>
    <xf numFmtId="40" fontId="10" fillId="26" borderId="35" xfId="5" applyNumberFormat="1" applyFont="1" applyFill="1" applyBorder="1" applyAlignment="1">
      <alignment horizontal="center"/>
    </xf>
    <xf numFmtId="40" fontId="10" fillId="26" borderId="29" xfId="5" applyNumberFormat="1" applyFont="1" applyFill="1" applyBorder="1" applyAlignment="1">
      <alignment horizontal="center"/>
    </xf>
    <xf numFmtId="38" fontId="10" fillId="26" borderId="15" xfId="5" applyNumberFormat="1" applyFont="1" applyFill="1" applyBorder="1" applyAlignment="1">
      <alignment horizontal="center"/>
    </xf>
    <xf numFmtId="3" fontId="10" fillId="27" borderId="0" xfId="5" applyNumberFormat="1" applyFont="1" applyFill="1"/>
    <xf numFmtId="3" fontId="7" fillId="27" borderId="0" xfId="5" applyNumberFormat="1" applyFont="1" applyFill="1"/>
    <xf numFmtId="3" fontId="7" fillId="27" borderId="0" xfId="5" applyNumberFormat="1" applyFont="1" applyFill="1" applyProtection="1">
      <protection locked="0"/>
    </xf>
    <xf numFmtId="3" fontId="8" fillId="27" borderId="0" xfId="5" applyNumberFormat="1" applyFont="1" applyFill="1"/>
    <xf numFmtId="3" fontId="28" fillId="27" borderId="0" xfId="5" applyNumberFormat="1" applyFont="1" applyFill="1" applyAlignment="1">
      <alignment vertical="center"/>
    </xf>
    <xf numFmtId="3" fontId="15" fillId="27" borderId="0" xfId="5" applyNumberFormat="1" applyFont="1" applyFill="1" applyAlignment="1">
      <alignment horizontal="left"/>
    </xf>
    <xf numFmtId="3" fontId="15" fillId="27" borderId="0" xfId="5" applyNumberFormat="1" applyFont="1" applyFill="1"/>
    <xf numFmtId="0" fontId="10" fillId="0" borderId="0" xfId="3" applyFont="1" applyProtection="1">
      <protection locked="0"/>
    </xf>
    <xf numFmtId="0" fontId="16" fillId="0" borderId="0" xfId="3" applyProtection="1">
      <protection locked="0"/>
    </xf>
    <xf numFmtId="0" fontId="16" fillId="0" borderId="0" xfId="3" applyAlignment="1" applyProtection="1">
      <alignment wrapText="1"/>
      <protection locked="0"/>
    </xf>
    <xf numFmtId="3" fontId="7" fillId="6" borderId="40" xfId="5" applyNumberFormat="1" applyFont="1" applyFill="1" applyBorder="1"/>
    <xf numFmtId="178" fontId="10" fillId="0" borderId="0" xfId="5" applyNumberFormat="1" applyFont="1" applyAlignment="1" applyProtection="1">
      <alignment horizontal="center"/>
      <protection locked="0"/>
    </xf>
    <xf numFmtId="173" fontId="16" fillId="7" borderId="9" xfId="3" applyNumberFormat="1" applyFill="1" applyBorder="1" applyAlignment="1" applyProtection="1">
      <alignment horizontal="center"/>
      <protection locked="0"/>
    </xf>
    <xf numFmtId="3" fontId="10" fillId="27" borderId="0" xfId="5" applyNumberFormat="1" applyFont="1" applyFill="1" applyProtection="1">
      <protection locked="0"/>
    </xf>
    <xf numFmtId="3" fontId="0" fillId="27" borderId="0" xfId="0" applyNumberFormat="1" applyFill="1" applyProtection="1">
      <protection locked="0"/>
    </xf>
    <xf numFmtId="0" fontId="16" fillId="27" borderId="0" xfId="3" applyFill="1" applyProtection="1">
      <protection locked="0"/>
    </xf>
    <xf numFmtId="0" fontId="16" fillId="27" borderId="0" xfId="3" applyFill="1" applyAlignment="1" applyProtection="1">
      <alignment wrapText="1"/>
      <protection locked="0"/>
    </xf>
    <xf numFmtId="0" fontId="7" fillId="6" borderId="10" xfId="3" applyFont="1" applyFill="1" applyBorder="1" applyAlignment="1">
      <alignment wrapText="1"/>
    </xf>
    <xf numFmtId="0" fontId="16" fillId="6" borderId="15" xfId="3" applyFill="1" applyBorder="1"/>
    <xf numFmtId="0" fontId="17" fillId="27" borderId="0" xfId="3" applyFont="1" applyFill="1"/>
    <xf numFmtId="0" fontId="16" fillId="27" borderId="0" xfId="3" applyFill="1"/>
    <xf numFmtId="0" fontId="16" fillId="8" borderId="18" xfId="3" applyFill="1" applyBorder="1" applyAlignment="1">
      <alignment wrapText="1"/>
    </xf>
    <xf numFmtId="0" fontId="16" fillId="8" borderId="19" xfId="3" applyFill="1" applyBorder="1" applyAlignment="1">
      <alignment horizontal="center"/>
    </xf>
    <xf numFmtId="0" fontId="16" fillId="8" borderId="20" xfId="3" applyFill="1" applyBorder="1"/>
    <xf numFmtId="0" fontId="16" fillId="8" borderId="9" xfId="3" applyFill="1" applyBorder="1" applyAlignment="1">
      <alignment horizontal="center" wrapText="1"/>
    </xf>
    <xf numFmtId="0" fontId="16" fillId="8" borderId="20" xfId="3" applyFill="1" applyBorder="1" applyAlignment="1">
      <alignment horizontal="center" wrapText="1"/>
    </xf>
    <xf numFmtId="0" fontId="9" fillId="27" borderId="44" xfId="3" applyFont="1" applyFill="1" applyBorder="1" applyAlignment="1">
      <alignment wrapText="1"/>
    </xf>
    <xf numFmtId="0" fontId="16" fillId="27" borderId="38" xfId="3" applyFill="1" applyBorder="1" applyAlignment="1">
      <alignment horizontal="center" vertical="center"/>
    </xf>
    <xf numFmtId="0" fontId="16" fillId="27" borderId="45" xfId="3" applyFill="1" applyBorder="1"/>
    <xf numFmtId="166" fontId="16" fillId="27" borderId="46" xfId="3" applyNumberFormat="1" applyFill="1" applyBorder="1" applyAlignment="1">
      <alignment horizontal="center" wrapText="1"/>
    </xf>
    <xf numFmtId="174" fontId="16" fillId="27" borderId="46" xfId="3" applyNumberFormat="1" applyFill="1" applyBorder="1" applyAlignment="1">
      <alignment wrapText="1"/>
    </xf>
    <xf numFmtId="0" fontId="16" fillId="0" borderId="46" xfId="3" applyBorder="1" applyAlignment="1">
      <alignment wrapText="1"/>
    </xf>
    <xf numFmtId="0" fontId="9" fillId="27" borderId="46" xfId="3" applyFont="1" applyFill="1" applyBorder="1" applyAlignment="1">
      <alignment wrapText="1"/>
    </xf>
    <xf numFmtId="0" fontId="9" fillId="0" borderId="46" xfId="3" applyFont="1" applyBorder="1" applyAlignment="1">
      <alignment wrapText="1"/>
    </xf>
    <xf numFmtId="0" fontId="16" fillId="0" borderId="54" xfId="3" applyBorder="1" applyAlignment="1">
      <alignment wrapText="1"/>
    </xf>
    <xf numFmtId="0" fontId="16" fillId="0" borderId="38" xfId="3" applyBorder="1" applyAlignment="1">
      <alignment horizontal="center" vertical="center"/>
    </xf>
    <xf numFmtId="0" fontId="16" fillId="0" borderId="45" xfId="3" applyBorder="1"/>
    <xf numFmtId="166" fontId="16" fillId="0" borderId="46" xfId="3" applyNumberFormat="1" applyBorder="1" applyAlignment="1">
      <alignment horizontal="center" wrapText="1"/>
    </xf>
    <xf numFmtId="174" fontId="16" fillId="0" borderId="46" xfId="3" applyNumberFormat="1" applyBorder="1" applyAlignment="1">
      <alignment wrapText="1"/>
    </xf>
    <xf numFmtId="0" fontId="9" fillId="8" borderId="18" xfId="3" applyFont="1" applyFill="1" applyBorder="1" applyAlignment="1">
      <alignment horizontal="center" wrapText="1"/>
    </xf>
    <xf numFmtId="0" fontId="16" fillId="8" borderId="19" xfId="3" applyFill="1" applyBorder="1" applyAlignment="1">
      <alignment horizontal="center" vertical="center"/>
    </xf>
    <xf numFmtId="0" fontId="16" fillId="8" borderId="20" xfId="3" applyFill="1" applyBorder="1" applyAlignment="1">
      <alignment horizontal="center"/>
    </xf>
    <xf numFmtId="0" fontId="16" fillId="8" borderId="7" xfId="3" applyFill="1" applyBorder="1" applyAlignment="1">
      <alignment horizontal="center"/>
    </xf>
    <xf numFmtId="166" fontId="16" fillId="8" borderId="18" xfId="3" applyNumberFormat="1" applyFill="1" applyBorder="1" applyAlignment="1">
      <alignment horizontal="center" wrapText="1"/>
    </xf>
    <xf numFmtId="174" fontId="16" fillId="8" borderId="18" xfId="3" applyNumberFormat="1" applyFill="1" applyBorder="1" applyAlignment="1">
      <alignment horizontal="center" wrapText="1"/>
    </xf>
    <xf numFmtId="174" fontId="16" fillId="8" borderId="9" xfId="3" applyNumberFormat="1" applyFill="1" applyBorder="1" applyAlignment="1">
      <alignment horizontal="center" wrapText="1"/>
    </xf>
    <xf numFmtId="174" fontId="9" fillId="2" borderId="9" xfId="3" applyNumberFormat="1" applyFont="1" applyFill="1" applyBorder="1" applyAlignment="1">
      <alignment wrapText="1"/>
    </xf>
    <xf numFmtId="174" fontId="16" fillId="2" borderId="46" xfId="3" applyNumberFormat="1" applyFill="1" applyBorder="1" applyAlignment="1">
      <alignment wrapText="1"/>
    </xf>
    <xf numFmtId="174" fontId="16" fillId="2" borderId="54" xfId="3" applyNumberFormat="1" applyFill="1" applyBorder="1" applyAlignment="1">
      <alignment wrapText="1"/>
    </xf>
    <xf numFmtId="174" fontId="16" fillId="2" borderId="44" xfId="3" applyNumberFormat="1" applyFill="1" applyBorder="1" applyAlignment="1">
      <alignment wrapText="1"/>
    </xf>
    <xf numFmtId="0" fontId="10" fillId="0" borderId="0" xfId="3" applyFont="1"/>
    <xf numFmtId="8" fontId="10" fillId="15" borderId="9" xfId="0" applyNumberFormat="1" applyFont="1" applyFill="1" applyBorder="1"/>
    <xf numFmtId="169" fontId="10" fillId="28" borderId="11" xfId="2" applyFont="1" applyFill="1" applyBorder="1" applyProtection="1">
      <protection locked="0"/>
    </xf>
    <xf numFmtId="3" fontId="18" fillId="0" borderId="0" xfId="0" applyNumberFormat="1" applyFont="1"/>
    <xf numFmtId="177" fontId="28" fillId="15" borderId="9" xfId="0" applyNumberFormat="1" applyFont="1" applyFill="1" applyBorder="1" applyAlignment="1" applyProtection="1">
      <alignment horizontal="center"/>
      <protection locked="0"/>
    </xf>
    <xf numFmtId="40" fontId="10" fillId="16" borderId="15" xfId="5" applyNumberFormat="1" applyFont="1" applyFill="1" applyBorder="1" applyAlignment="1">
      <alignment horizontal="center"/>
    </xf>
    <xf numFmtId="1" fontId="10" fillId="16" borderId="10" xfId="5" applyNumberFormat="1" applyFont="1" applyFill="1" applyBorder="1" applyAlignment="1">
      <alignment horizontal="center"/>
    </xf>
    <xf numFmtId="1" fontId="10" fillId="16" borderId="0" xfId="5" applyNumberFormat="1" applyFont="1" applyFill="1" applyAlignment="1">
      <alignment horizontal="center"/>
    </xf>
    <xf numFmtId="3" fontId="10" fillId="16" borderId="27" xfId="5" applyNumberFormat="1" applyFont="1" applyFill="1" applyBorder="1" applyAlignment="1">
      <alignment horizontal="center"/>
    </xf>
    <xf numFmtId="3" fontId="10" fillId="15" borderId="11" xfId="5" applyNumberFormat="1" applyFont="1" applyFill="1" applyBorder="1" applyProtection="1">
      <protection locked="0"/>
    </xf>
    <xf numFmtId="3" fontId="10" fillId="15" borderId="15" xfId="5" applyNumberFormat="1" applyFont="1" applyFill="1" applyBorder="1" applyProtection="1">
      <protection locked="0"/>
    </xf>
    <xf numFmtId="3" fontId="10" fillId="15" borderId="16" xfId="5" applyNumberFormat="1" applyFont="1" applyFill="1" applyBorder="1" applyProtection="1">
      <protection locked="0"/>
    </xf>
    <xf numFmtId="40" fontId="8" fillId="26" borderId="9" xfId="5" applyNumberFormat="1" applyFont="1" applyFill="1" applyBorder="1"/>
    <xf numFmtId="0" fontId="6" fillId="15" borderId="9" xfId="2" applyNumberFormat="1" applyFont="1" applyFill="1" applyBorder="1" applyAlignment="1" applyProtection="1">
      <alignment horizontal="center" vertical="center"/>
      <protection locked="0"/>
    </xf>
    <xf numFmtId="3" fontId="10" fillId="29" borderId="11" xfId="5" applyNumberFormat="1" applyFont="1" applyFill="1" applyBorder="1" applyProtection="1">
      <protection locked="0"/>
    </xf>
    <xf numFmtId="3" fontId="8" fillId="16" borderId="9" xfId="5" applyNumberFormat="1" applyFont="1" applyFill="1" applyBorder="1"/>
    <xf numFmtId="40" fontId="33" fillId="27" borderId="0" xfId="5" applyNumberFormat="1" applyFont="1" applyFill="1" applyAlignment="1">
      <alignment horizontal="right"/>
    </xf>
    <xf numFmtId="40" fontId="7" fillId="16" borderId="7" xfId="5" applyNumberFormat="1" applyFont="1" applyFill="1" applyBorder="1" applyAlignment="1">
      <alignment horizontal="center"/>
    </xf>
    <xf numFmtId="40" fontId="7" fillId="16" borderId="42" xfId="5" applyNumberFormat="1" applyFont="1" applyFill="1" applyBorder="1" applyAlignment="1">
      <alignment horizontal="center"/>
    </xf>
    <xf numFmtId="40" fontId="7" fillId="16" borderId="9" xfId="5" applyNumberFormat="1" applyFont="1" applyFill="1" applyBorder="1" applyAlignment="1">
      <alignment horizontal="center"/>
    </xf>
    <xf numFmtId="173" fontId="30" fillId="15" borderId="82" xfId="0" applyNumberFormat="1" applyFont="1" applyFill="1" applyBorder="1" applyAlignment="1" applyProtection="1">
      <alignment horizontal="center"/>
      <protection locked="0"/>
    </xf>
    <xf numFmtId="3" fontId="8" fillId="6" borderId="9" xfId="5" applyNumberFormat="1" applyFont="1" applyFill="1" applyBorder="1" applyAlignment="1">
      <alignment horizontal="center"/>
    </xf>
    <xf numFmtId="3" fontId="8" fillId="16" borderId="6" xfId="5" applyNumberFormat="1" applyFont="1" applyFill="1" applyBorder="1" applyAlignment="1">
      <alignment horizontal="center" vertical="center"/>
    </xf>
    <xf numFmtId="3" fontId="8" fillId="0" borderId="0" xfId="5" applyNumberFormat="1" applyFont="1" applyAlignment="1" applyProtection="1">
      <alignment horizontal="center"/>
      <protection locked="0"/>
    </xf>
    <xf numFmtId="3" fontId="35" fillId="0" borderId="0" xfId="0" applyNumberFormat="1" applyFont="1"/>
    <xf numFmtId="3" fontId="8" fillId="11" borderId="9" xfId="5" applyNumberFormat="1" applyFont="1" applyFill="1" applyBorder="1" applyAlignment="1">
      <alignment horizontal="center"/>
    </xf>
    <xf numFmtId="3" fontId="8" fillId="16" borderId="9" xfId="5" applyNumberFormat="1" applyFont="1" applyFill="1" applyBorder="1" applyAlignment="1">
      <alignment horizontal="right"/>
    </xf>
    <xf numFmtId="40" fontId="7" fillId="16" borderId="28" xfId="5" applyNumberFormat="1" applyFont="1" applyFill="1" applyBorder="1" applyAlignment="1">
      <alignment horizontal="center"/>
    </xf>
    <xf numFmtId="40" fontId="7" fillId="16" borderId="29" xfId="5" applyNumberFormat="1" applyFont="1" applyFill="1" applyBorder="1" applyAlignment="1">
      <alignment horizontal="center"/>
    </xf>
    <xf numFmtId="40" fontId="7" fillId="16" borderId="30" xfId="5" applyNumberFormat="1" applyFont="1" applyFill="1" applyBorder="1" applyAlignment="1">
      <alignment horizontal="center"/>
    </xf>
    <xf numFmtId="0" fontId="8" fillId="26" borderId="58" xfId="0" applyFont="1" applyFill="1" applyBorder="1" applyAlignment="1">
      <alignment horizontal="center"/>
    </xf>
    <xf numFmtId="175" fontId="8" fillId="15" borderId="20" xfId="0" applyNumberFormat="1" applyFont="1" applyFill="1" applyBorder="1" applyAlignment="1" applyProtection="1">
      <alignment horizontal="center"/>
      <protection locked="0"/>
    </xf>
    <xf numFmtId="0" fontId="26" fillId="16" borderId="6" xfId="0" applyFont="1" applyFill="1" applyBorder="1" applyAlignment="1">
      <alignment horizontal="right"/>
    </xf>
    <xf numFmtId="0" fontId="28" fillId="0" borderId="0" xfId="3" applyFont="1" applyProtection="1">
      <protection locked="0"/>
    </xf>
    <xf numFmtId="3" fontId="28" fillId="0" borderId="0" xfId="0" applyNumberFormat="1" applyFont="1"/>
    <xf numFmtId="0" fontId="28" fillId="0" borderId="94" xfId="0" applyFont="1" applyBorder="1"/>
    <xf numFmtId="3" fontId="26" fillId="30" borderId="21" xfId="0" applyNumberFormat="1" applyFont="1" applyFill="1" applyBorder="1"/>
    <xf numFmtId="3" fontId="28" fillId="30" borderId="36" xfId="0" applyNumberFormat="1" applyFont="1" applyFill="1" applyBorder="1"/>
    <xf numFmtId="3" fontId="28" fillId="30" borderId="43" xfId="0" applyNumberFormat="1" applyFont="1" applyFill="1" applyBorder="1"/>
    <xf numFmtId="0" fontId="26" fillId="0" borderId="113" xfId="0" applyFont="1" applyBorder="1"/>
    <xf numFmtId="0" fontId="26" fillId="0" borderId="114" xfId="0" applyFont="1" applyBorder="1"/>
    <xf numFmtId="0" fontId="26" fillId="0" borderId="115" xfId="0" applyFont="1" applyBorder="1"/>
    <xf numFmtId="3" fontId="36" fillId="0" borderId="0" xfId="0" applyNumberFormat="1" applyFont="1"/>
    <xf numFmtId="0" fontId="28" fillId="0" borderId="0" xfId="3" applyFont="1" applyAlignment="1">
      <alignment wrapText="1"/>
    </xf>
    <xf numFmtId="0" fontId="28" fillId="0" borderId="0" xfId="3" applyFont="1"/>
    <xf numFmtId="0" fontId="28" fillId="0" borderId="0" xfId="3" applyFont="1" applyAlignment="1" applyProtection="1">
      <alignment wrapText="1"/>
      <protection locked="0"/>
    </xf>
    <xf numFmtId="0" fontId="34" fillId="18" borderId="102" xfId="0" applyFont="1" applyFill="1" applyBorder="1" applyAlignment="1">
      <alignment horizontal="center" vertical="center" wrapText="1" readingOrder="1"/>
    </xf>
    <xf numFmtId="0" fontId="34" fillId="18" borderId="105" xfId="0" applyFont="1" applyFill="1" applyBorder="1" applyAlignment="1">
      <alignment horizontal="center" vertical="center" wrapText="1" readingOrder="1"/>
    </xf>
    <xf numFmtId="0" fontId="34" fillId="18" borderId="106" xfId="0" applyFont="1" applyFill="1" applyBorder="1" applyAlignment="1">
      <alignment horizontal="center" vertical="center" wrapText="1" readingOrder="1"/>
    </xf>
    <xf numFmtId="0" fontId="37" fillId="17" borderId="97" xfId="9" applyNumberFormat="1" applyFont="1" applyFill="1" applyBorder="1" applyAlignment="1" applyProtection="1">
      <alignment horizontal="center" vertical="center" readingOrder="1"/>
    </xf>
    <xf numFmtId="0" fontId="37" fillId="17" borderId="66" xfId="0" applyFont="1" applyFill="1" applyBorder="1" applyAlignment="1">
      <alignment horizontal="left" vertical="center" readingOrder="1"/>
    </xf>
    <xf numFmtId="40" fontId="37" fillId="17" borderId="99" xfId="9" applyNumberFormat="1" applyFont="1" applyFill="1" applyBorder="1" applyAlignment="1">
      <alignment horizontal="right" vertical="center" wrapText="1" readingOrder="1"/>
    </xf>
    <xf numFmtId="0" fontId="28" fillId="17" borderId="97" xfId="9" applyNumberFormat="1" applyFont="1" applyFill="1" applyBorder="1" applyAlignment="1">
      <alignment horizontal="center" vertical="center" wrapText="1" readingOrder="1"/>
    </xf>
    <xf numFmtId="0" fontId="28" fillId="17" borderId="66" xfId="0" applyFont="1" applyFill="1" applyBorder="1" applyAlignment="1">
      <alignment horizontal="left" vertical="center" readingOrder="1"/>
    </xf>
    <xf numFmtId="40" fontId="37" fillId="17" borderId="109" xfId="9" applyNumberFormat="1" applyFont="1" applyFill="1" applyBorder="1" applyAlignment="1">
      <alignment horizontal="right" vertical="center" wrapText="1" readingOrder="1"/>
    </xf>
    <xf numFmtId="0" fontId="29" fillId="24" borderId="116" xfId="0" applyFont="1" applyFill="1" applyBorder="1"/>
    <xf numFmtId="0" fontId="29" fillId="24" borderId="117" xfId="0" applyFont="1" applyFill="1" applyBorder="1"/>
    <xf numFmtId="173" fontId="30" fillId="15" borderId="47" xfId="0" applyNumberFormat="1" applyFont="1" applyFill="1" applyBorder="1" applyAlignment="1" applyProtection="1">
      <alignment horizontal="center"/>
      <protection locked="0"/>
    </xf>
    <xf numFmtId="3" fontId="9" fillId="31" borderId="17" xfId="5" applyNumberFormat="1" applyFont="1" applyFill="1" applyBorder="1" applyAlignment="1">
      <alignment horizontal="center"/>
    </xf>
    <xf numFmtId="3" fontId="10" fillId="31" borderId="0" xfId="5" applyNumberFormat="1" applyFont="1" applyFill="1"/>
    <xf numFmtId="176" fontId="28" fillId="16" borderId="111" xfId="0" applyNumberFormat="1" applyFont="1" applyFill="1" applyBorder="1"/>
    <xf numFmtId="176" fontId="26" fillId="16" borderId="112" xfId="0" applyNumberFormat="1" applyFont="1" applyFill="1" applyBorder="1" applyAlignment="1">
      <alignment horizontal="right"/>
    </xf>
    <xf numFmtId="0" fontId="26" fillId="16" borderId="42" xfId="0" applyFont="1" applyFill="1" applyBorder="1" applyAlignment="1">
      <alignment horizontal="right"/>
    </xf>
    <xf numFmtId="0" fontId="8" fillId="16" borderId="110" xfId="0" applyFont="1" applyFill="1" applyBorder="1" applyAlignment="1">
      <alignment horizontal="right"/>
    </xf>
    <xf numFmtId="8" fontId="7" fillId="13" borderId="9" xfId="5" applyNumberFormat="1" applyFont="1" applyFill="1" applyBorder="1" applyAlignment="1" applyProtection="1">
      <alignment horizontal="center"/>
      <protection locked="0"/>
    </xf>
    <xf numFmtId="3" fontId="28" fillId="16" borderId="7" xfId="5" applyNumberFormat="1" applyFont="1" applyFill="1" applyBorder="1"/>
    <xf numFmtId="3" fontId="0" fillId="27" borderId="0" xfId="0" applyNumberFormat="1" applyFill="1"/>
    <xf numFmtId="3" fontId="8" fillId="27" borderId="0" xfId="5" applyNumberFormat="1" applyFont="1" applyFill="1" applyProtection="1">
      <protection locked="0"/>
    </xf>
    <xf numFmtId="3" fontId="0" fillId="32" borderId="0" xfId="0" applyNumberFormat="1" applyFill="1" applyProtection="1">
      <protection locked="0"/>
    </xf>
    <xf numFmtId="8" fontId="28" fillId="13" borderId="20" xfId="0" applyNumberFormat="1" applyFont="1" applyFill="1" applyBorder="1" applyProtection="1">
      <protection locked="0"/>
    </xf>
    <xf numFmtId="0" fontId="26" fillId="13" borderId="20" xfId="0" applyFont="1" applyFill="1" applyBorder="1" applyAlignment="1" applyProtection="1">
      <alignment horizontal="center"/>
      <protection locked="0"/>
    </xf>
    <xf numFmtId="40" fontId="28" fillId="16" borderId="7" xfId="5" applyNumberFormat="1" applyFont="1" applyFill="1" applyBorder="1" applyAlignment="1">
      <alignment horizontal="right"/>
    </xf>
    <xf numFmtId="3" fontId="28" fillId="16" borderId="7" xfId="0" applyNumberFormat="1" applyFont="1" applyFill="1" applyBorder="1" applyAlignment="1">
      <alignment horizontal="right"/>
    </xf>
    <xf numFmtId="40" fontId="9" fillId="29" borderId="9" xfId="5" applyNumberFormat="1" applyFont="1" applyFill="1" applyBorder="1" applyAlignment="1" applyProtection="1">
      <alignment horizontal="center"/>
      <protection locked="0"/>
    </xf>
    <xf numFmtId="3" fontId="10" fillId="16" borderId="9" xfId="5" applyNumberFormat="1" applyFont="1" applyFill="1" applyBorder="1" applyAlignment="1">
      <alignment horizontal="right"/>
    </xf>
    <xf numFmtId="0" fontId="7" fillId="13" borderId="9" xfId="5" applyFont="1" applyFill="1" applyBorder="1" applyAlignment="1" applyProtection="1">
      <alignment horizontal="center"/>
      <protection locked="0"/>
    </xf>
    <xf numFmtId="3" fontId="35" fillId="0" borderId="0" xfId="0" applyNumberFormat="1" applyFont="1" applyProtection="1">
      <protection locked="0"/>
    </xf>
    <xf numFmtId="165" fontId="7" fillId="27" borderId="0" xfId="5" applyNumberFormat="1" applyFont="1" applyFill="1" applyAlignment="1" applyProtection="1">
      <alignment horizontal="center"/>
      <protection locked="0"/>
    </xf>
    <xf numFmtId="3" fontId="10" fillId="32" borderId="0" xfId="5" applyNumberFormat="1" applyFont="1" applyFill="1" applyProtection="1">
      <protection locked="0"/>
    </xf>
    <xf numFmtId="3" fontId="28" fillId="27" borderId="0" xfId="5" applyNumberFormat="1" applyFont="1" applyFill="1" applyAlignment="1" applyProtection="1">
      <alignment vertical="center"/>
      <protection locked="0"/>
    </xf>
    <xf numFmtId="3" fontId="10" fillId="27" borderId="0" xfId="5" applyNumberFormat="1" applyFont="1" applyFill="1" applyAlignment="1" applyProtection="1">
      <alignment horizontal="center"/>
      <protection locked="0"/>
    </xf>
    <xf numFmtId="3" fontId="6" fillId="16" borderId="6" xfId="5" applyNumberFormat="1" applyFont="1" applyFill="1" applyBorder="1" applyAlignment="1">
      <alignment horizontal="left"/>
    </xf>
    <xf numFmtId="166" fontId="10" fillId="13" borderId="11" xfId="4" applyNumberFormat="1" applyFont="1" applyFill="1" applyBorder="1" applyAlignment="1" applyProtection="1">
      <alignment horizontal="center"/>
      <protection locked="0"/>
    </xf>
    <xf numFmtId="166" fontId="10" fillId="13" borderId="16" xfId="4" applyNumberFormat="1" applyFont="1" applyFill="1" applyBorder="1" applyAlignment="1" applyProtection="1">
      <alignment horizontal="center"/>
      <protection locked="0"/>
    </xf>
    <xf numFmtId="3" fontId="10" fillId="16" borderId="6" xfId="0" applyNumberFormat="1" applyFont="1" applyFill="1" applyBorder="1"/>
    <xf numFmtId="3" fontId="10" fillId="16" borderId="8" xfId="0" applyNumberFormat="1" applyFont="1" applyFill="1" applyBorder="1"/>
    <xf numFmtId="3" fontId="10" fillId="19" borderId="10" xfId="5" applyNumberFormat="1" applyFont="1" applyFill="1" applyBorder="1" applyAlignment="1">
      <alignment horizontal="center"/>
    </xf>
    <xf numFmtId="3" fontId="10" fillId="19" borderId="27" xfId="5" applyNumberFormat="1" applyFont="1" applyFill="1" applyBorder="1" applyAlignment="1">
      <alignment horizontal="center"/>
    </xf>
    <xf numFmtId="3" fontId="10" fillId="0" borderId="21" xfId="5" applyNumberFormat="1" applyFont="1" applyBorder="1"/>
    <xf numFmtId="3" fontId="10" fillId="0" borderId="36" xfId="5" applyNumberFormat="1" applyFont="1" applyBorder="1"/>
    <xf numFmtId="3" fontId="10" fillId="0" borderId="36" xfId="5" applyNumberFormat="1" applyFont="1" applyBorder="1" applyAlignment="1">
      <alignment horizontal="center"/>
    </xf>
    <xf numFmtId="3" fontId="10" fillId="0" borderId="43" xfId="5" applyNumberFormat="1" applyFont="1" applyBorder="1" applyAlignment="1">
      <alignment horizontal="center"/>
    </xf>
    <xf numFmtId="3" fontId="10" fillId="0" borderId="118" xfId="5" applyNumberFormat="1" applyFont="1" applyBorder="1" applyProtection="1">
      <protection locked="0"/>
    </xf>
    <xf numFmtId="3" fontId="10" fillId="0" borderId="118" xfId="5" applyNumberFormat="1" applyFont="1" applyBorder="1" applyAlignment="1" applyProtection="1">
      <alignment horizontal="center"/>
      <protection locked="0"/>
    </xf>
    <xf numFmtId="166" fontId="10" fillId="2" borderId="7" xfId="4" applyNumberFormat="1" applyFont="1" applyFill="1" applyBorder="1" applyAlignment="1" applyProtection="1">
      <alignment horizontal="center"/>
      <protection locked="0"/>
    </xf>
    <xf numFmtId="166" fontId="10" fillId="2" borderId="8" xfId="4" applyNumberFormat="1" applyFont="1" applyFill="1" applyBorder="1" applyAlignment="1" applyProtection="1">
      <alignment horizontal="center"/>
      <protection locked="0"/>
    </xf>
    <xf numFmtId="0" fontId="10" fillId="4" borderId="44" xfId="3" applyFont="1" applyFill="1" applyBorder="1" applyAlignment="1" applyProtection="1">
      <alignment wrapText="1"/>
      <protection locked="0"/>
    </xf>
    <xf numFmtId="0" fontId="10" fillId="4" borderId="46" xfId="3" applyFont="1" applyFill="1" applyBorder="1" applyAlignment="1" applyProtection="1">
      <alignment wrapText="1"/>
      <protection locked="0"/>
    </xf>
    <xf numFmtId="0" fontId="10" fillId="4" borderId="53" xfId="3" applyFont="1" applyFill="1" applyBorder="1" applyAlignment="1" applyProtection="1">
      <alignment wrapText="1"/>
      <protection locked="0"/>
    </xf>
    <xf numFmtId="0" fontId="39" fillId="0" borderId="0" xfId="3" applyFont="1" applyProtection="1">
      <protection locked="0"/>
    </xf>
    <xf numFmtId="3" fontId="6" fillId="6" borderId="40" xfId="5" applyNumberFormat="1" applyFont="1" applyFill="1" applyBorder="1" applyProtection="1">
      <protection hidden="1"/>
    </xf>
    <xf numFmtId="3" fontId="8" fillId="0" borderId="0" xfId="5" applyNumberFormat="1" applyFont="1"/>
    <xf numFmtId="3" fontId="28" fillId="0" borderId="0" xfId="5" applyNumberFormat="1" applyFont="1" applyAlignment="1">
      <alignment vertical="center"/>
    </xf>
    <xf numFmtId="3" fontId="26" fillId="0" borderId="0" xfId="5" applyNumberFormat="1" applyFont="1" applyAlignment="1">
      <alignment vertical="center"/>
    </xf>
    <xf numFmtId="0" fontId="39" fillId="0" borderId="0" xfId="3" applyFont="1"/>
    <xf numFmtId="3" fontId="25" fillId="23" borderId="9" xfId="5" applyNumberFormat="1" applyFont="1" applyFill="1" applyBorder="1" applyProtection="1">
      <protection locked="0"/>
    </xf>
    <xf numFmtId="40" fontId="10" fillId="26" borderId="51" xfId="5" applyNumberFormat="1" applyFont="1" applyFill="1" applyBorder="1" applyAlignment="1">
      <alignment horizontal="center"/>
    </xf>
    <xf numFmtId="10" fontId="9" fillId="7" borderId="16" xfId="4" applyFont="1" applyFill="1" applyBorder="1" applyAlignment="1" applyProtection="1">
      <alignment horizontal="center" vertical="center"/>
    </xf>
    <xf numFmtId="3" fontId="10" fillId="32" borderId="0" xfId="0" applyNumberFormat="1" applyFont="1" applyFill="1" applyProtection="1">
      <protection locked="0"/>
    </xf>
    <xf numFmtId="3" fontId="9" fillId="16" borderId="9" xfId="0" applyNumberFormat="1" applyFont="1" applyFill="1" applyBorder="1" applyAlignment="1">
      <alignment horizontal="center" vertical="center"/>
    </xf>
    <xf numFmtId="10" fontId="10" fillId="19" borderId="9" xfId="0" applyNumberFormat="1" applyFont="1" applyFill="1" applyBorder="1" applyAlignment="1">
      <alignment horizontal="center" vertical="center"/>
    </xf>
    <xf numFmtId="40" fontId="26" fillId="15" borderId="9" xfId="0" applyNumberFormat="1" applyFont="1" applyFill="1" applyBorder="1" applyAlignment="1" applyProtection="1">
      <alignment horizontal="center" vertical="center"/>
      <protection locked="0"/>
    </xf>
    <xf numFmtId="3" fontId="10" fillId="25" borderId="6" xfId="5" applyNumberFormat="1" applyFont="1" applyFill="1" applyBorder="1" applyAlignment="1">
      <alignment horizontal="right"/>
    </xf>
    <xf numFmtId="40" fontId="10" fillId="19" borderId="9" xfId="5" applyNumberFormat="1" applyFont="1" applyFill="1" applyBorder="1"/>
    <xf numFmtId="10" fontId="7" fillId="7" borderId="16" xfId="4" applyFont="1" applyFill="1" applyBorder="1" applyAlignment="1" applyProtection="1">
      <alignment horizontal="center" vertical="center"/>
    </xf>
    <xf numFmtId="169" fontId="41" fillId="0" borderId="5" xfId="2" applyFont="1" applyBorder="1"/>
    <xf numFmtId="0" fontId="10" fillId="27" borderId="58" xfId="0" applyFont="1" applyFill="1" applyBorder="1"/>
    <xf numFmtId="9" fontId="10" fillId="33" borderId="63" xfId="0" applyNumberFormat="1" applyFont="1" applyFill="1" applyBorder="1" applyAlignment="1">
      <alignment horizontal="center"/>
    </xf>
    <xf numFmtId="10" fontId="10" fillId="27" borderId="57" xfId="4" applyFont="1" applyFill="1" applyBorder="1" applyAlignment="1">
      <alignment horizontal="center"/>
    </xf>
    <xf numFmtId="10" fontId="10" fillId="27" borderId="58" xfId="4" applyFont="1" applyFill="1" applyBorder="1" applyAlignment="1">
      <alignment horizontal="center"/>
    </xf>
    <xf numFmtId="0" fontId="10" fillId="27" borderId="48" xfId="0" applyFont="1" applyFill="1" applyBorder="1"/>
    <xf numFmtId="9" fontId="10" fillId="33" borderId="82" xfId="0" applyNumberFormat="1" applyFont="1" applyFill="1" applyBorder="1" applyAlignment="1">
      <alignment horizontal="center"/>
    </xf>
    <xf numFmtId="10" fontId="10" fillId="27" borderId="47" xfId="4" applyFont="1" applyFill="1" applyBorder="1" applyAlignment="1">
      <alignment horizontal="center"/>
    </xf>
    <xf numFmtId="10" fontId="10" fillId="27" borderId="48" xfId="4" applyFont="1" applyFill="1" applyBorder="1" applyAlignment="1">
      <alignment horizontal="center"/>
    </xf>
    <xf numFmtId="0" fontId="10" fillId="27" borderId="50" xfId="0" applyFont="1" applyFill="1" applyBorder="1"/>
    <xf numFmtId="9" fontId="10" fillId="33" borderId="87" xfId="0" applyNumberFormat="1" applyFont="1" applyFill="1" applyBorder="1" applyAlignment="1">
      <alignment horizontal="center"/>
    </xf>
    <xf numFmtId="10" fontId="10" fillId="27" borderId="49" xfId="4" applyFont="1" applyFill="1" applyBorder="1" applyAlignment="1">
      <alignment horizontal="center"/>
    </xf>
    <xf numFmtId="10" fontId="10" fillId="27" borderId="50" xfId="4" applyFont="1" applyFill="1" applyBorder="1" applyAlignment="1">
      <alignment horizontal="center"/>
    </xf>
    <xf numFmtId="0" fontId="10" fillId="27" borderId="58" xfId="0" applyFont="1" applyFill="1" applyBorder="1" applyAlignment="1">
      <alignment horizontal="left" vertical="center"/>
    </xf>
    <xf numFmtId="0" fontId="10" fillId="27" borderId="48" xfId="0" applyFont="1" applyFill="1" applyBorder="1" applyAlignment="1">
      <alignment horizontal="left" vertical="center"/>
    </xf>
    <xf numFmtId="0" fontId="10" fillId="27" borderId="50" xfId="0" applyFont="1" applyFill="1" applyBorder="1" applyAlignment="1">
      <alignment horizontal="left" vertical="center"/>
    </xf>
    <xf numFmtId="0" fontId="10" fillId="27" borderId="23" xfId="0" applyFont="1" applyFill="1" applyBorder="1"/>
    <xf numFmtId="9" fontId="10" fillId="33" borderId="33" xfId="0" applyNumberFormat="1" applyFont="1" applyFill="1" applyBorder="1" applyAlignment="1">
      <alignment horizontal="center" vertical="center"/>
    </xf>
    <xf numFmtId="10" fontId="10" fillId="27" borderId="22" xfId="4" applyFont="1" applyFill="1" applyBorder="1" applyAlignment="1">
      <alignment horizontal="center" vertical="center"/>
    </xf>
    <xf numFmtId="10" fontId="10" fillId="27" borderId="23" xfId="4" applyFont="1" applyFill="1" applyBorder="1" applyAlignment="1">
      <alignment horizontal="center" vertical="center"/>
    </xf>
    <xf numFmtId="0" fontId="10" fillId="27" borderId="20" xfId="0" applyFont="1" applyFill="1" applyBorder="1"/>
    <xf numFmtId="9" fontId="10" fillId="33" borderId="34" xfId="0" applyNumberFormat="1" applyFont="1" applyFill="1" applyBorder="1" applyAlignment="1">
      <alignment horizontal="center"/>
    </xf>
    <xf numFmtId="10" fontId="10" fillId="27" borderId="19" xfId="4" applyFont="1" applyFill="1" applyBorder="1" applyAlignment="1">
      <alignment horizontal="center"/>
    </xf>
    <xf numFmtId="10" fontId="10" fillId="27" borderId="20" xfId="4" applyFont="1" applyFill="1" applyBorder="1" applyAlignment="1">
      <alignment horizontal="center"/>
    </xf>
    <xf numFmtId="0" fontId="10" fillId="27" borderId="83" xfId="0" applyFont="1" applyFill="1" applyBorder="1"/>
    <xf numFmtId="0" fontId="10" fillId="27" borderId="82" xfId="0" applyFont="1" applyFill="1" applyBorder="1"/>
    <xf numFmtId="0" fontId="10" fillId="27" borderId="1" xfId="0" applyFont="1" applyFill="1" applyBorder="1"/>
    <xf numFmtId="0" fontId="10" fillId="27" borderId="0" xfId="0" applyFont="1" applyFill="1"/>
    <xf numFmtId="0" fontId="10" fillId="27" borderId="2" xfId="0" applyFont="1" applyFill="1" applyBorder="1"/>
    <xf numFmtId="0" fontId="10" fillId="27" borderId="0" xfId="0" applyFont="1" applyFill="1" applyAlignment="1">
      <alignment horizontal="center"/>
    </xf>
    <xf numFmtId="0" fontId="10" fillId="27" borderId="2" xfId="0" applyFont="1" applyFill="1" applyBorder="1" applyAlignment="1">
      <alignment horizontal="center"/>
    </xf>
    <xf numFmtId="0" fontId="10" fillId="27" borderId="12" xfId="0" applyFont="1" applyFill="1" applyBorder="1"/>
    <xf numFmtId="0" fontId="10" fillId="27" borderId="13" xfId="0" applyFont="1" applyFill="1" applyBorder="1"/>
    <xf numFmtId="0" fontId="10" fillId="27" borderId="14" xfId="0" applyFont="1" applyFill="1" applyBorder="1"/>
    <xf numFmtId="0" fontId="42" fillId="27" borderId="18" xfId="0" applyFont="1" applyFill="1" applyBorder="1" applyAlignment="1">
      <alignment horizontal="center" vertical="center"/>
    </xf>
    <xf numFmtId="0" fontId="42" fillId="27" borderId="19" xfId="0" applyFont="1" applyFill="1" applyBorder="1" applyAlignment="1">
      <alignment horizontal="center"/>
    </xf>
    <xf numFmtId="0" fontId="42" fillId="27" borderId="20" xfId="0" applyFont="1" applyFill="1" applyBorder="1" applyAlignment="1">
      <alignment horizontal="center"/>
    </xf>
    <xf numFmtId="0" fontId="43" fillId="27" borderId="74" xfId="0" applyFont="1" applyFill="1" applyBorder="1" applyAlignment="1">
      <alignment vertical="center"/>
    </xf>
    <xf numFmtId="0" fontId="43" fillId="27" borderId="46" xfId="0" applyFont="1" applyFill="1" applyBorder="1" applyAlignment="1">
      <alignment vertical="center"/>
    </xf>
    <xf numFmtId="0" fontId="43" fillId="27" borderId="53" xfId="0" applyFont="1" applyFill="1" applyBorder="1" applyAlignment="1">
      <alignment vertical="center"/>
    </xf>
    <xf numFmtId="0" fontId="43" fillId="27" borderId="46" xfId="0" applyFont="1" applyFill="1" applyBorder="1"/>
    <xf numFmtId="0" fontId="43" fillId="27" borderId="53" xfId="0" applyFont="1" applyFill="1" applyBorder="1"/>
    <xf numFmtId="0" fontId="43" fillId="27" borderId="32" xfId="0" applyFont="1" applyFill="1" applyBorder="1" applyAlignment="1">
      <alignment wrapText="1"/>
    </xf>
    <xf numFmtId="0" fontId="43" fillId="27" borderId="18" xfId="0" applyFont="1" applyFill="1" applyBorder="1" applyAlignment="1">
      <alignment vertical="center"/>
    </xf>
    <xf numFmtId="0" fontId="42" fillId="27" borderId="81" xfId="0" applyFont="1" applyFill="1" applyBorder="1" applyAlignment="1">
      <alignment vertical="center"/>
    </xf>
    <xf numFmtId="0" fontId="45" fillId="27" borderId="13" xfId="0" applyFont="1" applyFill="1" applyBorder="1" applyAlignment="1">
      <alignment vertical="center"/>
    </xf>
    <xf numFmtId="3" fontId="46" fillId="0" borderId="51" xfId="10" applyNumberFormat="1" applyBorder="1" applyAlignment="1" applyProtection="1"/>
    <xf numFmtId="3" fontId="10" fillId="0" borderId="10" xfId="0" applyNumberFormat="1" applyFont="1" applyBorder="1"/>
    <xf numFmtId="3" fontId="10" fillId="0" borderId="39" xfId="0" applyNumberFormat="1" applyFont="1" applyBorder="1"/>
    <xf numFmtId="0" fontId="10" fillId="27" borderId="10" xfId="0" applyFont="1" applyFill="1" applyBorder="1"/>
    <xf numFmtId="0" fontId="42" fillId="27" borderId="0" xfId="0" applyFont="1" applyFill="1" applyAlignment="1">
      <alignment vertical="center"/>
    </xf>
    <xf numFmtId="0" fontId="43" fillId="27" borderId="0" xfId="0" applyFont="1" applyFill="1"/>
    <xf numFmtId="0" fontId="10" fillId="27" borderId="39" xfId="0" applyFont="1" applyFill="1" applyBorder="1"/>
    <xf numFmtId="0" fontId="10" fillId="27" borderId="27" xfId="0" applyFont="1" applyFill="1" applyBorder="1"/>
    <xf numFmtId="0" fontId="10" fillId="27" borderId="17" xfId="0" applyFont="1" applyFill="1" applyBorder="1"/>
    <xf numFmtId="0" fontId="10" fillId="27" borderId="51" xfId="0" applyFont="1" applyFill="1" applyBorder="1"/>
    <xf numFmtId="0" fontId="44" fillId="27" borderId="39" xfId="0" applyFont="1" applyFill="1" applyBorder="1"/>
    <xf numFmtId="3" fontId="10" fillId="15" borderId="39" xfId="0" quotePrefix="1" applyNumberFormat="1" applyFont="1" applyFill="1" applyBorder="1"/>
    <xf numFmtId="170" fontId="9" fillId="3" borderId="16" xfId="1" applyNumberFormat="1" applyFont="1" applyFill="1" applyBorder="1" applyAlignment="1" applyProtection="1">
      <alignment horizontal="left" vertical="center"/>
      <protection locked="0"/>
    </xf>
    <xf numFmtId="3" fontId="0" fillId="0" borderId="0" xfId="0" applyNumberFormat="1" applyAlignment="1">
      <alignment horizontal="right"/>
    </xf>
    <xf numFmtId="3" fontId="47" fillId="16" borderId="9" xfId="0" applyNumberFormat="1" applyFont="1" applyFill="1" applyBorder="1" applyAlignment="1">
      <alignment horizontal="center"/>
    </xf>
    <xf numFmtId="3" fontId="10" fillId="25" borderId="9" xfId="0" applyNumberFormat="1" applyFont="1" applyFill="1" applyBorder="1"/>
    <xf numFmtId="169" fontId="9" fillId="3" borderId="11" xfId="2" applyFont="1" applyFill="1" applyBorder="1" applyAlignment="1" applyProtection="1">
      <alignment horizontal="center"/>
      <protection locked="0"/>
    </xf>
    <xf numFmtId="169" fontId="9" fillId="0" borderId="0" xfId="2" applyFont="1" applyAlignment="1">
      <alignment horizontal="right" vertical="center"/>
    </xf>
    <xf numFmtId="3" fontId="48" fillId="0" borderId="0" xfId="0" applyNumberFormat="1" applyFont="1"/>
    <xf numFmtId="3" fontId="49" fillId="0" borderId="47" xfId="0" applyNumberFormat="1" applyFont="1" applyBorder="1" applyAlignment="1">
      <alignment horizontal="left" vertical="center"/>
    </xf>
    <xf numFmtId="3" fontId="49" fillId="0" borderId="47" xfId="0" applyNumberFormat="1" applyFont="1" applyBorder="1" applyAlignment="1">
      <alignment horizontal="left" vertical="center" wrapText="1"/>
    </xf>
    <xf numFmtId="0" fontId="10" fillId="7" borderId="6" xfId="3" applyFont="1" applyFill="1" applyBorder="1" applyAlignment="1" applyProtection="1">
      <alignment wrapText="1"/>
      <protection locked="0"/>
    </xf>
    <xf numFmtId="4" fontId="10" fillId="0" borderId="0" xfId="5" applyNumberFormat="1" applyFont="1" applyProtection="1">
      <protection locked="0"/>
    </xf>
    <xf numFmtId="174" fontId="10" fillId="0" borderId="0" xfId="5" applyNumberFormat="1" applyFont="1" applyProtection="1">
      <protection locked="0"/>
    </xf>
    <xf numFmtId="10" fontId="10" fillId="0" borderId="0" xfId="5" applyNumberFormat="1" applyFont="1" applyProtection="1">
      <protection locked="0"/>
    </xf>
    <xf numFmtId="3" fontId="7" fillId="0" borderId="0" xfId="5" applyNumberFormat="1" applyFont="1" applyAlignment="1" applyProtection="1">
      <alignment horizontal="center"/>
      <protection locked="0"/>
    </xf>
    <xf numFmtId="10" fontId="9" fillId="0" borderId="0" xfId="5" applyNumberFormat="1" applyFont="1" applyProtection="1">
      <protection locked="0"/>
    </xf>
    <xf numFmtId="174" fontId="9" fillId="0" borderId="0" xfId="5" applyNumberFormat="1" applyFont="1" applyProtection="1">
      <protection locked="0"/>
    </xf>
    <xf numFmtId="3" fontId="51" fillId="0" borderId="0" xfId="5" applyNumberFormat="1" applyFont="1" applyProtection="1">
      <protection locked="0"/>
    </xf>
    <xf numFmtId="0" fontId="52" fillId="0" borderId="119" xfId="0" applyFont="1" applyBorder="1"/>
    <xf numFmtId="44" fontId="0" fillId="0" borderId="119" xfId="11" applyFont="1" applyFill="1" applyBorder="1"/>
    <xf numFmtId="0" fontId="0" fillId="0" borderId="0" xfId="0"/>
    <xf numFmtId="0" fontId="0" fillId="0" borderId="47" xfId="0" applyBorder="1"/>
    <xf numFmtId="179" fontId="0" fillId="0" borderId="0" xfId="4" applyNumberFormat="1" applyFont="1" applyBorder="1"/>
    <xf numFmtId="0" fontId="0" fillId="13" borderId="121" xfId="0" applyFill="1" applyBorder="1"/>
    <xf numFmtId="0" fontId="52" fillId="0" borderId="47" xfId="0" applyFont="1" applyBorder="1" applyAlignment="1">
      <alignment horizontal="center"/>
    </xf>
    <xf numFmtId="0" fontId="52" fillId="0" borderId="0" xfId="0" applyFont="1" applyAlignment="1">
      <alignment horizontal="center"/>
    </xf>
    <xf numFmtId="0" fontId="52" fillId="0" borderId="47" xfId="0" applyFont="1" applyBorder="1"/>
    <xf numFmtId="10" fontId="0" fillId="0" borderId="47" xfId="0" applyNumberFormat="1" applyBorder="1"/>
    <xf numFmtId="44" fontId="0" fillId="0" borderId="47" xfId="11" applyFont="1" applyBorder="1"/>
    <xf numFmtId="164" fontId="0" fillId="0" borderId="47" xfId="9" applyFont="1" applyBorder="1"/>
    <xf numFmtId="164" fontId="0" fillId="0" borderId="47" xfId="0" applyNumberFormat="1" applyBorder="1"/>
    <xf numFmtId="164" fontId="0" fillId="0" borderId="0" xfId="0" applyNumberFormat="1"/>
    <xf numFmtId="0" fontId="0" fillId="0" borderId="47" xfId="0" applyBorder="1" applyAlignment="1">
      <alignment horizontal="center" vertical="center"/>
    </xf>
    <xf numFmtId="164" fontId="52" fillId="0" borderId="0" xfId="0" applyNumberFormat="1" applyFont="1" applyAlignment="1">
      <alignment horizontal="center"/>
    </xf>
    <xf numFmtId="0" fontId="52" fillId="0" borderId="0" xfId="0" applyFont="1" applyAlignment="1">
      <alignment horizontal="center" vertical="center"/>
    </xf>
    <xf numFmtId="2" fontId="0" fillId="0" borderId="47" xfId="0" applyNumberFormat="1" applyBorder="1"/>
    <xf numFmtId="3" fontId="53" fillId="0" borderId="0" xfId="0" applyNumberFormat="1" applyFont="1"/>
    <xf numFmtId="8" fontId="0" fillId="13" borderId="120" xfId="11" applyNumberFormat="1" applyFont="1" applyFill="1" applyBorder="1"/>
    <xf numFmtId="44" fontId="0" fillId="0" borderId="0" xfId="11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37" xfId="0" applyBorder="1"/>
    <xf numFmtId="10" fontId="48" fillId="0" borderId="9" xfId="4" applyFont="1" applyBorder="1"/>
    <xf numFmtId="2" fontId="0" fillId="0" borderId="9" xfId="9" applyNumberFormat="1" applyFont="1" applyBorder="1"/>
    <xf numFmtId="2" fontId="0" fillId="0" borderId="0" xfId="0" applyNumberFormat="1"/>
    <xf numFmtId="174" fontId="18" fillId="0" borderId="0" xfId="5" applyNumberFormat="1" applyFont="1" applyProtection="1">
      <protection locked="0"/>
    </xf>
    <xf numFmtId="4" fontId="10" fillId="3" borderId="2" xfId="5" applyNumberFormat="1" applyFont="1" applyFill="1" applyBorder="1" applyAlignment="1" applyProtection="1">
      <alignment horizontal="center"/>
      <protection locked="0"/>
    </xf>
    <xf numFmtId="44" fontId="10" fillId="0" borderId="0" xfId="11" applyFont="1" applyProtection="1">
      <protection locked="0"/>
    </xf>
    <xf numFmtId="4" fontId="7" fillId="0" borderId="0" xfId="5" applyNumberFormat="1" applyFont="1" applyProtection="1">
      <protection locked="0"/>
    </xf>
    <xf numFmtId="3" fontId="10" fillId="26" borderId="10" xfId="5" applyNumberFormat="1" applyFont="1" applyFill="1" applyBorder="1" applyAlignment="1">
      <alignment horizontal="left"/>
    </xf>
    <xf numFmtId="3" fontId="10" fillId="26" borderId="0" xfId="5" applyNumberFormat="1" applyFont="1" applyFill="1" applyAlignment="1">
      <alignment horizontal="left"/>
    </xf>
    <xf numFmtId="3" fontId="10" fillId="26" borderId="39" xfId="5" applyNumberFormat="1" applyFont="1" applyFill="1" applyBorder="1" applyAlignment="1">
      <alignment horizontal="left"/>
    </xf>
    <xf numFmtId="3" fontId="7" fillId="16" borderId="6" xfId="5" applyNumberFormat="1" applyFont="1" applyFill="1" applyBorder="1" applyAlignment="1">
      <alignment horizontal="center"/>
    </xf>
    <xf numFmtId="3" fontId="7" fillId="16" borderId="7" xfId="5" applyNumberFormat="1" applyFont="1" applyFill="1" applyBorder="1" applyAlignment="1">
      <alignment horizontal="center"/>
    </xf>
    <xf numFmtId="3" fontId="7" fillId="16" borderId="8" xfId="5" applyNumberFormat="1" applyFont="1" applyFill="1" applyBorder="1" applyAlignment="1">
      <alignment horizontal="center"/>
    </xf>
    <xf numFmtId="3" fontId="8" fillId="6" borderId="6" xfId="5" applyNumberFormat="1" applyFont="1" applyFill="1" applyBorder="1" applyAlignment="1">
      <alignment horizontal="center" vertical="center"/>
    </xf>
    <xf numFmtId="3" fontId="8" fillId="6" borderId="7" xfId="5" applyNumberFormat="1" applyFont="1" applyFill="1" applyBorder="1" applyAlignment="1">
      <alignment horizontal="center" vertical="center"/>
    </xf>
    <xf numFmtId="3" fontId="7" fillId="16" borderId="27" xfId="5" applyNumberFormat="1" applyFont="1" applyFill="1" applyBorder="1" applyAlignment="1">
      <alignment horizontal="center"/>
    </xf>
    <xf numFmtId="3" fontId="7" fillId="16" borderId="51" xfId="5" applyNumberFormat="1" applyFont="1" applyFill="1" applyBorder="1" applyAlignment="1">
      <alignment horizontal="center"/>
    </xf>
    <xf numFmtId="3" fontId="7" fillId="16" borderId="40" xfId="5" applyNumberFormat="1" applyFont="1" applyFill="1" applyBorder="1" applyAlignment="1">
      <alignment horizontal="center" vertical="center" wrapText="1"/>
    </xf>
    <xf numFmtId="3" fontId="7" fillId="16" borderId="31" xfId="5" applyNumberFormat="1" applyFont="1" applyFill="1" applyBorder="1" applyAlignment="1">
      <alignment horizontal="center" vertical="center"/>
    </xf>
    <xf numFmtId="3" fontId="8" fillId="16" borderId="7" xfId="5" applyNumberFormat="1" applyFont="1" applyFill="1" applyBorder="1" applyAlignment="1">
      <alignment horizontal="center" vertical="center"/>
    </xf>
    <xf numFmtId="3" fontId="8" fillId="16" borderId="8" xfId="5" applyNumberFormat="1" applyFont="1" applyFill="1" applyBorder="1" applyAlignment="1">
      <alignment horizontal="center" vertical="center"/>
    </xf>
    <xf numFmtId="3" fontId="8" fillId="16" borderId="6" xfId="5" applyNumberFormat="1" applyFont="1" applyFill="1" applyBorder="1" applyAlignment="1">
      <alignment horizontal="center"/>
    </xf>
    <xf numFmtId="3" fontId="8" fillId="16" borderId="8" xfId="5" applyNumberFormat="1" applyFont="1" applyFill="1" applyBorder="1" applyAlignment="1">
      <alignment horizontal="center"/>
    </xf>
    <xf numFmtId="14" fontId="28" fillId="15" borderId="53" xfId="5" applyNumberFormat="1" applyFont="1" applyFill="1" applyBorder="1" applyAlignment="1" applyProtection="1">
      <alignment horizontal="center" vertical="center"/>
      <protection locked="0"/>
    </xf>
    <xf numFmtId="14" fontId="28" fillId="15" borderId="49" xfId="5" applyNumberFormat="1" applyFont="1" applyFill="1" applyBorder="1" applyAlignment="1" applyProtection="1">
      <alignment horizontal="center" vertical="center"/>
      <protection locked="0"/>
    </xf>
    <xf numFmtId="14" fontId="28" fillId="15" borderId="50" xfId="5" applyNumberFormat="1" applyFont="1" applyFill="1" applyBorder="1" applyAlignment="1" applyProtection="1">
      <alignment horizontal="center" vertical="center"/>
      <protection locked="0"/>
    </xf>
    <xf numFmtId="3" fontId="8" fillId="11" borderId="53" xfId="5" applyNumberFormat="1" applyFont="1" applyFill="1" applyBorder="1" applyAlignment="1">
      <alignment horizontal="center"/>
    </xf>
    <xf numFmtId="3" fontId="8" fillId="11" borderId="49" xfId="5" applyNumberFormat="1" applyFont="1" applyFill="1" applyBorder="1" applyAlignment="1">
      <alignment horizontal="center"/>
    </xf>
    <xf numFmtId="3" fontId="8" fillId="11" borderId="59" xfId="5" applyNumberFormat="1" applyFont="1" applyFill="1" applyBorder="1" applyAlignment="1">
      <alignment horizontal="center"/>
    </xf>
    <xf numFmtId="3" fontId="10" fillId="11" borderId="50" xfId="5" applyNumberFormat="1" applyFont="1" applyFill="1" applyBorder="1" applyAlignment="1">
      <alignment horizontal="center"/>
    </xf>
    <xf numFmtId="8" fontId="28" fillId="13" borderId="42" xfId="0" applyNumberFormat="1" applyFont="1" applyFill="1" applyBorder="1" applyAlignment="1" applyProtection="1">
      <alignment horizontal="center"/>
      <protection locked="0"/>
    </xf>
    <xf numFmtId="8" fontId="28" fillId="13" borderId="8" xfId="0" applyNumberFormat="1" applyFont="1" applyFill="1" applyBorder="1" applyAlignment="1" applyProtection="1">
      <alignment horizontal="center"/>
      <protection locked="0"/>
    </xf>
    <xf numFmtId="3" fontId="8" fillId="16" borderId="6" xfId="5" applyNumberFormat="1" applyFont="1" applyFill="1" applyBorder="1" applyAlignment="1">
      <alignment horizontal="center" vertical="center"/>
    </xf>
    <xf numFmtId="3" fontId="8" fillId="11" borderId="63" xfId="5" applyNumberFormat="1" applyFont="1" applyFill="1" applyBorder="1" applyAlignment="1">
      <alignment horizontal="center"/>
    </xf>
    <xf numFmtId="3" fontId="10" fillId="11" borderId="57" xfId="5" applyNumberFormat="1" applyFont="1" applyFill="1" applyBorder="1" applyAlignment="1">
      <alignment horizontal="center"/>
    </xf>
    <xf numFmtId="3" fontId="10" fillId="11" borderId="64" xfId="5" applyNumberFormat="1" applyFont="1" applyFill="1" applyBorder="1" applyAlignment="1">
      <alignment horizontal="center"/>
    </xf>
    <xf numFmtId="3" fontId="10" fillId="11" borderId="58" xfId="5" applyNumberFormat="1" applyFont="1" applyFill="1" applyBorder="1" applyAlignment="1">
      <alignment horizontal="center"/>
    </xf>
    <xf numFmtId="3" fontId="28" fillId="16" borderId="6" xfId="0" applyNumberFormat="1" applyFont="1" applyFill="1" applyBorder="1" applyAlignment="1">
      <alignment horizontal="right"/>
    </xf>
    <xf numFmtId="3" fontId="28" fillId="16" borderId="7" xfId="0" applyNumberFormat="1" applyFont="1" applyFill="1" applyBorder="1" applyAlignment="1">
      <alignment horizontal="right"/>
    </xf>
    <xf numFmtId="3" fontId="28" fillId="16" borderId="8" xfId="0" applyNumberFormat="1" applyFont="1" applyFill="1" applyBorder="1" applyAlignment="1">
      <alignment horizontal="right"/>
    </xf>
    <xf numFmtId="40" fontId="28" fillId="16" borderId="6" xfId="5" applyNumberFormat="1" applyFont="1" applyFill="1" applyBorder="1" applyAlignment="1">
      <alignment horizontal="right"/>
    </xf>
    <xf numFmtId="40" fontId="28" fillId="16" borderId="7" xfId="5" applyNumberFormat="1" applyFont="1" applyFill="1" applyBorder="1" applyAlignment="1">
      <alignment horizontal="right"/>
    </xf>
    <xf numFmtId="3" fontId="7" fillId="16" borderId="21" xfId="5" applyNumberFormat="1" applyFont="1" applyFill="1" applyBorder="1" applyAlignment="1">
      <alignment horizontal="center"/>
    </xf>
    <xf numFmtId="3" fontId="7" fillId="16" borderId="43" xfId="5" applyNumberFormat="1" applyFont="1" applyFill="1" applyBorder="1" applyAlignment="1">
      <alignment horizontal="center"/>
    </xf>
    <xf numFmtId="3" fontId="10" fillId="26" borderId="27" xfId="5" applyNumberFormat="1" applyFont="1" applyFill="1" applyBorder="1" applyAlignment="1">
      <alignment horizontal="left"/>
    </xf>
    <xf numFmtId="3" fontId="10" fillId="26" borderId="17" xfId="5" applyNumberFormat="1" applyFont="1" applyFill="1" applyBorder="1" applyAlignment="1">
      <alignment horizontal="left"/>
    </xf>
    <xf numFmtId="3" fontId="10" fillId="26" borderId="51" xfId="5" applyNumberFormat="1" applyFont="1" applyFill="1" applyBorder="1" applyAlignment="1">
      <alignment horizontal="left"/>
    </xf>
    <xf numFmtId="3" fontId="7" fillId="16" borderId="6" xfId="0" applyNumberFormat="1" applyFont="1" applyFill="1" applyBorder="1" applyAlignment="1">
      <alignment horizontal="center" vertical="center"/>
    </xf>
    <xf numFmtId="3" fontId="7" fillId="16" borderId="7" xfId="0" applyNumberFormat="1" applyFont="1" applyFill="1" applyBorder="1" applyAlignment="1">
      <alignment horizontal="center" vertical="center"/>
    </xf>
    <xf numFmtId="3" fontId="8" fillId="6" borderId="6" xfId="5" applyNumberFormat="1" applyFont="1" applyFill="1" applyBorder="1" applyAlignment="1">
      <alignment horizontal="left" vertical="center"/>
    </xf>
    <xf numFmtId="3" fontId="8" fillId="6" borderId="7" xfId="5" applyNumberFormat="1" applyFont="1" applyFill="1" applyBorder="1" applyAlignment="1">
      <alignment horizontal="left" vertical="center"/>
    </xf>
    <xf numFmtId="3" fontId="8" fillId="6" borderId="8" xfId="5" applyNumberFormat="1" applyFont="1" applyFill="1" applyBorder="1" applyAlignment="1">
      <alignment horizontal="left" vertical="center"/>
    </xf>
    <xf numFmtId="3" fontId="26" fillId="14" borderId="74" xfId="5" applyNumberFormat="1" applyFont="1" applyFill="1" applyBorder="1" applyAlignment="1">
      <alignment horizontal="center" vertical="center"/>
    </xf>
    <xf numFmtId="3" fontId="26" fillId="14" borderId="57" xfId="5" applyNumberFormat="1" applyFont="1" applyFill="1" applyBorder="1" applyAlignment="1">
      <alignment horizontal="center" vertical="center"/>
    </xf>
    <xf numFmtId="3" fontId="26" fillId="14" borderId="64" xfId="5" applyNumberFormat="1" applyFont="1" applyFill="1" applyBorder="1" applyAlignment="1">
      <alignment horizontal="center" vertical="center"/>
    </xf>
    <xf numFmtId="3" fontId="28" fillId="15" borderId="46" xfId="5" applyNumberFormat="1" applyFont="1" applyFill="1" applyBorder="1" applyAlignment="1" applyProtection="1">
      <alignment horizontal="center" vertical="center" shrinkToFit="1"/>
      <protection locked="0"/>
    </xf>
    <xf numFmtId="3" fontId="28" fillId="15" borderId="47" xfId="5" applyNumberFormat="1" applyFont="1" applyFill="1" applyBorder="1" applyAlignment="1" applyProtection="1">
      <alignment horizontal="center" vertical="center" shrinkToFit="1"/>
      <protection locked="0"/>
    </xf>
    <xf numFmtId="3" fontId="28" fillId="15" borderId="81" xfId="5" applyNumberFormat="1" applyFont="1" applyFill="1" applyBorder="1" applyAlignment="1" applyProtection="1">
      <alignment horizontal="center" vertical="center" shrinkToFit="1"/>
      <protection locked="0"/>
    </xf>
    <xf numFmtId="3" fontId="26" fillId="14" borderId="58" xfId="5" applyNumberFormat="1" applyFont="1" applyFill="1" applyBorder="1" applyAlignment="1">
      <alignment horizontal="center" vertical="center"/>
    </xf>
    <xf numFmtId="3" fontId="28" fillId="15" borderId="48" xfId="5" applyNumberFormat="1" applyFont="1" applyFill="1" applyBorder="1" applyAlignment="1" applyProtection="1">
      <alignment horizontal="center" vertical="center" shrinkToFit="1"/>
      <protection locked="0"/>
    </xf>
    <xf numFmtId="3" fontId="8" fillId="6" borderId="8" xfId="5" applyNumberFormat="1" applyFont="1" applyFill="1" applyBorder="1" applyAlignment="1">
      <alignment horizontal="center" vertical="center"/>
    </xf>
    <xf numFmtId="3" fontId="9" fillId="16" borderId="21" xfId="5" applyNumberFormat="1" applyFont="1" applyFill="1" applyBorder="1" applyAlignment="1">
      <alignment horizontal="center" vertical="center" wrapText="1"/>
    </xf>
    <xf numFmtId="3" fontId="9" fillId="16" borderId="36" xfId="5" applyNumberFormat="1" applyFont="1" applyFill="1" applyBorder="1" applyAlignment="1">
      <alignment horizontal="center" vertical="center" wrapText="1"/>
    </xf>
    <xf numFmtId="3" fontId="9" fillId="16" borderId="43" xfId="5" applyNumberFormat="1" applyFont="1" applyFill="1" applyBorder="1" applyAlignment="1">
      <alignment horizontal="center" vertical="center" wrapText="1"/>
    </xf>
    <xf numFmtId="3" fontId="9" fillId="16" borderId="27" xfId="5" applyNumberFormat="1" applyFont="1" applyFill="1" applyBorder="1" applyAlignment="1">
      <alignment horizontal="center" vertical="center" wrapText="1"/>
    </xf>
    <xf numFmtId="3" fontId="9" fillId="16" borderId="17" xfId="5" applyNumberFormat="1" applyFont="1" applyFill="1" applyBorder="1" applyAlignment="1">
      <alignment horizontal="center" vertical="center" wrapText="1"/>
    </xf>
    <xf numFmtId="3" fontId="9" fillId="16" borderId="51" xfId="5" applyNumberFormat="1" applyFont="1" applyFill="1" applyBorder="1" applyAlignment="1">
      <alignment horizontal="center" vertical="center" wrapText="1"/>
    </xf>
    <xf numFmtId="40" fontId="7" fillId="2" borderId="21" xfId="5" applyNumberFormat="1" applyFont="1" applyFill="1" applyBorder="1" applyAlignment="1">
      <alignment horizontal="center" vertical="center"/>
    </xf>
    <xf numFmtId="40" fontId="7" fillId="2" borderId="36" xfId="5" applyNumberFormat="1" applyFont="1" applyFill="1" applyBorder="1" applyAlignment="1">
      <alignment horizontal="center" vertical="center"/>
    </xf>
    <xf numFmtId="40" fontId="7" fillId="2" borderId="43" xfId="5" applyNumberFormat="1" applyFont="1" applyFill="1" applyBorder="1" applyAlignment="1">
      <alignment horizontal="center" vertical="center"/>
    </xf>
    <xf numFmtId="40" fontId="7" fillId="2" borderId="27" xfId="5" applyNumberFormat="1" applyFont="1" applyFill="1" applyBorder="1" applyAlignment="1">
      <alignment horizontal="center" vertical="center"/>
    </xf>
    <xf numFmtId="40" fontId="7" fillId="2" borderId="17" xfId="5" applyNumberFormat="1" applyFont="1" applyFill="1" applyBorder="1" applyAlignment="1">
      <alignment horizontal="center" vertical="center"/>
    </xf>
    <xf numFmtId="40" fontId="7" fillId="2" borderId="51" xfId="5" applyNumberFormat="1" applyFont="1" applyFill="1" applyBorder="1" applyAlignment="1">
      <alignment horizontal="center" vertical="center"/>
    </xf>
    <xf numFmtId="10" fontId="7" fillId="7" borderId="15" xfId="4" applyFont="1" applyFill="1" applyBorder="1" applyAlignment="1" applyProtection="1">
      <alignment horizontal="center" vertical="center"/>
    </xf>
    <xf numFmtId="10" fontId="7" fillId="7" borderId="16" xfId="4" applyFont="1" applyFill="1" applyBorder="1" applyAlignment="1" applyProtection="1">
      <alignment horizontal="center" vertical="center"/>
    </xf>
    <xf numFmtId="3" fontId="7" fillId="16" borderId="21" xfId="5" applyNumberFormat="1" applyFont="1" applyFill="1" applyBorder="1" applyAlignment="1">
      <alignment horizontal="center" vertical="center" wrapText="1"/>
    </xf>
    <xf numFmtId="3" fontId="7" fillId="16" borderId="43" xfId="5" applyNumberFormat="1" applyFont="1" applyFill="1" applyBorder="1" applyAlignment="1">
      <alignment horizontal="center" vertical="center" wrapText="1"/>
    </xf>
    <xf numFmtId="3" fontId="7" fillId="16" borderId="61" xfId="5" applyNumberFormat="1" applyFont="1" applyFill="1" applyBorder="1" applyAlignment="1">
      <alignment horizontal="center" vertical="center" wrapText="1"/>
    </xf>
    <xf numFmtId="3" fontId="7" fillId="16" borderId="62" xfId="5" applyNumberFormat="1" applyFont="1" applyFill="1" applyBorder="1" applyAlignment="1">
      <alignment horizontal="center" vertical="center" wrapText="1"/>
    </xf>
    <xf numFmtId="40" fontId="12" fillId="2" borderId="60" xfId="5" applyNumberFormat="1" applyFont="1" applyFill="1" applyBorder="1" applyAlignment="1">
      <alignment horizontal="center" vertical="center"/>
    </xf>
    <xf numFmtId="40" fontId="12" fillId="2" borderId="56" xfId="5" applyNumberFormat="1" applyFont="1" applyFill="1" applyBorder="1" applyAlignment="1">
      <alignment horizontal="center" vertical="center"/>
    </xf>
    <xf numFmtId="40" fontId="12" fillId="2" borderId="27" xfId="5" applyNumberFormat="1" applyFont="1" applyFill="1" applyBorder="1" applyAlignment="1">
      <alignment horizontal="center" vertical="center"/>
    </xf>
    <xf numFmtId="40" fontId="12" fillId="2" borderId="51" xfId="5" applyNumberFormat="1" applyFont="1" applyFill="1" applyBorder="1" applyAlignment="1">
      <alignment horizontal="center" vertical="center"/>
    </xf>
    <xf numFmtId="8" fontId="7" fillId="13" borderId="6" xfId="0" applyNumberFormat="1" applyFont="1" applyFill="1" applyBorder="1" applyAlignment="1" applyProtection="1">
      <alignment horizontal="center"/>
      <protection locked="0"/>
    </xf>
    <xf numFmtId="8" fontId="7" fillId="13" borderId="8" xfId="0" applyNumberFormat="1" applyFont="1" applyFill="1" applyBorder="1" applyAlignment="1" applyProtection="1">
      <alignment horizontal="center"/>
      <protection locked="0"/>
    </xf>
    <xf numFmtId="8" fontId="7" fillId="26" borderId="6" xfId="5" applyNumberFormat="1" applyFont="1" applyFill="1" applyBorder="1" applyAlignment="1">
      <alignment horizontal="center"/>
    </xf>
    <xf numFmtId="8" fontId="7" fillId="26" borderId="8" xfId="5" applyNumberFormat="1" applyFont="1" applyFill="1" applyBorder="1" applyAlignment="1">
      <alignment horizontal="center"/>
    </xf>
    <xf numFmtId="14" fontId="28" fillId="15" borderId="59" xfId="5" applyNumberFormat="1" applyFont="1" applyFill="1" applyBorder="1" applyAlignment="1" applyProtection="1">
      <alignment horizontal="center" vertical="center"/>
      <protection locked="0"/>
    </xf>
    <xf numFmtId="3" fontId="28" fillId="15" borderId="46" xfId="5" applyNumberFormat="1" applyFont="1" applyFill="1" applyBorder="1" applyAlignment="1" applyProtection="1">
      <alignment horizontal="center" vertical="center"/>
      <protection locked="0"/>
    </xf>
    <xf numFmtId="3" fontId="28" fillId="15" borderId="47" xfId="5" applyNumberFormat="1" applyFont="1" applyFill="1" applyBorder="1" applyAlignment="1" applyProtection="1">
      <alignment horizontal="center" vertical="center"/>
      <protection locked="0"/>
    </xf>
    <xf numFmtId="3" fontId="28" fillId="15" borderId="81" xfId="5" applyNumberFormat="1" applyFont="1" applyFill="1" applyBorder="1" applyAlignment="1" applyProtection="1">
      <alignment horizontal="center" vertical="center"/>
      <protection locked="0"/>
    </xf>
    <xf numFmtId="3" fontId="26" fillId="14" borderId="21" xfId="5" applyNumberFormat="1" applyFont="1" applyFill="1" applyBorder="1" applyAlignment="1">
      <alignment horizontal="center" vertical="center"/>
    </xf>
    <xf numFmtId="3" fontId="26" fillId="14" borderId="43" xfId="5" applyNumberFormat="1" applyFont="1" applyFill="1" applyBorder="1" applyAlignment="1">
      <alignment horizontal="center" vertical="center"/>
    </xf>
    <xf numFmtId="3" fontId="28" fillId="26" borderId="21" xfId="5" applyNumberFormat="1" applyFont="1" applyFill="1" applyBorder="1" applyAlignment="1">
      <alignment horizontal="center" vertical="center"/>
    </xf>
    <xf numFmtId="3" fontId="28" fillId="26" borderId="36" xfId="5" applyNumberFormat="1" applyFont="1" applyFill="1" applyBorder="1" applyAlignment="1">
      <alignment horizontal="center" vertical="center"/>
    </xf>
    <xf numFmtId="3" fontId="28" fillId="26" borderId="43" xfId="5" applyNumberFormat="1" applyFont="1" applyFill="1" applyBorder="1" applyAlignment="1">
      <alignment horizontal="center" vertical="center"/>
    </xf>
    <xf numFmtId="0" fontId="8" fillId="16" borderId="6" xfId="0" applyFont="1" applyFill="1" applyBorder="1" applyAlignment="1">
      <alignment horizontal="right"/>
    </xf>
    <xf numFmtId="0" fontId="8" fillId="16" borderId="34" xfId="0" applyFont="1" applyFill="1" applyBorder="1" applyAlignment="1">
      <alignment horizontal="right"/>
    </xf>
    <xf numFmtId="3" fontId="10" fillId="26" borderId="21" xfId="5" applyNumberFormat="1" applyFont="1" applyFill="1" applyBorder="1" applyAlignment="1">
      <alignment horizontal="left"/>
    </xf>
    <xf numFmtId="3" fontId="10" fillId="26" borderId="36" xfId="5" applyNumberFormat="1" applyFont="1" applyFill="1" applyBorder="1" applyAlignment="1">
      <alignment horizontal="left"/>
    </xf>
    <xf numFmtId="3" fontId="10" fillId="26" borderId="43" xfId="5" applyNumberFormat="1" applyFont="1" applyFill="1" applyBorder="1" applyAlignment="1">
      <alignment horizontal="left"/>
    </xf>
    <xf numFmtId="0" fontId="18" fillId="9" borderId="6" xfId="5" applyFont="1" applyFill="1" applyBorder="1" applyAlignment="1">
      <alignment horizontal="center"/>
    </xf>
    <xf numFmtId="0" fontId="18" fillId="9" borderId="7" xfId="5" applyFont="1" applyFill="1" applyBorder="1" applyAlignment="1">
      <alignment horizontal="center"/>
    </xf>
    <xf numFmtId="0" fontId="18" fillId="9" borderId="8" xfId="5" applyFont="1" applyFill="1" applyBorder="1" applyAlignment="1">
      <alignment horizontal="center"/>
    </xf>
    <xf numFmtId="3" fontId="17" fillId="31" borderId="17" xfId="5" applyNumberFormat="1" applyFont="1" applyFill="1" applyBorder="1" applyAlignment="1" applyProtection="1">
      <alignment horizontal="left"/>
      <protection hidden="1"/>
    </xf>
    <xf numFmtId="3" fontId="6" fillId="11" borderId="6" xfId="5" applyNumberFormat="1" applyFont="1" applyFill="1" applyBorder="1" applyAlignment="1">
      <alignment horizontal="center"/>
    </xf>
    <xf numFmtId="3" fontId="6" fillId="11" borderId="8" xfId="5" applyNumberFormat="1" applyFont="1" applyFill="1" applyBorder="1" applyAlignment="1">
      <alignment horizontal="center"/>
    </xf>
    <xf numFmtId="3" fontId="10" fillId="16" borderId="6" xfId="5" applyNumberFormat="1" applyFont="1" applyFill="1" applyBorder="1" applyAlignment="1">
      <alignment horizontal="center"/>
    </xf>
    <xf numFmtId="3" fontId="10" fillId="16" borderId="7" xfId="5" applyNumberFormat="1" applyFont="1" applyFill="1" applyBorder="1" applyAlignment="1">
      <alignment horizontal="center"/>
    </xf>
    <xf numFmtId="3" fontId="10" fillId="16" borderId="8" xfId="5" applyNumberFormat="1" applyFont="1" applyFill="1" applyBorder="1" applyAlignment="1">
      <alignment horizontal="center"/>
    </xf>
    <xf numFmtId="3" fontId="6" fillId="11" borderId="6" xfId="5" applyNumberFormat="1" applyFont="1" applyFill="1" applyBorder="1" applyAlignment="1">
      <alignment horizontal="left"/>
    </xf>
    <xf numFmtId="3" fontId="6" fillId="11" borderId="8" xfId="5" applyNumberFormat="1" applyFont="1" applyFill="1" applyBorder="1" applyAlignment="1">
      <alignment horizontal="left"/>
    </xf>
    <xf numFmtId="3" fontId="6" fillId="0" borderId="7" xfId="5" applyNumberFormat="1" applyFont="1" applyBorder="1" applyAlignment="1">
      <alignment horizontal="center"/>
    </xf>
    <xf numFmtId="3" fontId="10" fillId="15" borderId="10" xfId="5" applyNumberFormat="1" applyFont="1" applyFill="1" applyBorder="1" applyAlignment="1" applyProtection="1">
      <alignment horizontal="left"/>
      <protection locked="0"/>
    </xf>
    <xf numFmtId="3" fontId="10" fillId="15" borderId="39" xfId="5" applyNumberFormat="1" applyFont="1" applyFill="1" applyBorder="1" applyAlignment="1" applyProtection="1">
      <alignment horizontal="left"/>
      <protection locked="0"/>
    </xf>
    <xf numFmtId="3" fontId="9" fillId="16" borderId="6" xfId="5" applyNumberFormat="1" applyFont="1" applyFill="1" applyBorder="1" applyAlignment="1">
      <alignment horizontal="center"/>
    </xf>
    <xf numFmtId="3" fontId="9" fillId="16" borderId="8" xfId="5" applyNumberFormat="1" applyFont="1" applyFill="1" applyBorder="1" applyAlignment="1">
      <alignment horizontal="center"/>
    </xf>
    <xf numFmtId="3" fontId="10" fillId="3" borderId="27" xfId="5" applyNumberFormat="1" applyFont="1" applyFill="1" applyBorder="1" applyAlignment="1" applyProtection="1">
      <alignment horizontal="left"/>
      <protection locked="0"/>
    </xf>
    <xf numFmtId="3" fontId="10" fillId="3" borderId="51" xfId="5" applyNumberFormat="1" applyFont="1" applyFill="1" applyBorder="1" applyAlignment="1" applyProtection="1">
      <alignment horizontal="left"/>
      <protection locked="0"/>
    </xf>
    <xf numFmtId="3" fontId="10" fillId="3" borderId="69" xfId="5" applyNumberFormat="1" applyFont="1" applyFill="1" applyBorder="1" applyAlignment="1" applyProtection="1">
      <alignment horizontal="left"/>
      <protection locked="0"/>
    </xf>
    <xf numFmtId="3" fontId="10" fillId="3" borderId="70" xfId="5" applyNumberFormat="1" applyFont="1" applyFill="1" applyBorder="1" applyAlignment="1" applyProtection="1">
      <alignment horizontal="left"/>
      <protection locked="0"/>
    </xf>
    <xf numFmtId="3" fontId="10" fillId="16" borderId="21" xfId="5" applyNumberFormat="1" applyFont="1" applyFill="1" applyBorder="1" applyAlignment="1">
      <alignment horizontal="left"/>
    </xf>
    <xf numFmtId="3" fontId="10" fillId="16" borderId="43" xfId="5" applyNumberFormat="1" applyFont="1" applyFill="1" applyBorder="1" applyAlignment="1">
      <alignment horizontal="left"/>
    </xf>
    <xf numFmtId="3" fontId="10" fillId="16" borderId="10" xfId="5" applyNumberFormat="1" applyFont="1" applyFill="1" applyBorder="1" applyAlignment="1">
      <alignment horizontal="left"/>
    </xf>
    <xf numFmtId="3" fontId="10" fillId="16" borderId="39" xfId="5" applyNumberFormat="1" applyFont="1" applyFill="1" applyBorder="1" applyAlignment="1">
      <alignment horizontal="left"/>
    </xf>
    <xf numFmtId="3" fontId="6" fillId="16" borderId="6" xfId="5" applyNumberFormat="1" applyFont="1" applyFill="1" applyBorder="1" applyAlignment="1">
      <alignment horizontal="center"/>
    </xf>
    <xf numFmtId="3" fontId="6" fillId="16" borderId="8" xfId="5" applyNumberFormat="1" applyFont="1" applyFill="1" applyBorder="1" applyAlignment="1">
      <alignment horizontal="center"/>
    </xf>
    <xf numFmtId="3" fontId="10" fillId="3" borderId="21" xfId="5" applyNumberFormat="1" applyFont="1" applyFill="1" applyBorder="1" applyAlignment="1" applyProtection="1">
      <alignment horizontal="left"/>
      <protection locked="0"/>
    </xf>
    <xf numFmtId="3" fontId="10" fillId="3" borderId="43" xfId="5" applyNumberFormat="1" applyFont="1" applyFill="1" applyBorder="1" applyAlignment="1" applyProtection="1">
      <alignment horizontal="left"/>
      <protection locked="0"/>
    </xf>
    <xf numFmtId="3" fontId="10" fillId="3" borderId="10" xfId="5" applyNumberFormat="1" applyFont="1" applyFill="1" applyBorder="1" applyAlignment="1" applyProtection="1">
      <alignment horizontal="left"/>
      <protection locked="0"/>
    </xf>
    <xf numFmtId="3" fontId="10" fillId="3" borderId="39" xfId="5" applyNumberFormat="1" applyFont="1" applyFill="1" applyBorder="1" applyAlignment="1" applyProtection="1">
      <alignment horizontal="left"/>
      <protection locked="0"/>
    </xf>
    <xf numFmtId="3" fontId="10" fillId="15" borderId="21" xfId="5" applyNumberFormat="1" applyFont="1" applyFill="1" applyBorder="1" applyAlignment="1" applyProtection="1">
      <alignment horizontal="left"/>
      <protection locked="0"/>
    </xf>
    <xf numFmtId="3" fontId="10" fillId="15" borderId="43" xfId="5" applyNumberFormat="1" applyFont="1" applyFill="1" applyBorder="1" applyAlignment="1" applyProtection="1">
      <alignment horizontal="left"/>
      <protection locked="0"/>
    </xf>
    <xf numFmtId="3" fontId="10" fillId="15" borderId="27" xfId="5" applyNumberFormat="1" applyFont="1" applyFill="1" applyBorder="1" applyAlignment="1" applyProtection="1">
      <alignment horizontal="left"/>
      <protection locked="0"/>
    </xf>
    <xf numFmtId="3" fontId="10" fillId="15" borderId="51" xfId="5" applyNumberFormat="1" applyFont="1" applyFill="1" applyBorder="1" applyAlignment="1" applyProtection="1">
      <alignment horizontal="left"/>
      <protection locked="0"/>
    </xf>
    <xf numFmtId="3" fontId="10" fillId="16" borderId="27" xfId="5" applyNumberFormat="1" applyFont="1" applyFill="1" applyBorder="1" applyAlignment="1">
      <alignment horizontal="center"/>
    </xf>
    <xf numFmtId="3" fontId="10" fillId="16" borderId="51" xfId="5" applyNumberFormat="1" applyFont="1" applyFill="1" applyBorder="1" applyAlignment="1">
      <alignment horizontal="center"/>
    </xf>
    <xf numFmtId="10" fontId="9" fillId="6" borderId="6" xfId="3" applyNumberFormat="1" applyFont="1" applyFill="1" applyBorder="1" applyAlignment="1">
      <alignment horizontal="center" wrapText="1"/>
    </xf>
    <xf numFmtId="10" fontId="9" fillId="6" borderId="8" xfId="3" applyNumberFormat="1" applyFont="1" applyFill="1" applyBorder="1" applyAlignment="1">
      <alignment horizontal="center" wrapText="1"/>
    </xf>
    <xf numFmtId="0" fontId="9" fillId="8" borderId="6" xfId="3" applyFont="1" applyFill="1" applyBorder="1" applyAlignment="1">
      <alignment horizontal="center"/>
    </xf>
    <xf numFmtId="0" fontId="9" fillId="8" borderId="7" xfId="3" applyFont="1" applyFill="1" applyBorder="1" applyAlignment="1">
      <alignment horizontal="center"/>
    </xf>
    <xf numFmtId="0" fontId="9" fillId="8" borderId="8" xfId="3" applyFont="1" applyFill="1" applyBorder="1" applyAlignment="1">
      <alignment horizontal="center"/>
    </xf>
    <xf numFmtId="0" fontId="28" fillId="15" borderId="85" xfId="0" applyFont="1" applyFill="1" applyBorder="1" applyAlignment="1" applyProtection="1">
      <alignment horizontal="left"/>
      <protection locked="0"/>
    </xf>
    <xf numFmtId="0" fontId="28" fillId="15" borderId="83" xfId="0" applyFont="1" applyFill="1" applyBorder="1" applyAlignment="1" applyProtection="1">
      <alignment horizontal="left"/>
      <protection locked="0"/>
    </xf>
    <xf numFmtId="0" fontId="28" fillId="15" borderId="82" xfId="0" applyFont="1" applyFill="1" applyBorder="1" applyAlignment="1" applyProtection="1">
      <alignment horizontal="left"/>
      <protection locked="0"/>
    </xf>
    <xf numFmtId="0" fontId="28" fillId="15" borderId="81" xfId="0" applyFont="1" applyFill="1" applyBorder="1" applyAlignment="1" applyProtection="1">
      <alignment horizontal="left"/>
      <protection locked="0"/>
    </xf>
    <xf numFmtId="0" fontId="34" fillId="18" borderId="103" xfId="0" applyFont="1" applyFill="1" applyBorder="1" applyAlignment="1">
      <alignment horizontal="center" vertical="center" wrapText="1" readingOrder="1"/>
    </xf>
    <xf numFmtId="0" fontId="34" fillId="18" borderId="104" xfId="0" applyFont="1" applyFill="1" applyBorder="1" applyAlignment="1">
      <alignment horizontal="center" vertical="center" wrapText="1" readingOrder="1"/>
    </xf>
    <xf numFmtId="0" fontId="29" fillId="24" borderId="79" xfId="0" applyFont="1" applyFill="1" applyBorder="1" applyAlignment="1">
      <alignment horizontal="center"/>
    </xf>
    <xf numFmtId="0" fontId="29" fillId="24" borderId="36" xfId="0" applyFont="1" applyFill="1" applyBorder="1" applyAlignment="1">
      <alignment horizontal="center"/>
    </xf>
    <xf numFmtId="0" fontId="29" fillId="24" borderId="75" xfId="0" applyFont="1" applyFill="1" applyBorder="1" applyAlignment="1">
      <alignment horizontal="center"/>
    </xf>
    <xf numFmtId="0" fontId="28" fillId="15" borderId="69" xfId="0" applyFont="1" applyFill="1" applyBorder="1" applyAlignment="1" applyProtection="1">
      <alignment horizontal="left"/>
      <protection locked="0"/>
    </xf>
    <xf numFmtId="0" fontId="28" fillId="15" borderId="86" xfId="0" applyFont="1" applyFill="1" applyBorder="1" applyAlignment="1" applyProtection="1">
      <alignment horizontal="left"/>
      <protection locked="0"/>
    </xf>
    <xf numFmtId="0" fontId="28" fillId="15" borderId="87" xfId="0" applyFont="1" applyFill="1" applyBorder="1" applyAlignment="1" applyProtection="1">
      <alignment horizontal="left"/>
      <protection locked="0"/>
    </xf>
    <xf numFmtId="0" fontId="28" fillId="15" borderId="59" xfId="0" applyFont="1" applyFill="1" applyBorder="1" applyAlignment="1" applyProtection="1">
      <alignment horizontal="left"/>
      <protection locked="0"/>
    </xf>
    <xf numFmtId="0" fontId="29" fillId="24" borderId="72" xfId="0" applyFont="1" applyFill="1" applyBorder="1" applyAlignment="1">
      <alignment horizontal="center"/>
    </xf>
    <xf numFmtId="0" fontId="29" fillId="24" borderId="71" xfId="0" applyFont="1" applyFill="1" applyBorder="1" applyAlignment="1">
      <alignment horizontal="center"/>
    </xf>
    <xf numFmtId="0" fontId="29" fillId="24" borderId="84" xfId="0" applyFont="1" applyFill="1" applyBorder="1" applyAlignment="1">
      <alignment horizontal="center"/>
    </xf>
    <xf numFmtId="0" fontId="38" fillId="17" borderId="107" xfId="0" applyFont="1" applyFill="1" applyBorder="1" applyAlignment="1">
      <alignment horizontal="right" vertical="center" wrapText="1" readingOrder="1"/>
    </xf>
    <xf numFmtId="0" fontId="38" fillId="17" borderId="101" xfId="0" applyFont="1" applyFill="1" applyBorder="1" applyAlignment="1">
      <alignment horizontal="right" vertical="center" wrapText="1" readingOrder="1"/>
    </xf>
    <xf numFmtId="0" fontId="38" fillId="17" borderId="108" xfId="0" applyFont="1" applyFill="1" applyBorder="1" applyAlignment="1">
      <alignment horizontal="right" vertical="center" wrapText="1" readingOrder="1"/>
    </xf>
    <xf numFmtId="0" fontId="37" fillId="17" borderId="67" xfId="0" applyFont="1" applyFill="1" applyBorder="1" applyAlignment="1">
      <alignment horizontal="left" vertical="center" readingOrder="1"/>
    </xf>
    <xf numFmtId="0" fontId="37" fillId="17" borderId="68" xfId="0" applyFont="1" applyFill="1" applyBorder="1" applyAlignment="1">
      <alignment horizontal="left" vertical="center" readingOrder="1"/>
    </xf>
    <xf numFmtId="0" fontId="34" fillId="18" borderId="100" xfId="0" applyFont="1" applyFill="1" applyBorder="1" applyAlignment="1">
      <alignment horizontal="center" vertical="center" wrapText="1" readingOrder="1"/>
    </xf>
    <xf numFmtId="0" fontId="34" fillId="18" borderId="65" xfId="0" applyFont="1" applyFill="1" applyBorder="1" applyAlignment="1">
      <alignment horizontal="center" vertical="center" wrapText="1" readingOrder="1"/>
    </xf>
    <xf numFmtId="0" fontId="34" fillId="18" borderId="98" xfId="0" applyFont="1" applyFill="1" applyBorder="1" applyAlignment="1">
      <alignment horizontal="center" vertical="center" wrapText="1" readingOrder="1"/>
    </xf>
    <xf numFmtId="0" fontId="28" fillId="17" borderId="67" xfId="0" applyFont="1" applyFill="1" applyBorder="1" applyAlignment="1">
      <alignment horizontal="left" vertical="center" readingOrder="1"/>
    </xf>
    <xf numFmtId="0" fontId="28" fillId="17" borderId="68" xfId="0" applyFont="1" applyFill="1" applyBorder="1" applyAlignment="1">
      <alignment horizontal="left" vertical="center" readingOrder="1"/>
    </xf>
    <xf numFmtId="0" fontId="30" fillId="15" borderId="47" xfId="0" applyFont="1" applyFill="1" applyBorder="1" applyAlignment="1" applyProtection="1">
      <alignment horizontal="left"/>
      <protection locked="0"/>
    </xf>
    <xf numFmtId="0" fontId="29" fillId="24" borderId="89" xfId="0" applyFont="1" applyFill="1" applyBorder="1" applyAlignment="1">
      <alignment horizontal="center"/>
    </xf>
    <xf numFmtId="3" fontId="6" fillId="6" borderId="74" xfId="5" applyNumberFormat="1" applyFont="1" applyFill="1" applyBorder="1" applyAlignment="1">
      <alignment horizontal="left"/>
    </xf>
    <xf numFmtId="3" fontId="6" fillId="6" borderId="57" xfId="5" applyNumberFormat="1" applyFont="1" applyFill="1" applyBorder="1" applyAlignment="1">
      <alignment horizontal="left"/>
    </xf>
    <xf numFmtId="3" fontId="6" fillId="6" borderId="58" xfId="5" applyNumberFormat="1" applyFont="1" applyFill="1" applyBorder="1" applyAlignment="1">
      <alignment horizontal="left"/>
    </xf>
    <xf numFmtId="0" fontId="27" fillId="21" borderId="6" xfId="0" applyFont="1" applyFill="1" applyBorder="1" applyAlignment="1">
      <alignment horizontal="center"/>
    </xf>
    <xf numFmtId="0" fontId="27" fillId="21" borderId="7" xfId="0" applyFont="1" applyFill="1" applyBorder="1" applyAlignment="1">
      <alignment horizontal="center"/>
    </xf>
    <xf numFmtId="0" fontId="27" fillId="21" borderId="8" xfId="0" applyFont="1" applyFill="1" applyBorder="1" applyAlignment="1">
      <alignment horizontal="center"/>
    </xf>
    <xf numFmtId="173" fontId="30" fillId="15" borderId="81" xfId="0" applyNumberFormat="1" applyFont="1" applyFill="1" applyBorder="1" applyAlignment="1" applyProtection="1">
      <alignment horizontal="center"/>
      <protection locked="0"/>
    </xf>
    <xf numFmtId="173" fontId="30" fillId="15" borderId="82" xfId="0" applyNumberFormat="1" applyFont="1" applyFill="1" applyBorder="1" applyAlignment="1" applyProtection="1">
      <alignment horizontal="center"/>
      <protection locked="0"/>
    </xf>
    <xf numFmtId="0" fontId="46" fillId="0" borderId="7" xfId="10" applyFill="1" applyBorder="1" applyAlignment="1" applyProtection="1"/>
    <xf numFmtId="0" fontId="46" fillId="0" borderId="8" xfId="10" applyFill="1" applyBorder="1" applyAlignment="1" applyProtection="1"/>
    <xf numFmtId="3" fontId="10" fillId="0" borderId="6" xfId="0" applyNumberFormat="1" applyFont="1" applyBorder="1" applyAlignment="1">
      <alignment horizontal="center"/>
    </xf>
    <xf numFmtId="3" fontId="10" fillId="0" borderId="7" xfId="0" applyNumberFormat="1" applyFont="1" applyBorder="1" applyAlignment="1">
      <alignment horizontal="center"/>
    </xf>
    <xf numFmtId="3" fontId="9" fillId="19" borderId="6" xfId="0" applyNumberFormat="1" applyFont="1" applyFill="1" applyBorder="1" applyAlignment="1">
      <alignment horizontal="left"/>
    </xf>
    <xf numFmtId="3" fontId="9" fillId="19" borderId="7" xfId="0" applyNumberFormat="1" applyFont="1" applyFill="1" applyBorder="1" applyAlignment="1">
      <alignment horizontal="left"/>
    </xf>
    <xf numFmtId="3" fontId="9" fillId="19" borderId="8" xfId="0" applyNumberFormat="1" applyFont="1" applyFill="1" applyBorder="1" applyAlignment="1">
      <alignment horizontal="left"/>
    </xf>
    <xf numFmtId="3" fontId="10" fillId="0" borderId="27" xfId="0" applyNumberFormat="1" applyFont="1" applyBorder="1" applyAlignment="1">
      <alignment horizontal="center"/>
    </xf>
    <xf numFmtId="3" fontId="10" fillId="0" borderId="17" xfId="0" applyNumberFormat="1" applyFont="1" applyBorder="1" applyAlignment="1">
      <alignment horizontal="center"/>
    </xf>
    <xf numFmtId="0" fontId="43" fillId="27" borderId="7" xfId="0" applyFont="1" applyFill="1" applyBorder="1" applyAlignment="1">
      <alignment horizontal="center"/>
    </xf>
  </cellXfs>
  <cellStyles count="31">
    <cellStyle name=" 3]_x000d__x000a_Zoomed=0_x000d__x000a_Row=155_x000d__x000a_Column=-10_x000d__x000a_Height=392_x000d__x000a_Width=1027_x000d__x000a_FontName=Arial_x000d__x000a_FontStyle=0_x000d__x000a_FontSize=10_x000d__x000a_PrtFontNa" xfId="5" xr:uid="{00000000-0005-0000-0000-000000000000}"/>
    <cellStyle name="Hipervínculo" xfId="10" builtinId="8"/>
    <cellStyle name="Millares" xfId="9" builtinId="3"/>
    <cellStyle name="Millares 2" xfId="29" xr:uid="{F54B74C2-C9D2-427C-BA65-AA904BC628C3}"/>
    <cellStyle name="Moneda" xfId="11" builtinId="4"/>
    <cellStyle name="Moneda [0]_Libro-Oferta_euros" xfId="1" xr:uid="{00000000-0005-0000-0000-000004000000}"/>
    <cellStyle name="Moneda 2" xfId="19" xr:uid="{669B6BB0-D81B-4A15-AD19-A9EAFEA1756F}"/>
    <cellStyle name="Moneda 3" xfId="28" xr:uid="{555B9715-FBAF-4454-8DC4-DC7867637175}"/>
    <cellStyle name="Moneda 4" xfId="20" xr:uid="{FC8D65D3-A980-4A9D-BD87-E7BA5840A2F6}"/>
    <cellStyle name="Normal" xfId="0" builtinId="0"/>
    <cellStyle name="Normal 2" xfId="6" xr:uid="{00000000-0005-0000-0000-000006000000}"/>
    <cellStyle name="Normal 2 2" xfId="15" xr:uid="{A5686A8A-CAEF-408D-BF7A-15861CA6C1E5}"/>
    <cellStyle name="Normal 2 3" xfId="18" xr:uid="{2FEF1367-408D-40BD-ABCB-E8D64F8C341A}"/>
    <cellStyle name="Normal 2 4" xfId="21" xr:uid="{56D63F1F-8C08-427F-87B6-20BBC01D50D0}"/>
    <cellStyle name="Normal 2 5" xfId="12" xr:uid="{F9107D45-0A00-4904-9049-EA00021B6C53}"/>
    <cellStyle name="Normal 3" xfId="7" xr:uid="{00000000-0005-0000-0000-000007000000}"/>
    <cellStyle name="Normal 3 2" xfId="16" xr:uid="{414D3A82-F1C7-4EFC-B7F4-2D2804CD6C78}"/>
    <cellStyle name="Normal 3 3" xfId="13" xr:uid="{E7E96187-25DE-473A-A7C6-B23716D7597B}"/>
    <cellStyle name="Normal 4" xfId="24" xr:uid="{9A20771B-DE3E-42FD-A433-B4557BBE6494}"/>
    <cellStyle name="Normal 5" xfId="22" xr:uid="{A5E61578-9852-482B-BEFB-FF080DD8BBF8}"/>
    <cellStyle name="Normal 6" xfId="25" xr:uid="{DA775031-D53C-4B9E-9EE4-57EC151EC1F5}"/>
    <cellStyle name="Normal 7" xfId="27" xr:uid="{6354286A-11EC-49B9-870E-49BB94D5DF31}"/>
    <cellStyle name="Normal_Libro-Oferta_euros" xfId="2" xr:uid="{00000000-0005-0000-0000-000008000000}"/>
    <cellStyle name="Normal_MET51PT03_chklst_riesgos_BID" xfId="3" xr:uid="{00000000-0005-0000-0000-000009000000}"/>
    <cellStyle name="Porcentaje" xfId="4" builtinId="5"/>
    <cellStyle name="Porcentaje 2" xfId="8" xr:uid="{00000000-0005-0000-0000-00000B000000}"/>
    <cellStyle name="Porcentaje 2 2" xfId="17" xr:uid="{D9B56997-5544-407D-B56C-FB57B1D77767}"/>
    <cellStyle name="Porcentaje 2 3" xfId="14" xr:uid="{5055DC94-CFEF-40B4-8457-0033934C2F83}"/>
    <cellStyle name="Porcentaje 3" xfId="26" xr:uid="{2C3B5C2A-52FB-461D-AFAF-A81A5BE68ED2}"/>
    <cellStyle name="Porcentaje 4" xfId="23" xr:uid="{94D91B78-B72C-462A-A202-38B17ACE4C64}"/>
    <cellStyle name="Porcentaje 5" xfId="30" xr:uid="{542AA164-8D9C-4D03-831D-B0C4211D89AB}"/>
  </cellStyles>
  <dxfs count="52"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 patternType="solid">
          <bgColor indexed="1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solid">
          <bgColor indexed="1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b/>
        <i/>
        <color rgb="FFFF0000"/>
      </font>
    </dxf>
    <dxf>
      <font>
        <strike val="0"/>
        <color auto="1"/>
      </font>
      <fill>
        <patternFill>
          <bgColor rgb="FFFF0000"/>
        </patternFill>
      </fill>
    </dxf>
    <dxf>
      <font>
        <b/>
        <i val="0"/>
        <strike val="0"/>
        <color theme="3"/>
      </font>
    </dxf>
    <dxf>
      <font>
        <b/>
        <i val="0"/>
        <strike val="0"/>
        <color theme="3"/>
      </font>
    </dxf>
    <dxf>
      <fill>
        <patternFill>
          <bgColor indexed="10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</dxfs>
  <tableStyles count="1" defaultTableStyle="TableStyleMedium2" defaultPivotStyle="PivotStyleLight16">
    <tableStyle name="MySqlDefault" pivot="0" table="0" count="0" xr9:uid="{D2175078-7230-4AAC-BE12-56F18A96FF35}"/>
  </tableStyles>
  <colors>
    <mruColors>
      <color rgb="FFFFFF99"/>
      <color rgb="FFFF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131758530183728"/>
          <c:y val="2.5428331875182269E-2"/>
          <c:w val="0.84868241469816275"/>
          <c:h val="0.60933617672790896"/>
        </c:manualLayout>
      </c:layout>
      <c:lineChart>
        <c:grouping val="standard"/>
        <c:varyColors val="0"/>
        <c:ser>
          <c:idx val="0"/>
          <c:order val="0"/>
          <c:tx>
            <c:v>Puntos</c:v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[1]Criterios!$B$5:$B$20</c:f>
              <c:numCache>
                <c:formatCode>General</c:formatCode>
                <c:ptCount val="16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0.2</c:v>
                </c:pt>
                <c:pt idx="11">
                  <c:v>0.22</c:v>
                </c:pt>
                <c:pt idx="12">
                  <c:v>0.24</c:v>
                </c:pt>
                <c:pt idx="13">
                  <c:v>0.26</c:v>
                </c:pt>
                <c:pt idx="14">
                  <c:v>0.28000000000000003</c:v>
                </c:pt>
                <c:pt idx="15">
                  <c:v>0.3</c:v>
                </c:pt>
              </c:numCache>
            </c:numRef>
          </c:cat>
          <c:val>
            <c:numRef>
              <c:f>[1]Criterios!$D$5:$D$20</c:f>
              <c:numCache>
                <c:formatCode>General</c:formatCode>
                <c:ptCount val="16"/>
                <c:pt idx="0">
                  <c:v>4.76837158203125E-7</c:v>
                </c:pt>
                <c:pt idx="1">
                  <c:v>10.770329614269007</c:v>
                </c:pt>
                <c:pt idx="2">
                  <c:v>14.966629547095765</c:v>
                </c:pt>
                <c:pt idx="3">
                  <c:v>18.000000000000007</c:v>
                </c:pt>
                <c:pt idx="4">
                  <c:v>20.396078054371145</c:v>
                </c:pt>
                <c:pt idx="5">
                  <c:v>22.360679774997898</c:v>
                </c:pt>
                <c:pt idx="6">
                  <c:v>24.000000000000004</c:v>
                </c:pt>
                <c:pt idx="7">
                  <c:v>25.377155080899044</c:v>
                </c:pt>
                <c:pt idx="8">
                  <c:v>26.532998322843202</c:v>
                </c:pt>
                <c:pt idx="9">
                  <c:v>27.495454169735037</c:v>
                </c:pt>
                <c:pt idx="10">
                  <c:v>28.284271247461898</c:v>
                </c:pt>
                <c:pt idx="11">
                  <c:v>28.913664589601922</c:v>
                </c:pt>
                <c:pt idx="12">
                  <c:v>29.393876913398138</c:v>
                </c:pt>
                <c:pt idx="13">
                  <c:v>29.732137494637012</c:v>
                </c:pt>
                <c:pt idx="14">
                  <c:v>29.933259094191531</c:v>
                </c:pt>
                <c:pt idx="15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CF-47A0-9C61-BA5D7DBC6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048633023"/>
        <c:axId val="1049171839"/>
      </c:lineChart>
      <c:catAx>
        <c:axId val="1048633023"/>
        <c:scaling>
          <c:orientation val="minMax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49171839"/>
        <c:crosses val="autoZero"/>
        <c:auto val="1"/>
        <c:lblAlgn val="ctr"/>
        <c:lblOffset val="100"/>
        <c:tickLblSkip val="1"/>
        <c:noMultiLvlLbl val="0"/>
      </c:catAx>
      <c:valAx>
        <c:axId val="10491718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48633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45625495037972325"/>
          <c:y val="0.27162681740439137"/>
          <c:w val="0.15586596054191451"/>
          <c:h val="8.28735242380522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gtn.sharepoint.com/sites/Connectis-ES/espaciocorporativo/calidad/Referencial_SICASST/32_Gestion_Oferta/SCI32TE02_Guia_PPO.pdf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30</xdr:row>
      <xdr:rowOff>57150</xdr:rowOff>
    </xdr:from>
    <xdr:to>
      <xdr:col>3</xdr:col>
      <xdr:colOff>666750</xdr:colOff>
      <xdr:row>30</xdr:row>
      <xdr:rowOff>695325</xdr:rowOff>
    </xdr:to>
    <xdr:sp macro="" textlink="">
      <xdr:nvSpPr>
        <xdr:cNvPr id="2" name="Cara sonrient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/>
        </xdr:cNvSpPr>
      </xdr:nvSpPr>
      <xdr:spPr bwMode="auto">
        <a:xfrm>
          <a:off x="5895975" y="4933950"/>
          <a:ext cx="638175" cy="638175"/>
        </a:xfrm>
        <a:prstGeom prst="smileyFace">
          <a:avLst/>
        </a:prstGeom>
        <a:solidFill>
          <a:srgbClr val="FFC000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ES" sz="1100">
            <a:solidFill>
              <a:srgbClr val="FFC000"/>
            </a:solidFill>
          </a:endParaRPr>
        </a:p>
      </xdr:txBody>
    </xdr:sp>
    <xdr:clientData/>
  </xdr:twoCellAnchor>
  <xdr:twoCellAnchor editAs="oneCell">
    <xdr:from>
      <xdr:col>0</xdr:col>
      <xdr:colOff>171450</xdr:colOff>
      <xdr:row>0</xdr:row>
      <xdr:rowOff>114300</xdr:rowOff>
    </xdr:from>
    <xdr:to>
      <xdr:col>0</xdr:col>
      <xdr:colOff>2395220</xdr:colOff>
      <xdr:row>3</xdr:row>
      <xdr:rowOff>104775</xdr:rowOff>
    </xdr:to>
    <xdr:pic>
      <xdr:nvPicPr>
        <xdr:cNvPr id="4" name="Imagen 3" descr="C:\Users\Joan.vilaseca\OneDrive - Connectis Financial and Shared Services, S.L.U\Vilaseca\SGC_borradores\Getronics_logo+strapline+GWA_POS.png">
          <a:extLst>
            <a:ext uri="{FF2B5EF4-FFF2-40B4-BE49-F238E27FC236}">
              <a16:creationId xmlns:a16="http://schemas.microsoft.com/office/drawing/2014/main" id="{B38899D3-4083-4E1A-9C6F-63D9C8BF9E7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14300"/>
          <a:ext cx="2223770" cy="4762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60</xdr:row>
      <xdr:rowOff>0</xdr:rowOff>
    </xdr:from>
    <xdr:to>
      <xdr:col>2</xdr:col>
      <xdr:colOff>238125</xdr:colOff>
      <xdr:row>60</xdr:row>
      <xdr:rowOff>142875</xdr:rowOff>
    </xdr:to>
    <xdr:sp macro="[0]!Hoja2.inslinpar" textlink="">
      <xdr:nvSpPr>
        <xdr:cNvPr id="6" name="AutoShape 70">
          <a:extLst>
            <a:ext uri="{FF2B5EF4-FFF2-40B4-BE49-F238E27FC236}">
              <a16:creationId xmlns:a16="http://schemas.microsoft.com/office/drawing/2014/main" id="{BC6E71D3-0940-421E-8D74-0BA171BC7F65}"/>
            </a:ext>
          </a:extLst>
        </xdr:cNvPr>
        <xdr:cNvSpPr>
          <a:spLocks noChangeArrowheads="1"/>
        </xdr:cNvSpPr>
      </xdr:nvSpPr>
      <xdr:spPr bwMode="auto">
        <a:xfrm>
          <a:off x="1407583" y="12096750"/>
          <a:ext cx="238125" cy="142875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202402</xdr:colOff>
      <xdr:row>25</xdr:row>
      <xdr:rowOff>71441</xdr:rowOff>
    </xdr:from>
    <xdr:to>
      <xdr:col>13</xdr:col>
      <xdr:colOff>547683</xdr:colOff>
      <xdr:row>27</xdr:row>
      <xdr:rowOff>59533</xdr:rowOff>
    </xdr:to>
    <xdr:sp macro="[0]!inslinma" textlink="">
      <xdr:nvSpPr>
        <xdr:cNvPr id="2" name="AutoShape 70">
          <a:extLst>
            <a:ext uri="{FF2B5EF4-FFF2-40B4-BE49-F238E27FC236}">
              <a16:creationId xmlns:a16="http://schemas.microsoft.com/office/drawing/2014/main" id="{E2EF1D84-D18F-4F7A-BFFF-18FEDBDACE00}"/>
            </a:ext>
          </a:extLst>
        </xdr:cNvPr>
        <xdr:cNvSpPr>
          <a:spLocks noChangeArrowheads="1"/>
        </xdr:cNvSpPr>
      </xdr:nvSpPr>
      <xdr:spPr bwMode="auto">
        <a:xfrm>
          <a:off x="12501558" y="5083972"/>
          <a:ext cx="345281" cy="25003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13</xdr:col>
      <xdr:colOff>202402</xdr:colOff>
      <xdr:row>31</xdr:row>
      <xdr:rowOff>95258</xdr:rowOff>
    </xdr:from>
    <xdr:to>
      <xdr:col>13</xdr:col>
      <xdr:colOff>547683</xdr:colOff>
      <xdr:row>33</xdr:row>
      <xdr:rowOff>11913</xdr:rowOff>
    </xdr:to>
    <xdr:sp macro="[0]!inslingas" textlink="">
      <xdr:nvSpPr>
        <xdr:cNvPr id="3" name="AutoShape 70">
          <a:extLst>
            <a:ext uri="{FF2B5EF4-FFF2-40B4-BE49-F238E27FC236}">
              <a16:creationId xmlns:a16="http://schemas.microsoft.com/office/drawing/2014/main" id="{30B67BFB-122D-469B-8C7E-85EE675C83E8}"/>
            </a:ext>
          </a:extLst>
        </xdr:cNvPr>
        <xdr:cNvSpPr>
          <a:spLocks noChangeArrowheads="1"/>
        </xdr:cNvSpPr>
      </xdr:nvSpPr>
      <xdr:spPr bwMode="auto">
        <a:xfrm>
          <a:off x="12501558" y="5869789"/>
          <a:ext cx="345281" cy="25003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13</xdr:col>
      <xdr:colOff>223836</xdr:colOff>
      <xdr:row>41</xdr:row>
      <xdr:rowOff>92866</xdr:rowOff>
    </xdr:from>
    <xdr:to>
      <xdr:col>13</xdr:col>
      <xdr:colOff>569117</xdr:colOff>
      <xdr:row>43</xdr:row>
      <xdr:rowOff>9521</xdr:rowOff>
    </xdr:to>
    <xdr:sp macro="[0]!inslincom" textlink="">
      <xdr:nvSpPr>
        <xdr:cNvPr id="4" name="AutoShape 70">
          <a:extLst>
            <a:ext uri="{FF2B5EF4-FFF2-40B4-BE49-F238E27FC236}">
              <a16:creationId xmlns:a16="http://schemas.microsoft.com/office/drawing/2014/main" id="{92A58B34-F37C-44E0-B5A7-800BCD741573}"/>
            </a:ext>
          </a:extLst>
        </xdr:cNvPr>
        <xdr:cNvSpPr>
          <a:spLocks noChangeArrowheads="1"/>
        </xdr:cNvSpPr>
      </xdr:nvSpPr>
      <xdr:spPr bwMode="auto">
        <a:xfrm>
          <a:off x="12522992" y="7867647"/>
          <a:ext cx="345281" cy="25003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116414</xdr:colOff>
      <xdr:row>34</xdr:row>
      <xdr:rowOff>105833</xdr:rowOff>
    </xdr:from>
    <xdr:to>
      <xdr:col>9</xdr:col>
      <xdr:colOff>328083</xdr:colOff>
      <xdr:row>36</xdr:row>
      <xdr:rowOff>100541</xdr:rowOff>
    </xdr:to>
    <xdr:sp macro="[0]!Hoja5.inslinris" textlink="">
      <xdr:nvSpPr>
        <xdr:cNvPr id="2" name="AutoShape 70">
          <a:extLst>
            <a:ext uri="{FF2B5EF4-FFF2-40B4-BE49-F238E27FC236}">
              <a16:creationId xmlns:a16="http://schemas.microsoft.com/office/drawing/2014/main" id="{3AD65BD1-2749-4F8A-BCE5-255B6C8D5E20}"/>
            </a:ext>
          </a:extLst>
        </xdr:cNvPr>
        <xdr:cNvSpPr>
          <a:spLocks noChangeArrowheads="1"/>
        </xdr:cNvSpPr>
      </xdr:nvSpPr>
      <xdr:spPr bwMode="auto">
        <a:xfrm>
          <a:off x="12562414" y="6752166"/>
          <a:ext cx="211669" cy="333375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154781</xdr:colOff>
      <xdr:row>24</xdr:row>
      <xdr:rowOff>71438</xdr:rowOff>
    </xdr:from>
    <xdr:to>
      <xdr:col>8</xdr:col>
      <xdr:colOff>440532</xdr:colOff>
      <xdr:row>25</xdr:row>
      <xdr:rowOff>154784</xdr:rowOff>
    </xdr:to>
    <xdr:sp macro="[0]!Hoja9.inslinf2" textlink="">
      <xdr:nvSpPr>
        <xdr:cNvPr id="3" name="AutoShape 70">
          <a:extLst>
            <a:ext uri="{FF2B5EF4-FFF2-40B4-BE49-F238E27FC236}">
              <a16:creationId xmlns:a16="http://schemas.microsoft.com/office/drawing/2014/main" id="{0095A3DF-0311-42BE-A491-0E7F99730903}"/>
            </a:ext>
          </a:extLst>
        </xdr:cNvPr>
        <xdr:cNvSpPr>
          <a:spLocks noChangeArrowheads="1"/>
        </xdr:cNvSpPr>
      </xdr:nvSpPr>
      <xdr:spPr bwMode="auto">
        <a:xfrm>
          <a:off x="11144250" y="4929188"/>
          <a:ext cx="285751" cy="273846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8</xdr:col>
      <xdr:colOff>154781</xdr:colOff>
      <xdr:row>31</xdr:row>
      <xdr:rowOff>83343</xdr:rowOff>
    </xdr:from>
    <xdr:to>
      <xdr:col>8</xdr:col>
      <xdr:colOff>416720</xdr:colOff>
      <xdr:row>32</xdr:row>
      <xdr:rowOff>121446</xdr:rowOff>
    </xdr:to>
    <xdr:sp macro="[0]!Hoja9.inslinf3" textlink="">
      <xdr:nvSpPr>
        <xdr:cNvPr id="4" name="AutoShape 70">
          <a:extLst>
            <a:ext uri="{FF2B5EF4-FFF2-40B4-BE49-F238E27FC236}">
              <a16:creationId xmlns:a16="http://schemas.microsoft.com/office/drawing/2014/main" id="{8FE972FD-B72F-4007-B395-0E741E8EE067}"/>
            </a:ext>
          </a:extLst>
        </xdr:cNvPr>
        <xdr:cNvSpPr>
          <a:spLocks noChangeArrowheads="1"/>
        </xdr:cNvSpPr>
      </xdr:nvSpPr>
      <xdr:spPr bwMode="auto">
        <a:xfrm>
          <a:off x="11144250" y="6369843"/>
          <a:ext cx="261939" cy="228603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8</xdr:col>
      <xdr:colOff>154781</xdr:colOff>
      <xdr:row>38</xdr:row>
      <xdr:rowOff>59531</xdr:rowOff>
    </xdr:from>
    <xdr:to>
      <xdr:col>8</xdr:col>
      <xdr:colOff>447407</xdr:colOff>
      <xdr:row>39</xdr:row>
      <xdr:rowOff>126210</xdr:rowOff>
    </xdr:to>
    <xdr:sp macro="[0]!Hoja9.inslinf4" textlink="">
      <xdr:nvSpPr>
        <xdr:cNvPr id="5" name="AutoShape 70">
          <a:extLst>
            <a:ext uri="{FF2B5EF4-FFF2-40B4-BE49-F238E27FC236}">
              <a16:creationId xmlns:a16="http://schemas.microsoft.com/office/drawing/2014/main" id="{3D09D037-89AF-45A3-8787-AC2F040E7260}"/>
            </a:ext>
          </a:extLst>
        </xdr:cNvPr>
        <xdr:cNvSpPr>
          <a:spLocks noChangeArrowheads="1"/>
        </xdr:cNvSpPr>
      </xdr:nvSpPr>
      <xdr:spPr bwMode="auto">
        <a:xfrm>
          <a:off x="11144250" y="7739062"/>
          <a:ext cx="292626" cy="257179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  <xdr:twoCellAnchor>
    <xdr:from>
      <xdr:col>8</xdr:col>
      <xdr:colOff>190501</xdr:colOff>
      <xdr:row>16</xdr:row>
      <xdr:rowOff>130968</xdr:rowOff>
    </xdr:from>
    <xdr:to>
      <xdr:col>8</xdr:col>
      <xdr:colOff>471225</xdr:colOff>
      <xdr:row>17</xdr:row>
      <xdr:rowOff>185736</xdr:rowOff>
    </xdr:to>
    <xdr:sp macro="[0]!Hoja9.inslinf1" textlink="">
      <xdr:nvSpPr>
        <xdr:cNvPr id="7" name="AutoShape 70">
          <a:extLst>
            <a:ext uri="{FF2B5EF4-FFF2-40B4-BE49-F238E27FC236}">
              <a16:creationId xmlns:a16="http://schemas.microsoft.com/office/drawing/2014/main" id="{EA3E59C9-83F6-482B-8D34-6CF4640EE30A}"/>
            </a:ext>
          </a:extLst>
        </xdr:cNvPr>
        <xdr:cNvSpPr>
          <a:spLocks noChangeArrowheads="1"/>
        </xdr:cNvSpPr>
      </xdr:nvSpPr>
      <xdr:spPr bwMode="auto">
        <a:xfrm>
          <a:off x="11179970" y="3405187"/>
          <a:ext cx="280724" cy="245268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00FF00" mc:Ignorable="a14" a14:legacySpreadsheetColorIndex="1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9526</xdr:colOff>
      <xdr:row>9</xdr:row>
      <xdr:rowOff>180975</xdr:rowOff>
    </xdr:from>
    <xdr:to>
      <xdr:col>10</xdr:col>
      <xdr:colOff>400051</xdr:colOff>
      <xdr:row>32</xdr:row>
      <xdr:rowOff>128587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6FF6EC5-014E-435F-AC71-5A30FF81C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n-my.sharepoint.com/Users/jsans/Desktop/Ofertas%202021/JCyL/Consejer&#237;a%20de%20Educaci&#243;n/PPO/Prean&#225;lisis%20Lote%201%20y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sumen"/>
      <sheetName val="Criterios"/>
      <sheetName val="Criterios sin fórmula"/>
      <sheetName val="Valoración positiva"/>
      <sheetName val="Observaciones"/>
      <sheetName val="Estimación"/>
    </sheetNames>
    <sheetDataSet>
      <sheetData sheetId="0"/>
      <sheetData sheetId="1">
        <row r="5">
          <cell r="B5">
            <v>0</v>
          </cell>
          <cell r="D5">
            <v>4.76837158203125E-7</v>
          </cell>
        </row>
        <row r="6">
          <cell r="B6">
            <v>0.02</v>
          </cell>
          <cell r="D6">
            <v>10.770329614269007</v>
          </cell>
        </row>
        <row r="7">
          <cell r="B7">
            <v>0.04</v>
          </cell>
          <cell r="D7">
            <v>14.966629547095765</v>
          </cell>
        </row>
        <row r="8">
          <cell r="B8">
            <v>0.06</v>
          </cell>
          <cell r="D8">
            <v>18.000000000000007</v>
          </cell>
        </row>
        <row r="9">
          <cell r="B9">
            <v>0.08</v>
          </cell>
          <cell r="D9">
            <v>20.396078054371145</v>
          </cell>
        </row>
        <row r="10">
          <cell r="B10">
            <v>0.1</v>
          </cell>
          <cell r="D10">
            <v>22.360679774997898</v>
          </cell>
        </row>
        <row r="11">
          <cell r="B11">
            <v>0.12</v>
          </cell>
          <cell r="D11">
            <v>24.000000000000004</v>
          </cell>
        </row>
        <row r="12">
          <cell r="B12">
            <v>0.14000000000000001</v>
          </cell>
          <cell r="D12">
            <v>25.377155080899044</v>
          </cell>
        </row>
        <row r="13">
          <cell r="B13">
            <v>0.16</v>
          </cell>
          <cell r="D13">
            <v>26.532998322843202</v>
          </cell>
        </row>
        <row r="14">
          <cell r="B14">
            <v>0.18</v>
          </cell>
          <cell r="D14">
            <v>27.495454169735037</v>
          </cell>
        </row>
        <row r="15">
          <cell r="B15">
            <v>0.2</v>
          </cell>
          <cell r="D15">
            <v>28.284271247461898</v>
          </cell>
        </row>
        <row r="16">
          <cell r="B16">
            <v>0.22</v>
          </cell>
          <cell r="D16">
            <v>28.913664589601922</v>
          </cell>
        </row>
        <row r="17">
          <cell r="B17">
            <v>0.24</v>
          </cell>
          <cell r="D17">
            <v>29.393876913398138</v>
          </cell>
        </row>
        <row r="18">
          <cell r="B18">
            <v>0.26</v>
          </cell>
          <cell r="D18">
            <v>29.732137494637012</v>
          </cell>
        </row>
        <row r="19">
          <cell r="B19">
            <v>0.28000000000000003</v>
          </cell>
          <cell r="D19">
            <v>29.933259094191531</v>
          </cell>
        </row>
        <row r="20">
          <cell r="B20">
            <v>0.3</v>
          </cell>
          <cell r="D20">
            <v>30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gtn.sharepoint.com/sites/Connectis-ES/espaciocorporativo/calidad/Referencial_SICASST/32_Gestion_Oferta/SCI32PR01_Proceso_BID.pdf" TargetMode="External"/><Relationship Id="rId1" Type="http://schemas.openxmlformats.org/officeDocument/2006/relationships/hyperlink" Target="https://gtn.sharepoint.com/:x:/r/sites/Bid-Portal/SignIN_SignOUT/_layouts/15/Doc.aspx?sourcedoc=%7B3DC70119-C4BF-40E4-8845-A5BB960EBCEE%7D&amp;file=Pre-approval%20Matrix%20(2018-07-12).xlsx&amp;action=default&amp;mobileredirect=tru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Q24"/>
  <sheetViews>
    <sheetView zoomScaleNormal="100" workbookViewId="0">
      <selection activeCell="I5" sqref="I5"/>
    </sheetView>
  </sheetViews>
  <sheetFormatPr baseColWidth="10" defaultColWidth="12" defaultRowHeight="12.5" x14ac:dyDescent="0.25"/>
  <cols>
    <col min="1" max="1" width="16" style="90" customWidth="1"/>
    <col min="2" max="2" width="6.19921875" style="90" bestFit="1" customWidth="1"/>
    <col min="3" max="3" width="23.296875" style="90" bestFit="1" customWidth="1"/>
    <col min="4" max="4" width="5" style="90" bestFit="1" customWidth="1"/>
    <col min="5" max="5" width="23.296875" style="90" customWidth="1"/>
    <col min="6" max="6" width="11.5" style="90" bestFit="1" customWidth="1"/>
    <col min="7" max="7" width="10.69921875" style="90" bestFit="1" customWidth="1"/>
    <col min="8" max="8" width="33.796875" style="90" bestFit="1" customWidth="1"/>
    <col min="9" max="9" width="8.19921875" style="90" bestFit="1" customWidth="1"/>
    <col min="10" max="10" width="14" style="90" bestFit="1" customWidth="1"/>
    <col min="11" max="11" width="7.5" style="90" bestFit="1" customWidth="1"/>
    <col min="12" max="12" width="12" style="90"/>
    <col min="13" max="13" width="23.296875" style="90" bestFit="1" customWidth="1"/>
    <col min="14" max="14" width="9.69921875" style="90" bestFit="1" customWidth="1"/>
    <col min="15" max="15" width="10.69921875" style="90" bestFit="1" customWidth="1"/>
    <col min="16" max="16" width="12" style="90" customWidth="1"/>
    <col min="17" max="17" width="14.19921875" style="90" bestFit="1" customWidth="1"/>
    <col min="18" max="16384" width="12" style="90"/>
  </cols>
  <sheetData>
    <row r="1" spans="1:17" s="91" customFormat="1" ht="13.5" thickBot="1" x14ac:dyDescent="0.35">
      <c r="A1" s="100" t="s">
        <v>134</v>
      </c>
      <c r="B1" s="100" t="s">
        <v>317</v>
      </c>
      <c r="C1" s="100" t="s">
        <v>135</v>
      </c>
      <c r="D1" s="100" t="s">
        <v>317</v>
      </c>
      <c r="E1" s="145" t="s">
        <v>185</v>
      </c>
      <c r="F1" s="145" t="s">
        <v>137</v>
      </c>
      <c r="G1" s="100" t="s">
        <v>164</v>
      </c>
      <c r="H1" s="100" t="s">
        <v>341</v>
      </c>
      <c r="I1" s="100" t="s">
        <v>342</v>
      </c>
      <c r="J1" s="100" t="s">
        <v>163</v>
      </c>
      <c r="K1" s="100" t="s">
        <v>151</v>
      </c>
      <c r="M1" s="643" t="s">
        <v>100</v>
      </c>
      <c r="N1" s="644"/>
      <c r="O1" s="644"/>
      <c r="P1" s="644"/>
      <c r="Q1" s="645"/>
    </row>
    <row r="2" spans="1:17" ht="13" thickBot="1" x14ac:dyDescent="0.3">
      <c r="A2" s="92" t="s">
        <v>323</v>
      </c>
      <c r="B2" s="92" t="s">
        <v>318</v>
      </c>
      <c r="C2" s="92" t="s">
        <v>195</v>
      </c>
      <c r="D2" s="92" t="s">
        <v>108</v>
      </c>
      <c r="E2" s="146" t="s">
        <v>168</v>
      </c>
      <c r="F2" s="146" t="s">
        <v>383</v>
      </c>
      <c r="G2" s="105">
        <v>0.05</v>
      </c>
      <c r="H2" s="95" t="s">
        <v>343</v>
      </c>
      <c r="I2" s="92">
        <v>1</v>
      </c>
      <c r="J2" s="92" t="s">
        <v>140</v>
      </c>
      <c r="K2" s="98" t="s">
        <v>152</v>
      </c>
      <c r="M2" s="643" t="s">
        <v>228</v>
      </c>
      <c r="N2" s="645"/>
      <c r="O2" s="71"/>
      <c r="P2" s="71"/>
      <c r="Q2" s="72"/>
    </row>
    <row r="3" spans="1:17" x14ac:dyDescent="0.25">
      <c r="A3" s="93" t="s">
        <v>324</v>
      </c>
      <c r="B3" s="93" t="s">
        <v>319</v>
      </c>
      <c r="C3" s="93" t="s">
        <v>332</v>
      </c>
      <c r="D3" s="93" t="s">
        <v>338</v>
      </c>
      <c r="E3" s="147" t="s">
        <v>167</v>
      </c>
      <c r="F3" s="147" t="s">
        <v>138</v>
      </c>
      <c r="G3" s="106">
        <v>0.03</v>
      </c>
      <c r="H3" s="96" t="s">
        <v>344</v>
      </c>
      <c r="I3" s="93">
        <v>2</v>
      </c>
      <c r="J3" s="93" t="s">
        <v>272</v>
      </c>
      <c r="K3" s="98" t="s">
        <v>153</v>
      </c>
      <c r="M3" s="73" t="s">
        <v>101</v>
      </c>
      <c r="N3" s="144">
        <v>0.3125</v>
      </c>
      <c r="O3" s="71"/>
      <c r="P3" s="71"/>
      <c r="Q3" s="72"/>
    </row>
    <row r="4" spans="1:17" ht="13" thickBot="1" x14ac:dyDescent="0.3">
      <c r="A4" s="93" t="s">
        <v>273</v>
      </c>
      <c r="B4" s="93" t="s">
        <v>320</v>
      </c>
      <c r="C4" s="93" t="s">
        <v>136</v>
      </c>
      <c r="D4" s="93" t="s">
        <v>335</v>
      </c>
      <c r="E4" s="148"/>
      <c r="F4" s="148" t="s">
        <v>139</v>
      </c>
      <c r="G4" s="107">
        <v>0</v>
      </c>
      <c r="H4" s="96" t="s">
        <v>384</v>
      </c>
      <c r="I4" s="93">
        <v>0</v>
      </c>
      <c r="J4" s="93" t="s">
        <v>141</v>
      </c>
      <c r="K4" s="98" t="s">
        <v>154</v>
      </c>
      <c r="M4" s="73" t="s">
        <v>102</v>
      </c>
      <c r="N4" s="144">
        <v>0.32450000000000001</v>
      </c>
      <c r="O4" s="71"/>
      <c r="P4" s="71"/>
      <c r="Q4" s="72"/>
    </row>
    <row r="5" spans="1:17" ht="13" thickBot="1" x14ac:dyDescent="0.3">
      <c r="A5" s="94" t="s">
        <v>325</v>
      </c>
      <c r="B5" s="148" t="s">
        <v>321</v>
      </c>
      <c r="C5" s="93" t="s">
        <v>334</v>
      </c>
      <c r="D5" s="147" t="s">
        <v>340</v>
      </c>
      <c r="H5" s="96" t="s">
        <v>345</v>
      </c>
      <c r="I5" s="93">
        <v>3</v>
      </c>
      <c r="J5" s="93" t="s">
        <v>142</v>
      </c>
      <c r="K5" s="98" t="s">
        <v>152</v>
      </c>
      <c r="M5" s="73" t="s">
        <v>103</v>
      </c>
      <c r="N5" s="144">
        <v>0.32450000000000001</v>
      </c>
      <c r="O5" s="74" t="s">
        <v>104</v>
      </c>
      <c r="P5" s="74" t="s">
        <v>105</v>
      </c>
      <c r="Q5" s="75" t="s">
        <v>106</v>
      </c>
    </row>
    <row r="6" spans="1:17" ht="13.5" thickBot="1" x14ac:dyDescent="0.35">
      <c r="B6"/>
      <c r="C6" s="93" t="s">
        <v>333</v>
      </c>
      <c r="D6" s="96" t="s">
        <v>339</v>
      </c>
      <c r="E6" s="149" t="s">
        <v>186</v>
      </c>
      <c r="H6" s="96" t="s">
        <v>346</v>
      </c>
      <c r="I6" s="93">
        <v>4</v>
      </c>
      <c r="J6" s="93" t="s">
        <v>149</v>
      </c>
      <c r="K6" s="98" t="s">
        <v>155</v>
      </c>
      <c r="M6" s="76" t="s">
        <v>107</v>
      </c>
      <c r="N6" s="77">
        <v>4070.1</v>
      </c>
      <c r="O6" s="78">
        <f>basmax*12*ssfij</f>
        <v>15262.875</v>
      </c>
      <c r="P6" s="78">
        <f>basmax*12*sstem</f>
        <v>15848.9694</v>
      </c>
      <c r="Q6" s="79">
        <f>basmax*12*sspar</f>
        <v>15848.9694</v>
      </c>
    </row>
    <row r="7" spans="1:17" ht="13.5" thickBot="1" x14ac:dyDescent="0.35">
      <c r="A7" s="100" t="s">
        <v>193</v>
      </c>
      <c r="B7" s="145" t="s">
        <v>317</v>
      </c>
      <c r="C7" s="93" t="s">
        <v>190</v>
      </c>
      <c r="D7" s="96" t="s">
        <v>336</v>
      </c>
      <c r="E7" s="93" t="s">
        <v>170</v>
      </c>
      <c r="H7" s="96" t="s">
        <v>347</v>
      </c>
      <c r="I7" s="93">
        <v>5</v>
      </c>
      <c r="J7" s="93" t="s">
        <v>143</v>
      </c>
      <c r="K7" s="98" t="s">
        <v>154</v>
      </c>
    </row>
    <row r="8" spans="1:17" ht="13" thickBot="1" x14ac:dyDescent="0.3">
      <c r="A8" s="93" t="s">
        <v>331</v>
      </c>
      <c r="B8" s="501" t="s">
        <v>330</v>
      </c>
      <c r="C8" s="94" t="s">
        <v>196</v>
      </c>
      <c r="D8" s="97" t="s">
        <v>337</v>
      </c>
      <c r="E8" s="93" t="s">
        <v>169</v>
      </c>
      <c r="H8" s="96" t="s">
        <v>348</v>
      </c>
      <c r="I8" s="93">
        <v>6</v>
      </c>
      <c r="J8" s="93" t="s">
        <v>144</v>
      </c>
      <c r="K8" s="98" t="s">
        <v>152</v>
      </c>
      <c r="M8" s="182" t="s">
        <v>189</v>
      </c>
    </row>
    <row r="9" spans="1:17" ht="13" thickBot="1" x14ac:dyDescent="0.3">
      <c r="A9" s="93" t="s">
        <v>326</v>
      </c>
      <c r="B9" s="147" t="s">
        <v>328</v>
      </c>
      <c r="E9" s="93" t="s">
        <v>187</v>
      </c>
      <c r="H9" s="97" t="s">
        <v>349</v>
      </c>
      <c r="I9" s="94">
        <v>7</v>
      </c>
      <c r="J9" s="93" t="s">
        <v>146</v>
      </c>
      <c r="K9" s="98" t="s">
        <v>153</v>
      </c>
      <c r="M9" s="330">
        <f>(400+400+215)/3</f>
        <v>338.33333333333331</v>
      </c>
    </row>
    <row r="10" spans="1:17" ht="13.5" thickBot="1" x14ac:dyDescent="0.35">
      <c r="A10" s="93" t="s">
        <v>322</v>
      </c>
      <c r="B10" s="501" t="s">
        <v>330</v>
      </c>
      <c r="E10" s="94"/>
      <c r="H10" s="149" t="s">
        <v>247</v>
      </c>
      <c r="I10"/>
      <c r="J10" s="93" t="s">
        <v>147</v>
      </c>
      <c r="K10" s="98" t="s">
        <v>154</v>
      </c>
    </row>
    <row r="11" spans="1:17" ht="13.5" thickBot="1" x14ac:dyDescent="0.35">
      <c r="A11" s="93" t="s">
        <v>327</v>
      </c>
      <c r="B11" s="147" t="s">
        <v>329</v>
      </c>
      <c r="H11" s="92" t="s">
        <v>229</v>
      </c>
      <c r="I11"/>
      <c r="J11" s="93" t="s">
        <v>150</v>
      </c>
      <c r="K11" s="98" t="s">
        <v>152</v>
      </c>
    </row>
    <row r="12" spans="1:17" ht="13.5" thickBot="1" x14ac:dyDescent="0.35">
      <c r="A12" s="94" t="s">
        <v>273</v>
      </c>
      <c r="B12" s="148" t="s">
        <v>329</v>
      </c>
      <c r="E12" s="100" t="s">
        <v>233</v>
      </c>
      <c r="H12" s="93" t="s">
        <v>230</v>
      </c>
      <c r="I12"/>
      <c r="J12" s="93" t="s">
        <v>145</v>
      </c>
      <c r="K12" s="98" t="s">
        <v>152</v>
      </c>
    </row>
    <row r="13" spans="1:17" ht="13" x14ac:dyDescent="0.3">
      <c r="E13" s="92" t="s">
        <v>231</v>
      </c>
      <c r="H13" s="93" t="s">
        <v>248</v>
      </c>
      <c r="I13"/>
      <c r="J13" s="93" t="s">
        <v>148</v>
      </c>
      <c r="K13" s="98" t="s">
        <v>154</v>
      </c>
    </row>
    <row r="14" spans="1:17" ht="13.5" thickBot="1" x14ac:dyDescent="0.35">
      <c r="E14" s="93" t="s">
        <v>232</v>
      </c>
      <c r="H14" s="94" t="s">
        <v>249</v>
      </c>
      <c r="I14"/>
      <c r="J14" s="93" t="s">
        <v>159</v>
      </c>
      <c r="K14" s="98" t="s">
        <v>160</v>
      </c>
    </row>
    <row r="15" spans="1:17" ht="13.5" thickBot="1" x14ac:dyDescent="0.35">
      <c r="E15" s="94"/>
      <c r="I15"/>
      <c r="J15" s="94"/>
      <c r="K15" s="99"/>
    </row>
    <row r="16" spans="1:17" ht="13.5" thickBot="1" x14ac:dyDescent="0.35">
      <c r="H16" s="149" t="s">
        <v>350</v>
      </c>
      <c r="I16" s="149" t="s">
        <v>317</v>
      </c>
    </row>
    <row r="17" spans="1:9" ht="13" thickBot="1" x14ac:dyDescent="0.3">
      <c r="E17" s="505" t="s">
        <v>370</v>
      </c>
      <c r="H17" s="92" t="s">
        <v>351</v>
      </c>
      <c r="I17" s="92" t="s">
        <v>352</v>
      </c>
    </row>
    <row r="18" spans="1:9" ht="13" thickBot="1" x14ac:dyDescent="0.3">
      <c r="A18" s="413" t="s">
        <v>258</v>
      </c>
      <c r="B18" s="414" t="s">
        <v>259</v>
      </c>
      <c r="E18" s="92" t="s">
        <v>371</v>
      </c>
      <c r="H18" s="93" t="s">
        <v>327</v>
      </c>
      <c r="I18" s="93" t="s">
        <v>353</v>
      </c>
    </row>
    <row r="19" spans="1:9" x14ac:dyDescent="0.25">
      <c r="A19" s="415" t="s">
        <v>368</v>
      </c>
      <c r="B19" s="411">
        <v>0</v>
      </c>
      <c r="E19" s="93" t="s">
        <v>372</v>
      </c>
      <c r="H19" s="93" t="s">
        <v>229</v>
      </c>
      <c r="I19" s="93" t="s">
        <v>354</v>
      </c>
    </row>
    <row r="20" spans="1:9" ht="13" thickBot="1" x14ac:dyDescent="0.3">
      <c r="A20" s="415" t="s">
        <v>7</v>
      </c>
      <c r="B20" s="411">
        <v>0</v>
      </c>
      <c r="E20" s="94"/>
      <c r="H20" s="93" t="s">
        <v>355</v>
      </c>
      <c r="I20" s="93" t="s">
        <v>360</v>
      </c>
    </row>
    <row r="21" spans="1:9" ht="13" thickBot="1" x14ac:dyDescent="0.3">
      <c r="A21" s="416" t="s">
        <v>34</v>
      </c>
      <c r="B21" s="412">
        <v>0</v>
      </c>
      <c r="H21" s="93" t="s">
        <v>356</v>
      </c>
      <c r="I21" s="93" t="s">
        <v>361</v>
      </c>
    </row>
    <row r="22" spans="1:9" x14ac:dyDescent="0.25">
      <c r="H22" s="93" t="s">
        <v>357</v>
      </c>
      <c r="I22" s="93" t="s">
        <v>108</v>
      </c>
    </row>
    <row r="23" spans="1:9" x14ac:dyDescent="0.25">
      <c r="H23" s="93" t="s">
        <v>358</v>
      </c>
      <c r="I23" s="93" t="s">
        <v>338</v>
      </c>
    </row>
    <row r="24" spans="1:9" ht="13" thickBot="1" x14ac:dyDescent="0.3">
      <c r="H24" s="94" t="s">
        <v>359</v>
      </c>
      <c r="I24" s="94" t="s">
        <v>362</v>
      </c>
    </row>
  </sheetData>
  <sheetProtection algorithmName="SHA-512" hashValue="1wUgV5BLfY1+7jis7FLLKm4qP0vL1xuvAHAgyMCXokYD0VBgiwDufzZJ76G/IlliZEQ2Q1nHmEzsTQPFUnxYrA==" saltValue="9McgM6caOLstU6GIusGoeA==" spinCount="100000" formatCells="0" formatColumns="0" formatRows="0" sort="0" autoFilter="0"/>
  <mergeCells count="2">
    <mergeCell ref="M1:Q1"/>
    <mergeCell ref="M2:N2"/>
  </mergeCells>
  <pageMargins left="0.7" right="0.7" top="0.75" bottom="0.75" header="0.3" footer="0.3"/>
  <pageSetup paperSize="9" orientation="portrait" r:id="rId1"/>
  <headerFooter>
    <oddFooter>&amp;LSCI32PT01-PPO - 2020-v1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A1:D32"/>
  <sheetViews>
    <sheetView showGridLines="0" showZeros="0" zoomScaleNormal="100" workbookViewId="0">
      <selection activeCell="D14" sqref="D14"/>
    </sheetView>
  </sheetViews>
  <sheetFormatPr baseColWidth="10" defaultColWidth="14.69921875" defaultRowHeight="12.5" x14ac:dyDescent="0.25"/>
  <cols>
    <col min="1" max="1" width="44.296875" style="150" customWidth="1"/>
    <col min="2" max="2" width="64.5" style="150" customWidth="1"/>
    <col min="3" max="3" width="19.19921875" style="150" customWidth="1"/>
    <col min="4" max="4" width="24.69921875" style="150" customWidth="1"/>
    <col min="5" max="16384" width="14.69921875" style="150"/>
  </cols>
  <sheetData>
    <row r="1" spans="1:4" x14ac:dyDescent="0.25">
      <c r="A1" s="154"/>
      <c r="B1" s="155"/>
      <c r="C1" s="155"/>
      <c r="D1" s="444" t="s">
        <v>367</v>
      </c>
    </row>
    <row r="2" spans="1:4" x14ac:dyDescent="0.25">
      <c r="A2" s="156"/>
      <c r="B2" s="157"/>
      <c r="C2" s="157"/>
      <c r="D2" s="158"/>
    </row>
    <row r="3" spans="1:4" x14ac:dyDescent="0.25">
      <c r="A3" s="156"/>
      <c r="B3" s="157"/>
      <c r="C3" s="157"/>
      <c r="D3" s="158"/>
    </row>
    <row r="4" spans="1:4" x14ac:dyDescent="0.25">
      <c r="A4" s="156"/>
      <c r="B4" s="157"/>
      <c r="C4" s="157"/>
      <c r="D4" s="158"/>
    </row>
    <row r="5" spans="1:4" ht="18.75" customHeight="1" x14ac:dyDescent="0.25">
      <c r="A5" s="156"/>
      <c r="B5" s="159" t="s">
        <v>257</v>
      </c>
      <c r="C5" s="159"/>
      <c r="D5" s="158"/>
    </row>
    <row r="6" spans="1:4" ht="12.75" customHeight="1" x14ac:dyDescent="0.25">
      <c r="A6" s="156"/>
      <c r="B6" s="157"/>
      <c r="C6" s="157"/>
      <c r="D6" s="158"/>
    </row>
    <row r="7" spans="1:4" ht="9" customHeight="1" thickBot="1" x14ac:dyDescent="0.3">
      <c r="A7" s="156"/>
      <c r="B7" s="157"/>
      <c r="C7" s="157"/>
      <c r="D7" s="158"/>
    </row>
    <row r="8" spans="1:4" ht="16.75" customHeight="1" x14ac:dyDescent="0.3">
      <c r="A8" s="160" t="s">
        <v>157</v>
      </c>
      <c r="B8" s="101" t="s">
        <v>190</v>
      </c>
      <c r="C8"/>
      <c r="D8" s="158"/>
    </row>
    <row r="9" spans="1:4" ht="16.75" customHeight="1" x14ac:dyDescent="0.3">
      <c r="A9" s="163" t="s">
        <v>192</v>
      </c>
      <c r="B9" s="102" t="s">
        <v>323</v>
      </c>
      <c r="C9" s="332" t="s">
        <v>227</v>
      </c>
      <c r="D9" s="158"/>
    </row>
    <row r="10" spans="1:4" ht="16.75" customHeight="1" x14ac:dyDescent="0.25">
      <c r="A10" s="161" t="s">
        <v>363</v>
      </c>
      <c r="B10" s="331" t="s">
        <v>331</v>
      </c>
      <c r="C10" s="332" t="s">
        <v>194</v>
      </c>
      <c r="D10" s="158"/>
    </row>
    <row r="11" spans="1:4" ht="16.75" customHeight="1" x14ac:dyDescent="0.3">
      <c r="A11" s="161" t="s">
        <v>158</v>
      </c>
      <c r="B11" s="102" t="s">
        <v>150</v>
      </c>
      <c r="C11"/>
      <c r="D11" s="158"/>
    </row>
    <row r="12" spans="1:4" ht="16.75" customHeight="1" x14ac:dyDescent="0.3">
      <c r="A12" s="161" t="s">
        <v>161</v>
      </c>
      <c r="B12" s="152" t="str">
        <f>VLOOKUP(B11,ozona,2,FALSE)</f>
        <v>Norte</v>
      </c>
      <c r="C12"/>
      <c r="D12" s="158"/>
    </row>
    <row r="13" spans="1:4" ht="16.75" customHeight="1" x14ac:dyDescent="0.3">
      <c r="A13" s="161" t="s">
        <v>364</v>
      </c>
      <c r="B13" s="102" t="s">
        <v>343</v>
      </c>
      <c r="C13"/>
      <c r="D13" s="158"/>
    </row>
    <row r="14" spans="1:4" ht="16.75" customHeight="1" x14ac:dyDescent="0.3">
      <c r="A14" s="161" t="s">
        <v>365</v>
      </c>
      <c r="B14" s="102" t="s">
        <v>351</v>
      </c>
      <c r="C14"/>
      <c r="D14" s="158"/>
    </row>
    <row r="15" spans="1:4" ht="16.75" customHeight="1" x14ac:dyDescent="0.3">
      <c r="A15" s="162" t="s">
        <v>33</v>
      </c>
      <c r="B15" s="102" t="s">
        <v>138</v>
      </c>
      <c r="C15"/>
      <c r="D15" s="158"/>
    </row>
    <row r="16" spans="1:4" ht="13" x14ac:dyDescent="0.3">
      <c r="A16" s="161" t="s">
        <v>28</v>
      </c>
      <c r="B16" s="102" t="s">
        <v>409</v>
      </c>
      <c r="C16"/>
      <c r="D16" s="158"/>
    </row>
    <row r="17" spans="1:4" ht="13.5" thickBot="1" x14ac:dyDescent="0.35">
      <c r="A17" s="161" t="s">
        <v>29</v>
      </c>
      <c r="B17" s="102" t="s">
        <v>410</v>
      </c>
      <c r="C17"/>
      <c r="D17" s="158"/>
    </row>
    <row r="18" spans="1:4" ht="21.75" customHeight="1" thickBot="1" x14ac:dyDescent="0.35">
      <c r="A18" s="163" t="s">
        <v>20</v>
      </c>
      <c r="B18" s="342">
        <v>20251160543</v>
      </c>
      <c r="C18"/>
      <c r="D18" s="158"/>
    </row>
    <row r="19" spans="1:4" ht="13" x14ac:dyDescent="0.3">
      <c r="A19" s="162" t="s">
        <v>21</v>
      </c>
      <c r="B19" s="102" t="s">
        <v>395</v>
      </c>
      <c r="C19"/>
      <c r="D19" s="158"/>
    </row>
    <row r="20" spans="1:4" ht="13" x14ac:dyDescent="0.3">
      <c r="A20" s="507" t="s">
        <v>369</v>
      </c>
      <c r="B20" s="506" t="s">
        <v>371</v>
      </c>
      <c r="C20" s="508" t="s">
        <v>373</v>
      </c>
      <c r="D20" s="158"/>
    </row>
    <row r="21" spans="1:4" ht="13" x14ac:dyDescent="0.3">
      <c r="A21" s="162" t="s">
        <v>48</v>
      </c>
      <c r="B21" s="102" t="s">
        <v>417</v>
      </c>
      <c r="C21"/>
      <c r="D21" s="158"/>
    </row>
    <row r="22" spans="1:4" ht="13" x14ac:dyDescent="0.3">
      <c r="A22" s="161" t="s">
        <v>274</v>
      </c>
      <c r="B22" s="103">
        <v>45993</v>
      </c>
      <c r="C22"/>
      <c r="D22" s="158"/>
    </row>
    <row r="23" spans="1:4" ht="13" x14ac:dyDescent="0.3">
      <c r="A23" s="162" t="s">
        <v>49</v>
      </c>
      <c r="B23" s="104">
        <v>1</v>
      </c>
      <c r="C23"/>
      <c r="D23" s="158"/>
    </row>
    <row r="24" spans="1:4" ht="13" x14ac:dyDescent="0.3">
      <c r="A24" s="162" t="s">
        <v>50</v>
      </c>
      <c r="B24" s="104">
        <v>2026</v>
      </c>
      <c r="C24"/>
      <c r="D24" s="158"/>
    </row>
    <row r="25" spans="1:4" ht="13" x14ac:dyDescent="0.3">
      <c r="A25" s="162" t="s">
        <v>51</v>
      </c>
      <c r="B25" s="104">
        <v>48</v>
      </c>
      <c r="C25"/>
      <c r="D25" s="158"/>
    </row>
    <row r="26" spans="1:4" ht="13.5" thickBot="1" x14ac:dyDescent="0.35">
      <c r="A26" s="164" t="s">
        <v>22</v>
      </c>
      <c r="B26" s="502"/>
      <c r="C26"/>
      <c r="D26" s="158"/>
    </row>
    <row r="27" spans="1:4" ht="13.5" thickBot="1" x14ac:dyDescent="0.35">
      <c r="A27"/>
      <c r="B27"/>
      <c r="C27"/>
      <c r="D27" s="158"/>
    </row>
    <row r="28" spans="1:4" ht="20.5" thickBot="1" x14ac:dyDescent="0.45">
      <c r="A28" s="503" t="s">
        <v>366</v>
      </c>
      <c r="B28" s="504" t="str">
        <f>VLOOKUP(entidad,codent,2,FALSE)&amp;VLOOKUP(B13,tservicios,2,)&amp;VLOOKUP(tipo_oferta,codprod,2,FALSE)&amp;VLOOKUP(sector,codsec,2,FALSE)&amp;VLOOKUP(B10,negocio,2,FALSE)</f>
        <v>EV1AP0</v>
      </c>
      <c r="C28"/>
      <c r="D28" s="158"/>
    </row>
    <row r="29" spans="1:4" ht="13" x14ac:dyDescent="0.3">
      <c r="A29"/>
      <c r="B29"/>
      <c r="C29"/>
      <c r="D29" s="158"/>
    </row>
    <row r="30" spans="1:4" x14ac:dyDescent="0.25">
      <c r="A30" s="156"/>
      <c r="B30" s="157"/>
      <c r="C30" s="157"/>
      <c r="D30" s="158"/>
    </row>
    <row r="31" spans="1:4" s="153" customFormat="1" ht="55.5" customHeight="1" x14ac:dyDescent="0.3">
      <c r="A31" s="165" t="s">
        <v>162</v>
      </c>
      <c r="B31" s="166"/>
      <c r="C31" s="166"/>
      <c r="D31" s="167"/>
    </row>
    <row r="32" spans="1:4" x14ac:dyDescent="0.25">
      <c r="A32" s="168"/>
      <c r="B32" s="168"/>
      <c r="C32" s="168"/>
      <c r="D32" s="169"/>
    </row>
  </sheetData>
  <sheetProtection algorithmName="SHA-512" hashValue="jN62kuQhXa0RNoUxk1YPgNtMjl4ZsPvMTLG7kh3SQ+hLGOs2OIZMQSzEPWduRTk6jyC3VB1z1U5HBsw5jWMSJQ==" saltValue="AO594XkSsk2/nt0mh796HQ==" spinCount="100000" sheet="1" objects="1" scenarios="1" formatCells="0" formatColumns="0" formatRows="0" sort="0" autoFilter="0"/>
  <phoneticPr fontId="4" type="noConversion"/>
  <conditionalFormatting sqref="B20">
    <cfRule type="cellIs" dxfId="49" priority="1" stopIfTrue="1" operator="equal">
      <formula>"N030"</formula>
    </cfRule>
    <cfRule type="cellIs" dxfId="48" priority="2" stopIfTrue="1" operator="equal">
      <formula>"N060"</formula>
    </cfRule>
    <cfRule type="cellIs" dxfId="47" priority="3" stopIfTrue="1" operator="equal">
      <formula>""</formula>
    </cfRule>
    <cfRule type="cellIs" dxfId="46" priority="4" operator="notEqual">
      <formula>"N030"</formula>
    </cfRule>
  </conditionalFormatting>
  <dataValidations count="14">
    <dataValidation type="list" allowBlank="1" showInputMessage="1" showErrorMessage="1" sqref="J8:M15" xr:uid="{00000000-0002-0000-0100-000000000000}">
      <formula1>unidades</formula1>
    </dataValidation>
    <dataValidation type="list" allowBlank="1" showInputMessage="1" showErrorMessage="1" sqref="B8" xr:uid="{00000000-0002-0000-0100-000001000000}">
      <formula1>sectores</formula1>
    </dataValidation>
    <dataValidation type="whole" allowBlank="1" showInputMessage="1" showErrorMessage="1" sqref="B23" xr:uid="{00000000-0002-0000-0100-000002000000}">
      <formula1>1</formula1>
      <formula2>12</formula2>
    </dataValidation>
    <dataValidation type="whole" allowBlank="1" showErrorMessage="1" errorTitle="error año inicio" error="el inicio debe ser en el año actual o futuro" promptTitle="año de inicio del servicio" prompt="indicar año de inicio del servicio" sqref="B24" xr:uid="{00000000-0002-0000-0100-000003000000}">
      <formula1>YEAR(NOW())</formula1>
      <formula2>YEAR(NOW())+2</formula2>
    </dataValidation>
    <dataValidation type="whole" operator="greaterThanOrEqual" allowBlank="1" showInputMessage="1" showErrorMessage="1" sqref="B25" xr:uid="{00000000-0002-0000-0100-000004000000}">
      <formula1>1</formula1>
    </dataValidation>
    <dataValidation type="list" allowBlank="1" showInputMessage="1" showErrorMessage="1" sqref="B15" xr:uid="{00000000-0002-0000-0100-000005000000}">
      <formula1>tcontrata</formula1>
    </dataValidation>
    <dataValidation type="list" allowBlank="1" showInputMessage="1" showErrorMessage="1" errorTitle="oficina inexistente" error="entar una oficina de la lista desplegable" promptTitle="Oficina gestora de la oferta" sqref="B11" xr:uid="{00000000-0002-0000-0100-000006000000}">
      <formula1>oficinas</formula1>
    </dataValidation>
    <dataValidation operator="greaterThanOrEqual" allowBlank="1" showErrorMessage="1" errorTitle="error fecha" error="la fecha a de ser posterior a la de prepación del PPO" promptTitle="fecha presentación oferta" prompt="Fecha en la que se presentará la oferta" sqref="B22" xr:uid="{00000000-0002-0000-0100-000007000000}"/>
    <dataValidation type="list" allowBlank="1" showInputMessage="1" showErrorMessage="1" errorTitle="oficina inexistente" error="entar una oficina de la lista desplegable" promptTitle="Oficina gestora de la oferta" sqref="B9" xr:uid="{00000000-0002-0000-0100-000008000000}">
      <formula1>entidades</formula1>
    </dataValidation>
    <dataValidation type="list" allowBlank="1" showInputMessage="1" showErrorMessage="1" sqref="B13" xr:uid="{00000000-0002-0000-0100-000009000000}">
      <formula1>toferta</formula1>
    </dataValidation>
    <dataValidation allowBlank="1" showInputMessage="1" showErrorMessage="1" errorTitle="oficina inexistente" error="entar una oficina de la lista desplegable" promptTitle="Oficina gestora de la oferta" sqref="B12" xr:uid="{00000000-0002-0000-0100-00000A000000}"/>
    <dataValidation type="list" allowBlank="1" showInputMessage="1" showErrorMessage="1" errorTitle="oficina inexistente" error="entar una oficina de la lista desplegable" promptTitle="Oficina gestora de la oferta" sqref="B10" xr:uid="{00000000-0002-0000-0100-00000B000000}">
      <formula1>unidades</formula1>
    </dataValidation>
    <dataValidation type="list" allowBlank="1" showInputMessage="1" showErrorMessage="1" sqref="B14" xr:uid="{00000000-0002-0000-0100-00000C000000}">
      <formula1>producto</formula1>
    </dataValidation>
    <dataValidation type="list" allowBlank="1" showInputMessage="1" showErrorMessage="1" sqref="B20" xr:uid="{00000000-0002-0000-0100-00000D000000}">
      <formula1>vtos</formula1>
    </dataValidation>
  </dataValidations>
  <pageMargins left="0.19685039370078741" right="0.19685039370078741" top="0.19685039370078741" bottom="0.19685039370078741" header="0.19685039370078741" footer="0.19685039370078741"/>
  <pageSetup paperSize="9" scale="73" orientation="portrait" horizontalDpi="1200" verticalDpi="1200" r:id="rId1"/>
  <headerFooter scaleWithDoc="0" alignWithMargins="0">
    <oddFooter>&amp;LSCI32PT01-PPO - 2020-v1&amp;C&amp;D&amp;R&amp;F&amp;LSCI32PT01-PPO - 2020-v1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U60"/>
  <sheetViews>
    <sheetView showZeros="0" topLeftCell="B1" zoomScale="80" zoomScaleNormal="80" workbookViewId="0">
      <selection activeCell="T22" sqref="T22"/>
    </sheetView>
  </sheetViews>
  <sheetFormatPr baseColWidth="10" defaultColWidth="11.5" defaultRowHeight="12.5" x14ac:dyDescent="0.25"/>
  <cols>
    <col min="1" max="1" width="0.796875" style="1" hidden="1" customWidth="1"/>
    <col min="2" max="2" width="23.69921875" style="178" customWidth="1"/>
    <col min="3" max="3" width="16.5" style="178" bestFit="1" customWidth="1"/>
    <col min="4" max="4" width="14.796875" style="178" customWidth="1"/>
    <col min="5" max="5" width="12.5" style="178" customWidth="1"/>
    <col min="6" max="8" width="16.19921875" style="178" customWidth="1"/>
    <col min="9" max="10" width="16.19921875" style="180" customWidth="1"/>
    <col min="11" max="16" width="13.69921875" style="178" customWidth="1"/>
    <col min="17" max="16384" width="11.5" style="178"/>
  </cols>
  <sheetData>
    <row r="1" spans="1:21" s="179" customFormat="1" ht="18.5" thickBot="1" x14ac:dyDescent="0.45">
      <c r="A1" s="2"/>
      <c r="B1" s="410" t="s">
        <v>42</v>
      </c>
      <c r="C1" s="647">
        <f>codigo_oferta</f>
        <v>20251160543</v>
      </c>
      <c r="D1" s="648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</row>
    <row r="2" spans="1:21" ht="13.5" customHeight="1" thickBot="1" x14ac:dyDescent="0.35">
      <c r="E2" s="151"/>
      <c r="F2" s="151"/>
      <c r="G2" s="151"/>
      <c r="H2" s="151"/>
      <c r="I2" s="151"/>
      <c r="J2" s="151"/>
      <c r="K2" s="151"/>
      <c r="L2" s="151"/>
      <c r="M2" s="151"/>
      <c r="N2" s="151"/>
    </row>
    <row r="3" spans="1:21" ht="13.5" customHeight="1" thickBot="1" x14ac:dyDescent="0.35">
      <c r="B3" s="183" t="s">
        <v>11</v>
      </c>
      <c r="C3" s="184"/>
      <c r="D3" s="184"/>
      <c r="F3" s="151"/>
      <c r="G3" s="151"/>
      <c r="H3" s="151"/>
      <c r="I3" s="151"/>
      <c r="J3" s="151"/>
      <c r="K3" s="151"/>
      <c r="P3" s="151"/>
    </row>
    <row r="4" spans="1:21" ht="13.5" customHeight="1" thickBot="1" x14ac:dyDescent="0.35">
      <c r="B4" s="185"/>
      <c r="C4" s="186"/>
      <c r="D4" s="187"/>
      <c r="E4" s="189" t="s">
        <v>44</v>
      </c>
      <c r="F4" s="151"/>
      <c r="G4" s="151"/>
      <c r="H4" s="151"/>
      <c r="I4" s="151"/>
      <c r="J4" s="151"/>
      <c r="K4" s="151"/>
      <c r="P4" s="151"/>
    </row>
    <row r="5" spans="1:21" ht="13.5" customHeight="1" thickBot="1" x14ac:dyDescent="0.35">
      <c r="B5" s="185" t="s">
        <v>114</v>
      </c>
      <c r="C5" s="188"/>
      <c r="D5" s="113">
        <v>0.01</v>
      </c>
      <c r="E5" s="190">
        <f>VLOOKUP(tipo_contrato,triesgo,2,FALSE)</f>
        <v>0.03</v>
      </c>
      <c r="F5" s="151"/>
      <c r="G5" s="151"/>
      <c r="H5" s="151"/>
      <c r="I5" s="151"/>
      <c r="J5" s="151"/>
      <c r="K5" s="151"/>
      <c r="P5" s="151"/>
    </row>
    <row r="6" spans="1:21" ht="13.5" customHeight="1" x14ac:dyDescent="0.3">
      <c r="B6" s="185" t="s">
        <v>15</v>
      </c>
      <c r="C6" s="188"/>
      <c r="D6" s="31">
        <v>0.21</v>
      </c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</row>
    <row r="7" spans="1:21" ht="13.5" customHeight="1" thickBot="1" x14ac:dyDescent="0.35">
      <c r="B7" s="185" t="s">
        <v>18</v>
      </c>
      <c r="C7" s="188"/>
      <c r="D7" s="108">
        <v>0.93</v>
      </c>
      <c r="F7" s="290"/>
      <c r="H7" s="151"/>
      <c r="I7" s="151"/>
      <c r="J7" s="151"/>
      <c r="K7" s="151"/>
      <c r="L7" s="151"/>
      <c r="M7" s="151"/>
      <c r="N7" s="151"/>
      <c r="O7" s="151"/>
      <c r="P7" s="151"/>
    </row>
    <row r="8" spans="1:21" ht="13" thickBot="1" x14ac:dyDescent="0.3">
      <c r="B8" s="649" t="s">
        <v>246</v>
      </c>
      <c r="C8" s="650"/>
      <c r="D8" s="650"/>
      <c r="E8" s="651"/>
      <c r="F8" s="423">
        <v>0.03</v>
      </c>
      <c r="G8" s="423">
        <v>0.03</v>
      </c>
      <c r="H8" s="423">
        <v>0.03</v>
      </c>
      <c r="I8" s="423">
        <v>0.03</v>
      </c>
      <c r="J8" s="424">
        <v>0.03</v>
      </c>
    </row>
    <row r="9" spans="1:21" s="151" customFormat="1" ht="13" x14ac:dyDescent="0.3">
      <c r="A9"/>
      <c r="B9"/>
      <c r="C9"/>
      <c r="D9"/>
      <c r="E9"/>
    </row>
    <row r="10" spans="1:21" s="181" customFormat="1" ht="11" thickBot="1" x14ac:dyDescent="0.3">
      <c r="A10" s="66"/>
      <c r="B10" s="46" t="s">
        <v>83</v>
      </c>
      <c r="C10" s="46"/>
      <c r="D10" s="47"/>
      <c r="E10" s="47"/>
      <c r="F10" s="46"/>
      <c r="G10" s="66"/>
      <c r="H10" s="66"/>
      <c r="I10" s="66"/>
      <c r="J10" s="66"/>
      <c r="K10" s="66"/>
      <c r="L10" s="66"/>
      <c r="M10" s="66"/>
    </row>
    <row r="11" spans="1:21" s="181" customFormat="1" ht="11" thickBot="1" x14ac:dyDescent="0.3">
      <c r="A11" s="66"/>
      <c r="B11" s="48" t="s">
        <v>93</v>
      </c>
      <c r="C11" s="48" t="s">
        <v>89</v>
      </c>
      <c r="D11" s="48" t="s">
        <v>109</v>
      </c>
      <c r="E11" s="48" t="s">
        <v>90</v>
      </c>
      <c r="F11" s="48" t="s">
        <v>84</v>
      </c>
      <c r="G11" s="48" t="s">
        <v>85</v>
      </c>
      <c r="H11" s="48" t="s">
        <v>86</v>
      </c>
      <c r="I11" s="48" t="s">
        <v>87</v>
      </c>
      <c r="J11" s="48" t="s">
        <v>94</v>
      </c>
      <c r="K11" s="48" t="s">
        <v>88</v>
      </c>
      <c r="L11" s="48" t="s">
        <v>91</v>
      </c>
      <c r="M11" s="48" t="s">
        <v>92</v>
      </c>
    </row>
    <row r="12" spans="1:21" s="181" customFormat="1" ht="10.5" thickBot="1" x14ac:dyDescent="0.25">
      <c r="A12" s="66"/>
      <c r="B12" s="49">
        <v>1742</v>
      </c>
      <c r="C12" s="50">
        <v>8</v>
      </c>
      <c r="D12" s="51">
        <f>IF(C12=0,0,B12/C12)</f>
        <v>217.75</v>
      </c>
      <c r="E12" s="52" t="s">
        <v>108</v>
      </c>
      <c r="F12" s="53">
        <v>43328</v>
      </c>
      <c r="G12" s="53"/>
      <c r="H12" s="54">
        <f>F12+G12</f>
        <v>43328</v>
      </c>
      <c r="I12" s="68">
        <f>IF(E12="F",H12*ssfij,IF(E12="T",H12*sstem,H12*sspar))</f>
        <v>13540</v>
      </c>
      <c r="J12" s="68">
        <f>MIN(I12,IF(E12="F",maxf,IF(E12="T",maxt,maxp)))</f>
        <v>13540</v>
      </c>
      <c r="K12" s="54">
        <f>H12+J12+coste_seg</f>
        <v>57206.333333333336</v>
      </c>
      <c r="L12" s="54">
        <f>IF(D12=0,"",K12/D12)</f>
        <v>262.71565250669727</v>
      </c>
      <c r="M12" s="54">
        <f>IF(B12=0,"",K12/B12)</f>
        <v>32.839456563337158</v>
      </c>
      <c r="S12" s="545">
        <v>31.9</v>
      </c>
      <c r="T12" s="545">
        <v>32.24</v>
      </c>
      <c r="U12" s="545">
        <v>32.840000000000003</v>
      </c>
    </row>
    <row r="13" spans="1:21" s="181" customFormat="1" ht="11" thickBot="1" x14ac:dyDescent="0.3">
      <c r="A13" s="66"/>
      <c r="B13" s="46" t="s">
        <v>123</v>
      </c>
      <c r="C13" s="46"/>
      <c r="D13" s="47"/>
      <c r="E13" s="47"/>
      <c r="F13" s="46"/>
      <c r="G13" s="66"/>
      <c r="H13" s="66"/>
      <c r="I13" s="66"/>
      <c r="J13" s="66"/>
      <c r="K13" s="66"/>
      <c r="L13" s="66"/>
      <c r="M13" s="66"/>
    </row>
    <row r="14" spans="1:21" s="181" customFormat="1" ht="11" thickBot="1" x14ac:dyDescent="0.3">
      <c r="A14" s="66"/>
      <c r="B14" s="48" t="s">
        <v>93</v>
      </c>
      <c r="C14" s="48" t="s">
        <v>89</v>
      </c>
      <c r="D14" s="48" t="s">
        <v>109</v>
      </c>
      <c r="E14" s="48" t="s">
        <v>90</v>
      </c>
      <c r="F14" s="48" t="s">
        <v>84</v>
      </c>
      <c r="G14" s="69"/>
      <c r="H14" s="69" t="s">
        <v>86</v>
      </c>
      <c r="I14" s="48" t="s">
        <v>87</v>
      </c>
      <c r="J14" s="48" t="s">
        <v>94</v>
      </c>
      <c r="K14" s="48" t="s">
        <v>88</v>
      </c>
      <c r="L14" s="48" t="s">
        <v>91</v>
      </c>
      <c r="M14" s="48" t="s">
        <v>92</v>
      </c>
    </row>
    <row r="15" spans="1:21" s="181" customFormat="1" ht="10.5" thickBot="1" x14ac:dyDescent="0.25">
      <c r="A15" s="66"/>
      <c r="B15" s="49">
        <v>1742</v>
      </c>
      <c r="C15" s="50">
        <v>8</v>
      </c>
      <c r="D15" s="51">
        <f>IF(C15=0,0,B15/C15)</f>
        <v>217.75</v>
      </c>
      <c r="E15" s="52" t="s">
        <v>108</v>
      </c>
      <c r="F15" s="54">
        <f>K15-coste_seg-J15</f>
        <v>42532.37841269841</v>
      </c>
      <c r="G15" s="70"/>
      <c r="H15" s="70">
        <f>IF(E15="F",(K15-coste_seg)/(1+ssfij),IF(E15="T",(K15-coste_seg)/(1+sstem),(K15-coste_seg)/(1+spar)))</f>
        <v>42532.37841269841</v>
      </c>
      <c r="I15" s="68">
        <f>IF(E15="F",H15*ssfij,IF(E15="T",H15*sstem,H15*sspar))</f>
        <v>13291.368253968252</v>
      </c>
      <c r="J15" s="68">
        <f>MIN(I15,IF(E15="F",maxf,IF(E15="T",maxt,maxp)))</f>
        <v>13291.368253968252</v>
      </c>
      <c r="K15" s="54">
        <f>M15*B15</f>
        <v>56162.080000000002</v>
      </c>
      <c r="L15" s="54">
        <f>IF(D15=0,"",K15/D15)</f>
        <v>257.92</v>
      </c>
      <c r="M15" s="67">
        <v>32.24</v>
      </c>
    </row>
    <row r="16" spans="1:21" x14ac:dyDescent="0.25">
      <c r="B16" s="181"/>
    </row>
    <row r="17" spans="1:16" ht="13.5" thickBot="1" x14ac:dyDescent="0.35">
      <c r="B17" s="646" t="str">
        <f>IF(SUM(A19:A58)&gt;0,"ERROR Hay perfiles duplicados","")</f>
        <v/>
      </c>
      <c r="C17" s="646"/>
      <c r="D17" s="646"/>
      <c r="E17" s="387"/>
      <c r="F17" s="387"/>
      <c r="G17" s="388"/>
      <c r="H17" s="388"/>
      <c r="I17" s="388"/>
      <c r="J17" s="388"/>
      <c r="K17" s="388"/>
      <c r="L17" s="388"/>
      <c r="M17" s="388"/>
      <c r="N17" s="388"/>
      <c r="O17" s="388"/>
      <c r="P17" s="388"/>
    </row>
    <row r="18" spans="1:16" ht="32.25" customHeight="1" thickBot="1" x14ac:dyDescent="0.35">
      <c r="A18" s="3"/>
      <c r="B18" s="171" t="s">
        <v>9</v>
      </c>
      <c r="C18" s="171" t="s">
        <v>156</v>
      </c>
      <c r="D18" s="171" t="s">
        <v>46</v>
      </c>
      <c r="E18" s="172" t="str">
        <f>"Coste hora
"&amp;año_inicio</f>
        <v>Coste hora
2026</v>
      </c>
      <c r="F18" s="173">
        <f>año_inicio+1</f>
        <v>2027</v>
      </c>
      <c r="G18" s="173">
        <f>F18+1</f>
        <v>2028</v>
      </c>
      <c r="H18" s="173">
        <f>G18+1</f>
        <v>2029</v>
      </c>
      <c r="I18" s="173">
        <f>H18+1</f>
        <v>2030</v>
      </c>
      <c r="J18" s="174">
        <f>I18+1</f>
        <v>2031</v>
      </c>
      <c r="K18" s="175"/>
      <c r="L18" s="176"/>
      <c r="M18" s="176"/>
      <c r="N18" s="176"/>
      <c r="O18" s="176"/>
      <c r="P18" s="177"/>
    </row>
    <row r="19" spans="1:16" ht="13" thickBot="1" x14ac:dyDescent="0.3">
      <c r="A19" s="55" t="str">
        <f t="shared" ref="A19:A58" si="0">IF(COUNTIF($B$19:$B$58,B19)&gt;1,1,"")</f>
        <v/>
      </c>
      <c r="B19" s="9" t="s">
        <v>418</v>
      </c>
      <c r="C19" s="4" t="s">
        <v>323</v>
      </c>
      <c r="D19" s="5" t="s">
        <v>375</v>
      </c>
      <c r="E19" s="6">
        <v>32.840000000000003</v>
      </c>
      <c r="F19" s="7">
        <f t="shared" ref="F19:J28" si="1">IF(E19=0,0,E19+E19*F$8)</f>
        <v>33.825200000000002</v>
      </c>
      <c r="G19" s="7">
        <f t="shared" si="1"/>
        <v>34.839956000000001</v>
      </c>
      <c r="H19" s="7">
        <f t="shared" si="1"/>
        <v>35.885154679999999</v>
      </c>
      <c r="I19" s="7">
        <f t="shared" si="1"/>
        <v>36.961709320399997</v>
      </c>
      <c r="J19" s="8">
        <f t="shared" si="1"/>
        <v>38.070560600011994</v>
      </c>
      <c r="K19" s="170">
        <f>IF(SUMIF(Presupuesto!$B$6:$B$26,$B19,Presupuesto!E$6:E$26),IF(E19&lt;&gt;0,0,1),0)</f>
        <v>0</v>
      </c>
      <c r="L19" s="170">
        <f>IF(SUMIF(Presupuesto!$B$6:$B$26,$B19,Presupuesto!F$6:F$26),IF(F19&lt;&gt;0,0,1),0)</f>
        <v>0</v>
      </c>
      <c r="M19" s="170">
        <f>IF(SUMIF(Presupuesto!$B$6:$B$26,$B19,Presupuesto!G$6:G$26),IF(G19&lt;&gt;0,0,1),0)</f>
        <v>0</v>
      </c>
      <c r="N19" s="170">
        <f>IF(SUMIF(Presupuesto!$B$6:$B$26,$B19,Presupuesto!H$6:H$26),IF(H19&lt;&gt;0,0,1),0)</f>
        <v>0</v>
      </c>
      <c r="O19" s="170">
        <f>IF(SUMIF(Presupuesto!$B$6:$B$26,$B19,Presupuesto!I$6:I$26),IF(I19&lt;&gt;0,0,1),0)</f>
        <v>0</v>
      </c>
      <c r="P19" s="170">
        <f>IF(SUMIF(Presupuesto!$B$6:$B$26,$B19,Presupuesto!J$6:J$26),IF(J19&lt;&gt;0,0,1),0)</f>
        <v>0</v>
      </c>
    </row>
    <row r="20" spans="1:16" x14ac:dyDescent="0.25">
      <c r="A20" s="55" t="str">
        <f t="shared" si="0"/>
        <v/>
      </c>
      <c r="B20" s="9" t="s">
        <v>419</v>
      </c>
      <c r="C20" s="4" t="s">
        <v>323</v>
      </c>
      <c r="D20" s="5" t="s">
        <v>420</v>
      </c>
      <c r="E20" s="6">
        <v>15.17</v>
      </c>
      <c r="F20" s="12">
        <f t="shared" si="1"/>
        <v>15.6251</v>
      </c>
      <c r="G20" s="12">
        <f t="shared" si="1"/>
        <v>16.093852999999999</v>
      </c>
      <c r="H20" s="12">
        <f t="shared" si="1"/>
        <v>16.576668590000001</v>
      </c>
      <c r="I20" s="12">
        <f t="shared" si="1"/>
        <v>17.073968647699999</v>
      </c>
      <c r="J20" s="13">
        <f t="shared" si="1"/>
        <v>17.586187707131</v>
      </c>
      <c r="K20" s="170">
        <f>IF(SUMIF(Presupuesto!$B$6:$B$26,$B20,Presupuesto!E$6:E$26),IF(E20&lt;&gt;0,0,1),0)</f>
        <v>0</v>
      </c>
      <c r="L20" s="170">
        <f>IF(SUMIF(Presupuesto!$B$6:$B$26,$B20,Presupuesto!F$6:F$26),IF(F20&lt;&gt;0,0,1),0)</f>
        <v>0</v>
      </c>
      <c r="M20" s="170">
        <f>IF(SUMIF(Presupuesto!$B$6:$B$26,$B20,Presupuesto!G$6:G$26),IF(G20&lt;&gt;0,0,1),0)</f>
        <v>0</v>
      </c>
      <c r="N20" s="170">
        <f>IF(SUMIF(Presupuesto!$B$6:$B$26,$B20,Presupuesto!H$6:H$26),IF(H20&lt;&gt;0,0,1),0)</f>
        <v>0</v>
      </c>
      <c r="O20" s="170">
        <f>IF(SUMIF(Presupuesto!$B$6:$B$26,$B20,Presupuesto!I$6:I$26),IF(I20&lt;&gt;0,0,1),0)</f>
        <v>0</v>
      </c>
      <c r="P20" s="170">
        <f>IF(SUMIF(Presupuesto!$B$6:$B$26,$B20,Presupuesto!J$6:J$26),IF(J20&lt;&gt;0,0,1),0)</f>
        <v>0</v>
      </c>
    </row>
    <row r="21" spans="1:16" ht="13" thickBot="1" x14ac:dyDescent="0.3">
      <c r="A21" s="55" t="str">
        <f t="shared" si="0"/>
        <v/>
      </c>
      <c r="B21" s="9"/>
      <c r="C21" s="9"/>
      <c r="D21" s="10"/>
      <c r="E21" s="11"/>
      <c r="F21" s="12">
        <f t="shared" si="1"/>
        <v>0</v>
      </c>
      <c r="G21" s="12">
        <f t="shared" si="1"/>
        <v>0</v>
      </c>
      <c r="H21" s="12">
        <f t="shared" si="1"/>
        <v>0</v>
      </c>
      <c r="I21" s="12">
        <f t="shared" si="1"/>
        <v>0</v>
      </c>
      <c r="J21" s="13">
        <f t="shared" si="1"/>
        <v>0</v>
      </c>
      <c r="K21" s="170">
        <f>IF(SUMIF(Presupuesto!$B$6:$B$26,$B21,Presupuesto!E$6:E$26),IF(E21&lt;&gt;0,0,1),0)</f>
        <v>0</v>
      </c>
      <c r="L21" s="170">
        <f>IF(SUMIF(Presupuesto!$B$6:$B$26,$B21,Presupuesto!F$6:F$26),IF(F21&lt;&gt;0,0,1),0)</f>
        <v>0</v>
      </c>
      <c r="M21" s="170">
        <f>IF(SUMIF(Presupuesto!$B$6:$B$26,$B21,Presupuesto!G$6:G$26),IF(G21&lt;&gt;0,0,1),0)</f>
        <v>0</v>
      </c>
      <c r="N21" s="170">
        <f>IF(SUMIF(Presupuesto!$B$6:$B$26,$B21,Presupuesto!H$6:H$26),IF(H21&lt;&gt;0,0,1),0)</f>
        <v>0</v>
      </c>
      <c r="O21" s="170">
        <f>IF(SUMIF(Presupuesto!$B$6:$B$26,$B21,Presupuesto!I$6:I$26),IF(I21&lt;&gt;0,0,1),0)</f>
        <v>0</v>
      </c>
      <c r="P21" s="170">
        <f>IF(SUMIF(Presupuesto!$B$6:$B$26,$B21,Presupuesto!J$6:J$26),IF(J21&lt;&gt;0,0,1),0)</f>
        <v>0</v>
      </c>
    </row>
    <row r="22" spans="1:16" x14ac:dyDescent="0.25">
      <c r="A22" s="55" t="str">
        <f t="shared" si="0"/>
        <v/>
      </c>
      <c r="B22" s="9" t="s">
        <v>421</v>
      </c>
      <c r="C22" s="4" t="s">
        <v>323</v>
      </c>
      <c r="D22" s="10" t="s">
        <v>375</v>
      </c>
      <c r="E22" s="11">
        <v>20</v>
      </c>
      <c r="F22" s="12">
        <f t="shared" si="1"/>
        <v>20.6</v>
      </c>
      <c r="G22" s="12">
        <f t="shared" si="1"/>
        <v>21.218</v>
      </c>
      <c r="H22" s="12">
        <f t="shared" si="1"/>
        <v>21.85454</v>
      </c>
      <c r="I22" s="12">
        <f t="shared" si="1"/>
        <v>22.5101762</v>
      </c>
      <c r="J22" s="13">
        <f t="shared" si="1"/>
        <v>23.185481486</v>
      </c>
      <c r="K22" s="170">
        <f>IF(SUMIF(Presupuesto!$B$6:$B$26,$B22,Presupuesto!E$6:E$26),IF(E22&lt;&gt;0,0,1),0)</f>
        <v>0</v>
      </c>
      <c r="L22" s="170">
        <f>IF(SUMIF(Presupuesto!$B$6:$B$26,$B22,Presupuesto!F$6:F$26),IF(F22&lt;&gt;0,0,1),0)</f>
        <v>0</v>
      </c>
      <c r="M22" s="170">
        <f>IF(SUMIF(Presupuesto!$B$6:$B$26,$B22,Presupuesto!G$6:G$26),IF(G22&lt;&gt;0,0,1),0)</f>
        <v>0</v>
      </c>
      <c r="N22" s="170">
        <f>IF(SUMIF(Presupuesto!$B$6:$B$26,$B22,Presupuesto!H$6:H$26),IF(H22&lt;&gt;0,0,1),0)</f>
        <v>0</v>
      </c>
      <c r="O22" s="170">
        <f>IF(SUMIF(Presupuesto!$B$6:$B$26,$B22,Presupuesto!I$6:I$26),IF(I22&lt;&gt;0,0,1),0)</f>
        <v>0</v>
      </c>
      <c r="P22" s="170">
        <f>IF(SUMIF(Presupuesto!$B$6:$B$26,$B22,Presupuesto!J$6:J$26),IF(J22&lt;&gt;0,0,1),0)</f>
        <v>0</v>
      </c>
    </row>
    <row r="23" spans="1:16" x14ac:dyDescent="0.25">
      <c r="A23" s="55" t="str">
        <f t="shared" si="0"/>
        <v/>
      </c>
      <c r="B23" s="109"/>
      <c r="C23" s="9"/>
      <c r="D23" s="10"/>
      <c r="E23" s="11"/>
      <c r="F23" s="12"/>
      <c r="G23" s="12"/>
      <c r="H23" s="12"/>
      <c r="I23" s="12"/>
      <c r="J23" s="13"/>
      <c r="K23" s="170">
        <f>IF(SUMIF(Presupuesto!$B$6:$B$26,$B23,Presupuesto!E$6:E$26),IF(E23&lt;&gt;0,0,1),0)</f>
        <v>0</v>
      </c>
      <c r="L23" s="170">
        <f>IF(SUMIF(Presupuesto!$B$6:$B$26,$B23,Presupuesto!F$6:F$26),IF(F23&lt;&gt;0,0,1),0)</f>
        <v>0</v>
      </c>
      <c r="M23" s="170">
        <f>IF(SUMIF(Presupuesto!$B$6:$B$26,$B23,Presupuesto!G$6:G$26),IF(G23&lt;&gt;0,0,1),0)</f>
        <v>0</v>
      </c>
      <c r="N23" s="170">
        <f>IF(SUMIF(Presupuesto!$B$6:$B$26,$B23,Presupuesto!H$6:H$26),IF(H23&lt;&gt;0,0,1),0)</f>
        <v>0</v>
      </c>
      <c r="O23" s="170">
        <f>IF(SUMIF(Presupuesto!$B$6:$B$26,$B23,Presupuesto!I$6:I$26),IF(I23&lt;&gt;0,0,1),0)</f>
        <v>0</v>
      </c>
      <c r="P23" s="170">
        <f>IF(SUMIF(Presupuesto!$B$6:$B$26,$B23,Presupuesto!J$6:J$26),IF(J23&lt;&gt;0,0,1),0)</f>
        <v>0</v>
      </c>
    </row>
    <row r="24" spans="1:16" x14ac:dyDescent="0.25">
      <c r="A24" s="55" t="str">
        <f t="shared" si="0"/>
        <v/>
      </c>
      <c r="B24" s="109"/>
      <c r="C24" s="9"/>
      <c r="D24" s="10"/>
      <c r="E24" s="11"/>
      <c r="F24" s="12">
        <f t="shared" si="1"/>
        <v>0</v>
      </c>
      <c r="G24" s="12">
        <f t="shared" si="1"/>
        <v>0</v>
      </c>
      <c r="H24" s="12">
        <f t="shared" si="1"/>
        <v>0</v>
      </c>
      <c r="I24" s="12">
        <f t="shared" si="1"/>
        <v>0</v>
      </c>
      <c r="J24" s="13">
        <f t="shared" si="1"/>
        <v>0</v>
      </c>
      <c r="K24" s="170">
        <f>IF(SUMIF(Presupuesto!$B$6:$B$26,$B24,Presupuesto!E$6:E$26),IF(E24&lt;&gt;0,0,1),0)</f>
        <v>0</v>
      </c>
      <c r="L24" s="170">
        <f>IF(SUMIF(Presupuesto!$B$6:$B$26,$B24,Presupuesto!F$6:F$26),IF(F24&lt;&gt;0,0,1),0)</f>
        <v>0</v>
      </c>
      <c r="M24" s="170">
        <f>IF(SUMIF(Presupuesto!$B$6:$B$26,$B24,Presupuesto!G$6:G$26),IF(G24&lt;&gt;0,0,1),0)</f>
        <v>0</v>
      </c>
      <c r="N24" s="170">
        <f>IF(SUMIF(Presupuesto!$B$6:$B$26,$B24,Presupuesto!H$6:H$26),IF(H24&lt;&gt;0,0,1),0)</f>
        <v>0</v>
      </c>
      <c r="O24" s="170">
        <f>IF(SUMIF(Presupuesto!$B$6:$B$26,$B24,Presupuesto!I$6:I$26),IF(I24&lt;&gt;0,0,1),0)</f>
        <v>0</v>
      </c>
      <c r="P24" s="170">
        <f>IF(SUMIF(Presupuesto!$B$6:$B$26,$B24,Presupuesto!J$6:J$26),IF(J24&lt;&gt;0,0,1),0)</f>
        <v>0</v>
      </c>
    </row>
    <row r="25" spans="1:16" x14ac:dyDescent="0.25">
      <c r="A25" s="55" t="str">
        <f t="shared" si="0"/>
        <v/>
      </c>
      <c r="B25" s="109"/>
      <c r="C25" s="9"/>
      <c r="D25" s="10"/>
      <c r="E25" s="11"/>
      <c r="F25" s="12">
        <f t="shared" si="1"/>
        <v>0</v>
      </c>
      <c r="G25" s="12">
        <f t="shared" si="1"/>
        <v>0</v>
      </c>
      <c r="H25" s="12">
        <f t="shared" si="1"/>
        <v>0</v>
      </c>
      <c r="I25" s="12">
        <f t="shared" si="1"/>
        <v>0</v>
      </c>
      <c r="J25" s="13">
        <f t="shared" si="1"/>
        <v>0</v>
      </c>
      <c r="K25" s="170">
        <f>IF(SUMIF(Presupuesto!$B$6:$B$26,$B25,Presupuesto!E$6:E$26),IF(E25&lt;&gt;0,0,1),0)</f>
        <v>0</v>
      </c>
      <c r="L25" s="170">
        <f>IF(SUMIF(Presupuesto!$B$6:$B$26,$B25,Presupuesto!F$6:F$26),IF(F25&lt;&gt;0,0,1),0)</f>
        <v>0</v>
      </c>
      <c r="M25" s="170">
        <f>IF(SUMIF(Presupuesto!$B$6:$B$26,$B25,Presupuesto!G$6:G$26),IF(G25&lt;&gt;0,0,1),0)</f>
        <v>0</v>
      </c>
      <c r="N25" s="170">
        <f>IF(SUMIF(Presupuesto!$B$6:$B$26,$B25,Presupuesto!H$6:H$26),IF(H25&lt;&gt;0,0,1),0)</f>
        <v>0</v>
      </c>
      <c r="O25" s="170">
        <f>IF(SUMIF(Presupuesto!$B$6:$B$26,$B25,Presupuesto!I$6:I$26),IF(I25&lt;&gt;0,0,1),0)</f>
        <v>0</v>
      </c>
      <c r="P25" s="170">
        <f>IF(SUMIF(Presupuesto!$B$6:$B$26,$B25,Presupuesto!J$6:J$26),IF(J25&lt;&gt;0,0,1),0)</f>
        <v>0</v>
      </c>
    </row>
    <row r="26" spans="1:16" x14ac:dyDescent="0.25">
      <c r="A26" s="55" t="str">
        <f t="shared" si="0"/>
        <v/>
      </c>
      <c r="B26" s="109"/>
      <c r="C26" s="9"/>
      <c r="D26" s="10"/>
      <c r="E26" s="11"/>
      <c r="F26" s="12">
        <f t="shared" si="1"/>
        <v>0</v>
      </c>
      <c r="G26" s="12">
        <f t="shared" si="1"/>
        <v>0</v>
      </c>
      <c r="H26" s="12">
        <f t="shared" si="1"/>
        <v>0</v>
      </c>
      <c r="I26" s="12">
        <f t="shared" si="1"/>
        <v>0</v>
      </c>
      <c r="J26" s="13">
        <f t="shared" si="1"/>
        <v>0</v>
      </c>
      <c r="K26" s="170">
        <f>IF(SUMIF(Presupuesto!$B$6:$B$26,$B26,Presupuesto!E$6:E$26),IF(E26&lt;&gt;0,0,1),0)</f>
        <v>0</v>
      </c>
      <c r="L26" s="170">
        <f>IF(SUMIF(Presupuesto!$B$6:$B$26,$B26,Presupuesto!F$6:F$26),IF(F26&lt;&gt;0,0,1),0)</f>
        <v>0</v>
      </c>
      <c r="M26" s="170">
        <f>IF(SUMIF(Presupuesto!$B$6:$B$26,$B26,Presupuesto!G$6:G$26),IF(G26&lt;&gt;0,0,1),0)</f>
        <v>0</v>
      </c>
      <c r="N26" s="170">
        <f>IF(SUMIF(Presupuesto!$B$6:$B$26,$B26,Presupuesto!H$6:H$26),IF(H26&lt;&gt;0,0,1),0)</f>
        <v>0</v>
      </c>
      <c r="O26" s="170">
        <f>IF(SUMIF(Presupuesto!$B$6:$B$26,$B26,Presupuesto!I$6:I$26),IF(I26&lt;&gt;0,0,1),0)</f>
        <v>0</v>
      </c>
      <c r="P26" s="170">
        <f>IF(SUMIF(Presupuesto!$B$6:$B$26,$B26,Presupuesto!J$6:J$26),IF(J26&lt;&gt;0,0,1),0)</f>
        <v>0</v>
      </c>
    </row>
    <row r="27" spans="1:16" x14ac:dyDescent="0.25">
      <c r="A27" s="55" t="str">
        <f t="shared" si="0"/>
        <v/>
      </c>
      <c r="B27" s="109"/>
      <c r="C27" s="9"/>
      <c r="D27" s="10"/>
      <c r="E27" s="11"/>
      <c r="F27" s="12">
        <f t="shared" si="1"/>
        <v>0</v>
      </c>
      <c r="G27" s="12">
        <f t="shared" si="1"/>
        <v>0</v>
      </c>
      <c r="H27" s="12">
        <f t="shared" si="1"/>
        <v>0</v>
      </c>
      <c r="I27" s="12">
        <f t="shared" si="1"/>
        <v>0</v>
      </c>
      <c r="J27" s="13">
        <f t="shared" si="1"/>
        <v>0</v>
      </c>
      <c r="K27" s="170">
        <f>IF(SUMIF(Presupuesto!$B$6:$B$26,$B27,Presupuesto!E$6:E$26),IF(E27&lt;&gt;0,0,1),0)</f>
        <v>0</v>
      </c>
      <c r="L27" s="170">
        <f>IF(SUMIF(Presupuesto!$B$6:$B$26,$B27,Presupuesto!F$6:F$26),IF(F27&lt;&gt;0,0,1),0)</f>
        <v>0</v>
      </c>
      <c r="M27" s="170">
        <f>IF(SUMIF(Presupuesto!$B$6:$B$26,$B27,Presupuesto!G$6:G$26),IF(G27&lt;&gt;0,0,1),0)</f>
        <v>0</v>
      </c>
      <c r="N27" s="170">
        <f>IF(SUMIF(Presupuesto!$B$6:$B$26,$B27,Presupuesto!H$6:H$26),IF(H27&lt;&gt;0,0,1),0)</f>
        <v>0</v>
      </c>
      <c r="O27" s="170">
        <f>IF(SUMIF(Presupuesto!$B$6:$B$26,$B27,Presupuesto!I$6:I$26),IF(I27&lt;&gt;0,0,1),0)</f>
        <v>0</v>
      </c>
      <c r="P27" s="170">
        <f>IF(SUMIF(Presupuesto!$B$6:$B$26,$B27,Presupuesto!J$6:J$26),IF(J27&lt;&gt;0,0,1),0)</f>
        <v>0</v>
      </c>
    </row>
    <row r="28" spans="1:16" x14ac:dyDescent="0.25">
      <c r="A28" s="55" t="str">
        <f t="shared" si="0"/>
        <v/>
      </c>
      <c r="B28" s="109"/>
      <c r="C28" s="9"/>
      <c r="D28" s="10"/>
      <c r="E28" s="11"/>
      <c r="F28" s="12">
        <f t="shared" si="1"/>
        <v>0</v>
      </c>
      <c r="G28" s="12">
        <f t="shared" si="1"/>
        <v>0</v>
      </c>
      <c r="H28" s="12">
        <f t="shared" si="1"/>
        <v>0</v>
      </c>
      <c r="I28" s="12">
        <f t="shared" si="1"/>
        <v>0</v>
      </c>
      <c r="J28" s="13">
        <f t="shared" si="1"/>
        <v>0</v>
      </c>
      <c r="K28" s="170">
        <f>IF(SUMIF(Presupuesto!$B$6:$B$26,$B28,Presupuesto!E$6:E$26),IF(E28&lt;&gt;0,0,1),0)</f>
        <v>0</v>
      </c>
      <c r="L28" s="170">
        <f>IF(SUMIF(Presupuesto!$B$6:$B$26,$B28,Presupuesto!F$6:F$26),IF(F28&lt;&gt;0,0,1),0)</f>
        <v>0</v>
      </c>
      <c r="M28" s="170">
        <f>IF(SUMIF(Presupuesto!$B$6:$B$26,$B28,Presupuesto!G$6:G$26),IF(G28&lt;&gt;0,0,1),0)</f>
        <v>0</v>
      </c>
      <c r="N28" s="170">
        <f>IF(SUMIF(Presupuesto!$B$6:$B$26,$B28,Presupuesto!H$6:H$26),IF(H28&lt;&gt;0,0,1),0)</f>
        <v>0</v>
      </c>
      <c r="O28" s="170">
        <f>IF(SUMIF(Presupuesto!$B$6:$B$26,$B28,Presupuesto!I$6:I$26),IF(I28&lt;&gt;0,0,1),0)</f>
        <v>0</v>
      </c>
      <c r="P28" s="170">
        <f>IF(SUMIF(Presupuesto!$B$6:$B$26,$B28,Presupuesto!J$6:J$26),IF(J28&lt;&gt;0,0,1),0)</f>
        <v>0</v>
      </c>
    </row>
    <row r="29" spans="1:16" x14ac:dyDescent="0.25">
      <c r="A29" s="55" t="str">
        <f t="shared" si="0"/>
        <v/>
      </c>
      <c r="B29" s="109"/>
      <c r="C29" s="109"/>
      <c r="D29" s="10"/>
      <c r="E29" s="14"/>
      <c r="F29" s="12">
        <f t="shared" ref="F29:J38" si="2">IF(E29=0,0,E29+E29*F$8)</f>
        <v>0</v>
      </c>
      <c r="G29" s="12">
        <f t="shared" si="2"/>
        <v>0</v>
      </c>
      <c r="H29" s="12">
        <f t="shared" si="2"/>
        <v>0</v>
      </c>
      <c r="I29" s="12">
        <f t="shared" si="2"/>
        <v>0</v>
      </c>
      <c r="J29" s="13">
        <f t="shared" si="2"/>
        <v>0</v>
      </c>
      <c r="K29" s="170">
        <f>IF(SUMIF(Presupuesto!$B$6:$B$26,$B29,Presupuesto!E$6:E$26),IF(E29&lt;&gt;0,0,1),0)</f>
        <v>0</v>
      </c>
      <c r="L29" s="170">
        <f>IF(SUMIF(Presupuesto!$B$6:$B$26,$B29,Presupuesto!F$6:F$26),IF(F29&lt;&gt;0,0,1),0)</f>
        <v>0</v>
      </c>
      <c r="M29" s="170">
        <f>IF(SUMIF(Presupuesto!$B$6:$B$26,$B29,Presupuesto!G$6:G$26),IF(G29&lt;&gt;0,0,1),0)</f>
        <v>0</v>
      </c>
      <c r="N29" s="170">
        <f>IF(SUMIF(Presupuesto!$B$6:$B$26,$B29,Presupuesto!H$6:H$26),IF(H29&lt;&gt;0,0,1),0)</f>
        <v>0</v>
      </c>
      <c r="O29" s="170">
        <f>IF(SUMIF(Presupuesto!$B$6:$B$26,$B29,Presupuesto!I$6:I$26),IF(I29&lt;&gt;0,0,1),0)</f>
        <v>0</v>
      </c>
      <c r="P29" s="170">
        <f>IF(SUMIF(Presupuesto!$B$6:$B$26,$B29,Presupuesto!J$6:J$26),IF(J29&lt;&gt;0,0,1),0)</f>
        <v>0</v>
      </c>
    </row>
    <row r="30" spans="1:16" x14ac:dyDescent="0.25">
      <c r="A30" s="55" t="str">
        <f t="shared" si="0"/>
        <v/>
      </c>
      <c r="B30" s="109"/>
      <c r="C30" s="109"/>
      <c r="D30" s="10"/>
      <c r="E30" s="14"/>
      <c r="F30" s="12">
        <f t="shared" si="2"/>
        <v>0</v>
      </c>
      <c r="G30" s="12">
        <f t="shared" si="2"/>
        <v>0</v>
      </c>
      <c r="H30" s="12">
        <f t="shared" si="2"/>
        <v>0</v>
      </c>
      <c r="I30" s="12">
        <f t="shared" si="2"/>
        <v>0</v>
      </c>
      <c r="J30" s="13">
        <f t="shared" si="2"/>
        <v>0</v>
      </c>
      <c r="K30" s="170">
        <f>IF(SUMIF(Presupuesto!$B$6:$B$26,$B30,Presupuesto!E$6:E$26),IF(E30&lt;&gt;0,0,1),0)</f>
        <v>0</v>
      </c>
      <c r="L30" s="170">
        <f>IF(SUMIF(Presupuesto!$B$6:$B$26,$B30,Presupuesto!F$6:F$26),IF(F30&lt;&gt;0,0,1),0)</f>
        <v>0</v>
      </c>
      <c r="M30" s="170">
        <f>IF(SUMIF(Presupuesto!$B$6:$B$26,$B30,Presupuesto!G$6:G$26),IF(G30&lt;&gt;0,0,1),0)</f>
        <v>0</v>
      </c>
      <c r="N30" s="170">
        <f>IF(SUMIF(Presupuesto!$B$6:$B$26,$B30,Presupuesto!H$6:H$26),IF(H30&lt;&gt;0,0,1),0)</f>
        <v>0</v>
      </c>
      <c r="O30" s="170">
        <f>IF(SUMIF(Presupuesto!$B$6:$B$26,$B30,Presupuesto!I$6:I$26),IF(I30&lt;&gt;0,0,1),0)</f>
        <v>0</v>
      </c>
      <c r="P30" s="170">
        <f>IF(SUMIF(Presupuesto!$B$6:$B$26,$B30,Presupuesto!J$6:J$26),IF(J30&lt;&gt;0,0,1),0)</f>
        <v>0</v>
      </c>
    </row>
    <row r="31" spans="1:16" x14ac:dyDescent="0.25">
      <c r="A31" s="55" t="str">
        <f t="shared" si="0"/>
        <v/>
      </c>
      <c r="B31" s="109"/>
      <c r="C31" s="109"/>
      <c r="D31" s="10"/>
      <c r="E31" s="14"/>
      <c r="F31" s="12">
        <f t="shared" si="2"/>
        <v>0</v>
      </c>
      <c r="G31" s="12">
        <f t="shared" si="2"/>
        <v>0</v>
      </c>
      <c r="H31" s="12">
        <f t="shared" si="2"/>
        <v>0</v>
      </c>
      <c r="I31" s="12">
        <f t="shared" si="2"/>
        <v>0</v>
      </c>
      <c r="J31" s="13">
        <f t="shared" si="2"/>
        <v>0</v>
      </c>
      <c r="K31" s="170">
        <f>IF(SUMIF(Presupuesto!$B$6:$B$26,$B31,Presupuesto!E$6:E$26),IF(E31&lt;&gt;0,0,1),0)</f>
        <v>0</v>
      </c>
      <c r="L31" s="170">
        <f>IF(SUMIF(Presupuesto!$B$6:$B$26,$B31,Presupuesto!F$6:F$26),IF(F31&lt;&gt;0,0,1),0)</f>
        <v>0</v>
      </c>
      <c r="M31" s="170">
        <f>IF(SUMIF(Presupuesto!$B$6:$B$26,$B31,Presupuesto!G$6:G$26),IF(G31&lt;&gt;0,0,1),0)</f>
        <v>0</v>
      </c>
      <c r="N31" s="170">
        <f>IF(SUMIF(Presupuesto!$B$6:$B$26,$B31,Presupuesto!H$6:H$26),IF(H31&lt;&gt;0,0,1),0)</f>
        <v>0</v>
      </c>
      <c r="O31" s="170">
        <f>IF(SUMIF(Presupuesto!$B$6:$B$26,$B31,Presupuesto!I$6:I$26),IF(I31&lt;&gt;0,0,1),0)</f>
        <v>0</v>
      </c>
      <c r="P31" s="170">
        <f>IF(SUMIF(Presupuesto!$B$6:$B$26,$B31,Presupuesto!J$6:J$26),IF(J31&lt;&gt;0,0,1),0)</f>
        <v>0</v>
      </c>
    </row>
    <row r="32" spans="1:16" x14ac:dyDescent="0.25">
      <c r="A32" s="55" t="str">
        <f t="shared" si="0"/>
        <v/>
      </c>
      <c r="B32" s="109"/>
      <c r="C32" s="109"/>
      <c r="D32" s="10"/>
      <c r="E32" s="14"/>
      <c r="F32" s="12">
        <f t="shared" si="2"/>
        <v>0</v>
      </c>
      <c r="G32" s="12">
        <f t="shared" si="2"/>
        <v>0</v>
      </c>
      <c r="H32" s="12">
        <f t="shared" si="2"/>
        <v>0</v>
      </c>
      <c r="I32" s="12">
        <f t="shared" si="2"/>
        <v>0</v>
      </c>
      <c r="J32" s="13">
        <f t="shared" si="2"/>
        <v>0</v>
      </c>
      <c r="K32" s="170">
        <f>IF(SUMIF(Presupuesto!$B$6:$B$26,$B32,Presupuesto!E$6:E$26),IF(E32&lt;&gt;0,0,1),0)</f>
        <v>0</v>
      </c>
      <c r="L32" s="170">
        <f>IF(SUMIF(Presupuesto!$B$6:$B$26,$B32,Presupuesto!F$6:F$26),IF(F32&lt;&gt;0,0,1),0)</f>
        <v>0</v>
      </c>
      <c r="M32" s="170">
        <f>IF(SUMIF(Presupuesto!$B$6:$B$26,$B32,Presupuesto!G$6:G$26),IF(G32&lt;&gt;0,0,1),0)</f>
        <v>0</v>
      </c>
      <c r="N32" s="170">
        <f>IF(SUMIF(Presupuesto!$B$6:$B$26,$B32,Presupuesto!H$6:H$26),IF(H32&lt;&gt;0,0,1),0)</f>
        <v>0</v>
      </c>
      <c r="O32" s="170">
        <f>IF(SUMIF(Presupuesto!$B$6:$B$26,$B32,Presupuesto!I$6:I$26),IF(I32&lt;&gt;0,0,1),0)</f>
        <v>0</v>
      </c>
      <c r="P32" s="170">
        <f>IF(SUMIF(Presupuesto!$B$6:$B$26,$B32,Presupuesto!J$6:J$26),IF(J32&lt;&gt;0,0,1),0)</f>
        <v>0</v>
      </c>
    </row>
    <row r="33" spans="1:16" x14ac:dyDescent="0.25">
      <c r="A33" s="55" t="str">
        <f t="shared" si="0"/>
        <v/>
      </c>
      <c r="B33" s="109"/>
      <c r="C33" s="109"/>
      <c r="D33" s="10"/>
      <c r="E33" s="14"/>
      <c r="F33" s="12">
        <f t="shared" si="2"/>
        <v>0</v>
      </c>
      <c r="G33" s="12">
        <f t="shared" si="2"/>
        <v>0</v>
      </c>
      <c r="H33" s="12">
        <f t="shared" si="2"/>
        <v>0</v>
      </c>
      <c r="I33" s="12">
        <f t="shared" si="2"/>
        <v>0</v>
      </c>
      <c r="J33" s="13">
        <f t="shared" si="2"/>
        <v>0</v>
      </c>
      <c r="K33" s="170">
        <f>IF(SUMIF(Presupuesto!$B$6:$B$26,$B33,Presupuesto!E$6:E$26),IF(E33&lt;&gt;0,0,1),0)</f>
        <v>0</v>
      </c>
      <c r="L33" s="170">
        <f>IF(SUMIF(Presupuesto!$B$6:$B$26,$B33,Presupuesto!F$6:F$26),IF(F33&lt;&gt;0,0,1),0)</f>
        <v>0</v>
      </c>
      <c r="M33" s="170">
        <f>IF(SUMIF(Presupuesto!$B$6:$B$26,$B33,Presupuesto!G$6:G$26),IF(G33&lt;&gt;0,0,1),0)</f>
        <v>0</v>
      </c>
      <c r="N33" s="170">
        <f>IF(SUMIF(Presupuesto!$B$6:$B$26,$B33,Presupuesto!H$6:H$26),IF(H33&lt;&gt;0,0,1),0)</f>
        <v>0</v>
      </c>
      <c r="O33" s="170">
        <f>IF(SUMIF(Presupuesto!$B$6:$B$26,$B33,Presupuesto!I$6:I$26),IF(I33&lt;&gt;0,0,1),0)</f>
        <v>0</v>
      </c>
      <c r="P33" s="170">
        <f>IF(SUMIF(Presupuesto!$B$6:$B$26,$B33,Presupuesto!J$6:J$26),IF(J33&lt;&gt;0,0,1),0)</f>
        <v>0</v>
      </c>
    </row>
    <row r="34" spans="1:16" x14ac:dyDescent="0.25">
      <c r="A34" s="55" t="str">
        <f t="shared" si="0"/>
        <v/>
      </c>
      <c r="B34" s="109"/>
      <c r="C34" s="109"/>
      <c r="D34" s="10"/>
      <c r="E34" s="14"/>
      <c r="F34" s="12">
        <f t="shared" si="2"/>
        <v>0</v>
      </c>
      <c r="G34" s="12">
        <f t="shared" si="2"/>
        <v>0</v>
      </c>
      <c r="H34" s="12">
        <f t="shared" si="2"/>
        <v>0</v>
      </c>
      <c r="I34" s="12">
        <f t="shared" si="2"/>
        <v>0</v>
      </c>
      <c r="J34" s="13">
        <f t="shared" si="2"/>
        <v>0</v>
      </c>
      <c r="K34" s="170">
        <f>IF(SUMIF(Presupuesto!$B$6:$B$26,$B34,Presupuesto!E$6:E$26),IF(E34&lt;&gt;0,0,1),0)</f>
        <v>0</v>
      </c>
      <c r="L34" s="170">
        <f>IF(SUMIF(Presupuesto!$B$6:$B$26,$B34,Presupuesto!F$6:F$26),IF(F34&lt;&gt;0,0,1),0)</f>
        <v>0</v>
      </c>
      <c r="M34" s="170">
        <f>IF(SUMIF(Presupuesto!$B$6:$B$26,$B34,Presupuesto!G$6:G$26),IF(G34&lt;&gt;0,0,1),0)</f>
        <v>0</v>
      </c>
      <c r="N34" s="170">
        <f>IF(SUMIF(Presupuesto!$B$6:$B$26,$B34,Presupuesto!H$6:H$26),IF(H34&lt;&gt;0,0,1),0)</f>
        <v>0</v>
      </c>
      <c r="O34" s="170">
        <f>IF(SUMIF(Presupuesto!$B$6:$B$26,$B34,Presupuesto!I$6:I$26),IF(I34&lt;&gt;0,0,1),0)</f>
        <v>0</v>
      </c>
      <c r="P34" s="170">
        <f>IF(SUMIF(Presupuesto!$B$6:$B$26,$B34,Presupuesto!J$6:J$26),IF(J34&lt;&gt;0,0,1),0)</f>
        <v>0</v>
      </c>
    </row>
    <row r="35" spans="1:16" x14ac:dyDescent="0.25">
      <c r="A35" s="55" t="str">
        <f t="shared" si="0"/>
        <v/>
      </c>
      <c r="B35" s="109"/>
      <c r="C35" s="109"/>
      <c r="D35" s="10"/>
      <c r="E35" s="14"/>
      <c r="F35" s="12">
        <f t="shared" si="2"/>
        <v>0</v>
      </c>
      <c r="G35" s="12">
        <f t="shared" si="2"/>
        <v>0</v>
      </c>
      <c r="H35" s="12">
        <f t="shared" si="2"/>
        <v>0</v>
      </c>
      <c r="I35" s="12">
        <f t="shared" si="2"/>
        <v>0</v>
      </c>
      <c r="J35" s="13">
        <f t="shared" si="2"/>
        <v>0</v>
      </c>
      <c r="K35" s="170">
        <f>IF(SUMIF(Presupuesto!$B$6:$B$26,$B35,Presupuesto!E$6:E$26),IF(E35&lt;&gt;0,0,1),0)</f>
        <v>0</v>
      </c>
      <c r="L35" s="170">
        <f>IF(SUMIF(Presupuesto!$B$6:$B$26,$B35,Presupuesto!F$6:F$26),IF(F35&lt;&gt;0,0,1),0)</f>
        <v>0</v>
      </c>
      <c r="M35" s="170">
        <f>IF(SUMIF(Presupuesto!$B$6:$B$26,$B35,Presupuesto!G$6:G$26),IF(G35&lt;&gt;0,0,1),0)</f>
        <v>0</v>
      </c>
      <c r="N35" s="170">
        <f>IF(SUMIF(Presupuesto!$B$6:$B$26,$B35,Presupuesto!H$6:H$26),IF(H35&lt;&gt;0,0,1),0)</f>
        <v>0</v>
      </c>
      <c r="O35" s="170">
        <f>IF(SUMIF(Presupuesto!$B$6:$B$26,$B35,Presupuesto!I$6:I$26),IF(I35&lt;&gt;0,0,1),0)</f>
        <v>0</v>
      </c>
      <c r="P35" s="170">
        <f>IF(SUMIF(Presupuesto!$B$6:$B$26,$B35,Presupuesto!J$6:J$26),IF(J35&lt;&gt;0,0,1),0)</f>
        <v>0</v>
      </c>
    </row>
    <row r="36" spans="1:16" x14ac:dyDescent="0.25">
      <c r="A36" s="55" t="str">
        <f t="shared" si="0"/>
        <v/>
      </c>
      <c r="B36" s="109"/>
      <c r="C36" s="109"/>
      <c r="D36" s="10"/>
      <c r="E36" s="14"/>
      <c r="F36" s="12">
        <f t="shared" si="2"/>
        <v>0</v>
      </c>
      <c r="G36" s="12">
        <f t="shared" si="2"/>
        <v>0</v>
      </c>
      <c r="H36" s="12">
        <f t="shared" si="2"/>
        <v>0</v>
      </c>
      <c r="I36" s="12">
        <f t="shared" si="2"/>
        <v>0</v>
      </c>
      <c r="J36" s="13">
        <f t="shared" si="2"/>
        <v>0</v>
      </c>
      <c r="K36" s="170">
        <f>IF(SUMIF(Presupuesto!$B$6:$B$26,$B36,Presupuesto!E$6:E$26),IF(E36&lt;&gt;0,0,1),0)</f>
        <v>0</v>
      </c>
      <c r="L36" s="170">
        <f>IF(SUMIF(Presupuesto!$B$6:$B$26,$B36,Presupuesto!F$6:F$26),IF(F36&lt;&gt;0,0,1),0)</f>
        <v>0</v>
      </c>
      <c r="M36" s="170">
        <f>IF(SUMIF(Presupuesto!$B$6:$B$26,$B36,Presupuesto!G$6:G$26),IF(G36&lt;&gt;0,0,1),0)</f>
        <v>0</v>
      </c>
      <c r="N36" s="170">
        <f>IF(SUMIF(Presupuesto!$B$6:$B$26,$B36,Presupuesto!H$6:H$26),IF(H36&lt;&gt;0,0,1),0)</f>
        <v>0</v>
      </c>
      <c r="O36" s="170">
        <f>IF(SUMIF(Presupuesto!$B$6:$B$26,$B36,Presupuesto!I$6:I$26),IF(I36&lt;&gt;0,0,1),0)</f>
        <v>0</v>
      </c>
      <c r="P36" s="170">
        <f>IF(SUMIF(Presupuesto!$B$6:$B$26,$B36,Presupuesto!J$6:J$26),IF(J36&lt;&gt;0,0,1),0)</f>
        <v>0</v>
      </c>
    </row>
    <row r="37" spans="1:16" x14ac:dyDescent="0.25">
      <c r="A37" s="55" t="str">
        <f t="shared" si="0"/>
        <v/>
      </c>
      <c r="B37" s="109"/>
      <c r="C37" s="109"/>
      <c r="D37" s="10"/>
      <c r="E37" s="14"/>
      <c r="F37" s="12">
        <f t="shared" si="2"/>
        <v>0</v>
      </c>
      <c r="G37" s="12">
        <f t="shared" si="2"/>
        <v>0</v>
      </c>
      <c r="H37" s="12">
        <f t="shared" si="2"/>
        <v>0</v>
      </c>
      <c r="I37" s="12">
        <f t="shared" si="2"/>
        <v>0</v>
      </c>
      <c r="J37" s="13">
        <f t="shared" si="2"/>
        <v>0</v>
      </c>
      <c r="K37" s="170">
        <f>IF(SUMIF(Presupuesto!$B$6:$B$26,$B37,Presupuesto!E$6:E$26),IF(E37&lt;&gt;0,0,1),0)</f>
        <v>0</v>
      </c>
      <c r="L37" s="170">
        <f>IF(SUMIF(Presupuesto!$B$6:$B$26,$B37,Presupuesto!F$6:F$26),IF(F37&lt;&gt;0,0,1),0)</f>
        <v>0</v>
      </c>
      <c r="M37" s="170">
        <f>IF(SUMIF(Presupuesto!$B$6:$B$26,$B37,Presupuesto!G$6:G$26),IF(G37&lt;&gt;0,0,1),0)</f>
        <v>0</v>
      </c>
      <c r="N37" s="170">
        <f>IF(SUMIF(Presupuesto!$B$6:$B$26,$B37,Presupuesto!H$6:H$26),IF(H37&lt;&gt;0,0,1),0)</f>
        <v>0</v>
      </c>
      <c r="O37" s="170">
        <f>IF(SUMIF(Presupuesto!$B$6:$B$26,$B37,Presupuesto!I$6:I$26),IF(I37&lt;&gt;0,0,1),0)</f>
        <v>0</v>
      </c>
      <c r="P37" s="170">
        <f>IF(SUMIF(Presupuesto!$B$6:$B$26,$B37,Presupuesto!J$6:J$26),IF(J37&lt;&gt;0,0,1),0)</f>
        <v>0</v>
      </c>
    </row>
    <row r="38" spans="1:16" x14ac:dyDescent="0.25">
      <c r="A38" s="55" t="str">
        <f t="shared" si="0"/>
        <v/>
      </c>
      <c r="B38" s="109"/>
      <c r="C38" s="109"/>
      <c r="D38" s="10"/>
      <c r="E38" s="14"/>
      <c r="F38" s="12">
        <f t="shared" si="2"/>
        <v>0</v>
      </c>
      <c r="G38" s="12">
        <f t="shared" si="2"/>
        <v>0</v>
      </c>
      <c r="H38" s="12">
        <f t="shared" si="2"/>
        <v>0</v>
      </c>
      <c r="I38" s="12">
        <f t="shared" si="2"/>
        <v>0</v>
      </c>
      <c r="J38" s="13">
        <f t="shared" si="2"/>
        <v>0</v>
      </c>
      <c r="K38" s="170">
        <f>IF(SUMIF(Presupuesto!$B$6:$B$26,$B38,Presupuesto!E$6:E$26),IF(E38&lt;&gt;0,0,1),0)</f>
        <v>0</v>
      </c>
      <c r="L38" s="170">
        <f>IF(SUMIF(Presupuesto!$B$6:$B$26,$B38,Presupuesto!F$6:F$26),IF(F38&lt;&gt;0,0,1),0)</f>
        <v>0</v>
      </c>
      <c r="M38" s="170">
        <f>IF(SUMIF(Presupuesto!$B$6:$B$26,$B38,Presupuesto!G$6:G$26),IF(G38&lt;&gt;0,0,1),0)</f>
        <v>0</v>
      </c>
      <c r="N38" s="170">
        <f>IF(SUMIF(Presupuesto!$B$6:$B$26,$B38,Presupuesto!H$6:H$26),IF(H38&lt;&gt;0,0,1),0)</f>
        <v>0</v>
      </c>
      <c r="O38" s="170">
        <f>IF(SUMIF(Presupuesto!$B$6:$B$26,$B38,Presupuesto!I$6:I$26),IF(I38&lt;&gt;0,0,1),0)</f>
        <v>0</v>
      </c>
      <c r="P38" s="170">
        <f>IF(SUMIF(Presupuesto!$B$6:$B$26,$B38,Presupuesto!J$6:J$26),IF(J38&lt;&gt;0,0,1),0)</f>
        <v>0</v>
      </c>
    </row>
    <row r="39" spans="1:16" x14ac:dyDescent="0.25">
      <c r="A39" s="55" t="str">
        <f t="shared" si="0"/>
        <v/>
      </c>
      <c r="B39" s="109"/>
      <c r="C39" s="109"/>
      <c r="D39" s="10"/>
      <c r="E39" s="14"/>
      <c r="F39" s="12">
        <f t="shared" ref="F39:J40" si="3">IF(E39=0,0,E39+E39*F$8)</f>
        <v>0</v>
      </c>
      <c r="G39" s="12">
        <f t="shared" si="3"/>
        <v>0</v>
      </c>
      <c r="H39" s="12">
        <f t="shared" si="3"/>
        <v>0</v>
      </c>
      <c r="I39" s="12">
        <f t="shared" si="3"/>
        <v>0</v>
      </c>
      <c r="J39" s="13">
        <f t="shared" si="3"/>
        <v>0</v>
      </c>
      <c r="K39" s="170">
        <f>IF(SUMIF(Presupuesto!$B$6:$B$26,$B39,Presupuesto!E$6:E$26),IF(E39&lt;&gt;0,0,1),0)</f>
        <v>0</v>
      </c>
      <c r="L39" s="170">
        <f>IF(SUMIF(Presupuesto!$B$6:$B$26,$B39,Presupuesto!F$6:F$26),IF(F39&lt;&gt;0,0,1),0)</f>
        <v>0</v>
      </c>
      <c r="M39" s="170">
        <f>IF(SUMIF(Presupuesto!$B$6:$B$26,$B39,Presupuesto!G$6:G$26),IF(G39&lt;&gt;0,0,1),0)</f>
        <v>0</v>
      </c>
      <c r="N39" s="170">
        <f>IF(SUMIF(Presupuesto!$B$6:$B$26,$B39,Presupuesto!H$6:H$26),IF(H39&lt;&gt;0,0,1),0)</f>
        <v>0</v>
      </c>
      <c r="O39" s="170">
        <f>IF(SUMIF(Presupuesto!$B$6:$B$26,$B39,Presupuesto!I$6:I$26),IF(I39&lt;&gt;0,0,1),0)</f>
        <v>0</v>
      </c>
      <c r="P39" s="170">
        <f>IF(SUMIF(Presupuesto!$B$6:$B$26,$B39,Presupuesto!J$6:J$26),IF(J39&lt;&gt;0,0,1),0)</f>
        <v>0</v>
      </c>
    </row>
    <row r="40" spans="1:16" x14ac:dyDescent="0.25">
      <c r="A40" s="55" t="str">
        <f t="shared" si="0"/>
        <v/>
      </c>
      <c r="B40" s="109"/>
      <c r="C40" s="109"/>
      <c r="D40" s="10"/>
      <c r="E40" s="14"/>
      <c r="F40" s="12">
        <f t="shared" si="3"/>
        <v>0</v>
      </c>
      <c r="G40" s="12">
        <f t="shared" si="3"/>
        <v>0</v>
      </c>
      <c r="H40" s="12">
        <f t="shared" si="3"/>
        <v>0</v>
      </c>
      <c r="I40" s="12">
        <f t="shared" si="3"/>
        <v>0</v>
      </c>
      <c r="J40" s="13">
        <f t="shared" si="3"/>
        <v>0</v>
      </c>
      <c r="K40" s="170">
        <f>IF(SUMIF(Presupuesto!$B$6:$B$26,$B40,Presupuesto!E$6:E$26),IF(E40&lt;&gt;0,0,1),0)</f>
        <v>0</v>
      </c>
      <c r="L40" s="170">
        <f>IF(SUMIF(Presupuesto!$B$6:$B$26,$B40,Presupuesto!F$6:F$26),IF(F40&lt;&gt;0,0,1),0)</f>
        <v>0</v>
      </c>
      <c r="M40" s="170">
        <f>IF(SUMIF(Presupuesto!$B$6:$B$26,$B40,Presupuesto!G$6:G$26),IF(G40&lt;&gt;0,0,1),0)</f>
        <v>0</v>
      </c>
      <c r="N40" s="170">
        <f>IF(SUMIF(Presupuesto!$B$6:$B$26,$B40,Presupuesto!H$6:H$26),IF(H40&lt;&gt;0,0,1),0)</f>
        <v>0</v>
      </c>
      <c r="O40" s="170">
        <f>IF(SUMIF(Presupuesto!$B$6:$B$26,$B40,Presupuesto!I$6:I$26),IF(I40&lt;&gt;0,0,1),0)</f>
        <v>0</v>
      </c>
      <c r="P40" s="170">
        <f>IF(SUMIF(Presupuesto!$B$6:$B$26,$B40,Presupuesto!J$6:J$26),IF(J40&lt;&gt;0,0,1),0)</f>
        <v>0</v>
      </c>
    </row>
    <row r="41" spans="1:16" x14ac:dyDescent="0.25">
      <c r="A41" s="55" t="str">
        <f t="shared" si="0"/>
        <v/>
      </c>
      <c r="B41" s="109"/>
      <c r="C41" s="109"/>
      <c r="D41" s="10"/>
      <c r="E41" s="14"/>
      <c r="F41" s="12">
        <f t="shared" ref="F41:J56" si="4">IF(E41=0,0,E41+E41*F$8)</f>
        <v>0</v>
      </c>
      <c r="G41" s="12">
        <f t="shared" si="4"/>
        <v>0</v>
      </c>
      <c r="H41" s="12">
        <f t="shared" si="4"/>
        <v>0</v>
      </c>
      <c r="I41" s="12">
        <f t="shared" si="4"/>
        <v>0</v>
      </c>
      <c r="J41" s="13">
        <f t="shared" si="4"/>
        <v>0</v>
      </c>
      <c r="K41" s="170">
        <f>IF(SUMIF(Presupuesto!$B$6:$B$26,$B41,Presupuesto!E$6:E$26),IF(E41&lt;&gt;0,0,1),0)</f>
        <v>0</v>
      </c>
      <c r="L41" s="170">
        <f>IF(SUMIF(Presupuesto!$B$6:$B$26,$B41,Presupuesto!F$6:F$26),IF(F41&lt;&gt;0,0,1),0)</f>
        <v>0</v>
      </c>
      <c r="M41" s="170">
        <f>IF(SUMIF(Presupuesto!$B$6:$B$26,$B41,Presupuesto!G$6:G$26),IF(G41&lt;&gt;0,0,1),0)</f>
        <v>0</v>
      </c>
      <c r="N41" s="170">
        <f>IF(SUMIF(Presupuesto!$B$6:$B$26,$B41,Presupuesto!H$6:H$26),IF(H41&lt;&gt;0,0,1),0)</f>
        <v>0</v>
      </c>
      <c r="O41" s="170">
        <f>IF(SUMIF(Presupuesto!$B$6:$B$26,$B41,Presupuesto!I$6:I$26),IF(I41&lt;&gt;0,0,1),0)</f>
        <v>0</v>
      </c>
      <c r="P41" s="170">
        <f>IF(SUMIF(Presupuesto!$B$6:$B$26,$B41,Presupuesto!J$6:J$26),IF(J41&lt;&gt;0,0,1),0)</f>
        <v>0</v>
      </c>
    </row>
    <row r="42" spans="1:16" x14ac:dyDescent="0.25">
      <c r="A42" s="55" t="str">
        <f t="shared" si="0"/>
        <v/>
      </c>
      <c r="B42" s="109"/>
      <c r="C42" s="109"/>
      <c r="D42" s="10"/>
      <c r="E42" s="14"/>
      <c r="F42" s="12">
        <f t="shared" si="4"/>
        <v>0</v>
      </c>
      <c r="G42" s="12">
        <f t="shared" si="4"/>
        <v>0</v>
      </c>
      <c r="H42" s="12">
        <f t="shared" si="4"/>
        <v>0</v>
      </c>
      <c r="I42" s="12">
        <f t="shared" si="4"/>
        <v>0</v>
      </c>
      <c r="J42" s="13">
        <f t="shared" si="4"/>
        <v>0</v>
      </c>
      <c r="K42" s="170">
        <f>IF(SUMIF(Presupuesto!$B$6:$B$26,$B42,Presupuesto!E$6:E$26),IF(E42&lt;&gt;0,0,1),0)</f>
        <v>0</v>
      </c>
      <c r="L42" s="170">
        <f>IF(SUMIF(Presupuesto!$B$6:$B$26,$B42,Presupuesto!F$6:F$26),IF(F42&lt;&gt;0,0,1),0)</f>
        <v>0</v>
      </c>
      <c r="M42" s="170">
        <f>IF(SUMIF(Presupuesto!$B$6:$B$26,$B42,Presupuesto!G$6:G$26),IF(G42&lt;&gt;0,0,1),0)</f>
        <v>0</v>
      </c>
      <c r="N42" s="170">
        <f>IF(SUMIF(Presupuesto!$B$6:$B$26,$B42,Presupuesto!H$6:H$26),IF(H42&lt;&gt;0,0,1),0)</f>
        <v>0</v>
      </c>
      <c r="O42" s="170">
        <f>IF(SUMIF(Presupuesto!$B$6:$B$26,$B42,Presupuesto!I$6:I$26),IF(I42&lt;&gt;0,0,1),0)</f>
        <v>0</v>
      </c>
      <c r="P42" s="170">
        <f>IF(SUMIF(Presupuesto!$B$6:$B$26,$B42,Presupuesto!J$6:J$26),IF(J42&lt;&gt;0,0,1),0)</f>
        <v>0</v>
      </c>
    </row>
    <row r="43" spans="1:16" x14ac:dyDescent="0.25">
      <c r="A43" s="55" t="str">
        <f t="shared" si="0"/>
        <v/>
      </c>
      <c r="B43" s="109"/>
      <c r="C43" s="109"/>
      <c r="D43" s="10"/>
      <c r="E43" s="14"/>
      <c r="F43" s="12">
        <f t="shared" si="4"/>
        <v>0</v>
      </c>
      <c r="G43" s="12">
        <f t="shared" si="4"/>
        <v>0</v>
      </c>
      <c r="H43" s="12">
        <f t="shared" si="4"/>
        <v>0</v>
      </c>
      <c r="I43" s="12">
        <f t="shared" si="4"/>
        <v>0</v>
      </c>
      <c r="J43" s="13">
        <f t="shared" si="4"/>
        <v>0</v>
      </c>
      <c r="K43" s="170">
        <f>IF(SUMIF(Presupuesto!$B$6:$B$26,$B43,Presupuesto!E$6:E$26),IF(E43&lt;&gt;0,0,1),0)</f>
        <v>0</v>
      </c>
      <c r="L43" s="170">
        <f>IF(SUMIF(Presupuesto!$B$6:$B$26,$B43,Presupuesto!F$6:F$26),IF(F43&lt;&gt;0,0,1),0)</f>
        <v>0</v>
      </c>
      <c r="M43" s="170">
        <f>IF(SUMIF(Presupuesto!$B$6:$B$26,$B43,Presupuesto!G$6:G$26),IF(G43&lt;&gt;0,0,1),0)</f>
        <v>0</v>
      </c>
      <c r="N43" s="170">
        <f>IF(SUMIF(Presupuesto!$B$6:$B$26,$B43,Presupuesto!H$6:H$26),IF(H43&lt;&gt;0,0,1),0)</f>
        <v>0</v>
      </c>
      <c r="O43" s="170">
        <f>IF(SUMIF(Presupuesto!$B$6:$B$26,$B43,Presupuesto!I$6:I$26),IF(I43&lt;&gt;0,0,1),0)</f>
        <v>0</v>
      </c>
      <c r="P43" s="170">
        <f>IF(SUMIF(Presupuesto!$B$6:$B$26,$B43,Presupuesto!J$6:J$26),IF(J43&lt;&gt;0,0,1),0)</f>
        <v>0</v>
      </c>
    </row>
    <row r="44" spans="1:16" x14ac:dyDescent="0.25">
      <c r="A44" s="55" t="str">
        <f t="shared" si="0"/>
        <v/>
      </c>
      <c r="B44" s="109"/>
      <c r="C44" s="109"/>
      <c r="D44" s="10"/>
      <c r="E44" s="14"/>
      <c r="F44" s="12">
        <f t="shared" si="4"/>
        <v>0</v>
      </c>
      <c r="G44" s="12">
        <f t="shared" si="4"/>
        <v>0</v>
      </c>
      <c r="H44" s="12">
        <f t="shared" si="4"/>
        <v>0</v>
      </c>
      <c r="I44" s="12">
        <f t="shared" si="4"/>
        <v>0</v>
      </c>
      <c r="J44" s="13">
        <f t="shared" si="4"/>
        <v>0</v>
      </c>
      <c r="K44" s="170">
        <f>IF(SUMIF(Presupuesto!$B$6:$B$26,$B44,Presupuesto!E$6:E$26),IF(E44&lt;&gt;0,0,1),0)</f>
        <v>0</v>
      </c>
      <c r="L44" s="170">
        <f>IF(SUMIF(Presupuesto!$B$6:$B$26,$B44,Presupuesto!F$6:F$26),IF(F44&lt;&gt;0,0,1),0)</f>
        <v>0</v>
      </c>
      <c r="M44" s="170">
        <f>IF(SUMIF(Presupuesto!$B$6:$B$26,$B44,Presupuesto!G$6:G$26),IF(G44&lt;&gt;0,0,1),0)</f>
        <v>0</v>
      </c>
      <c r="N44" s="170">
        <f>IF(SUMIF(Presupuesto!$B$6:$B$26,$B44,Presupuesto!H$6:H$26),IF(H44&lt;&gt;0,0,1),0)</f>
        <v>0</v>
      </c>
      <c r="O44" s="170">
        <f>IF(SUMIF(Presupuesto!$B$6:$B$26,$B44,Presupuesto!I$6:I$26),IF(I44&lt;&gt;0,0,1),0)</f>
        <v>0</v>
      </c>
      <c r="P44" s="170">
        <f>IF(SUMIF(Presupuesto!$B$6:$B$26,$B44,Presupuesto!J$6:J$26),IF(J44&lt;&gt;0,0,1),0)</f>
        <v>0</v>
      </c>
    </row>
    <row r="45" spans="1:16" x14ac:dyDescent="0.25">
      <c r="A45" s="55" t="str">
        <f t="shared" si="0"/>
        <v/>
      </c>
      <c r="B45" s="109"/>
      <c r="C45" s="109"/>
      <c r="D45" s="10"/>
      <c r="E45" s="14"/>
      <c r="F45" s="12">
        <f t="shared" si="4"/>
        <v>0</v>
      </c>
      <c r="G45" s="12">
        <f t="shared" si="4"/>
        <v>0</v>
      </c>
      <c r="H45" s="12">
        <f t="shared" si="4"/>
        <v>0</v>
      </c>
      <c r="I45" s="12">
        <f t="shared" si="4"/>
        <v>0</v>
      </c>
      <c r="J45" s="13">
        <f t="shared" si="4"/>
        <v>0</v>
      </c>
      <c r="K45" s="170">
        <f>IF(SUMIF(Presupuesto!$B$6:$B$26,$B45,Presupuesto!E$6:E$26),IF(E45&lt;&gt;0,0,1),0)</f>
        <v>0</v>
      </c>
      <c r="L45" s="170">
        <f>IF(SUMIF(Presupuesto!$B$6:$B$26,$B45,Presupuesto!F$6:F$26),IF(F45&lt;&gt;0,0,1),0)</f>
        <v>0</v>
      </c>
      <c r="M45" s="170">
        <f>IF(SUMIF(Presupuesto!$B$6:$B$26,$B45,Presupuesto!G$6:G$26),IF(G45&lt;&gt;0,0,1),0)</f>
        <v>0</v>
      </c>
      <c r="N45" s="170">
        <f>IF(SUMIF(Presupuesto!$B$6:$B$26,$B45,Presupuesto!H$6:H$26),IF(H45&lt;&gt;0,0,1),0)</f>
        <v>0</v>
      </c>
      <c r="O45" s="170">
        <f>IF(SUMIF(Presupuesto!$B$6:$B$26,$B45,Presupuesto!I$6:I$26),IF(I45&lt;&gt;0,0,1),0)</f>
        <v>0</v>
      </c>
      <c r="P45" s="170">
        <f>IF(SUMIF(Presupuesto!$B$6:$B$26,$B45,Presupuesto!J$6:J$26),IF(J45&lt;&gt;0,0,1),0)</f>
        <v>0</v>
      </c>
    </row>
    <row r="46" spans="1:16" x14ac:dyDescent="0.25">
      <c r="A46" s="55" t="str">
        <f t="shared" si="0"/>
        <v/>
      </c>
      <c r="B46" s="109"/>
      <c r="C46" s="109"/>
      <c r="D46" s="10"/>
      <c r="E46" s="14"/>
      <c r="F46" s="12">
        <f t="shared" si="4"/>
        <v>0</v>
      </c>
      <c r="G46" s="12">
        <f t="shared" si="4"/>
        <v>0</v>
      </c>
      <c r="H46" s="12">
        <f t="shared" si="4"/>
        <v>0</v>
      </c>
      <c r="I46" s="12">
        <f t="shared" si="4"/>
        <v>0</v>
      </c>
      <c r="J46" s="13">
        <f t="shared" si="4"/>
        <v>0</v>
      </c>
      <c r="K46" s="170">
        <f>IF(SUMIF(Presupuesto!$B$6:$B$26,$B46,Presupuesto!E$6:E$26),IF(E46&lt;&gt;0,0,1),0)</f>
        <v>0</v>
      </c>
      <c r="L46" s="170">
        <f>IF(SUMIF(Presupuesto!$B$6:$B$26,$B46,Presupuesto!F$6:F$26),IF(F46&lt;&gt;0,0,1),0)</f>
        <v>0</v>
      </c>
      <c r="M46" s="170">
        <f>IF(SUMIF(Presupuesto!$B$6:$B$26,$B46,Presupuesto!G$6:G$26),IF(G46&lt;&gt;0,0,1),0)</f>
        <v>0</v>
      </c>
      <c r="N46" s="170">
        <f>IF(SUMIF(Presupuesto!$B$6:$B$26,$B46,Presupuesto!H$6:H$26),IF(H46&lt;&gt;0,0,1),0)</f>
        <v>0</v>
      </c>
      <c r="O46" s="170">
        <f>IF(SUMIF(Presupuesto!$B$6:$B$26,$B46,Presupuesto!I$6:I$26),IF(I46&lt;&gt;0,0,1),0)</f>
        <v>0</v>
      </c>
      <c r="P46" s="170">
        <f>IF(SUMIF(Presupuesto!$B$6:$B$26,$B46,Presupuesto!J$6:J$26),IF(J46&lt;&gt;0,0,1),0)</f>
        <v>0</v>
      </c>
    </row>
    <row r="47" spans="1:16" x14ac:dyDescent="0.25">
      <c r="A47" s="55" t="str">
        <f t="shared" si="0"/>
        <v/>
      </c>
      <c r="B47" s="109"/>
      <c r="C47" s="109"/>
      <c r="D47" s="10"/>
      <c r="E47" s="14"/>
      <c r="F47" s="12">
        <f t="shared" si="4"/>
        <v>0</v>
      </c>
      <c r="G47" s="12">
        <f t="shared" si="4"/>
        <v>0</v>
      </c>
      <c r="H47" s="12">
        <f t="shared" si="4"/>
        <v>0</v>
      </c>
      <c r="I47" s="12">
        <f t="shared" si="4"/>
        <v>0</v>
      </c>
      <c r="J47" s="13">
        <f t="shared" si="4"/>
        <v>0</v>
      </c>
      <c r="K47" s="170">
        <f>IF(SUMIF(Presupuesto!$B$6:$B$26,$B47,Presupuesto!E$6:E$26),IF(E47&lt;&gt;0,0,1),0)</f>
        <v>0</v>
      </c>
      <c r="L47" s="170">
        <f>IF(SUMIF(Presupuesto!$B$6:$B$26,$B47,Presupuesto!F$6:F$26),IF(F47&lt;&gt;0,0,1),0)</f>
        <v>0</v>
      </c>
      <c r="M47" s="170">
        <f>IF(SUMIF(Presupuesto!$B$6:$B$26,$B47,Presupuesto!G$6:G$26),IF(G47&lt;&gt;0,0,1),0)</f>
        <v>0</v>
      </c>
      <c r="N47" s="170">
        <f>IF(SUMIF(Presupuesto!$B$6:$B$26,$B47,Presupuesto!H$6:H$26),IF(H47&lt;&gt;0,0,1),0)</f>
        <v>0</v>
      </c>
      <c r="O47" s="170">
        <f>IF(SUMIF(Presupuesto!$B$6:$B$26,$B47,Presupuesto!I$6:I$26),IF(I47&lt;&gt;0,0,1),0)</f>
        <v>0</v>
      </c>
      <c r="P47" s="170">
        <f>IF(SUMIF(Presupuesto!$B$6:$B$26,$B47,Presupuesto!J$6:J$26),IF(J47&lt;&gt;0,0,1),0)</f>
        <v>0</v>
      </c>
    </row>
    <row r="48" spans="1:16" x14ac:dyDescent="0.25">
      <c r="A48" s="55" t="str">
        <f t="shared" si="0"/>
        <v/>
      </c>
      <c r="B48" s="109"/>
      <c r="C48" s="109"/>
      <c r="D48" s="10"/>
      <c r="E48" s="14"/>
      <c r="F48" s="12">
        <f t="shared" si="4"/>
        <v>0</v>
      </c>
      <c r="G48" s="12">
        <f t="shared" si="4"/>
        <v>0</v>
      </c>
      <c r="H48" s="12">
        <f t="shared" si="4"/>
        <v>0</v>
      </c>
      <c r="I48" s="12">
        <f t="shared" si="4"/>
        <v>0</v>
      </c>
      <c r="J48" s="13">
        <f t="shared" si="4"/>
        <v>0</v>
      </c>
      <c r="K48" s="170">
        <f>IF(SUMIF(Presupuesto!$B$6:$B$26,$B48,Presupuesto!E$6:E$26),IF(E48&lt;&gt;0,0,1),0)</f>
        <v>0</v>
      </c>
      <c r="L48" s="170">
        <f>IF(SUMIF(Presupuesto!$B$6:$B$26,$B48,Presupuesto!F$6:F$26),IF(F48&lt;&gt;0,0,1),0)</f>
        <v>0</v>
      </c>
      <c r="M48" s="170">
        <f>IF(SUMIF(Presupuesto!$B$6:$B$26,$B48,Presupuesto!G$6:G$26),IF(G48&lt;&gt;0,0,1),0)</f>
        <v>0</v>
      </c>
      <c r="N48" s="170">
        <f>IF(SUMIF(Presupuesto!$B$6:$B$26,$B48,Presupuesto!H$6:H$26),IF(H48&lt;&gt;0,0,1),0)</f>
        <v>0</v>
      </c>
      <c r="O48" s="170">
        <f>IF(SUMIF(Presupuesto!$B$6:$B$26,$B48,Presupuesto!I$6:I$26),IF(I48&lt;&gt;0,0,1),0)</f>
        <v>0</v>
      </c>
      <c r="P48" s="170">
        <f>IF(SUMIF(Presupuesto!$B$6:$B$26,$B48,Presupuesto!J$6:J$26),IF(J48&lt;&gt;0,0,1),0)</f>
        <v>0</v>
      </c>
    </row>
    <row r="49" spans="1:17" x14ac:dyDescent="0.25">
      <c r="A49" s="55" t="str">
        <f t="shared" si="0"/>
        <v/>
      </c>
      <c r="B49" s="109"/>
      <c r="C49" s="109"/>
      <c r="D49" s="10"/>
      <c r="E49" s="14"/>
      <c r="F49" s="12">
        <f t="shared" si="4"/>
        <v>0</v>
      </c>
      <c r="G49" s="12">
        <f t="shared" si="4"/>
        <v>0</v>
      </c>
      <c r="H49" s="12">
        <f t="shared" si="4"/>
        <v>0</v>
      </c>
      <c r="I49" s="12">
        <f t="shared" si="4"/>
        <v>0</v>
      </c>
      <c r="J49" s="13">
        <f t="shared" si="4"/>
        <v>0</v>
      </c>
      <c r="K49" s="170">
        <f>IF(SUMIF(Presupuesto!$B$6:$B$26,$B49,Presupuesto!E$6:E$26),IF(E49&lt;&gt;0,0,1),0)</f>
        <v>0</v>
      </c>
      <c r="L49" s="170">
        <f>IF(SUMIF(Presupuesto!$B$6:$B$26,$B49,Presupuesto!F$6:F$26),IF(F49&lt;&gt;0,0,1),0)</f>
        <v>0</v>
      </c>
      <c r="M49" s="170">
        <f>IF(SUMIF(Presupuesto!$B$6:$B$26,$B49,Presupuesto!G$6:G$26),IF(G49&lt;&gt;0,0,1),0)</f>
        <v>0</v>
      </c>
      <c r="N49" s="170">
        <f>IF(SUMIF(Presupuesto!$B$6:$B$26,$B49,Presupuesto!H$6:H$26),IF(H49&lt;&gt;0,0,1),0)</f>
        <v>0</v>
      </c>
      <c r="O49" s="170">
        <f>IF(SUMIF(Presupuesto!$B$6:$B$26,$B49,Presupuesto!I$6:I$26),IF(I49&lt;&gt;0,0,1),0)</f>
        <v>0</v>
      </c>
      <c r="P49" s="170">
        <f>IF(SUMIF(Presupuesto!$B$6:$B$26,$B49,Presupuesto!J$6:J$26),IF(J49&lt;&gt;0,0,1),0)</f>
        <v>0</v>
      </c>
    </row>
    <row r="50" spans="1:17" x14ac:dyDescent="0.25">
      <c r="A50" s="55" t="str">
        <f t="shared" si="0"/>
        <v/>
      </c>
      <c r="B50" s="109"/>
      <c r="C50" s="109"/>
      <c r="D50" s="10"/>
      <c r="E50" s="14"/>
      <c r="F50" s="12">
        <f t="shared" si="4"/>
        <v>0</v>
      </c>
      <c r="G50" s="12">
        <f t="shared" si="4"/>
        <v>0</v>
      </c>
      <c r="H50" s="12">
        <f t="shared" si="4"/>
        <v>0</v>
      </c>
      <c r="I50" s="12">
        <f t="shared" si="4"/>
        <v>0</v>
      </c>
      <c r="J50" s="13">
        <f t="shared" si="4"/>
        <v>0</v>
      </c>
      <c r="K50" s="170">
        <f>IF(SUMIF(Presupuesto!$B$6:$B$26,$B50,Presupuesto!E$6:E$26),IF(E50&lt;&gt;0,0,1),0)</f>
        <v>0</v>
      </c>
      <c r="L50" s="170">
        <f>IF(SUMIF(Presupuesto!$B$6:$B$26,$B50,Presupuesto!F$6:F$26),IF(F50&lt;&gt;0,0,1),0)</f>
        <v>0</v>
      </c>
      <c r="M50" s="170">
        <f>IF(SUMIF(Presupuesto!$B$6:$B$26,$B50,Presupuesto!G$6:G$26),IF(G50&lt;&gt;0,0,1),0)</f>
        <v>0</v>
      </c>
      <c r="N50" s="170">
        <f>IF(SUMIF(Presupuesto!$B$6:$B$26,$B50,Presupuesto!H$6:H$26),IF(H50&lt;&gt;0,0,1),0)</f>
        <v>0</v>
      </c>
      <c r="O50" s="170">
        <f>IF(SUMIF(Presupuesto!$B$6:$B$26,$B50,Presupuesto!I$6:I$26),IF(I50&lt;&gt;0,0,1),0)</f>
        <v>0</v>
      </c>
      <c r="P50" s="170">
        <f>IF(SUMIF(Presupuesto!$B$6:$B$26,$B50,Presupuesto!J$6:J$26),IF(J50&lt;&gt;0,0,1),0)</f>
        <v>0</v>
      </c>
    </row>
    <row r="51" spans="1:17" x14ac:dyDescent="0.25">
      <c r="A51" s="55" t="str">
        <f t="shared" si="0"/>
        <v/>
      </c>
      <c r="B51" s="109"/>
      <c r="C51" s="109"/>
      <c r="D51" s="10"/>
      <c r="E51" s="14"/>
      <c r="F51" s="12">
        <f t="shared" si="4"/>
        <v>0</v>
      </c>
      <c r="G51" s="12">
        <f t="shared" si="4"/>
        <v>0</v>
      </c>
      <c r="H51" s="12">
        <f t="shared" si="4"/>
        <v>0</v>
      </c>
      <c r="I51" s="12">
        <f t="shared" si="4"/>
        <v>0</v>
      </c>
      <c r="J51" s="13">
        <f t="shared" si="4"/>
        <v>0</v>
      </c>
      <c r="K51" s="170">
        <f>IF(SUMIF(Presupuesto!$B$6:$B$26,$B51,Presupuesto!E$6:E$26),IF(E51&lt;&gt;0,0,1),0)</f>
        <v>0</v>
      </c>
      <c r="L51" s="170">
        <f>IF(SUMIF(Presupuesto!$B$6:$B$26,$B51,Presupuesto!F$6:F$26),IF(F51&lt;&gt;0,0,1),0)</f>
        <v>0</v>
      </c>
      <c r="M51" s="170">
        <f>IF(SUMIF(Presupuesto!$B$6:$B$26,$B51,Presupuesto!G$6:G$26),IF(G51&lt;&gt;0,0,1),0)</f>
        <v>0</v>
      </c>
      <c r="N51" s="170">
        <f>IF(SUMIF(Presupuesto!$B$6:$B$26,$B51,Presupuesto!H$6:H$26),IF(H51&lt;&gt;0,0,1),0)</f>
        <v>0</v>
      </c>
      <c r="O51" s="170">
        <f>IF(SUMIF(Presupuesto!$B$6:$B$26,$B51,Presupuesto!I$6:I$26),IF(I51&lt;&gt;0,0,1),0)</f>
        <v>0</v>
      </c>
      <c r="P51" s="170">
        <f>IF(SUMIF(Presupuesto!$B$6:$B$26,$B51,Presupuesto!J$6:J$26),IF(J51&lt;&gt;0,0,1),0)</f>
        <v>0</v>
      </c>
    </row>
    <row r="52" spans="1:17" x14ac:dyDescent="0.25">
      <c r="A52" s="55" t="str">
        <f t="shared" si="0"/>
        <v/>
      </c>
      <c r="B52" s="109"/>
      <c r="C52" s="109"/>
      <c r="D52" s="10"/>
      <c r="E52" s="14"/>
      <c r="F52" s="12">
        <f t="shared" si="4"/>
        <v>0</v>
      </c>
      <c r="G52" s="12">
        <f t="shared" si="4"/>
        <v>0</v>
      </c>
      <c r="H52" s="12">
        <f t="shared" si="4"/>
        <v>0</v>
      </c>
      <c r="I52" s="12">
        <f t="shared" si="4"/>
        <v>0</v>
      </c>
      <c r="J52" s="13">
        <f t="shared" si="4"/>
        <v>0</v>
      </c>
      <c r="K52" s="170">
        <f>IF(SUMIF(Presupuesto!$B$6:$B$26,$B52,Presupuesto!E$6:E$26),IF(E52&lt;&gt;0,0,1),0)</f>
        <v>0</v>
      </c>
      <c r="L52" s="170">
        <f>IF(SUMIF(Presupuesto!$B$6:$B$26,$B52,Presupuesto!F$6:F$26),IF(F52&lt;&gt;0,0,1),0)</f>
        <v>0</v>
      </c>
      <c r="M52" s="170">
        <f>IF(SUMIF(Presupuesto!$B$6:$B$26,$B52,Presupuesto!G$6:G$26),IF(G52&lt;&gt;0,0,1),0)</f>
        <v>0</v>
      </c>
      <c r="N52" s="170">
        <f>IF(SUMIF(Presupuesto!$B$6:$B$26,$B52,Presupuesto!H$6:H$26),IF(H52&lt;&gt;0,0,1),0)</f>
        <v>0</v>
      </c>
      <c r="O52" s="170">
        <f>IF(SUMIF(Presupuesto!$B$6:$B$26,$B52,Presupuesto!I$6:I$26),IF(I52&lt;&gt;0,0,1),0)</f>
        <v>0</v>
      </c>
      <c r="P52" s="170">
        <f>IF(SUMIF(Presupuesto!$B$6:$B$26,$B52,Presupuesto!J$6:J$26),IF(J52&lt;&gt;0,0,1),0)</f>
        <v>0</v>
      </c>
    </row>
    <row r="53" spans="1:17" x14ac:dyDescent="0.25">
      <c r="A53" s="55" t="str">
        <f t="shared" si="0"/>
        <v/>
      </c>
      <c r="B53" s="109"/>
      <c r="C53" s="109"/>
      <c r="D53" s="10"/>
      <c r="E53" s="14"/>
      <c r="F53" s="12">
        <f t="shared" si="4"/>
        <v>0</v>
      </c>
      <c r="G53" s="12">
        <f t="shared" si="4"/>
        <v>0</v>
      </c>
      <c r="H53" s="12">
        <f t="shared" si="4"/>
        <v>0</v>
      </c>
      <c r="I53" s="12">
        <f t="shared" si="4"/>
        <v>0</v>
      </c>
      <c r="J53" s="13">
        <f t="shared" si="4"/>
        <v>0</v>
      </c>
      <c r="K53" s="170">
        <f>IF(SUMIF(Presupuesto!$B$6:$B$26,$B53,Presupuesto!E$6:E$26),IF(E53&lt;&gt;0,0,1),0)</f>
        <v>0</v>
      </c>
      <c r="L53" s="170">
        <f>IF(SUMIF(Presupuesto!$B$6:$B$26,$B53,Presupuesto!F$6:F$26),IF(F53&lt;&gt;0,0,1),0)</f>
        <v>0</v>
      </c>
      <c r="M53" s="170">
        <f>IF(SUMIF(Presupuesto!$B$6:$B$26,$B53,Presupuesto!G$6:G$26),IF(G53&lt;&gt;0,0,1),0)</f>
        <v>0</v>
      </c>
      <c r="N53" s="170">
        <f>IF(SUMIF(Presupuesto!$B$6:$B$26,$B53,Presupuesto!H$6:H$26),IF(H53&lt;&gt;0,0,1),0)</f>
        <v>0</v>
      </c>
      <c r="O53" s="170">
        <f>IF(SUMIF(Presupuesto!$B$6:$B$26,$B53,Presupuesto!I$6:I$26),IF(I53&lt;&gt;0,0,1),0)</f>
        <v>0</v>
      </c>
      <c r="P53" s="170">
        <f>IF(SUMIF(Presupuesto!$B$6:$B$26,$B53,Presupuesto!J$6:J$26),IF(J53&lt;&gt;0,0,1),0)</f>
        <v>0</v>
      </c>
    </row>
    <row r="54" spans="1:17" x14ac:dyDescent="0.25">
      <c r="A54" s="55" t="str">
        <f t="shared" si="0"/>
        <v/>
      </c>
      <c r="B54" s="109"/>
      <c r="C54" s="109"/>
      <c r="D54" s="10"/>
      <c r="E54" s="14"/>
      <c r="F54" s="12">
        <f t="shared" si="4"/>
        <v>0</v>
      </c>
      <c r="G54" s="12">
        <f t="shared" si="4"/>
        <v>0</v>
      </c>
      <c r="H54" s="12">
        <f t="shared" si="4"/>
        <v>0</v>
      </c>
      <c r="I54" s="12">
        <f t="shared" si="4"/>
        <v>0</v>
      </c>
      <c r="J54" s="13">
        <f t="shared" si="4"/>
        <v>0</v>
      </c>
      <c r="K54" s="170">
        <f>IF(SUMIF(Presupuesto!$B$6:$B$26,$B54,Presupuesto!E$6:E$26),IF(E54&lt;&gt;0,0,1),0)</f>
        <v>0</v>
      </c>
      <c r="L54" s="170">
        <f>IF(SUMIF(Presupuesto!$B$6:$B$26,$B54,Presupuesto!F$6:F$26),IF(F54&lt;&gt;0,0,1),0)</f>
        <v>0</v>
      </c>
      <c r="M54" s="170">
        <f>IF(SUMIF(Presupuesto!$B$6:$B$26,$B54,Presupuesto!G$6:G$26),IF(G54&lt;&gt;0,0,1),0)</f>
        <v>0</v>
      </c>
      <c r="N54" s="170">
        <f>IF(SUMIF(Presupuesto!$B$6:$B$26,$B54,Presupuesto!H$6:H$26),IF(H54&lt;&gt;0,0,1),0)</f>
        <v>0</v>
      </c>
      <c r="O54" s="170">
        <f>IF(SUMIF(Presupuesto!$B$6:$B$26,$B54,Presupuesto!I$6:I$26),IF(I54&lt;&gt;0,0,1),0)</f>
        <v>0</v>
      </c>
      <c r="P54" s="170">
        <f>IF(SUMIF(Presupuesto!$B$6:$B$26,$B54,Presupuesto!J$6:J$26),IF(J54&lt;&gt;0,0,1),0)</f>
        <v>0</v>
      </c>
    </row>
    <row r="55" spans="1:17" x14ac:dyDescent="0.25">
      <c r="A55" s="55" t="str">
        <f t="shared" si="0"/>
        <v/>
      </c>
      <c r="B55" s="109"/>
      <c r="C55" s="109"/>
      <c r="D55" s="10"/>
      <c r="E55" s="14"/>
      <c r="F55" s="12">
        <f t="shared" si="4"/>
        <v>0</v>
      </c>
      <c r="G55" s="12">
        <f t="shared" si="4"/>
        <v>0</v>
      </c>
      <c r="H55" s="12">
        <f t="shared" si="4"/>
        <v>0</v>
      </c>
      <c r="I55" s="12">
        <f t="shared" si="4"/>
        <v>0</v>
      </c>
      <c r="J55" s="13">
        <f t="shared" si="4"/>
        <v>0</v>
      </c>
      <c r="K55" s="170">
        <f>IF(SUMIF(Presupuesto!$B$6:$B$26,$B55,Presupuesto!E$6:E$26),IF(E55&lt;&gt;0,0,1),0)</f>
        <v>0</v>
      </c>
      <c r="L55" s="170">
        <f>IF(SUMIF(Presupuesto!$B$6:$B$26,$B55,Presupuesto!F$6:F$26),IF(F55&lt;&gt;0,0,1),0)</f>
        <v>0</v>
      </c>
      <c r="M55" s="170">
        <f>IF(SUMIF(Presupuesto!$B$6:$B$26,$B55,Presupuesto!G$6:G$26),IF(G55&lt;&gt;0,0,1),0)</f>
        <v>0</v>
      </c>
      <c r="N55" s="170">
        <f>IF(SUMIF(Presupuesto!$B$6:$B$26,$B55,Presupuesto!H$6:H$26),IF(H55&lt;&gt;0,0,1),0)</f>
        <v>0</v>
      </c>
      <c r="O55" s="170">
        <f>IF(SUMIF(Presupuesto!$B$6:$B$26,$B55,Presupuesto!I$6:I$26),IF(I55&lt;&gt;0,0,1),0)</f>
        <v>0</v>
      </c>
      <c r="P55" s="170">
        <f>IF(SUMIF(Presupuesto!$B$6:$B$26,$B55,Presupuesto!J$6:J$26),IF(J55&lt;&gt;0,0,1),0)</f>
        <v>0</v>
      </c>
    </row>
    <row r="56" spans="1:17" x14ac:dyDescent="0.25">
      <c r="A56" s="55" t="str">
        <f t="shared" si="0"/>
        <v/>
      </c>
      <c r="B56" s="109"/>
      <c r="C56" s="109"/>
      <c r="D56" s="10"/>
      <c r="E56" s="14"/>
      <c r="F56" s="12">
        <f t="shared" si="4"/>
        <v>0</v>
      </c>
      <c r="G56" s="12">
        <f t="shared" si="4"/>
        <v>0</v>
      </c>
      <c r="H56" s="12">
        <f t="shared" si="4"/>
        <v>0</v>
      </c>
      <c r="I56" s="12">
        <f t="shared" si="4"/>
        <v>0</v>
      </c>
      <c r="J56" s="13">
        <f t="shared" si="4"/>
        <v>0</v>
      </c>
      <c r="K56" s="170">
        <f>IF(SUMIF(Presupuesto!$B$6:$B$26,$B56,Presupuesto!E$6:E$26),IF(E56&lt;&gt;0,0,1),0)</f>
        <v>0</v>
      </c>
      <c r="L56" s="170">
        <f>IF(SUMIF(Presupuesto!$B$6:$B$26,$B56,Presupuesto!F$6:F$26),IF(F56&lt;&gt;0,0,1),0)</f>
        <v>0</v>
      </c>
      <c r="M56" s="170">
        <f>IF(SUMIF(Presupuesto!$B$6:$B$26,$B56,Presupuesto!G$6:G$26),IF(G56&lt;&gt;0,0,1),0)</f>
        <v>0</v>
      </c>
      <c r="N56" s="170">
        <f>IF(SUMIF(Presupuesto!$B$6:$B$26,$B56,Presupuesto!H$6:H$26),IF(H56&lt;&gt;0,0,1),0)</f>
        <v>0</v>
      </c>
      <c r="O56" s="170">
        <f>IF(SUMIF(Presupuesto!$B$6:$B$26,$B56,Presupuesto!I$6:I$26),IF(I56&lt;&gt;0,0,1),0)</f>
        <v>0</v>
      </c>
      <c r="P56" s="170">
        <f>IF(SUMIF(Presupuesto!$B$6:$B$26,$B56,Presupuesto!J$6:J$26),IF(J56&lt;&gt;0,0,1),0)</f>
        <v>0</v>
      </c>
    </row>
    <row r="57" spans="1:17" ht="13" thickBot="1" x14ac:dyDescent="0.3">
      <c r="A57" s="55" t="str">
        <f t="shared" si="0"/>
        <v/>
      </c>
      <c r="B57" s="109"/>
      <c r="C57" s="109"/>
      <c r="D57" s="10"/>
      <c r="E57" s="14"/>
      <c r="F57" s="12">
        <f t="shared" ref="F57:J58" si="5">IF(E57=0,0,E57+E57*F$8)</f>
        <v>0</v>
      </c>
      <c r="G57" s="12">
        <f t="shared" si="5"/>
        <v>0</v>
      </c>
      <c r="H57" s="12">
        <f t="shared" si="5"/>
        <v>0</v>
      </c>
      <c r="I57" s="12">
        <f t="shared" si="5"/>
        <v>0</v>
      </c>
      <c r="J57" s="13">
        <f t="shared" si="5"/>
        <v>0</v>
      </c>
      <c r="K57" s="170">
        <f>IF(SUMIF(Presupuesto!$B$6:$B$26,$B57,Presupuesto!E$6:E$26),IF(E57&lt;&gt;0,0,1),0)</f>
        <v>0</v>
      </c>
      <c r="L57" s="170">
        <f>IF(SUMIF(Presupuesto!$B$6:$B$26,$B57,Presupuesto!F$6:F$26),IF(F57&lt;&gt;0,0,1),0)</f>
        <v>0</v>
      </c>
      <c r="M57" s="170">
        <f>IF(SUMIF(Presupuesto!$B$6:$B$26,$B57,Presupuesto!G$6:G$26),IF(G57&lt;&gt;0,0,1),0)</f>
        <v>0</v>
      </c>
      <c r="N57" s="170">
        <f>IF(SUMIF(Presupuesto!$B$6:$B$26,$B57,Presupuesto!H$6:H$26),IF(H57&lt;&gt;0,0,1),0)</f>
        <v>0</v>
      </c>
      <c r="O57" s="170">
        <f>IF(SUMIF(Presupuesto!$B$6:$B$26,$B57,Presupuesto!I$6:I$26),IF(I57&lt;&gt;0,0,1),0)</f>
        <v>0</v>
      </c>
      <c r="P57" s="170">
        <f>IF(SUMIF(Presupuesto!$B$6:$B$26,$B57,Presupuesto!J$6:J$26),IF(J57&lt;&gt;0,0,1),0)</f>
        <v>0</v>
      </c>
    </row>
    <row r="58" spans="1:17" ht="13" hidden="1" thickBot="1" x14ac:dyDescent="0.3">
      <c r="A58" s="55" t="str">
        <f t="shared" si="0"/>
        <v/>
      </c>
      <c r="B58" s="110"/>
      <c r="C58" s="110"/>
      <c r="D58" s="15"/>
      <c r="E58" s="16"/>
      <c r="F58" s="17">
        <f t="shared" si="5"/>
        <v>0</v>
      </c>
      <c r="G58" s="17">
        <f t="shared" si="5"/>
        <v>0</v>
      </c>
      <c r="H58" s="17">
        <f t="shared" si="5"/>
        <v>0</v>
      </c>
      <c r="I58" s="17">
        <f t="shared" si="5"/>
        <v>0</v>
      </c>
      <c r="J58" s="18">
        <f t="shared" si="5"/>
        <v>0</v>
      </c>
      <c r="K58" s="170">
        <f>IF(SUMIF(Presupuesto!$B$6:$B$26,$B58,Presupuesto!E$6:E$26),IF(E58&lt;&gt;0,0,1),0)</f>
        <v>0</v>
      </c>
      <c r="L58" s="170">
        <f>IF(SUMIF(Presupuesto!$B$6:$B$26,$B58,Presupuesto!F$6:F$26),IF(F58&lt;&gt;0,0,1),0)</f>
        <v>0</v>
      </c>
      <c r="M58" s="170">
        <f>IF(SUMIF(Presupuesto!$B$6:$B$26,$B58,Presupuesto!G$6:G$26),IF(G58&lt;&gt;0,0,1),0)</f>
        <v>0</v>
      </c>
      <c r="N58" s="170">
        <f>IF(SUMIF(Presupuesto!$B$6:$B$26,$B58,Presupuesto!H$6:H$26),IF(H58&lt;&gt;0,0,1),0)</f>
        <v>0</v>
      </c>
      <c r="O58" s="170">
        <f>IF(SUMIF(Presupuesto!$B$6:$B$26,$B58,Presupuesto!I$6:I$26),IF(I58&lt;&gt;0,0,1),0)</f>
        <v>0</v>
      </c>
      <c r="P58" s="170">
        <f>IF(SUMIF(Presupuesto!$B$6:$B$26,$B58,Presupuesto!J$6:J$26),IF(J58&lt;&gt;0,0,1),0)</f>
        <v>0</v>
      </c>
    </row>
    <row r="59" spans="1:17" hidden="1" x14ac:dyDescent="0.25">
      <c r="A59" s="1">
        <f>ROW()</f>
        <v>59</v>
      </c>
      <c r="B59" s="417"/>
      <c r="C59" s="418"/>
      <c r="D59" s="418"/>
      <c r="E59" s="418"/>
      <c r="F59" s="418"/>
      <c r="G59" s="418"/>
      <c r="H59" s="418"/>
      <c r="I59" s="419"/>
      <c r="J59" s="420"/>
      <c r="K59" s="1"/>
      <c r="L59" s="1"/>
      <c r="M59" s="1"/>
      <c r="N59" s="1"/>
      <c r="O59" s="1"/>
      <c r="P59" s="1"/>
      <c r="Q59" s="1"/>
    </row>
    <row r="60" spans="1:17" ht="13" thickTop="1" x14ac:dyDescent="0.25">
      <c r="B60" s="421"/>
      <c r="C60" s="421"/>
      <c r="D60" s="421"/>
      <c r="E60" s="421"/>
      <c r="F60" s="421"/>
      <c r="G60" s="421"/>
      <c r="H60" s="421"/>
      <c r="I60" s="422"/>
      <c r="J60" s="422"/>
    </row>
  </sheetData>
  <sheetProtection algorithmName="SHA-512" hashValue="FFSUot+eoyzSz1GqE4ea77oVKQrUMrPPBXshlnpq49eaz9+kHA3qk9aCPEXa3mMae/jnU5LaIW8TrHKDEXoPDg==" saltValue="E5N6no3WxzZaBFSm4ausdg==" spinCount="100000" sheet="1" objects="1" scenarios="1" formatCells="0" formatColumns="0" formatRows="0" sort="0" autoFilter="0"/>
  <dataConsolidate/>
  <mergeCells count="3">
    <mergeCell ref="B17:D17"/>
    <mergeCell ref="C1:D1"/>
    <mergeCell ref="B8:E8"/>
  </mergeCells>
  <phoneticPr fontId="4" type="noConversion"/>
  <conditionalFormatting sqref="K57:P58 K19:P43">
    <cfRule type="cellIs" dxfId="45" priority="28" stopIfTrue="1" operator="equal">
      <formula>1</formula>
    </cfRule>
  </conditionalFormatting>
  <conditionalFormatting sqref="C43 B43:B45 B47:B52 B58:C58 C57 B19:C21 B23:C42">
    <cfRule type="expression" dxfId="44" priority="29" stopIfTrue="1">
      <formula>A19=1</formula>
    </cfRule>
  </conditionalFormatting>
  <conditionalFormatting sqref="K44:P44">
    <cfRule type="cellIs" dxfId="43" priority="26" stopIfTrue="1" operator="equal">
      <formula>1</formula>
    </cfRule>
  </conditionalFormatting>
  <conditionalFormatting sqref="C44">
    <cfRule type="expression" dxfId="42" priority="27" stopIfTrue="1">
      <formula>B44=1</formula>
    </cfRule>
  </conditionalFormatting>
  <conditionalFormatting sqref="K45:P45">
    <cfRule type="cellIs" dxfId="41" priority="24" stopIfTrue="1" operator="equal">
      <formula>1</formula>
    </cfRule>
  </conditionalFormatting>
  <conditionalFormatting sqref="C45">
    <cfRule type="expression" dxfId="40" priority="25" stopIfTrue="1">
      <formula>B45=1</formula>
    </cfRule>
  </conditionalFormatting>
  <conditionalFormatting sqref="K46:P46">
    <cfRule type="cellIs" dxfId="39" priority="22" stopIfTrue="1" operator="equal">
      <formula>1</formula>
    </cfRule>
  </conditionalFormatting>
  <conditionalFormatting sqref="B46:C46">
    <cfRule type="expression" dxfId="38" priority="23" stopIfTrue="1">
      <formula>A46=1</formula>
    </cfRule>
  </conditionalFormatting>
  <conditionalFormatting sqref="K47:P47">
    <cfRule type="cellIs" dxfId="37" priority="20" stopIfTrue="1" operator="equal">
      <formula>1</formula>
    </cfRule>
  </conditionalFormatting>
  <conditionalFormatting sqref="C47">
    <cfRule type="expression" dxfId="36" priority="21" stopIfTrue="1">
      <formula>B47=1</formula>
    </cfRule>
  </conditionalFormatting>
  <conditionalFormatting sqref="K48:P48">
    <cfRule type="cellIs" dxfId="35" priority="18" stopIfTrue="1" operator="equal">
      <formula>1</formula>
    </cfRule>
  </conditionalFormatting>
  <conditionalFormatting sqref="C48">
    <cfRule type="expression" dxfId="34" priority="19" stopIfTrue="1">
      <formula>B48=1</formula>
    </cfRule>
  </conditionalFormatting>
  <conditionalFormatting sqref="K49:P49">
    <cfRule type="cellIs" dxfId="33" priority="16" stopIfTrue="1" operator="equal">
      <formula>1</formula>
    </cfRule>
  </conditionalFormatting>
  <conditionalFormatting sqref="C49">
    <cfRule type="expression" dxfId="32" priority="17" stopIfTrue="1">
      <formula>B49=1</formula>
    </cfRule>
  </conditionalFormatting>
  <conditionalFormatting sqref="K50:P50">
    <cfRule type="cellIs" dxfId="31" priority="14" stopIfTrue="1" operator="equal">
      <formula>1</formula>
    </cfRule>
  </conditionalFormatting>
  <conditionalFormatting sqref="C50">
    <cfRule type="expression" dxfId="30" priority="15" stopIfTrue="1">
      <formula>B50=1</formula>
    </cfRule>
  </conditionalFormatting>
  <conditionalFormatting sqref="K51:P51">
    <cfRule type="cellIs" dxfId="29" priority="12" stopIfTrue="1" operator="equal">
      <formula>1</formula>
    </cfRule>
  </conditionalFormatting>
  <conditionalFormatting sqref="C51">
    <cfRule type="expression" dxfId="28" priority="13" stopIfTrue="1">
      <formula>B51=1</formula>
    </cfRule>
  </conditionalFormatting>
  <conditionalFormatting sqref="K52:P52">
    <cfRule type="cellIs" dxfId="27" priority="10" stopIfTrue="1" operator="equal">
      <formula>1</formula>
    </cfRule>
  </conditionalFormatting>
  <conditionalFormatting sqref="C52">
    <cfRule type="expression" dxfId="26" priority="11" stopIfTrue="1">
      <formula>B52=1</formula>
    </cfRule>
  </conditionalFormatting>
  <conditionalFormatting sqref="K53:P53">
    <cfRule type="cellIs" dxfId="25" priority="8" stopIfTrue="1" operator="equal">
      <formula>1</formula>
    </cfRule>
  </conditionalFormatting>
  <conditionalFormatting sqref="B53:C53 B55 B57">
    <cfRule type="expression" dxfId="24" priority="9" stopIfTrue="1">
      <formula>A53=1</formula>
    </cfRule>
  </conditionalFormatting>
  <conditionalFormatting sqref="K54:P54">
    <cfRule type="cellIs" dxfId="23" priority="6" stopIfTrue="1" operator="equal">
      <formula>1</formula>
    </cfRule>
  </conditionalFormatting>
  <conditionalFormatting sqref="B54:C54 B56">
    <cfRule type="expression" dxfId="22" priority="7" stopIfTrue="1">
      <formula>A54=1</formula>
    </cfRule>
  </conditionalFormatting>
  <conditionalFormatting sqref="K55:P55">
    <cfRule type="cellIs" dxfId="21" priority="4" stopIfTrue="1" operator="equal">
      <formula>1</formula>
    </cfRule>
  </conditionalFormatting>
  <conditionalFormatting sqref="C55">
    <cfRule type="expression" dxfId="20" priority="5" stopIfTrue="1">
      <formula>B55=1</formula>
    </cfRule>
  </conditionalFormatting>
  <conditionalFormatting sqref="K56:P56">
    <cfRule type="cellIs" dxfId="19" priority="2" stopIfTrue="1" operator="equal">
      <formula>1</formula>
    </cfRule>
  </conditionalFormatting>
  <conditionalFormatting sqref="C56">
    <cfRule type="expression" dxfId="18" priority="3" stopIfTrue="1">
      <formula>B56=1</formula>
    </cfRule>
  </conditionalFormatting>
  <conditionalFormatting sqref="B22:C22">
    <cfRule type="expression" dxfId="17" priority="1" stopIfTrue="1">
      <formula>A22=1</formula>
    </cfRule>
  </conditionalFormatting>
  <dataValidations count="2">
    <dataValidation type="list" allowBlank="1" showInputMessage="1" showErrorMessage="1" errorTitle="Tipo empleado" error="Solo admite T = temporal_x000a_o F = fijo" sqref="E12 E15" xr:uid="{00000000-0002-0000-0200-000000000000}">
      <formula1>"F,T,P"</formula1>
    </dataValidation>
    <dataValidation type="list" allowBlank="1" showInputMessage="1" showErrorMessage="1" sqref="C19:C58" xr:uid="{00000000-0002-0000-0200-000001000000}">
      <formula1>entidades</formula1>
    </dataValidation>
  </dataValidations>
  <pageMargins left="0.19685039370078741" right="0.19685039370078741" top="0.19685039370078741" bottom="0.19685039370078741" header="0.19685039370078741" footer="0.19685039370078741"/>
  <pageSetup paperSize="9" scale="48" orientation="portrait" horizontalDpi="1200" verticalDpi="1200" r:id="rId1"/>
  <headerFooter scaleWithDoc="0" alignWithMargins="0">
    <oddFooter>&amp;LSCI32PT01-PPO - 2020-v1&amp;C&amp;D&amp;R&amp;F&amp;LSCI32PT01-PPO - 2020-v1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pageSetUpPr fitToPage="1"/>
  </sheetPr>
  <dimension ref="A1:AB51"/>
  <sheetViews>
    <sheetView showZeros="0" topLeftCell="B1" zoomScale="80" workbookViewId="0">
      <selection activeCell="AB14" sqref="AB14"/>
    </sheetView>
  </sheetViews>
  <sheetFormatPr baseColWidth="10" defaultColWidth="12" defaultRowHeight="12.5" x14ac:dyDescent="0.25"/>
  <cols>
    <col min="1" max="1" width="0" style="1" hidden="1" customWidth="1"/>
    <col min="2" max="2" width="30.19921875" style="178" customWidth="1"/>
    <col min="3" max="3" width="9.796875" style="178" bestFit="1" customWidth="1"/>
    <col min="4" max="4" width="11.796875" style="180" customWidth="1"/>
    <col min="5" max="10" width="15.5" style="180" bestFit="1" customWidth="1"/>
    <col min="11" max="11" width="16.796875" style="180" customWidth="1"/>
    <col min="12" max="12" width="39" style="180" customWidth="1"/>
    <col min="13" max="13" width="3" style="178" hidden="1" customWidth="1"/>
    <col min="14" max="14" width="10.19921875" style="178" customWidth="1"/>
    <col min="15" max="15" width="12" style="178"/>
    <col min="16" max="23" width="12" style="178" hidden="1" customWidth="1"/>
    <col min="24" max="16384" width="12" style="178"/>
  </cols>
  <sheetData>
    <row r="1" spans="1:28" s="179" customFormat="1" ht="18.5" thickBot="1" x14ac:dyDescent="0.45">
      <c r="A1" s="2"/>
      <c r="B1" s="667" t="s">
        <v>42</v>
      </c>
      <c r="C1" s="668"/>
      <c r="D1" s="652">
        <f>codigo_oferta</f>
        <v>20251160543</v>
      </c>
      <c r="E1" s="653"/>
      <c r="F1"/>
      <c r="G1"/>
      <c r="H1"/>
      <c r="I1"/>
      <c r="J1"/>
      <c r="K1"/>
      <c r="L1"/>
      <c r="M1" s="240"/>
      <c r="N1" s="151"/>
      <c r="O1" s="151"/>
      <c r="P1" s="151"/>
      <c r="Q1" s="151"/>
    </row>
    <row r="2" spans="1:28" ht="21.75" customHeight="1" thickBot="1" x14ac:dyDescent="0.45">
      <c r="B2" s="1"/>
      <c r="C2" s="1"/>
      <c r="D2" s="1"/>
      <c r="E2" s="654" t="s">
        <v>10</v>
      </c>
      <c r="F2" s="654"/>
      <c r="G2" s="654"/>
      <c r="H2" s="654"/>
      <c r="I2" s="654"/>
      <c r="J2" s="654"/>
      <c r="K2" s="654"/>
      <c r="L2" s="1"/>
      <c r="M2" s="240"/>
      <c r="N2" s="151"/>
      <c r="O2" s="151"/>
      <c r="P2" s="151"/>
      <c r="Q2" s="151"/>
    </row>
    <row r="3" spans="1:28" ht="13.5" thickBot="1" x14ac:dyDescent="0.35">
      <c r="B3" s="657" t="s">
        <v>25</v>
      </c>
      <c r="C3" s="658"/>
      <c r="D3" s="191" t="s">
        <v>3</v>
      </c>
      <c r="E3" s="192">
        <f>año_inicio</f>
        <v>2026</v>
      </c>
      <c r="F3" s="193">
        <f>E3+1</f>
        <v>2027</v>
      </c>
      <c r="G3" s="194">
        <f>F3+1</f>
        <v>2028</v>
      </c>
      <c r="H3" s="194">
        <f>G3+1</f>
        <v>2029</v>
      </c>
      <c r="I3" s="194">
        <f>H3+1</f>
        <v>2030</v>
      </c>
      <c r="J3" s="194">
        <f>I3+1</f>
        <v>2031</v>
      </c>
      <c r="K3" s="191" t="s">
        <v>0</v>
      </c>
      <c r="L3" s="195" t="s">
        <v>19</v>
      </c>
      <c r="M3" s="170"/>
    </row>
    <row r="4" spans="1:28" ht="13.5" thickBot="1" x14ac:dyDescent="0.35">
      <c r="B4" s="657" t="s">
        <v>26</v>
      </c>
      <c r="C4" s="658"/>
      <c r="D4" s="196" t="s">
        <v>45</v>
      </c>
      <c r="E4" s="197">
        <f>SUM(P6:P26)</f>
        <v>85233.420000000013</v>
      </c>
      <c r="F4" s="198">
        <f t="shared" ref="F4:J4" si="0">SUM(Q6:Q26)</f>
        <v>87790.422600000005</v>
      </c>
      <c r="G4" s="198">
        <f t="shared" si="0"/>
        <v>90424.135278000002</v>
      </c>
      <c r="H4" s="198">
        <f t="shared" si="0"/>
        <v>93136.85933634</v>
      </c>
      <c r="I4" s="198">
        <f t="shared" si="0"/>
        <v>0</v>
      </c>
      <c r="J4" s="198">
        <f t="shared" si="0"/>
        <v>0</v>
      </c>
      <c r="K4" s="199">
        <f>SUM(E4:J4)</f>
        <v>356584.83721433999</v>
      </c>
      <c r="L4" s="19"/>
      <c r="M4" s="170"/>
      <c r="AB4" s="178">
        <f>'Sintesis Precio'!F18</f>
        <v>356584.83721434005</v>
      </c>
    </row>
    <row r="5" spans="1:28" ht="13.5" thickBot="1" x14ac:dyDescent="0.35">
      <c r="B5" s="184" t="s">
        <v>9</v>
      </c>
      <c r="C5" s="200" t="s">
        <v>156</v>
      </c>
      <c r="D5" s="200" t="s">
        <v>46</v>
      </c>
      <c r="E5" s="201">
        <f t="shared" ref="E5:J5" si="1">SUM(E6:E26)</f>
        <v>3564</v>
      </c>
      <c r="F5" s="202">
        <f t="shared" si="1"/>
        <v>3564</v>
      </c>
      <c r="G5" s="203">
        <f t="shared" si="1"/>
        <v>3564</v>
      </c>
      <c r="H5" s="203">
        <f t="shared" si="1"/>
        <v>3564</v>
      </c>
      <c r="I5" s="203">
        <f t="shared" si="1"/>
        <v>0</v>
      </c>
      <c r="J5" s="203">
        <f t="shared" si="1"/>
        <v>0</v>
      </c>
      <c r="K5" s="184">
        <f t="shared" ref="K5:K32" si="2">SUM(E5:J5)</f>
        <v>14256</v>
      </c>
      <c r="L5" s="1"/>
      <c r="M5" s="170">
        <f>SUM(M6:M26)</f>
        <v>0</v>
      </c>
      <c r="P5" s="231">
        <f t="shared" ref="P5" si="3">O5+1</f>
        <v>1</v>
      </c>
      <c r="Q5" s="231">
        <f t="shared" ref="Q5" si="4">P5+1</f>
        <v>2</v>
      </c>
      <c r="R5" s="231">
        <f t="shared" ref="R5" si="5">Q5+1</f>
        <v>3</v>
      </c>
      <c r="S5" s="231">
        <f t="shared" ref="S5" si="6">R5+1</f>
        <v>4</v>
      </c>
      <c r="T5" s="231">
        <f t="shared" ref="T5" si="7">S5+1</f>
        <v>5</v>
      </c>
      <c r="U5" s="231">
        <f t="shared" ref="U5" si="8">T5+1</f>
        <v>6</v>
      </c>
    </row>
    <row r="6" spans="1:28" x14ac:dyDescent="0.25">
      <c r="B6" s="109" t="s">
        <v>418</v>
      </c>
      <c r="C6" s="111" t="str">
        <f t="shared" ref="C6:C26" si="9">IF(B6=0,0,INDEX(mercantil,MATCH(B6,Nombres,0)))</f>
        <v>Connectis-ICT</v>
      </c>
      <c r="D6" s="20" t="str">
        <f t="shared" ref="D6:D12" si="10">IF(B6=0,0,INDEX(Perfiles,MATCH(B6,Nombres,0)))</f>
        <v>AP</v>
      </c>
      <c r="E6" s="21">
        <v>1742</v>
      </c>
      <c r="F6" s="21">
        <v>1742</v>
      </c>
      <c r="G6" s="21">
        <v>1742</v>
      </c>
      <c r="H6" s="21">
        <v>1742</v>
      </c>
      <c r="I6" s="21"/>
      <c r="J6" s="21"/>
      <c r="K6" s="232">
        <f t="shared" si="2"/>
        <v>6968</v>
      </c>
      <c r="L6" s="22" t="str">
        <f>IF(M6=1,"Perfil duplicado",IF(M6=2,"sin perfil definido",IF(M6=3,"perfil sin precio",B6)))</f>
        <v>Susana Matarranz</v>
      </c>
      <c r="M6" s="237" t="str">
        <f>IF(B6&lt;&gt;"",      IF(COUNTIF(Parametros!$B$19:$B$58,B6)&gt;1,1,        IF(AND(K6&lt;&gt;0,V6=0),3,"")),IF(K6&lt;&gt;0,2,"")      )</f>
        <v/>
      </c>
      <c r="P6" s="216">
        <f t="shared" ref="P6:P26" si="11">IF($W6=0,0,INDEX(Costes_reales,$W6,P$5))*E6</f>
        <v>57207.280000000006</v>
      </c>
      <c r="Q6" s="217">
        <f t="shared" ref="Q6:Q26" si="12">IF($W6=0,0,INDEX(Costes_reales,$W6,Q$5))*F6</f>
        <v>58923.498400000004</v>
      </c>
      <c r="R6" s="217">
        <f t="shared" ref="R6:R26" si="13">IF($W6=0,0,INDEX(Costes_reales,$W6,R$5))*G6</f>
        <v>60691.203352000004</v>
      </c>
      <c r="S6" s="217">
        <f t="shared" ref="S6:S26" si="14">IF($W6=0,0,INDEX(Costes_reales,$W6,S$5))*H6</f>
        <v>62511.93945256</v>
      </c>
      <c r="T6" s="217">
        <f t="shared" ref="T6:T26" si="15">IF($W6=0,0,INDEX(Costes_reales,$W6,T$5))*I6</f>
        <v>0</v>
      </c>
      <c r="U6" s="218">
        <f t="shared" ref="U6:U26" si="16">IF($W6=0,0,INDEX(Costes_reales,$W6,U$5))*J6</f>
        <v>0</v>
      </c>
      <c r="V6" s="219">
        <f t="shared" ref="V6:V26" si="17">SUM(P6:U6)</f>
        <v>239333.92120456003</v>
      </c>
      <c r="W6" s="220">
        <f t="shared" ref="W6:W26" si="18">IF(B6="",0,MATCH(B6,Nombres,0))</f>
        <v>1</v>
      </c>
    </row>
    <row r="7" spans="1:28" ht="13" x14ac:dyDescent="0.3">
      <c r="B7" s="109" t="s">
        <v>419</v>
      </c>
      <c r="C7" s="111" t="str">
        <f t="shared" si="9"/>
        <v>Connectis-ICT</v>
      </c>
      <c r="D7" s="20" t="str">
        <f t="shared" si="10"/>
        <v>PR</v>
      </c>
      <c r="E7" s="21">
        <v>1742</v>
      </c>
      <c r="F7" s="21">
        <v>1742</v>
      </c>
      <c r="G7" s="21">
        <v>1742</v>
      </c>
      <c r="H7" s="21">
        <v>1742</v>
      </c>
      <c r="I7" s="21"/>
      <c r="J7" s="21"/>
      <c r="K7" s="232">
        <f t="shared" si="2"/>
        <v>6968</v>
      </c>
      <c r="L7" s="23" t="str">
        <f t="shared" ref="L7:L26" si="19">IF(M7=1,"Perfil duplicado",IF(M7=2,"sin perfil definido",IF(M7=3,"perfil sin precio",B7)))</f>
        <v>Jorge Puertas</v>
      </c>
      <c r="M7" s="237" t="str">
        <f>IF(B7&lt;&gt;"",      IF(COUNTIF(Parametros!$B$19:$B$58,B7)&gt;1,1,        IF(AND(K7&lt;&gt;0,V7=0),3,"")),IF(K7&lt;&gt;0,2,"")      )</f>
        <v/>
      </c>
      <c r="O7" s="518"/>
      <c r="P7" s="221">
        <f t="shared" si="11"/>
        <v>26426.14</v>
      </c>
      <c r="Q7" s="222">
        <f t="shared" si="12"/>
        <v>27218.924200000001</v>
      </c>
      <c r="R7" s="222">
        <f t="shared" si="13"/>
        <v>28035.491925999999</v>
      </c>
      <c r="S7" s="222">
        <f t="shared" si="14"/>
        <v>28876.55668378</v>
      </c>
      <c r="T7" s="222">
        <f t="shared" si="15"/>
        <v>0</v>
      </c>
      <c r="U7" s="223">
        <f t="shared" si="16"/>
        <v>0</v>
      </c>
      <c r="V7" s="224">
        <f t="shared" si="17"/>
        <v>110557.11280978</v>
      </c>
      <c r="W7" s="225">
        <f t="shared" si="18"/>
        <v>2</v>
      </c>
      <c r="X7" s="546">
        <v>3513</v>
      </c>
      <c r="Y7" s="546">
        <f>K6-X7</f>
        <v>3455</v>
      </c>
      <c r="Z7" s="178">
        <f>X7+Y7</f>
        <v>6968</v>
      </c>
      <c r="AA7" s="547">
        <v>33.22</v>
      </c>
      <c r="AB7" s="178">
        <f>Z7*AA7</f>
        <v>231476.96</v>
      </c>
    </row>
    <row r="8" spans="1:28" ht="13" x14ac:dyDescent="0.3">
      <c r="B8" s="109"/>
      <c r="C8" s="111">
        <f t="shared" si="9"/>
        <v>0</v>
      </c>
      <c r="D8" s="20">
        <f t="shared" si="10"/>
        <v>0</v>
      </c>
      <c r="E8" s="21"/>
      <c r="F8" s="21"/>
      <c r="G8" s="21"/>
      <c r="H8" s="21"/>
      <c r="I8" s="21"/>
      <c r="J8" s="21"/>
      <c r="K8" s="232">
        <f t="shared" si="2"/>
        <v>0</v>
      </c>
      <c r="L8" s="23">
        <f t="shared" si="19"/>
        <v>0</v>
      </c>
      <c r="M8" s="237" t="str">
        <f>IF(B8&lt;&gt;"",      IF(COUNTIF(Parametros!$B$19:$B$58,B8)&gt;1,1,        IF(AND(K8&lt;&gt;0,V8=0),3,"")),IF(K8&lt;&gt;0,2,"")      )</f>
        <v/>
      </c>
      <c r="O8" s="518"/>
      <c r="P8" s="221">
        <f t="shared" si="11"/>
        <v>0</v>
      </c>
      <c r="Q8" s="222">
        <f t="shared" si="12"/>
        <v>0</v>
      </c>
      <c r="R8" s="222">
        <f t="shared" si="13"/>
        <v>0</v>
      </c>
      <c r="S8" s="222">
        <f t="shared" si="14"/>
        <v>0</v>
      </c>
      <c r="T8" s="222">
        <f t="shared" si="15"/>
        <v>0</v>
      </c>
      <c r="U8" s="223">
        <f t="shared" si="16"/>
        <v>0</v>
      </c>
      <c r="V8" s="224">
        <f t="shared" si="17"/>
        <v>0</v>
      </c>
      <c r="W8" s="225">
        <f t="shared" si="18"/>
        <v>0</v>
      </c>
      <c r="X8" s="546">
        <v>3478.4</v>
      </c>
      <c r="Y8" s="546">
        <f t="shared" ref="Y8" si="20">K7-X8</f>
        <v>3489.6</v>
      </c>
      <c r="Z8" s="178">
        <f>X8+Y8</f>
        <v>6968</v>
      </c>
      <c r="AA8" s="547">
        <v>15.16</v>
      </c>
      <c r="AB8" s="178">
        <f t="shared" ref="AB8:AB9" si="21">Z8*AA8</f>
        <v>105634.88</v>
      </c>
    </row>
    <row r="9" spans="1:28" x14ac:dyDescent="0.25">
      <c r="B9" s="109" t="s">
        <v>421</v>
      </c>
      <c r="C9" s="111" t="str">
        <f t="shared" si="9"/>
        <v>Connectis-ICT</v>
      </c>
      <c r="D9" s="20" t="str">
        <f t="shared" si="10"/>
        <v>AP</v>
      </c>
      <c r="E9" s="21">
        <v>80</v>
      </c>
      <c r="F9" s="21">
        <v>80</v>
      </c>
      <c r="G9" s="21">
        <v>80</v>
      </c>
      <c r="H9" s="21">
        <v>80</v>
      </c>
      <c r="I9" s="21"/>
      <c r="J9" s="21"/>
      <c r="K9" s="232">
        <f t="shared" si="2"/>
        <v>320</v>
      </c>
      <c r="L9" s="23" t="str">
        <f t="shared" si="19"/>
        <v>Sopore especializado</v>
      </c>
      <c r="M9" s="237" t="str">
        <f>IF(B9&lt;&gt;"",      IF(COUNTIF(Parametros!$B$19:$B$58,B9)&gt;1,1,        IF(AND(K9&lt;&gt;0,V9=0),3,"")),IF(K9&lt;&gt;0,2,"")      )</f>
        <v/>
      </c>
      <c r="P9" s="221">
        <f t="shared" si="11"/>
        <v>1600</v>
      </c>
      <c r="Q9" s="222">
        <f t="shared" si="12"/>
        <v>1648</v>
      </c>
      <c r="R9" s="222">
        <f t="shared" si="13"/>
        <v>1697.44</v>
      </c>
      <c r="S9" s="222">
        <f t="shared" si="14"/>
        <v>1748.3632</v>
      </c>
      <c r="T9" s="222">
        <f t="shared" si="15"/>
        <v>0</v>
      </c>
      <c r="U9" s="223">
        <f t="shared" si="16"/>
        <v>0</v>
      </c>
      <c r="V9" s="224">
        <f t="shared" si="17"/>
        <v>6693.8032000000003</v>
      </c>
      <c r="W9" s="225">
        <f t="shared" si="18"/>
        <v>4</v>
      </c>
      <c r="Z9" s="178">
        <v>320</v>
      </c>
      <c r="AA9" s="547">
        <v>20</v>
      </c>
      <c r="AB9" s="178">
        <f t="shared" si="21"/>
        <v>6400</v>
      </c>
    </row>
    <row r="10" spans="1:28" x14ac:dyDescent="0.25">
      <c r="B10" s="109"/>
      <c r="C10" s="111">
        <f t="shared" si="9"/>
        <v>0</v>
      </c>
      <c r="D10" s="20">
        <f t="shared" si="10"/>
        <v>0</v>
      </c>
      <c r="E10" s="21"/>
      <c r="F10" s="21"/>
      <c r="G10" s="21"/>
      <c r="H10" s="21"/>
      <c r="I10" s="21"/>
      <c r="J10" s="21"/>
      <c r="K10" s="232">
        <f t="shared" si="2"/>
        <v>0</v>
      </c>
      <c r="L10" s="23">
        <f t="shared" si="19"/>
        <v>0</v>
      </c>
      <c r="M10" s="237" t="str">
        <f>IF(B10&lt;&gt;"",      IF(COUNTIF(Parametros!$B$19:$B$58,B10)&gt;1,1,        IF(AND(K10&lt;&gt;0,V10=0),3,"")),IF(K10&lt;&gt;0,2,"")      )</f>
        <v/>
      </c>
      <c r="P10" s="221">
        <f t="shared" si="11"/>
        <v>0</v>
      </c>
      <c r="Q10" s="222">
        <f t="shared" si="12"/>
        <v>0</v>
      </c>
      <c r="R10" s="222">
        <f t="shared" si="13"/>
        <v>0</v>
      </c>
      <c r="S10" s="222">
        <f t="shared" si="14"/>
        <v>0</v>
      </c>
      <c r="T10" s="222">
        <f t="shared" si="15"/>
        <v>0</v>
      </c>
      <c r="U10" s="223">
        <f t="shared" si="16"/>
        <v>0</v>
      </c>
      <c r="V10" s="224">
        <f t="shared" si="17"/>
        <v>0</v>
      </c>
      <c r="W10" s="225">
        <f t="shared" si="18"/>
        <v>0</v>
      </c>
    </row>
    <row r="11" spans="1:28" x14ac:dyDescent="0.25">
      <c r="B11" s="109"/>
      <c r="C11" s="111">
        <f t="shared" si="9"/>
        <v>0</v>
      </c>
      <c r="D11" s="20">
        <f t="shared" si="10"/>
        <v>0</v>
      </c>
      <c r="E11" s="21"/>
      <c r="F11" s="21"/>
      <c r="G11" s="21"/>
      <c r="H11" s="21"/>
      <c r="I11" s="21"/>
      <c r="J11" s="21"/>
      <c r="K11" s="232">
        <f t="shared" si="2"/>
        <v>0</v>
      </c>
      <c r="L11" s="23"/>
      <c r="M11" s="237" t="str">
        <f>IF(B11&lt;&gt;"",      IF(COUNTIF(Parametros!$B$19:$B$58,B11)&gt;1,1,        IF(AND(K11&lt;&gt;0,V11=0),3,"")),IF(K11&lt;&gt;0,2,"")      )</f>
        <v/>
      </c>
      <c r="P11" s="221">
        <f t="shared" si="11"/>
        <v>0</v>
      </c>
      <c r="Q11" s="222">
        <f t="shared" si="12"/>
        <v>0</v>
      </c>
      <c r="R11" s="222">
        <f t="shared" si="13"/>
        <v>0</v>
      </c>
      <c r="S11" s="222">
        <f t="shared" si="14"/>
        <v>0</v>
      </c>
      <c r="T11" s="222">
        <f t="shared" si="15"/>
        <v>0</v>
      </c>
      <c r="U11" s="223">
        <f t="shared" si="16"/>
        <v>0</v>
      </c>
      <c r="V11" s="224">
        <f t="shared" si="17"/>
        <v>0</v>
      </c>
      <c r="W11" s="225">
        <f t="shared" si="18"/>
        <v>0</v>
      </c>
      <c r="AB11" s="178">
        <f>SUM(AB7:AB10)</f>
        <v>343511.83999999997</v>
      </c>
    </row>
    <row r="12" spans="1:28" x14ac:dyDescent="0.25">
      <c r="B12" s="109"/>
      <c r="C12" s="111">
        <f t="shared" si="9"/>
        <v>0</v>
      </c>
      <c r="D12" s="20">
        <f t="shared" si="10"/>
        <v>0</v>
      </c>
      <c r="E12" s="21"/>
      <c r="F12" s="21"/>
      <c r="G12" s="21"/>
      <c r="H12" s="21"/>
      <c r="I12" s="21"/>
      <c r="J12" s="21"/>
      <c r="K12" s="232">
        <f t="shared" si="2"/>
        <v>0</v>
      </c>
      <c r="L12" s="23">
        <f t="shared" si="19"/>
        <v>0</v>
      </c>
      <c r="M12" s="237" t="str">
        <f>IF(B12&lt;&gt;"",      IF(COUNTIF(Parametros!$B$19:$B$58,B12)&gt;1,1,        IF(AND(K12&lt;&gt;0,V12=0),3,"")),IF(K12&lt;&gt;0,2,"")      )</f>
        <v/>
      </c>
      <c r="P12" s="221">
        <f t="shared" si="11"/>
        <v>0</v>
      </c>
      <c r="Q12" s="222">
        <f t="shared" si="12"/>
        <v>0</v>
      </c>
      <c r="R12" s="222">
        <f t="shared" si="13"/>
        <v>0</v>
      </c>
      <c r="S12" s="222">
        <f t="shared" si="14"/>
        <v>0</v>
      </c>
      <c r="T12" s="222">
        <f t="shared" si="15"/>
        <v>0</v>
      </c>
      <c r="U12" s="223">
        <f t="shared" si="16"/>
        <v>0</v>
      </c>
      <c r="V12" s="224">
        <f t="shared" si="17"/>
        <v>0</v>
      </c>
      <c r="W12" s="225">
        <f t="shared" si="18"/>
        <v>0</v>
      </c>
      <c r="Y12" s="514"/>
    </row>
    <row r="13" spans="1:28" x14ac:dyDescent="0.25">
      <c r="B13" s="109"/>
      <c r="C13" s="111">
        <f t="shared" si="9"/>
        <v>0</v>
      </c>
      <c r="D13" s="20">
        <f t="shared" ref="D13:D18" si="22">IF(B13=0,0,INDEX(Perfiles,MATCH(B13,Nombres,0)))</f>
        <v>0</v>
      </c>
      <c r="E13" s="21"/>
      <c r="F13" s="21"/>
      <c r="G13" s="21"/>
      <c r="H13" s="21"/>
      <c r="I13" s="21"/>
      <c r="J13" s="21"/>
      <c r="K13" s="232">
        <f t="shared" si="2"/>
        <v>0</v>
      </c>
      <c r="L13" s="23">
        <f t="shared" si="19"/>
        <v>0</v>
      </c>
      <c r="M13" s="237" t="str">
        <f>IF(B13&lt;&gt;"",      IF(COUNTIF(Parametros!$B$19:$B$58,B13)&gt;1,1,        IF(AND(K13&lt;&gt;0,V13=0),3,"")),IF(K13&lt;&gt;0,2,"")      )</f>
        <v/>
      </c>
      <c r="P13" s="221">
        <f t="shared" si="11"/>
        <v>0</v>
      </c>
      <c r="Q13" s="222">
        <f t="shared" si="12"/>
        <v>0</v>
      </c>
      <c r="R13" s="222">
        <f t="shared" si="13"/>
        <v>0</v>
      </c>
      <c r="S13" s="222">
        <f t="shared" si="14"/>
        <v>0</v>
      </c>
      <c r="T13" s="222">
        <f t="shared" si="15"/>
        <v>0</v>
      </c>
      <c r="U13" s="223">
        <f t="shared" si="16"/>
        <v>0</v>
      </c>
      <c r="V13" s="224">
        <f t="shared" si="17"/>
        <v>0</v>
      </c>
      <c r="W13" s="225">
        <f t="shared" si="18"/>
        <v>0</v>
      </c>
      <c r="AB13" s="178">
        <f>AB4-AB11</f>
        <v>13072.997214340081</v>
      </c>
    </row>
    <row r="14" spans="1:28" x14ac:dyDescent="0.25">
      <c r="B14" s="109"/>
      <c r="C14" s="111">
        <f t="shared" si="9"/>
        <v>0</v>
      </c>
      <c r="D14" s="20">
        <f t="shared" si="22"/>
        <v>0</v>
      </c>
      <c r="E14" s="21"/>
      <c r="F14" s="21"/>
      <c r="G14" s="21"/>
      <c r="H14" s="21"/>
      <c r="I14" s="21"/>
      <c r="J14" s="21"/>
      <c r="K14" s="232">
        <f t="shared" si="2"/>
        <v>0</v>
      </c>
      <c r="L14" s="23">
        <f t="shared" si="19"/>
        <v>0</v>
      </c>
      <c r="M14" s="237" t="str">
        <f>IF(B14&lt;&gt;"",      IF(COUNTIF(Parametros!$B$19:$B$58,B14)&gt;1,1,        IF(AND(K14&lt;&gt;0,V14=0),3,"")),IF(K14&lt;&gt;0,2,"")      )</f>
        <v/>
      </c>
      <c r="P14" s="221">
        <f t="shared" si="11"/>
        <v>0</v>
      </c>
      <c r="Q14" s="222">
        <f t="shared" si="12"/>
        <v>0</v>
      </c>
      <c r="R14" s="222">
        <f t="shared" si="13"/>
        <v>0</v>
      </c>
      <c r="S14" s="222">
        <f t="shared" si="14"/>
        <v>0</v>
      </c>
      <c r="T14" s="222">
        <f t="shared" si="15"/>
        <v>0</v>
      </c>
      <c r="U14" s="223">
        <f t="shared" si="16"/>
        <v>0</v>
      </c>
      <c r="V14" s="224">
        <f t="shared" si="17"/>
        <v>0</v>
      </c>
      <c r="W14" s="225">
        <f t="shared" si="18"/>
        <v>0</v>
      </c>
    </row>
    <row r="15" spans="1:28" x14ac:dyDescent="0.25">
      <c r="B15" s="109"/>
      <c r="C15" s="111">
        <f t="shared" si="9"/>
        <v>0</v>
      </c>
      <c r="D15" s="20">
        <f t="shared" si="22"/>
        <v>0</v>
      </c>
      <c r="E15" s="21"/>
      <c r="F15" s="21"/>
      <c r="G15" s="21"/>
      <c r="H15" s="21"/>
      <c r="I15" s="21"/>
      <c r="J15" s="21"/>
      <c r="K15" s="232">
        <f t="shared" si="2"/>
        <v>0</v>
      </c>
      <c r="L15" s="23">
        <f t="shared" si="19"/>
        <v>0</v>
      </c>
      <c r="M15" s="237" t="str">
        <f>IF(B15&lt;&gt;"",      IF(COUNTIF(Parametros!$B$19:$B$58,B15)&gt;1,1,        IF(AND(K15&lt;&gt;0,V15=0),3,"")),IF(K15&lt;&gt;0,2,"")      )</f>
        <v/>
      </c>
      <c r="P15" s="221">
        <f t="shared" si="11"/>
        <v>0</v>
      </c>
      <c r="Q15" s="222">
        <f t="shared" si="12"/>
        <v>0</v>
      </c>
      <c r="R15" s="222">
        <f t="shared" si="13"/>
        <v>0</v>
      </c>
      <c r="S15" s="222">
        <f t="shared" si="14"/>
        <v>0</v>
      </c>
      <c r="T15" s="222">
        <f t="shared" si="15"/>
        <v>0</v>
      </c>
      <c r="U15" s="223">
        <f t="shared" si="16"/>
        <v>0</v>
      </c>
      <c r="V15" s="224">
        <f t="shared" si="17"/>
        <v>0</v>
      </c>
      <c r="W15" s="225">
        <f t="shared" si="18"/>
        <v>0</v>
      </c>
    </row>
    <row r="16" spans="1:28" x14ac:dyDescent="0.25">
      <c r="B16" s="109"/>
      <c r="C16" s="111">
        <f t="shared" si="9"/>
        <v>0</v>
      </c>
      <c r="D16" s="20">
        <f t="shared" si="22"/>
        <v>0</v>
      </c>
      <c r="E16" s="21"/>
      <c r="F16" s="21"/>
      <c r="G16" s="21"/>
      <c r="H16" s="21"/>
      <c r="I16" s="21"/>
      <c r="J16" s="21"/>
      <c r="K16" s="232">
        <f t="shared" si="2"/>
        <v>0</v>
      </c>
      <c r="L16" s="23">
        <f t="shared" si="19"/>
        <v>0</v>
      </c>
      <c r="M16" s="237" t="str">
        <f>IF(B16&lt;&gt;"",      IF(COUNTIF(Parametros!$B$19:$B$58,B16)&gt;1,1,        IF(AND(K16&lt;&gt;0,V16=0),3,"")),IF(K16&lt;&gt;0,2,"")      )</f>
        <v/>
      </c>
      <c r="P16" s="221">
        <f t="shared" si="11"/>
        <v>0</v>
      </c>
      <c r="Q16" s="222">
        <f t="shared" si="12"/>
        <v>0</v>
      </c>
      <c r="R16" s="222">
        <f t="shared" si="13"/>
        <v>0</v>
      </c>
      <c r="S16" s="222">
        <f t="shared" si="14"/>
        <v>0</v>
      </c>
      <c r="T16" s="222">
        <f t="shared" si="15"/>
        <v>0</v>
      </c>
      <c r="U16" s="223">
        <f t="shared" si="16"/>
        <v>0</v>
      </c>
      <c r="V16" s="224">
        <f t="shared" si="17"/>
        <v>0</v>
      </c>
      <c r="W16" s="225">
        <f t="shared" si="18"/>
        <v>0</v>
      </c>
    </row>
    <row r="17" spans="1:23" x14ac:dyDescent="0.25">
      <c r="B17" s="109"/>
      <c r="C17" s="111">
        <f t="shared" si="9"/>
        <v>0</v>
      </c>
      <c r="D17" s="20">
        <f t="shared" si="22"/>
        <v>0</v>
      </c>
      <c r="E17" s="21"/>
      <c r="F17" s="21"/>
      <c r="G17" s="21"/>
      <c r="H17" s="21"/>
      <c r="I17" s="21"/>
      <c r="J17" s="21"/>
      <c r="K17" s="232">
        <f t="shared" si="2"/>
        <v>0</v>
      </c>
      <c r="L17" s="23">
        <f t="shared" si="19"/>
        <v>0</v>
      </c>
      <c r="M17" s="237" t="str">
        <f>IF(B17&lt;&gt;"",      IF(COUNTIF(Parametros!$B$19:$B$58,B17)&gt;1,1,        IF(AND(K17&lt;&gt;0,V17=0),3,"")),IF(K17&lt;&gt;0,2,"")      )</f>
        <v/>
      </c>
      <c r="P17" s="221">
        <f t="shared" si="11"/>
        <v>0</v>
      </c>
      <c r="Q17" s="222">
        <f t="shared" si="12"/>
        <v>0</v>
      </c>
      <c r="R17" s="222">
        <f t="shared" si="13"/>
        <v>0</v>
      </c>
      <c r="S17" s="222">
        <f t="shared" si="14"/>
        <v>0</v>
      </c>
      <c r="T17" s="222">
        <f t="shared" si="15"/>
        <v>0</v>
      </c>
      <c r="U17" s="223">
        <f t="shared" si="16"/>
        <v>0</v>
      </c>
      <c r="V17" s="224">
        <f t="shared" si="17"/>
        <v>0</v>
      </c>
      <c r="W17" s="225">
        <f t="shared" si="18"/>
        <v>0</v>
      </c>
    </row>
    <row r="18" spans="1:23" x14ac:dyDescent="0.25">
      <c r="B18" s="109"/>
      <c r="C18" s="111">
        <f t="shared" si="9"/>
        <v>0</v>
      </c>
      <c r="D18" s="20">
        <f t="shared" si="22"/>
        <v>0</v>
      </c>
      <c r="E18" s="21"/>
      <c r="F18" s="21"/>
      <c r="G18" s="21"/>
      <c r="H18" s="21"/>
      <c r="I18" s="21"/>
      <c r="J18" s="21"/>
      <c r="K18" s="232">
        <f t="shared" si="2"/>
        <v>0</v>
      </c>
      <c r="L18" s="23">
        <f t="shared" si="19"/>
        <v>0</v>
      </c>
      <c r="M18" s="237" t="str">
        <f>IF(B18&lt;&gt;"",      IF(COUNTIF(Parametros!$B$19:$B$58,B18)&gt;1,1,        IF(AND(K18&lt;&gt;0,V18=0),3,"")),IF(K18&lt;&gt;0,2,"")      )</f>
        <v/>
      </c>
      <c r="P18" s="221">
        <f t="shared" si="11"/>
        <v>0</v>
      </c>
      <c r="Q18" s="222">
        <f t="shared" si="12"/>
        <v>0</v>
      </c>
      <c r="R18" s="222">
        <f t="shared" si="13"/>
        <v>0</v>
      </c>
      <c r="S18" s="222">
        <f t="shared" si="14"/>
        <v>0</v>
      </c>
      <c r="T18" s="222">
        <f t="shared" si="15"/>
        <v>0</v>
      </c>
      <c r="U18" s="223">
        <f t="shared" si="16"/>
        <v>0</v>
      </c>
      <c r="V18" s="224">
        <f t="shared" si="17"/>
        <v>0</v>
      </c>
      <c r="W18" s="225">
        <f t="shared" si="18"/>
        <v>0</v>
      </c>
    </row>
    <row r="19" spans="1:23" x14ac:dyDescent="0.25">
      <c r="B19" s="109"/>
      <c r="C19" s="111">
        <f t="shared" si="9"/>
        <v>0</v>
      </c>
      <c r="D19" s="20">
        <f t="shared" ref="D19:D24" si="23">IF(B19=0,0,INDEX(Perfiles,MATCH(B19,Nombres,0)))</f>
        <v>0</v>
      </c>
      <c r="E19" s="24"/>
      <c r="F19" s="21"/>
      <c r="G19" s="25"/>
      <c r="H19" s="25"/>
      <c r="I19" s="25"/>
      <c r="J19" s="25"/>
      <c r="K19" s="232">
        <f t="shared" si="2"/>
        <v>0</v>
      </c>
      <c r="L19" s="23">
        <f t="shared" si="19"/>
        <v>0</v>
      </c>
      <c r="M19" s="237" t="str">
        <f>IF(B19&lt;&gt;"",      IF(COUNTIF(Parametros!$B$19:$B$58,B19)&gt;1,1,        IF(AND(K19&lt;&gt;0,V19=0),3,"")),IF(K19&lt;&gt;0,2,"")      )</f>
        <v/>
      </c>
      <c r="P19" s="221">
        <f t="shared" si="11"/>
        <v>0</v>
      </c>
      <c r="Q19" s="222">
        <f t="shared" si="12"/>
        <v>0</v>
      </c>
      <c r="R19" s="222">
        <f t="shared" si="13"/>
        <v>0</v>
      </c>
      <c r="S19" s="222">
        <f t="shared" si="14"/>
        <v>0</v>
      </c>
      <c r="T19" s="222">
        <f t="shared" si="15"/>
        <v>0</v>
      </c>
      <c r="U19" s="223">
        <f t="shared" si="16"/>
        <v>0</v>
      </c>
      <c r="V19" s="224">
        <f t="shared" si="17"/>
        <v>0</v>
      </c>
      <c r="W19" s="225">
        <f t="shared" si="18"/>
        <v>0</v>
      </c>
    </row>
    <row r="20" spans="1:23" x14ac:dyDescent="0.25">
      <c r="B20" s="109"/>
      <c r="C20" s="111">
        <f t="shared" si="9"/>
        <v>0</v>
      </c>
      <c r="D20" s="20">
        <f t="shared" si="23"/>
        <v>0</v>
      </c>
      <c r="E20" s="24"/>
      <c r="F20" s="21"/>
      <c r="G20" s="25"/>
      <c r="H20" s="25"/>
      <c r="I20" s="25"/>
      <c r="J20" s="25"/>
      <c r="K20" s="232">
        <f t="shared" si="2"/>
        <v>0</v>
      </c>
      <c r="L20" s="23">
        <f t="shared" si="19"/>
        <v>0</v>
      </c>
      <c r="M20" s="237" t="str">
        <f>IF(B20&lt;&gt;"",      IF(COUNTIF(Parametros!$B$19:$B$58,B20)&gt;1,1,        IF(AND(K20&lt;&gt;0,V20=0),3,"")),IF(K20&lt;&gt;0,2,"")      )</f>
        <v/>
      </c>
      <c r="P20" s="221">
        <f t="shared" si="11"/>
        <v>0</v>
      </c>
      <c r="Q20" s="222">
        <f t="shared" si="12"/>
        <v>0</v>
      </c>
      <c r="R20" s="222">
        <f t="shared" si="13"/>
        <v>0</v>
      </c>
      <c r="S20" s="222">
        <f t="shared" si="14"/>
        <v>0</v>
      </c>
      <c r="T20" s="222">
        <f t="shared" si="15"/>
        <v>0</v>
      </c>
      <c r="U20" s="223">
        <f t="shared" si="16"/>
        <v>0</v>
      </c>
      <c r="V20" s="224">
        <f t="shared" si="17"/>
        <v>0</v>
      </c>
      <c r="W20" s="225">
        <f t="shared" si="18"/>
        <v>0</v>
      </c>
    </row>
    <row r="21" spans="1:23" x14ac:dyDescent="0.25">
      <c r="B21" s="109"/>
      <c r="C21" s="111">
        <f t="shared" si="9"/>
        <v>0</v>
      </c>
      <c r="D21" s="20">
        <f t="shared" si="23"/>
        <v>0</v>
      </c>
      <c r="E21" s="24"/>
      <c r="F21" s="21"/>
      <c r="G21" s="25"/>
      <c r="H21" s="25"/>
      <c r="I21" s="25"/>
      <c r="J21" s="25"/>
      <c r="K21" s="232">
        <f t="shared" si="2"/>
        <v>0</v>
      </c>
      <c r="L21" s="23">
        <f t="shared" si="19"/>
        <v>0</v>
      </c>
      <c r="M21" s="237" t="str">
        <f>IF(B21&lt;&gt;"",      IF(COUNTIF(Parametros!$B$19:$B$58,B21)&gt;1,1,        IF(AND(K21&lt;&gt;0,V21=0),3,"")),IF(K21&lt;&gt;0,2,"")      )</f>
        <v/>
      </c>
      <c r="P21" s="221">
        <f t="shared" si="11"/>
        <v>0</v>
      </c>
      <c r="Q21" s="222">
        <f t="shared" si="12"/>
        <v>0</v>
      </c>
      <c r="R21" s="222">
        <f t="shared" si="13"/>
        <v>0</v>
      </c>
      <c r="S21" s="222">
        <f t="shared" si="14"/>
        <v>0</v>
      </c>
      <c r="T21" s="222">
        <f t="shared" si="15"/>
        <v>0</v>
      </c>
      <c r="U21" s="223">
        <f t="shared" si="16"/>
        <v>0</v>
      </c>
      <c r="V21" s="224">
        <f t="shared" si="17"/>
        <v>0</v>
      </c>
      <c r="W21" s="225">
        <f t="shared" si="18"/>
        <v>0</v>
      </c>
    </row>
    <row r="22" spans="1:23" x14ac:dyDescent="0.25">
      <c r="B22" s="109"/>
      <c r="C22" s="111">
        <f t="shared" si="9"/>
        <v>0</v>
      </c>
      <c r="D22" s="20">
        <f t="shared" si="23"/>
        <v>0</v>
      </c>
      <c r="E22" s="24"/>
      <c r="F22" s="21"/>
      <c r="G22" s="25"/>
      <c r="H22" s="25"/>
      <c r="I22" s="25"/>
      <c r="J22" s="25"/>
      <c r="K22" s="232">
        <f t="shared" si="2"/>
        <v>0</v>
      </c>
      <c r="L22" s="23">
        <f t="shared" si="19"/>
        <v>0</v>
      </c>
      <c r="M22" s="237" t="str">
        <f>IF(B22&lt;&gt;"",      IF(COUNTIF(Parametros!$B$19:$B$58,B22)&gt;1,1,        IF(AND(K22&lt;&gt;0,V22=0),3,"")),IF(K22&lt;&gt;0,2,"")      )</f>
        <v/>
      </c>
      <c r="P22" s="221">
        <f t="shared" si="11"/>
        <v>0</v>
      </c>
      <c r="Q22" s="222">
        <f t="shared" si="12"/>
        <v>0</v>
      </c>
      <c r="R22" s="222">
        <f t="shared" si="13"/>
        <v>0</v>
      </c>
      <c r="S22" s="222">
        <f t="shared" si="14"/>
        <v>0</v>
      </c>
      <c r="T22" s="222">
        <f t="shared" si="15"/>
        <v>0</v>
      </c>
      <c r="U22" s="223">
        <f t="shared" si="16"/>
        <v>0</v>
      </c>
      <c r="V22" s="224">
        <f t="shared" si="17"/>
        <v>0</v>
      </c>
      <c r="W22" s="225">
        <f t="shared" si="18"/>
        <v>0</v>
      </c>
    </row>
    <row r="23" spans="1:23" x14ac:dyDescent="0.25">
      <c r="B23" s="109"/>
      <c r="C23" s="111">
        <f t="shared" si="9"/>
        <v>0</v>
      </c>
      <c r="D23" s="20">
        <f t="shared" si="23"/>
        <v>0</v>
      </c>
      <c r="E23" s="24"/>
      <c r="F23" s="21"/>
      <c r="G23" s="25"/>
      <c r="H23" s="25"/>
      <c r="I23" s="25"/>
      <c r="J23" s="25"/>
      <c r="K23" s="232">
        <f t="shared" si="2"/>
        <v>0</v>
      </c>
      <c r="L23" s="23">
        <f t="shared" si="19"/>
        <v>0</v>
      </c>
      <c r="M23" s="237" t="str">
        <f>IF(B23&lt;&gt;"",      IF(COUNTIF(Parametros!$B$19:$B$58,B23)&gt;1,1,        IF(AND(K23&lt;&gt;0,V23=0),3,"")),IF(K23&lt;&gt;0,2,"")      )</f>
        <v/>
      </c>
      <c r="P23" s="221">
        <f t="shared" si="11"/>
        <v>0</v>
      </c>
      <c r="Q23" s="222">
        <f t="shared" si="12"/>
        <v>0</v>
      </c>
      <c r="R23" s="222">
        <f t="shared" si="13"/>
        <v>0</v>
      </c>
      <c r="S23" s="222">
        <f t="shared" si="14"/>
        <v>0</v>
      </c>
      <c r="T23" s="222">
        <f t="shared" si="15"/>
        <v>0</v>
      </c>
      <c r="U23" s="223">
        <f t="shared" si="16"/>
        <v>0</v>
      </c>
      <c r="V23" s="224">
        <f t="shared" si="17"/>
        <v>0</v>
      </c>
      <c r="W23" s="225">
        <f t="shared" si="18"/>
        <v>0</v>
      </c>
    </row>
    <row r="24" spans="1:23" x14ac:dyDescent="0.25">
      <c r="B24" s="109"/>
      <c r="C24" s="111">
        <f t="shared" si="9"/>
        <v>0</v>
      </c>
      <c r="D24" s="20">
        <f t="shared" si="23"/>
        <v>0</v>
      </c>
      <c r="E24" s="24"/>
      <c r="F24" s="21"/>
      <c r="G24" s="25"/>
      <c r="H24" s="25"/>
      <c r="I24" s="25"/>
      <c r="J24" s="25"/>
      <c r="K24" s="232">
        <f t="shared" si="2"/>
        <v>0</v>
      </c>
      <c r="L24" s="23">
        <f t="shared" si="19"/>
        <v>0</v>
      </c>
      <c r="M24" s="237" t="str">
        <f>IF(B24&lt;&gt;"",      IF(COUNTIF(Parametros!$B$19:$B$58,B24)&gt;1,1,        IF(AND(K24&lt;&gt;0,V24=0),3,"")),IF(K24&lt;&gt;0,2,"")      )</f>
        <v/>
      </c>
      <c r="P24" s="221">
        <f t="shared" si="11"/>
        <v>0</v>
      </c>
      <c r="Q24" s="222">
        <f t="shared" si="12"/>
        <v>0</v>
      </c>
      <c r="R24" s="222">
        <f t="shared" si="13"/>
        <v>0</v>
      </c>
      <c r="S24" s="222">
        <f t="shared" si="14"/>
        <v>0</v>
      </c>
      <c r="T24" s="222">
        <f t="shared" si="15"/>
        <v>0</v>
      </c>
      <c r="U24" s="223">
        <f t="shared" si="16"/>
        <v>0</v>
      </c>
      <c r="V24" s="224">
        <f t="shared" si="17"/>
        <v>0</v>
      </c>
      <c r="W24" s="225">
        <f t="shared" si="18"/>
        <v>0</v>
      </c>
    </row>
    <row r="25" spans="1:23" x14ac:dyDescent="0.25">
      <c r="B25" s="109"/>
      <c r="C25" s="111">
        <f t="shared" si="9"/>
        <v>0</v>
      </c>
      <c r="D25" s="20">
        <f>IF(B25=0,0,INDEX(Perfiles,MATCH(B25,Nombres,0)))</f>
        <v>0</v>
      </c>
      <c r="E25" s="24"/>
      <c r="F25" s="21"/>
      <c r="G25" s="25"/>
      <c r="H25" s="25"/>
      <c r="I25" s="25"/>
      <c r="J25" s="25"/>
      <c r="K25" s="232">
        <f t="shared" si="2"/>
        <v>0</v>
      </c>
      <c r="L25" s="23">
        <f t="shared" si="19"/>
        <v>0</v>
      </c>
      <c r="M25" s="237" t="str">
        <f>IF(B25&lt;&gt;"",      IF(COUNTIF(Parametros!$B$19:$B$58,B25)&gt;1,1,        IF(AND(K25&lt;&gt;0,V25=0),3,"")),IF(K25&lt;&gt;0,2,"")      )</f>
        <v/>
      </c>
      <c r="P25" s="221">
        <f t="shared" si="11"/>
        <v>0</v>
      </c>
      <c r="Q25" s="222">
        <f t="shared" si="12"/>
        <v>0</v>
      </c>
      <c r="R25" s="222">
        <f t="shared" si="13"/>
        <v>0</v>
      </c>
      <c r="S25" s="222">
        <f t="shared" si="14"/>
        <v>0</v>
      </c>
      <c r="T25" s="222">
        <f t="shared" si="15"/>
        <v>0</v>
      </c>
      <c r="U25" s="223">
        <f t="shared" si="16"/>
        <v>0</v>
      </c>
      <c r="V25" s="224">
        <f t="shared" si="17"/>
        <v>0</v>
      </c>
      <c r="W25" s="225">
        <f t="shared" si="18"/>
        <v>0</v>
      </c>
    </row>
    <row r="26" spans="1:23" ht="13" thickBot="1" x14ac:dyDescent="0.3">
      <c r="A26" s="1">
        <f>ROW()</f>
        <v>26</v>
      </c>
      <c r="B26" s="110"/>
      <c r="C26" s="112">
        <f t="shared" si="9"/>
        <v>0</v>
      </c>
      <c r="D26" s="26">
        <f>IF(B26=0,0,INDEX(Perfiles,MATCH(B26,Nombres,0)))</f>
        <v>0</v>
      </c>
      <c r="E26" s="27"/>
      <c r="F26" s="28"/>
      <c r="G26" s="29"/>
      <c r="H26" s="29"/>
      <c r="I26" s="29"/>
      <c r="J26" s="29"/>
      <c r="K26" s="233">
        <f t="shared" si="2"/>
        <v>0</v>
      </c>
      <c r="L26" s="30">
        <f t="shared" si="19"/>
        <v>0</v>
      </c>
      <c r="M26" s="237" t="str">
        <f>IF(B26&lt;&gt;"",      IF(COUNTIF(Parametros!$B$19:$B$58,B26)&gt;1,1,        IF(AND(K26&lt;&gt;0,V26=0),3,"")),IF(K26&lt;&gt;0,2,"")      )</f>
        <v/>
      </c>
      <c r="P26" s="226">
        <f t="shared" si="11"/>
        <v>0</v>
      </c>
      <c r="Q26" s="227">
        <f t="shared" si="12"/>
        <v>0</v>
      </c>
      <c r="R26" s="227">
        <f t="shared" si="13"/>
        <v>0</v>
      </c>
      <c r="S26" s="227">
        <f t="shared" si="14"/>
        <v>0</v>
      </c>
      <c r="T26" s="227">
        <f t="shared" si="15"/>
        <v>0</v>
      </c>
      <c r="U26" s="228">
        <f t="shared" si="16"/>
        <v>0</v>
      </c>
      <c r="V26" s="229">
        <f t="shared" si="17"/>
        <v>0</v>
      </c>
      <c r="W26" s="230">
        <f t="shared" si="18"/>
        <v>0</v>
      </c>
    </row>
    <row r="27" spans="1:23" ht="7.5" customHeight="1" thickBot="1" x14ac:dyDescent="0.35">
      <c r="B27" s="1"/>
      <c r="C27" s="1"/>
      <c r="D27" s="1"/>
      <c r="E27" s="1"/>
      <c r="F27" s="1"/>
      <c r="G27" s="1"/>
      <c r="H27" s="1"/>
      <c r="I27" s="1"/>
      <c r="J27"/>
      <c r="K27"/>
      <c r="L27"/>
      <c r="M27" s="170"/>
    </row>
    <row r="28" spans="1:23" s="180" customFormat="1" ht="13.5" thickBot="1" x14ac:dyDescent="0.35">
      <c r="A28" s="3"/>
      <c r="B28" s="657" t="s">
        <v>1</v>
      </c>
      <c r="C28" s="658"/>
      <c r="D28" s="196" t="s">
        <v>45</v>
      </c>
      <c r="E28" s="197">
        <f t="shared" ref="E28:J28" si="24">SUM(E29:E32)</f>
        <v>0</v>
      </c>
      <c r="F28" s="198">
        <f t="shared" si="24"/>
        <v>0</v>
      </c>
      <c r="G28" s="198">
        <f t="shared" si="24"/>
        <v>0</v>
      </c>
      <c r="H28" s="198">
        <f t="shared" si="24"/>
        <v>0</v>
      </c>
      <c r="I28" s="198">
        <f t="shared" si="24"/>
        <v>0</v>
      </c>
      <c r="J28" s="204">
        <f t="shared" si="24"/>
        <v>0</v>
      </c>
      <c r="K28" s="199">
        <f t="shared" si="2"/>
        <v>0</v>
      </c>
      <c r="L28" s="205" t="s">
        <v>225</v>
      </c>
      <c r="M28" s="231"/>
    </row>
    <row r="29" spans="1:23" x14ac:dyDescent="0.25">
      <c r="B29" s="673"/>
      <c r="C29" s="674"/>
      <c r="D29" s="206"/>
      <c r="E29" s="32"/>
      <c r="F29" s="33"/>
      <c r="G29" s="33"/>
      <c r="H29" s="33"/>
      <c r="I29" s="33"/>
      <c r="J29" s="33"/>
      <c r="K29" s="334">
        <f t="shared" si="2"/>
        <v>0</v>
      </c>
      <c r="L29" s="339">
        <f t="shared" ref="L29:L50" si="25">B29</f>
        <v>0</v>
      </c>
      <c r="M29" s="170"/>
    </row>
    <row r="30" spans="1:23" x14ac:dyDescent="0.25">
      <c r="B30" s="655"/>
      <c r="C30" s="656"/>
      <c r="D30" s="188"/>
      <c r="E30" s="34"/>
      <c r="F30" s="35"/>
      <c r="G30" s="35"/>
      <c r="H30" s="35"/>
      <c r="I30" s="35"/>
      <c r="J30" s="35"/>
      <c r="K30" s="234">
        <f t="shared" ref="K30" si="26">SUM(E30:J30)</f>
        <v>0</v>
      </c>
      <c r="L30" s="338">
        <f>B30</f>
        <v>0</v>
      </c>
      <c r="M30" s="170"/>
    </row>
    <row r="31" spans="1:23" x14ac:dyDescent="0.25">
      <c r="B31" s="655"/>
      <c r="C31" s="656"/>
      <c r="D31" s="188"/>
      <c r="E31" s="34"/>
      <c r="F31" s="35"/>
      <c r="G31" s="35"/>
      <c r="H31" s="35"/>
      <c r="I31" s="35"/>
      <c r="J31" s="35"/>
      <c r="K31" s="234">
        <f t="shared" si="2"/>
        <v>0</v>
      </c>
      <c r="L31" s="338">
        <f t="shared" si="25"/>
        <v>0</v>
      </c>
      <c r="M31" s="170"/>
    </row>
    <row r="32" spans="1:23" ht="13" thickBot="1" x14ac:dyDescent="0.3">
      <c r="A32" s="1">
        <f>ROW()</f>
        <v>32</v>
      </c>
      <c r="B32" s="675"/>
      <c r="C32" s="676"/>
      <c r="D32" s="337"/>
      <c r="E32" s="36"/>
      <c r="F32" s="37"/>
      <c r="G32" s="37"/>
      <c r="H32" s="37"/>
      <c r="I32" s="37"/>
      <c r="J32" s="37"/>
      <c r="K32" s="235">
        <f t="shared" si="2"/>
        <v>0</v>
      </c>
      <c r="L32" s="340">
        <f t="shared" si="25"/>
        <v>0</v>
      </c>
      <c r="M32" s="170"/>
    </row>
    <row r="33" spans="1:13" ht="13" thickBot="1" x14ac:dyDescent="0.3">
      <c r="B33" s="677"/>
      <c r="C33" s="678"/>
      <c r="D33" s="188" t="s">
        <v>3</v>
      </c>
      <c r="E33" s="335">
        <f>año_inicio</f>
        <v>2026</v>
      </c>
      <c r="F33" s="336">
        <f>E33+1</f>
        <v>2027</v>
      </c>
      <c r="G33" s="336">
        <f>F33+1</f>
        <v>2028</v>
      </c>
      <c r="H33" s="336">
        <f>G33+1</f>
        <v>2029</v>
      </c>
      <c r="I33" s="336">
        <f>H33+1</f>
        <v>2030</v>
      </c>
      <c r="J33" s="336">
        <f>I33+1</f>
        <v>2031</v>
      </c>
      <c r="K33" s="232" t="s">
        <v>0</v>
      </c>
      <c r="L33" s="238"/>
      <c r="M33" s="170"/>
    </row>
    <row r="34" spans="1:13" ht="13.5" thickBot="1" x14ac:dyDescent="0.35">
      <c r="B34" s="657" t="s">
        <v>2</v>
      </c>
      <c r="C34" s="658"/>
      <c r="D34" s="196" t="s">
        <v>45</v>
      </c>
      <c r="E34" s="197">
        <f t="shared" ref="E34:J34" si="27">SUM(E35:E42)</f>
        <v>0</v>
      </c>
      <c r="F34" s="198">
        <f t="shared" si="27"/>
        <v>0</v>
      </c>
      <c r="G34" s="198">
        <f t="shared" si="27"/>
        <v>0</v>
      </c>
      <c r="H34" s="198">
        <f t="shared" si="27"/>
        <v>0</v>
      </c>
      <c r="I34" s="198">
        <f t="shared" si="27"/>
        <v>0</v>
      </c>
      <c r="J34" s="204">
        <f t="shared" si="27"/>
        <v>0</v>
      </c>
      <c r="K34" s="207">
        <f t="shared" ref="K34:K50" si="28">SUM(E34:J34)</f>
        <v>0</v>
      </c>
      <c r="L34" s="205" t="s">
        <v>226</v>
      </c>
      <c r="M34" s="170"/>
    </row>
    <row r="35" spans="1:13" x14ac:dyDescent="0.25">
      <c r="B35" s="673"/>
      <c r="C35" s="674"/>
      <c r="D35" s="191"/>
      <c r="E35" s="32"/>
      <c r="F35" s="33"/>
      <c r="G35" s="33"/>
      <c r="H35" s="33"/>
      <c r="I35" s="33"/>
      <c r="J35" s="33"/>
      <c r="K35" s="334">
        <f t="shared" si="28"/>
        <v>0</v>
      </c>
      <c r="L35" s="339">
        <f>B35</f>
        <v>0</v>
      </c>
      <c r="M35" s="170"/>
    </row>
    <row r="36" spans="1:13" x14ac:dyDescent="0.25">
      <c r="B36" s="655"/>
      <c r="C36" s="656"/>
      <c r="D36" s="232"/>
      <c r="E36" s="34"/>
      <c r="F36" s="35"/>
      <c r="G36" s="35"/>
      <c r="H36" s="35"/>
      <c r="I36" s="35"/>
      <c r="J36" s="35"/>
      <c r="K36" s="234">
        <f t="shared" si="28"/>
        <v>0</v>
      </c>
      <c r="L36" s="338">
        <f>B36</f>
        <v>0</v>
      </c>
      <c r="M36" s="170"/>
    </row>
    <row r="37" spans="1:13" x14ac:dyDescent="0.25">
      <c r="B37" s="655"/>
      <c r="C37" s="656"/>
      <c r="D37" s="232"/>
      <c r="E37" s="34"/>
      <c r="F37" s="35"/>
      <c r="G37" s="35"/>
      <c r="H37" s="35"/>
      <c r="I37" s="35"/>
      <c r="J37" s="35"/>
      <c r="K37" s="234">
        <f t="shared" si="28"/>
        <v>0</v>
      </c>
      <c r="L37" s="338"/>
      <c r="M37" s="170"/>
    </row>
    <row r="38" spans="1:13" x14ac:dyDescent="0.25">
      <c r="B38" s="655"/>
      <c r="C38" s="656"/>
      <c r="D38" s="232"/>
      <c r="E38" s="34"/>
      <c r="F38" s="35"/>
      <c r="G38" s="35"/>
      <c r="H38" s="35"/>
      <c r="I38" s="35"/>
      <c r="J38" s="35"/>
      <c r="K38" s="234">
        <f t="shared" si="28"/>
        <v>0</v>
      </c>
      <c r="L38" s="338">
        <f t="shared" si="25"/>
        <v>0</v>
      </c>
      <c r="M38" s="170"/>
    </row>
    <row r="39" spans="1:13" x14ac:dyDescent="0.25">
      <c r="B39" s="655"/>
      <c r="C39" s="656"/>
      <c r="D39" s="232"/>
      <c r="E39" s="34"/>
      <c r="F39" s="35"/>
      <c r="G39" s="35"/>
      <c r="H39" s="35"/>
      <c r="I39" s="35"/>
      <c r="J39" s="35"/>
      <c r="K39" s="234">
        <f t="shared" si="28"/>
        <v>0</v>
      </c>
      <c r="L39" s="338">
        <f t="shared" si="25"/>
        <v>0</v>
      </c>
      <c r="M39" s="170"/>
    </row>
    <row r="40" spans="1:13" x14ac:dyDescent="0.25">
      <c r="B40" s="655"/>
      <c r="C40" s="656"/>
      <c r="D40" s="232"/>
      <c r="E40" s="34"/>
      <c r="F40" s="35"/>
      <c r="G40" s="35"/>
      <c r="H40" s="35"/>
      <c r="I40" s="35"/>
      <c r="J40" s="35"/>
      <c r="K40" s="234">
        <f t="shared" ref="K40" si="29">SUM(E40:J40)</f>
        <v>0</v>
      </c>
      <c r="L40" s="338">
        <f t="shared" ref="L40" si="30">B40</f>
        <v>0</v>
      </c>
      <c r="M40" s="170"/>
    </row>
    <row r="41" spans="1:13" x14ac:dyDescent="0.25">
      <c r="B41" s="655"/>
      <c r="C41" s="656"/>
      <c r="D41" s="232"/>
      <c r="E41" s="34"/>
      <c r="F41" s="35"/>
      <c r="G41" s="35"/>
      <c r="H41" s="35"/>
      <c r="I41" s="35"/>
      <c r="J41" s="35"/>
      <c r="K41" s="234">
        <f t="shared" si="28"/>
        <v>0</v>
      </c>
      <c r="L41" s="338">
        <f t="shared" si="25"/>
        <v>0</v>
      </c>
      <c r="M41" s="170"/>
    </row>
    <row r="42" spans="1:13" ht="13" thickBot="1" x14ac:dyDescent="0.3">
      <c r="A42" s="1">
        <f>ROW()</f>
        <v>42</v>
      </c>
      <c r="B42" s="655"/>
      <c r="C42" s="656"/>
      <c r="D42" s="233"/>
      <c r="E42" s="36"/>
      <c r="F42" s="37"/>
      <c r="G42" s="37"/>
      <c r="H42" s="37"/>
      <c r="I42" s="37"/>
      <c r="J42" s="37"/>
      <c r="K42" s="235">
        <f t="shared" si="28"/>
        <v>0</v>
      </c>
      <c r="L42" s="338">
        <f t="shared" si="25"/>
        <v>0</v>
      </c>
      <c r="M42" s="170"/>
    </row>
    <row r="43" spans="1:13" ht="13.5" thickBot="1" x14ac:dyDescent="0.35">
      <c r="B43" s="657" t="s">
        <v>27</v>
      </c>
      <c r="C43" s="658"/>
      <c r="D43" s="184" t="s">
        <v>45</v>
      </c>
      <c r="E43" s="208">
        <f t="shared" ref="E43:J43" si="31">SUM(E44:E46)</f>
        <v>852.33420000000012</v>
      </c>
      <c r="F43" s="209">
        <f t="shared" si="31"/>
        <v>877.90422600000011</v>
      </c>
      <c r="G43" s="209">
        <f t="shared" si="31"/>
        <v>904.24135278000006</v>
      </c>
      <c r="H43" s="209">
        <f t="shared" si="31"/>
        <v>931.36859336340001</v>
      </c>
      <c r="I43" s="209">
        <f t="shared" si="31"/>
        <v>0</v>
      </c>
      <c r="J43" s="209">
        <f t="shared" si="31"/>
        <v>0</v>
      </c>
      <c r="K43" s="210">
        <f t="shared" si="28"/>
        <v>3565.8483721434004</v>
      </c>
      <c r="L43" s="205" t="s">
        <v>6</v>
      </c>
      <c r="M43" s="170"/>
    </row>
    <row r="44" spans="1:13" x14ac:dyDescent="0.25">
      <c r="B44" s="663" t="str">
        <f>Parametros!B5</f>
        <v>Riesgo genérico</v>
      </c>
      <c r="C44" s="664"/>
      <c r="D44" s="236">
        <f>Rs</f>
        <v>0.01</v>
      </c>
      <c r="E44" s="211">
        <f t="shared" ref="E44:J44" si="32">E4*Rs</f>
        <v>852.33420000000012</v>
      </c>
      <c r="F44" s="212">
        <f t="shared" si="32"/>
        <v>877.90422600000011</v>
      </c>
      <c r="G44" s="212">
        <f t="shared" si="32"/>
        <v>904.24135278000006</v>
      </c>
      <c r="H44" s="212">
        <f t="shared" si="32"/>
        <v>931.36859336340001</v>
      </c>
      <c r="I44" s="212">
        <f t="shared" si="32"/>
        <v>0</v>
      </c>
      <c r="J44" s="212">
        <f t="shared" si="32"/>
        <v>0</v>
      </c>
      <c r="K44" s="234">
        <f t="shared" si="28"/>
        <v>3565.8483721434004</v>
      </c>
      <c r="L44" s="343" t="str">
        <f t="shared" si="25"/>
        <v>Riesgo genérico</v>
      </c>
      <c r="M44" s="170"/>
    </row>
    <row r="45" spans="1:13" x14ac:dyDescent="0.25">
      <c r="B45" s="665" t="s">
        <v>115</v>
      </c>
      <c r="C45" s="666"/>
      <c r="D45" s="188">
        <f>resris</f>
        <v>0</v>
      </c>
      <c r="E45" s="114">
        <f>D45</f>
        <v>0</v>
      </c>
      <c r="F45" s="35"/>
      <c r="G45" s="35"/>
      <c r="H45" s="35"/>
      <c r="I45" s="35"/>
      <c r="J45" s="35"/>
      <c r="K45" s="234">
        <f t="shared" si="28"/>
        <v>0</v>
      </c>
      <c r="L45" s="343" t="str">
        <f t="shared" si="25"/>
        <v>Riesgo evaluado en chklst</v>
      </c>
      <c r="M45" s="170"/>
    </row>
    <row r="46" spans="1:13" ht="13" thickBot="1" x14ac:dyDescent="0.3">
      <c r="B46" s="661" t="s">
        <v>8</v>
      </c>
      <c r="C46" s="662"/>
      <c r="D46" s="233"/>
      <c r="E46" s="36"/>
      <c r="F46" s="37"/>
      <c r="G46" s="37"/>
      <c r="H46" s="37"/>
      <c r="I46" s="37"/>
      <c r="J46" s="37"/>
      <c r="K46" s="235">
        <f t="shared" si="28"/>
        <v>0</v>
      </c>
      <c r="L46" s="343" t="str">
        <f t="shared" si="25"/>
        <v>Otros</v>
      </c>
      <c r="M46" s="170"/>
    </row>
    <row r="47" spans="1:13" ht="13.5" thickBot="1" x14ac:dyDescent="0.35">
      <c r="B47" s="657" t="s">
        <v>23</v>
      </c>
      <c r="C47" s="658"/>
      <c r="D47" s="184" t="s">
        <v>45</v>
      </c>
      <c r="E47" s="213">
        <f t="shared" ref="E47:J47" si="33">SUM(E48:E50)</f>
        <v>0</v>
      </c>
      <c r="F47" s="214">
        <f t="shared" si="33"/>
        <v>0</v>
      </c>
      <c r="G47" s="214">
        <f t="shared" si="33"/>
        <v>0</v>
      </c>
      <c r="H47" s="214">
        <f t="shared" si="33"/>
        <v>0</v>
      </c>
      <c r="I47" s="214">
        <f t="shared" si="33"/>
        <v>0</v>
      </c>
      <c r="J47" s="214">
        <f t="shared" si="33"/>
        <v>0</v>
      </c>
      <c r="K47" s="215">
        <f t="shared" si="28"/>
        <v>0</v>
      </c>
      <c r="L47" s="205" t="s">
        <v>4</v>
      </c>
      <c r="M47" s="170"/>
    </row>
    <row r="48" spans="1:13" x14ac:dyDescent="0.25">
      <c r="B48" s="669" t="s">
        <v>382</v>
      </c>
      <c r="C48" s="670"/>
      <c r="D48" s="232"/>
      <c r="E48" s="34"/>
      <c r="F48" s="34"/>
      <c r="G48" s="35"/>
      <c r="H48" s="35"/>
      <c r="I48" s="35"/>
      <c r="J48" s="35"/>
      <c r="K48" s="234">
        <f t="shared" si="28"/>
        <v>0</v>
      </c>
      <c r="L48" s="238" t="str">
        <f t="shared" si="25"/>
        <v>Garantía 12 meses</v>
      </c>
      <c r="M48" s="170"/>
    </row>
    <row r="49" spans="2:13" x14ac:dyDescent="0.25">
      <c r="B49" s="671"/>
      <c r="C49" s="672"/>
      <c r="D49" s="232"/>
      <c r="E49" s="34"/>
      <c r="F49" s="35"/>
      <c r="G49" s="35"/>
      <c r="H49" s="35"/>
      <c r="I49" s="35"/>
      <c r="J49" s="35"/>
      <c r="K49" s="234">
        <f t="shared" si="28"/>
        <v>0</v>
      </c>
      <c r="L49" s="238">
        <f t="shared" si="25"/>
        <v>0</v>
      </c>
      <c r="M49" s="170"/>
    </row>
    <row r="50" spans="2:13" ht="13" thickBot="1" x14ac:dyDescent="0.3">
      <c r="B50" s="659"/>
      <c r="C50" s="660"/>
      <c r="D50" s="233"/>
      <c r="E50" s="36"/>
      <c r="F50" s="37"/>
      <c r="G50" s="37"/>
      <c r="H50" s="37"/>
      <c r="I50" s="37"/>
      <c r="J50" s="37"/>
      <c r="K50" s="235">
        <f t="shared" si="28"/>
        <v>0</v>
      </c>
      <c r="L50" s="239">
        <f t="shared" si="25"/>
        <v>0</v>
      </c>
      <c r="M50" s="170"/>
    </row>
    <row r="51" spans="2:13" x14ac:dyDescent="0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70"/>
    </row>
  </sheetData>
  <sheetProtection algorithmName="SHA-512" hashValue="rbFlm9UAPo3tZVHKkA1rNDZb3MpaF8praGyc5MqWse7ItOSgswCb/ENrE4GH3j3kRyk9xYbIAxLD3xuTr8+m2g==" saltValue="Rki6LVdf0We7hzbNjaLnRg==" spinCount="100000" sheet="1" objects="1" scenarios="1" formatCells="0" formatColumns="0" formatRows="0" sort="0" autoFilter="0"/>
  <mergeCells count="28">
    <mergeCell ref="B43:C43"/>
    <mergeCell ref="B47:C47"/>
    <mergeCell ref="B28:C28"/>
    <mergeCell ref="B42:C42"/>
    <mergeCell ref="B29:C29"/>
    <mergeCell ref="B31:C31"/>
    <mergeCell ref="B32:C32"/>
    <mergeCell ref="B33:C33"/>
    <mergeCell ref="B34:C34"/>
    <mergeCell ref="B40:C40"/>
    <mergeCell ref="B35:C35"/>
    <mergeCell ref="B36:C36"/>
    <mergeCell ref="D1:E1"/>
    <mergeCell ref="E2:K2"/>
    <mergeCell ref="B30:C30"/>
    <mergeCell ref="B4:C4"/>
    <mergeCell ref="B50:C50"/>
    <mergeCell ref="B46:C46"/>
    <mergeCell ref="B44:C44"/>
    <mergeCell ref="B45:C45"/>
    <mergeCell ref="B1:C1"/>
    <mergeCell ref="B3:C3"/>
    <mergeCell ref="B37:C37"/>
    <mergeCell ref="B38:C38"/>
    <mergeCell ref="B39:C39"/>
    <mergeCell ref="B48:C48"/>
    <mergeCell ref="B49:C49"/>
    <mergeCell ref="B41:C41"/>
  </mergeCells>
  <phoneticPr fontId="4" type="noConversion"/>
  <conditionalFormatting sqref="B6:C26">
    <cfRule type="expression" dxfId="16" priority="14" stopIfTrue="1">
      <formula>M6=1</formula>
    </cfRule>
  </conditionalFormatting>
  <conditionalFormatting sqref="D45">
    <cfRule type="expression" dxfId="15" priority="13">
      <formula>NOT(D45=E45)</formula>
    </cfRule>
  </conditionalFormatting>
  <conditionalFormatting sqref="E45">
    <cfRule type="expression" dxfId="14" priority="12">
      <formula>NOT(E45=D45)</formula>
    </cfRule>
  </conditionalFormatting>
  <conditionalFormatting sqref="E6:L26">
    <cfRule type="expression" dxfId="13" priority="4">
      <formula>$M6=3</formula>
    </cfRule>
    <cfRule type="expression" dxfId="12" priority="5">
      <formula>$M6=2</formula>
    </cfRule>
    <cfRule type="expression" dxfId="11" priority="16" stopIfTrue="1">
      <formula>$M6=1</formula>
    </cfRule>
  </conditionalFormatting>
  <conditionalFormatting sqref="X7:Z9">
    <cfRule type="expression" dxfId="10" priority="1">
      <formula>$M7=3</formula>
    </cfRule>
    <cfRule type="expression" dxfId="9" priority="2">
      <formula>$M7=2</formula>
    </cfRule>
    <cfRule type="expression" dxfId="8" priority="3" stopIfTrue="1">
      <formula>$M7=1</formula>
    </cfRule>
  </conditionalFormatting>
  <dataValidations count="3">
    <dataValidation type="list" allowBlank="1" showInputMessage="1" showErrorMessage="1" sqref="B6:B26" xr:uid="{00000000-0002-0000-0300-000000000000}">
      <formula1>Nombres</formula1>
    </dataValidation>
    <dataValidation type="list" allowBlank="1" showInputMessage="1" showErrorMessage="1" sqref="D6:D26" xr:uid="{00000000-0002-0000-0300-000001000000}">
      <formula1>Perfiles</formula1>
    </dataValidation>
    <dataValidation type="list" allowBlank="1" showInputMessage="1" showErrorMessage="1" errorTitle="tipo de compras" error="entrar un valor de la lista desplegable" sqref="B35:C42" xr:uid="{00000000-0002-0000-0300-000002000000}">
      <formula1>tipos_compras</formula1>
    </dataValidation>
  </dataValidations>
  <pageMargins left="0.39370078740157483" right="0.19685039370078741" top="0.19685039370078741" bottom="0.19685039370078741" header="0.19685039370078741" footer="0.19685039370078741"/>
  <pageSetup paperSize="9" scale="78" orientation="landscape" horizontalDpi="1200" verticalDpi="1200" r:id="rId1"/>
  <headerFooter scaleWithDoc="0" alignWithMargins="0">
    <oddFooter>&amp;LSCI32PT01-PPO - 2020-v1&amp;C&amp;D&amp;R&amp;F&amp;LSCI32PT01-PPO - 2020-v1</oddFooter>
  </headerFooter>
  <rowBreaks count="1" manualBreakCount="1">
    <brk id="89" max="65535" man="1"/>
  </rowBreak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tipo de gasto" error="entrar un valor de la lista desplegable" xr:uid="{00000000-0002-0000-0300-000003000000}">
          <x14:formula1>
            <xm:f>'Facturación y SAP'!$E$45:$E$46</xm:f>
          </x14:formula1>
          <xm:sqref>B29:C32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pageSetUpPr fitToPage="1"/>
  </sheetPr>
  <dimension ref="A1:I37"/>
  <sheetViews>
    <sheetView topLeftCell="B1" zoomScale="90" workbookViewId="0">
      <pane ySplit="6" topLeftCell="A20" activePane="bottomLeft" state="frozen"/>
      <selection activeCell="D7" sqref="D7:D8"/>
      <selection pane="bottomLeft" activeCell="B5" sqref="B5"/>
    </sheetView>
  </sheetViews>
  <sheetFormatPr baseColWidth="10" defaultColWidth="13.296875" defaultRowHeight="12.5" x14ac:dyDescent="0.25"/>
  <cols>
    <col min="1" max="1" width="3.796875" style="115" hidden="1" customWidth="1"/>
    <col min="2" max="2" width="86.796875" style="288" customWidth="1"/>
    <col min="3" max="3" width="18.796875" style="287" bestFit="1" customWidth="1"/>
    <col min="4" max="4" width="56.19921875" style="287" customWidth="1"/>
    <col min="5" max="5" width="4.19921875" style="287" hidden="1" customWidth="1"/>
    <col min="6" max="6" width="4.796875" style="287" hidden="1" customWidth="1"/>
    <col min="7" max="7" width="16" style="287" customWidth="1"/>
    <col min="8" max="16384" width="13.296875" style="287"/>
  </cols>
  <sheetData>
    <row r="1" spans="1:9" s="286" customFormat="1" ht="16" thickBot="1" x14ac:dyDescent="0.4">
      <c r="A1" s="329"/>
      <c r="B1" s="289" t="str">
        <f>"Código Oferta: "&amp;codigo_oferta</f>
        <v>Código Oferta: 20251160543</v>
      </c>
      <c r="C1"/>
      <c r="D1"/>
      <c r="E1"/>
      <c r="F1"/>
      <c r="G1"/>
      <c r="H1"/>
      <c r="I1"/>
    </row>
    <row r="2" spans="1:9" s="286" customFormat="1" ht="16" thickBot="1" x14ac:dyDescent="0.4">
      <c r="A2" s="329"/>
      <c r="B2" s="296" t="s">
        <v>54</v>
      </c>
      <c r="C2" s="297" t="s">
        <v>116</v>
      </c>
      <c r="D2"/>
      <c r="E2"/>
      <c r="F2"/>
      <c r="G2"/>
      <c r="H2"/>
      <c r="I2"/>
    </row>
    <row r="3" spans="1:9" s="286" customFormat="1" ht="20.25" customHeight="1" thickBot="1" x14ac:dyDescent="0.35">
      <c r="A3" s="329"/>
      <c r="B3" s="511" t="s">
        <v>385</v>
      </c>
      <c r="C3" s="291">
        <v>44516</v>
      </c>
      <c r="D3"/>
      <c r="E3"/>
      <c r="F3"/>
      <c r="G3"/>
      <c r="H3"/>
      <c r="I3"/>
    </row>
    <row r="4" spans="1:9" ht="13.5" thickBot="1" x14ac:dyDescent="0.35">
      <c r="B4" s="298" t="str">
        <f>IF(F36&gt;0,"ES NECESARIO DOCUMENTAR FORMALMENTE LA GESTIÓN DE RIESGOS DETALLADA PARA ESTA OFERTA","")</f>
        <v/>
      </c>
      <c r="C4" s="299"/>
      <c r="D4"/>
      <c r="E4"/>
      <c r="F4"/>
      <c r="G4"/>
      <c r="H4"/>
      <c r="I4"/>
    </row>
    <row r="5" spans="1:9" ht="13.5" thickBot="1" x14ac:dyDescent="0.35">
      <c r="B5" s="295"/>
      <c r="C5" s="294"/>
      <c r="D5" s="294"/>
      <c r="E5" s="115" t="s">
        <v>53</v>
      </c>
      <c r="F5" s="115"/>
      <c r="G5" s="681" t="s">
        <v>110</v>
      </c>
      <c r="H5" s="682"/>
      <c r="I5" s="683"/>
    </row>
    <row r="6" spans="1:9" ht="25.5" thickBot="1" x14ac:dyDescent="0.3">
      <c r="B6" s="300" t="s">
        <v>96</v>
      </c>
      <c r="C6" s="301" t="s">
        <v>55</v>
      </c>
      <c r="D6" s="302" t="s">
        <v>56</v>
      </c>
      <c r="E6" s="115" t="s">
        <v>57</v>
      </c>
      <c r="F6" s="115" t="s">
        <v>58</v>
      </c>
      <c r="G6" s="303" t="s">
        <v>111</v>
      </c>
      <c r="H6" s="304" t="s">
        <v>112</v>
      </c>
      <c r="I6" s="304" t="s">
        <v>113</v>
      </c>
    </row>
    <row r="7" spans="1:9" ht="13" x14ac:dyDescent="0.3">
      <c r="B7" s="305" t="s">
        <v>59</v>
      </c>
      <c r="C7" s="306"/>
      <c r="D7" s="307"/>
      <c r="E7" s="299"/>
      <c r="F7" s="299"/>
      <c r="G7" s="308"/>
      <c r="H7" s="309"/>
      <c r="I7" s="309"/>
    </row>
    <row r="8" spans="1:9" x14ac:dyDescent="0.25">
      <c r="B8" s="310" t="s">
        <v>60</v>
      </c>
      <c r="C8" s="42" t="s">
        <v>53</v>
      </c>
      <c r="D8" s="43"/>
      <c r="E8" s="115" t="s">
        <v>61</v>
      </c>
      <c r="F8" s="115">
        <f t="shared" ref="F8:F14" si="0">IF(C8=E8,1,0)</f>
        <v>0</v>
      </c>
      <c r="G8" s="62"/>
      <c r="H8" s="56"/>
      <c r="I8" s="326">
        <f t="shared" ref="I8:I35" si="1">G8*H8</f>
        <v>0</v>
      </c>
    </row>
    <row r="9" spans="1:9" ht="25" x14ac:dyDescent="0.25">
      <c r="B9" s="310" t="s">
        <v>62</v>
      </c>
      <c r="C9" s="42" t="s">
        <v>53</v>
      </c>
      <c r="D9" s="43"/>
      <c r="E9" s="115" t="s">
        <v>61</v>
      </c>
      <c r="F9" s="115">
        <f t="shared" si="0"/>
        <v>0</v>
      </c>
      <c r="G9" s="62"/>
      <c r="H9" s="56"/>
      <c r="I9" s="326">
        <f t="shared" si="1"/>
        <v>0</v>
      </c>
    </row>
    <row r="10" spans="1:9" x14ac:dyDescent="0.25">
      <c r="B10" s="310" t="s">
        <v>63</v>
      </c>
      <c r="C10" s="42" t="s">
        <v>53</v>
      </c>
      <c r="D10" s="43"/>
      <c r="E10" s="115" t="s">
        <v>61</v>
      </c>
      <c r="F10" s="115">
        <f t="shared" si="0"/>
        <v>0</v>
      </c>
      <c r="G10" s="62"/>
      <c r="H10" s="56"/>
      <c r="I10" s="326">
        <f t="shared" si="1"/>
        <v>0</v>
      </c>
    </row>
    <row r="11" spans="1:9" x14ac:dyDescent="0.25">
      <c r="B11" s="310" t="s">
        <v>64</v>
      </c>
      <c r="C11" s="42" t="s">
        <v>53</v>
      </c>
      <c r="D11" s="43"/>
      <c r="E11" s="115" t="s">
        <v>61</v>
      </c>
      <c r="F11" s="115">
        <f t="shared" si="0"/>
        <v>0</v>
      </c>
      <c r="G11" s="62"/>
      <c r="H11" s="56"/>
      <c r="I11" s="326">
        <f t="shared" si="1"/>
        <v>0</v>
      </c>
    </row>
    <row r="12" spans="1:9" x14ac:dyDescent="0.25">
      <c r="B12" s="310" t="s">
        <v>65</v>
      </c>
      <c r="C12" s="42" t="s">
        <v>53</v>
      </c>
      <c r="D12" s="43"/>
      <c r="E12" s="115" t="s">
        <v>61</v>
      </c>
      <c r="F12" s="115">
        <f t="shared" si="0"/>
        <v>0</v>
      </c>
      <c r="G12" s="62"/>
      <c r="H12" s="56"/>
      <c r="I12" s="326">
        <f t="shared" si="1"/>
        <v>0</v>
      </c>
    </row>
    <row r="13" spans="1:9" x14ac:dyDescent="0.25">
      <c r="B13" s="310" t="s">
        <v>66</v>
      </c>
      <c r="C13" s="42" t="s">
        <v>53</v>
      </c>
      <c r="D13" s="43"/>
      <c r="E13" s="115" t="s">
        <v>61</v>
      </c>
      <c r="F13" s="115">
        <f t="shared" si="0"/>
        <v>0</v>
      </c>
      <c r="G13" s="62"/>
      <c r="H13" s="56"/>
      <c r="I13" s="326">
        <f t="shared" si="1"/>
        <v>0</v>
      </c>
    </row>
    <row r="14" spans="1:9" x14ac:dyDescent="0.25">
      <c r="B14" s="310" t="s">
        <v>67</v>
      </c>
      <c r="C14" s="42" t="s">
        <v>53</v>
      </c>
      <c r="D14" s="43"/>
      <c r="E14" s="115" t="s">
        <v>61</v>
      </c>
      <c r="F14" s="115">
        <f t="shared" si="0"/>
        <v>0</v>
      </c>
      <c r="G14" s="62"/>
      <c r="H14" s="56"/>
      <c r="I14" s="326">
        <f t="shared" si="1"/>
        <v>0</v>
      </c>
    </row>
    <row r="15" spans="1:9" ht="13" x14ac:dyDescent="0.3">
      <c r="B15" s="311" t="s">
        <v>97</v>
      </c>
      <c r="C15" s="306"/>
      <c r="D15" s="307"/>
      <c r="E15" s="299"/>
      <c r="F15" s="299"/>
      <c r="G15" s="308"/>
      <c r="H15" s="309"/>
      <c r="I15" s="309"/>
    </row>
    <row r="16" spans="1:9" x14ac:dyDescent="0.25">
      <c r="B16" s="310" t="s">
        <v>69</v>
      </c>
      <c r="C16" s="42" t="s">
        <v>53</v>
      </c>
      <c r="D16" s="43"/>
      <c r="E16" s="115" t="s">
        <v>61</v>
      </c>
      <c r="F16" s="115">
        <f t="shared" ref="F16:F23" si="2">IF(C16=E16,1,0)</f>
        <v>0</v>
      </c>
      <c r="G16" s="62"/>
      <c r="H16" s="56"/>
      <c r="I16" s="326">
        <f t="shared" si="1"/>
        <v>0</v>
      </c>
    </row>
    <row r="17" spans="2:9" x14ac:dyDescent="0.25">
      <c r="B17" s="310" t="s">
        <v>70</v>
      </c>
      <c r="C17" s="42" t="s">
        <v>53</v>
      </c>
      <c r="D17" s="43"/>
      <c r="E17" s="115" t="s">
        <v>61</v>
      </c>
      <c r="F17" s="115">
        <f t="shared" si="2"/>
        <v>0</v>
      </c>
      <c r="G17" s="62"/>
      <c r="H17" s="56"/>
      <c r="I17" s="326">
        <f t="shared" si="1"/>
        <v>0</v>
      </c>
    </row>
    <row r="18" spans="2:9" x14ac:dyDescent="0.25">
      <c r="B18" s="310" t="s">
        <v>71</v>
      </c>
      <c r="C18" s="42" t="s">
        <v>53</v>
      </c>
      <c r="D18" s="43"/>
      <c r="E18" s="115" t="s">
        <v>61</v>
      </c>
      <c r="F18" s="115">
        <f t="shared" si="2"/>
        <v>0</v>
      </c>
      <c r="G18" s="62"/>
      <c r="H18" s="56"/>
      <c r="I18" s="326">
        <f t="shared" si="1"/>
        <v>0</v>
      </c>
    </row>
    <row r="19" spans="2:9" x14ac:dyDescent="0.25">
      <c r="B19" s="310" t="s">
        <v>72</v>
      </c>
      <c r="C19" s="42" t="s">
        <v>53</v>
      </c>
      <c r="D19" s="43"/>
      <c r="E19" s="115" t="s">
        <v>61</v>
      </c>
      <c r="F19" s="115">
        <f t="shared" si="2"/>
        <v>0</v>
      </c>
      <c r="G19" s="62"/>
      <c r="H19" s="56"/>
      <c r="I19" s="326">
        <f t="shared" si="1"/>
        <v>0</v>
      </c>
    </row>
    <row r="20" spans="2:9" x14ac:dyDescent="0.25">
      <c r="B20" s="310" t="s">
        <v>73</v>
      </c>
      <c r="C20" s="42" t="s">
        <v>53</v>
      </c>
      <c r="D20" s="43"/>
      <c r="E20" s="115" t="s">
        <v>61</v>
      </c>
      <c r="F20" s="115">
        <f t="shared" si="2"/>
        <v>0</v>
      </c>
      <c r="G20" s="62"/>
      <c r="H20" s="56"/>
      <c r="I20" s="326">
        <f t="shared" si="1"/>
        <v>0</v>
      </c>
    </row>
    <row r="21" spans="2:9" x14ac:dyDescent="0.25">
      <c r="B21" s="310" t="s">
        <v>74</v>
      </c>
      <c r="C21" s="42" t="s">
        <v>53</v>
      </c>
      <c r="D21" s="43"/>
      <c r="E21" s="115" t="s">
        <v>61</v>
      </c>
      <c r="F21" s="115">
        <f t="shared" si="2"/>
        <v>0</v>
      </c>
      <c r="G21" s="62"/>
      <c r="H21" s="56"/>
      <c r="I21" s="326">
        <f t="shared" si="1"/>
        <v>0</v>
      </c>
    </row>
    <row r="22" spans="2:9" ht="25" x14ac:dyDescent="0.25">
      <c r="B22" s="310" t="s">
        <v>75</v>
      </c>
      <c r="C22" s="42" t="s">
        <v>53</v>
      </c>
      <c r="D22" s="43"/>
      <c r="E22" s="115" t="s">
        <v>61</v>
      </c>
      <c r="F22" s="115">
        <f t="shared" si="2"/>
        <v>0</v>
      </c>
      <c r="G22" s="62"/>
      <c r="H22" s="56"/>
      <c r="I22" s="326">
        <f t="shared" si="1"/>
        <v>0</v>
      </c>
    </row>
    <row r="23" spans="2:9" x14ac:dyDescent="0.25">
      <c r="B23" s="310" t="s">
        <v>76</v>
      </c>
      <c r="C23" s="42" t="s">
        <v>53</v>
      </c>
      <c r="D23" s="43"/>
      <c r="E23" s="115" t="s">
        <v>61</v>
      </c>
      <c r="F23" s="115">
        <f t="shared" si="2"/>
        <v>0</v>
      </c>
      <c r="G23" s="62"/>
      <c r="H23" s="56"/>
      <c r="I23" s="326">
        <f t="shared" si="1"/>
        <v>0</v>
      </c>
    </row>
    <row r="24" spans="2:9" ht="13" x14ac:dyDescent="0.3">
      <c r="B24" s="312" t="s">
        <v>68</v>
      </c>
      <c r="C24" s="314"/>
      <c r="D24" s="315"/>
      <c r="E24" s="115"/>
      <c r="F24" s="115"/>
      <c r="G24" s="316"/>
      <c r="H24" s="317"/>
      <c r="I24" s="317"/>
    </row>
    <row r="25" spans="2:9" x14ac:dyDescent="0.25">
      <c r="B25" s="310" t="s">
        <v>77</v>
      </c>
      <c r="C25" s="85" t="s">
        <v>52</v>
      </c>
      <c r="D25" s="43"/>
      <c r="E25" s="115" t="s">
        <v>78</v>
      </c>
      <c r="F25" s="115">
        <f>IF(C25=E25,1,0)</f>
        <v>0</v>
      </c>
      <c r="G25" s="62"/>
      <c r="H25" s="56"/>
      <c r="I25" s="326">
        <f t="shared" si="1"/>
        <v>0</v>
      </c>
    </row>
    <row r="26" spans="2:9" x14ac:dyDescent="0.25">
      <c r="B26" s="310" t="s">
        <v>79</v>
      </c>
      <c r="C26" s="85" t="s">
        <v>52</v>
      </c>
      <c r="D26" s="43"/>
      <c r="E26" s="115" t="s">
        <v>78</v>
      </c>
      <c r="F26" s="115">
        <f>IF(C26=E26,1,0)</f>
        <v>0</v>
      </c>
      <c r="G26" s="62"/>
      <c r="H26" s="56"/>
      <c r="I26" s="326">
        <f t="shared" si="1"/>
        <v>0</v>
      </c>
    </row>
    <row r="27" spans="2:9" x14ac:dyDescent="0.25">
      <c r="B27" s="310" t="s">
        <v>80</v>
      </c>
      <c r="C27" s="85" t="s">
        <v>52</v>
      </c>
      <c r="D27" s="43"/>
      <c r="E27" s="115" t="s">
        <v>78</v>
      </c>
      <c r="F27" s="115">
        <f>IF(C27=E27,1,0)</f>
        <v>0</v>
      </c>
      <c r="G27" s="62"/>
      <c r="H27" s="56"/>
      <c r="I27" s="326">
        <f t="shared" si="1"/>
        <v>0</v>
      </c>
    </row>
    <row r="28" spans="2:9" ht="13" thickBot="1" x14ac:dyDescent="0.3">
      <c r="B28" s="313" t="s">
        <v>81</v>
      </c>
      <c r="C28" s="42" t="s">
        <v>53</v>
      </c>
      <c r="D28" s="58"/>
      <c r="E28" s="115" t="s">
        <v>61</v>
      </c>
      <c r="F28" s="115">
        <f>IF(C28=E28,1,0)</f>
        <v>0</v>
      </c>
      <c r="G28" s="63"/>
      <c r="H28" s="57"/>
      <c r="I28" s="327">
        <f t="shared" si="1"/>
        <v>0</v>
      </c>
    </row>
    <row r="29" spans="2:9" ht="13.5" thickBot="1" x14ac:dyDescent="0.35">
      <c r="B29" s="318" t="s">
        <v>82</v>
      </c>
      <c r="C29" s="319"/>
      <c r="D29" s="320"/>
      <c r="E29" s="321"/>
      <c r="F29" s="321"/>
      <c r="G29" s="322"/>
      <c r="H29" s="323"/>
      <c r="I29" s="324"/>
    </row>
    <row r="30" spans="2:9" x14ac:dyDescent="0.25">
      <c r="B30" s="425"/>
      <c r="C30" s="59"/>
      <c r="D30" s="60"/>
      <c r="E30" s="115" t="s">
        <v>61</v>
      </c>
      <c r="F30" s="115">
        <f t="shared" ref="F30:F35" si="3">IF(C30=E30,1,0)</f>
        <v>0</v>
      </c>
      <c r="G30" s="64"/>
      <c r="H30" s="61"/>
      <c r="I30" s="328">
        <f t="shared" si="1"/>
        <v>0</v>
      </c>
    </row>
    <row r="31" spans="2:9" x14ac:dyDescent="0.25">
      <c r="B31" s="426"/>
      <c r="C31" s="42"/>
      <c r="D31" s="43"/>
      <c r="E31" s="115" t="s">
        <v>61</v>
      </c>
      <c r="F31" s="115">
        <f t="shared" ref="F31:F33" si="4">IF(C31=E31,1,0)</f>
        <v>0</v>
      </c>
      <c r="G31" s="62"/>
      <c r="H31" s="56"/>
      <c r="I31" s="326">
        <f t="shared" ref="I31:I33" si="5">G31*H31</f>
        <v>0</v>
      </c>
    </row>
    <row r="32" spans="2:9" x14ac:dyDescent="0.25">
      <c r="B32" s="426"/>
      <c r="C32" s="42"/>
      <c r="D32" s="43"/>
      <c r="E32" s="115" t="s">
        <v>61</v>
      </c>
      <c r="F32" s="115">
        <f t="shared" si="4"/>
        <v>0</v>
      </c>
      <c r="G32" s="62"/>
      <c r="H32" s="56"/>
      <c r="I32" s="326">
        <f t="shared" si="5"/>
        <v>0</v>
      </c>
    </row>
    <row r="33" spans="1:9" x14ac:dyDescent="0.25">
      <c r="B33" s="426"/>
      <c r="C33" s="42"/>
      <c r="D33" s="43"/>
      <c r="E33" s="115" t="s">
        <v>61</v>
      </c>
      <c r="F33" s="115">
        <f t="shared" si="4"/>
        <v>0</v>
      </c>
      <c r="G33" s="62"/>
      <c r="H33" s="56"/>
      <c r="I33" s="326">
        <f t="shared" si="5"/>
        <v>0</v>
      </c>
    </row>
    <row r="34" spans="1:9" x14ac:dyDescent="0.25">
      <c r="B34" s="426"/>
      <c r="C34" s="42"/>
      <c r="D34" s="43"/>
      <c r="E34" s="115" t="s">
        <v>61</v>
      </c>
      <c r="F34" s="115">
        <f t="shared" si="3"/>
        <v>0</v>
      </c>
      <c r="G34" s="62"/>
      <c r="H34" s="56"/>
      <c r="I34" s="326">
        <f t="shared" si="1"/>
        <v>0</v>
      </c>
    </row>
    <row r="35" spans="1:9" ht="13" thickBot="1" x14ac:dyDescent="0.3">
      <c r="A35" s="115">
        <f>ROW()</f>
        <v>35</v>
      </c>
      <c r="B35" s="427"/>
      <c r="C35" s="44"/>
      <c r="D35" s="45"/>
      <c r="E35" s="115" t="s">
        <v>61</v>
      </c>
      <c r="F35" s="115">
        <f t="shared" si="3"/>
        <v>0</v>
      </c>
      <c r="G35" s="63"/>
      <c r="H35" s="57"/>
      <c r="I35" s="327">
        <f t="shared" si="1"/>
        <v>0</v>
      </c>
    </row>
    <row r="36" spans="1:9" ht="13.5" thickBot="1" x14ac:dyDescent="0.35">
      <c r="B36" s="295"/>
      <c r="C36" s="293"/>
      <c r="D36" s="293"/>
      <c r="E36"/>
      <c r="F36" s="115">
        <f>SUM(F7:F35)</f>
        <v>0</v>
      </c>
      <c r="G36" s="679" t="s">
        <v>95</v>
      </c>
      <c r="H36" s="680"/>
      <c r="I36" s="325">
        <f>SUM(I7:I35)</f>
        <v>0</v>
      </c>
    </row>
    <row r="37" spans="1:9" ht="13" x14ac:dyDescent="0.3">
      <c r="B37" s="287"/>
      <c r="C37" s="151"/>
      <c r="D37" s="151"/>
      <c r="E37" s="151"/>
      <c r="F37" s="151"/>
    </row>
  </sheetData>
  <sheetProtection algorithmName="SHA-512" hashValue="HybKckImgi2M0JQ3jAVw2pdBXT2FdYUMqQG3k7e4d+QPtWF41gCfSVVEpKJDbqGCkxlERZOBgo1F+ue65XV9gA==" saltValue="vZ0FN62NHkmKWOReKVnhwA==" spinCount="100000" sheet="1" objects="1" scenarios="1" formatCells="0" formatColumns="0" formatRows="0" sort="0" autoFilter="0"/>
  <mergeCells count="2">
    <mergeCell ref="G36:H36"/>
    <mergeCell ref="G5:I5"/>
  </mergeCells>
  <phoneticPr fontId="16" type="noConversion"/>
  <conditionalFormatting sqref="C34:C35 C30 C8:C14 C16:C23 C25:C28">
    <cfRule type="cellIs" dxfId="7" priority="25" stopIfTrue="1" operator="equal">
      <formula>E8</formula>
    </cfRule>
    <cfRule type="cellIs" dxfId="6" priority="26" stopIfTrue="1" operator="notEqual">
      <formula>""</formula>
    </cfRule>
  </conditionalFormatting>
  <conditionalFormatting sqref="C31">
    <cfRule type="cellIs" dxfId="5" priority="5" stopIfTrue="1" operator="equal">
      <formula>E31</formula>
    </cfRule>
    <cfRule type="cellIs" dxfId="4" priority="6" stopIfTrue="1" operator="notEqual">
      <formula>""</formula>
    </cfRule>
  </conditionalFormatting>
  <conditionalFormatting sqref="C32">
    <cfRule type="cellIs" dxfId="3" priority="3" stopIfTrue="1" operator="equal">
      <formula>E32</formula>
    </cfRule>
    <cfRule type="cellIs" dxfId="2" priority="4" stopIfTrue="1" operator="notEqual">
      <formula>""</formula>
    </cfRule>
  </conditionalFormatting>
  <conditionalFormatting sqref="C33">
    <cfRule type="cellIs" dxfId="1" priority="1" stopIfTrue="1" operator="equal">
      <formula>E33</formula>
    </cfRule>
    <cfRule type="cellIs" dxfId="0" priority="2" stopIfTrue="1" operator="notEqual">
      <formula>""</formula>
    </cfRule>
  </conditionalFormatting>
  <dataValidations count="1">
    <dataValidation type="list" allowBlank="1" showInputMessage="1" showErrorMessage="1" errorTitle="error respuesta" error="respuesta no válida" promptTitle="Existencia del Riesgo" prompt="Indicar si se produce la situación descrita" sqref="C25:C28 C8:C14 C16:C23 C30:C35" xr:uid="{00000000-0002-0000-0400-000000000000}">
      <formula1>ocurre</formula1>
    </dataValidation>
  </dataValidations>
  <pageMargins left="0.19685039370078741" right="0.19685039370078741" top="0.19685039370078741" bottom="0.39370078740157483" header="0.19685039370078741" footer="0.19685039370078741"/>
  <pageSetup paperSize="9" scale="78" orientation="landscape" horizontalDpi="1200" verticalDpi="1200" r:id="rId1"/>
  <headerFooter scaleWithDoc="0" alignWithMargins="0">
    <oddFooter>&amp;LSCI32PT01-PPO - 2020-v1&amp;C&amp;D&amp;R&amp;F&amp;LSCI32PT01-PPO - 2020-v1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>
    <pageSetUpPr fitToPage="1"/>
  </sheetPr>
  <dimension ref="A1:H60"/>
  <sheetViews>
    <sheetView topLeftCell="B1" zoomScale="80" zoomScaleNormal="80" workbookViewId="0">
      <selection activeCell="I15" sqref="I15"/>
    </sheetView>
  </sheetViews>
  <sheetFormatPr baseColWidth="10" defaultColWidth="13.296875" defaultRowHeight="14" x14ac:dyDescent="0.3"/>
  <cols>
    <col min="1" max="1" width="13.296875" style="373" hidden="1" customWidth="1"/>
    <col min="2" max="2" width="28" style="374" customWidth="1"/>
    <col min="3" max="3" width="22.296875" style="362" customWidth="1"/>
    <col min="4" max="4" width="26.296875" style="362" customWidth="1"/>
    <col min="5" max="5" width="22.796875" style="362" customWidth="1"/>
    <col min="6" max="6" width="25" style="362" customWidth="1"/>
    <col min="7" max="7" width="24" style="362" customWidth="1"/>
    <col min="8" max="8" width="30.69921875" style="362" customWidth="1"/>
    <col min="9" max="9" width="10.296875" style="362" customWidth="1"/>
    <col min="10" max="16384" width="13.296875" style="362"/>
  </cols>
  <sheetData>
    <row r="1" spans="1:8" s="428" customFormat="1" ht="18" x14ac:dyDescent="0.4">
      <c r="A1" s="433"/>
      <c r="B1" s="712" t="str">
        <f>"Código Oferta: "&amp;codigo_oferta&amp;"   - Responsable Comercial: "&amp;comercial</f>
        <v>Código Oferta: 20251160543   - Responsable Comercial: Raul González</v>
      </c>
      <c r="C1" s="713"/>
      <c r="D1" s="713"/>
      <c r="E1" s="713"/>
      <c r="F1" s="713"/>
      <c r="G1" s="713"/>
      <c r="H1" s="714"/>
    </row>
    <row r="2" spans="1:8" s="245" customFormat="1" ht="4.5" customHeight="1" thickBot="1" x14ac:dyDescent="0.35">
      <c r="A2" s="363"/>
      <c r="B2" s="363"/>
      <c r="C2" s="363"/>
      <c r="D2" s="363"/>
      <c r="E2" s="363"/>
      <c r="F2" s="363"/>
      <c r="G2" s="363"/>
      <c r="H2" s="363"/>
    </row>
    <row r="3" spans="1:8" ht="14.5" thickBot="1" x14ac:dyDescent="0.35">
      <c r="B3" s="715" t="s">
        <v>171</v>
      </c>
      <c r="C3" s="716"/>
      <c r="D3" s="716"/>
      <c r="E3" s="716"/>
      <c r="F3" s="716"/>
      <c r="G3" s="716"/>
      <c r="H3" s="717"/>
    </row>
    <row r="4" spans="1:8" ht="14.5" thickBot="1" x14ac:dyDescent="0.35">
      <c r="B4" s="128" t="s">
        <v>182</v>
      </c>
      <c r="C4" s="333">
        <v>44136</v>
      </c>
      <c r="D4" s="130" t="s">
        <v>181</v>
      </c>
      <c r="E4" s="127">
        <v>44866</v>
      </c>
      <c r="F4" s="116"/>
      <c r="G4" s="116"/>
      <c r="H4" s="129"/>
    </row>
    <row r="5" spans="1:8" ht="16.5" customHeight="1" thickBot="1" x14ac:dyDescent="0.35">
      <c r="B5" s="364" t="s">
        <v>180</v>
      </c>
      <c r="C5" s="117"/>
      <c r="D5" s="118"/>
      <c r="E5" s="118"/>
      <c r="F5" s="118"/>
      <c r="G5" s="118"/>
      <c r="H5" s="131"/>
    </row>
    <row r="6" spans="1:8" s="363" customFormat="1" ht="16.5" customHeight="1" thickBot="1" x14ac:dyDescent="0.35">
      <c r="B6" s="365" t="s">
        <v>241</v>
      </c>
      <c r="C6" s="366"/>
      <c r="D6" s="366"/>
      <c r="E6" s="366"/>
      <c r="F6" s="366"/>
      <c r="G6" s="366"/>
      <c r="H6" s="367"/>
    </row>
    <row r="7" spans="1:8" x14ac:dyDescent="0.3">
      <c r="B7" s="125" t="s">
        <v>172</v>
      </c>
      <c r="C7" s="711" t="s">
        <v>173</v>
      </c>
      <c r="D7" s="711"/>
      <c r="E7" s="711"/>
      <c r="F7" s="711" t="s">
        <v>174</v>
      </c>
      <c r="G7" s="711"/>
      <c r="H7" s="126" t="s">
        <v>175</v>
      </c>
    </row>
    <row r="8" spans="1:8" x14ac:dyDescent="0.3">
      <c r="B8" s="132"/>
      <c r="C8" s="710" t="s">
        <v>390</v>
      </c>
      <c r="D8" s="710"/>
      <c r="E8" s="710"/>
      <c r="F8" s="718">
        <v>44651</v>
      </c>
      <c r="G8" s="719"/>
      <c r="H8" s="121">
        <v>30</v>
      </c>
    </row>
    <row r="9" spans="1:8" x14ac:dyDescent="0.3">
      <c r="B9" s="132"/>
      <c r="C9" s="710" t="s">
        <v>387</v>
      </c>
      <c r="D9" s="710"/>
      <c r="E9" s="710"/>
      <c r="F9" s="718">
        <v>44742</v>
      </c>
      <c r="G9" s="719"/>
      <c r="H9" s="121">
        <v>30</v>
      </c>
    </row>
    <row r="10" spans="1:8" ht="14.25" customHeight="1" x14ac:dyDescent="0.3">
      <c r="B10" s="132"/>
      <c r="C10" s="710" t="s">
        <v>388</v>
      </c>
      <c r="D10" s="710"/>
      <c r="E10" s="710"/>
      <c r="F10" s="718">
        <v>44834</v>
      </c>
      <c r="G10" s="719"/>
      <c r="H10" s="121">
        <v>30</v>
      </c>
    </row>
    <row r="11" spans="1:8" ht="14.25" customHeight="1" x14ac:dyDescent="0.3">
      <c r="B11" s="132"/>
      <c r="C11" s="710" t="s">
        <v>389</v>
      </c>
      <c r="D11" s="710"/>
      <c r="E11" s="710"/>
      <c r="F11" s="718">
        <v>44926</v>
      </c>
      <c r="G11" s="719"/>
      <c r="H11" s="121">
        <v>30</v>
      </c>
    </row>
    <row r="12" spans="1:8" x14ac:dyDescent="0.3">
      <c r="B12" s="132"/>
      <c r="C12" s="710" t="s">
        <v>391</v>
      </c>
      <c r="D12" s="710"/>
      <c r="E12" s="710"/>
      <c r="F12" s="718">
        <v>45016</v>
      </c>
      <c r="G12" s="719"/>
      <c r="H12" s="121">
        <v>30</v>
      </c>
    </row>
    <row r="13" spans="1:8" x14ac:dyDescent="0.3">
      <c r="B13" s="132"/>
      <c r="C13" s="710" t="s">
        <v>392</v>
      </c>
      <c r="D13" s="710"/>
      <c r="E13" s="710"/>
      <c r="F13" s="718">
        <v>45107</v>
      </c>
      <c r="G13" s="719"/>
      <c r="H13" s="121">
        <v>30</v>
      </c>
    </row>
    <row r="14" spans="1:8" x14ac:dyDescent="0.3">
      <c r="B14" s="132"/>
      <c r="C14" s="710" t="s">
        <v>393</v>
      </c>
      <c r="D14" s="710"/>
      <c r="E14" s="710"/>
      <c r="F14" s="718">
        <v>45199</v>
      </c>
      <c r="G14" s="719"/>
      <c r="H14" s="121">
        <v>30</v>
      </c>
    </row>
    <row r="15" spans="1:8" x14ac:dyDescent="0.3">
      <c r="B15" s="132"/>
      <c r="C15" s="710" t="s">
        <v>394</v>
      </c>
      <c r="D15" s="710"/>
      <c r="E15" s="710"/>
      <c r="F15" s="718">
        <v>45291</v>
      </c>
      <c r="G15" s="719"/>
      <c r="H15" s="121">
        <v>30</v>
      </c>
    </row>
    <row r="16" spans="1:8" x14ac:dyDescent="0.3">
      <c r="B16" s="132"/>
      <c r="C16" s="710"/>
      <c r="D16" s="710"/>
      <c r="E16" s="710"/>
      <c r="F16" s="718"/>
      <c r="G16" s="719"/>
      <c r="H16" s="121" t="str">
        <f t="shared" ref="H16:H17" si="0">IF(B16&lt;&gt;"",vtocli,"")</f>
        <v/>
      </c>
    </row>
    <row r="17" spans="1:8" ht="14.5" thickBot="1" x14ac:dyDescent="0.35">
      <c r="A17" s="373">
        <f>ROW()</f>
        <v>17</v>
      </c>
      <c r="B17" s="133"/>
      <c r="C17" s="710"/>
      <c r="D17" s="710"/>
      <c r="E17" s="710"/>
      <c r="F17" s="718"/>
      <c r="G17" s="719"/>
      <c r="H17" s="121" t="str">
        <f t="shared" si="0"/>
        <v/>
      </c>
    </row>
    <row r="18" spans="1:8" ht="14.5" thickBot="1" x14ac:dyDescent="0.35">
      <c r="B18" s="124">
        <f>SUM(B8:B17)</f>
        <v>0</v>
      </c>
      <c r="C18" s="368" t="s">
        <v>176</v>
      </c>
      <c r="D18" s="369"/>
      <c r="E18" s="369"/>
      <c r="F18" s="369"/>
      <c r="G18" s="369"/>
      <c r="H18" s="370"/>
    </row>
    <row r="19" spans="1:8" s="371" customFormat="1" ht="6.75" customHeight="1" thickBot="1" x14ac:dyDescent="0.35"/>
    <row r="20" spans="1:8" s="371" customFormat="1" ht="14.5" thickBot="1" x14ac:dyDescent="0.35">
      <c r="B20" s="365" t="s">
        <v>243</v>
      </c>
      <c r="C20" s="366"/>
      <c r="D20" s="366"/>
      <c r="E20" s="366"/>
      <c r="F20" s="366"/>
      <c r="G20" s="366"/>
      <c r="H20" s="367"/>
    </row>
    <row r="21" spans="1:8" x14ac:dyDescent="0.3">
      <c r="B21" s="125" t="s">
        <v>172</v>
      </c>
      <c r="C21" s="711" t="s">
        <v>173</v>
      </c>
      <c r="D21" s="711"/>
      <c r="E21" s="711"/>
      <c r="F21" s="711" t="s">
        <v>174</v>
      </c>
      <c r="G21" s="711"/>
      <c r="H21" s="126" t="s">
        <v>175</v>
      </c>
    </row>
    <row r="22" spans="1:8" x14ac:dyDescent="0.3">
      <c r="B22" s="132"/>
      <c r="C22" s="710"/>
      <c r="D22" s="710"/>
      <c r="E22" s="710"/>
      <c r="F22" s="718"/>
      <c r="G22" s="719"/>
      <c r="H22" s="121" t="str">
        <f>IF(B22&lt;&gt;"",vtocli,"")</f>
        <v/>
      </c>
    </row>
    <row r="23" spans="1:8" x14ac:dyDescent="0.3">
      <c r="B23" s="132"/>
      <c r="C23" s="710"/>
      <c r="D23" s="710"/>
      <c r="E23" s="710"/>
      <c r="F23" s="718"/>
      <c r="G23" s="719"/>
      <c r="H23" s="121" t="str">
        <f>IF(B23&lt;&gt;"",vtocli,"")</f>
        <v/>
      </c>
    </row>
    <row r="24" spans="1:8" x14ac:dyDescent="0.3">
      <c r="B24" s="132"/>
      <c r="C24" s="710"/>
      <c r="D24" s="710"/>
      <c r="E24" s="710"/>
      <c r="F24" s="718"/>
      <c r="G24" s="719"/>
      <c r="H24" s="121" t="str">
        <f>IF(B24&lt;&gt;"",vtocli,"")</f>
        <v/>
      </c>
    </row>
    <row r="25" spans="1:8" ht="14.5" thickBot="1" x14ac:dyDescent="0.35">
      <c r="A25" s="373">
        <f>ROW()</f>
        <v>25</v>
      </c>
      <c r="B25" s="133"/>
      <c r="C25" s="710"/>
      <c r="D25" s="710"/>
      <c r="E25" s="710"/>
      <c r="F25" s="718"/>
      <c r="G25" s="719"/>
      <c r="H25" s="121" t="str">
        <f>IF(B25&lt;&gt;"",vtocli,"")</f>
        <v/>
      </c>
    </row>
    <row r="26" spans="1:8" ht="14.5" thickBot="1" x14ac:dyDescent="0.35">
      <c r="B26" s="124">
        <f>SUM(B22:B25)</f>
        <v>0</v>
      </c>
      <c r="C26" s="368" t="s">
        <v>176</v>
      </c>
      <c r="D26" s="369"/>
      <c r="E26" s="369"/>
      <c r="F26" s="369"/>
      <c r="G26" s="369"/>
      <c r="H26" s="370"/>
    </row>
    <row r="27" spans="1:8" s="371" customFormat="1" ht="8.25" customHeight="1" thickBot="1" x14ac:dyDescent="0.35"/>
    <row r="28" spans="1:8" s="363" customFormat="1" ht="14.5" thickBot="1" x14ac:dyDescent="0.35">
      <c r="B28" s="365" t="s">
        <v>242</v>
      </c>
      <c r="C28" s="366"/>
      <c r="D28" s="366"/>
      <c r="E28" s="366"/>
      <c r="F28" s="366"/>
      <c r="G28" s="366"/>
      <c r="H28" s="367"/>
    </row>
    <row r="29" spans="1:8" x14ac:dyDescent="0.3">
      <c r="B29" s="125" t="s">
        <v>172</v>
      </c>
      <c r="C29" s="711" t="s">
        <v>173</v>
      </c>
      <c r="D29" s="711"/>
      <c r="E29" s="711"/>
      <c r="F29" s="385" t="s">
        <v>244</v>
      </c>
      <c r="G29" s="384" t="s">
        <v>245</v>
      </c>
      <c r="H29" s="126" t="s">
        <v>175</v>
      </c>
    </row>
    <row r="30" spans="1:8" x14ac:dyDescent="0.3">
      <c r="B30" s="132"/>
      <c r="C30" s="710"/>
      <c r="D30" s="710"/>
      <c r="E30" s="710"/>
      <c r="F30" s="386"/>
      <c r="G30" s="349"/>
      <c r="H30" s="121"/>
    </row>
    <row r="31" spans="1:8" x14ac:dyDescent="0.3">
      <c r="B31" s="132"/>
      <c r="C31" s="710"/>
      <c r="D31" s="710"/>
      <c r="E31" s="710"/>
      <c r="F31" s="386"/>
      <c r="G31" s="349"/>
      <c r="H31" s="121" t="str">
        <f>IF(B31&lt;&gt;"",vtocli,"")</f>
        <v/>
      </c>
    </row>
    <row r="32" spans="1:8" ht="14.5" thickBot="1" x14ac:dyDescent="0.35">
      <c r="A32" s="373">
        <f>ROW()</f>
        <v>32</v>
      </c>
      <c r="B32" s="133"/>
      <c r="C32" s="710"/>
      <c r="D32" s="710"/>
      <c r="E32" s="710"/>
      <c r="F32" s="386"/>
      <c r="G32" s="349"/>
      <c r="H32" s="121" t="str">
        <f>IF(B32&lt;&gt;"",vtocli,"")</f>
        <v/>
      </c>
    </row>
    <row r="33" spans="1:8" ht="14.5" thickBot="1" x14ac:dyDescent="0.35">
      <c r="B33" s="124">
        <f>SUM(B30:B32)</f>
        <v>0</v>
      </c>
      <c r="C33" s="123" t="s">
        <v>176</v>
      </c>
      <c r="D33" s="119"/>
      <c r="E33" s="119"/>
      <c r="F33" s="119"/>
      <c r="G33" s="119"/>
      <c r="H33" s="134"/>
    </row>
    <row r="34" spans="1:8" ht="21.75" customHeight="1" thickBot="1" x14ac:dyDescent="0.35">
      <c r="B34" s="135" t="s">
        <v>240</v>
      </c>
      <c r="C34" s="118"/>
      <c r="D34" s="118"/>
      <c r="E34" s="118"/>
      <c r="F34" s="118"/>
      <c r="G34" s="118"/>
      <c r="H34" s="131"/>
    </row>
    <row r="35" spans="1:8" x14ac:dyDescent="0.3">
      <c r="B35" s="697" t="s">
        <v>177</v>
      </c>
      <c r="C35" s="698"/>
      <c r="D35" s="699"/>
      <c r="E35" s="690" t="s">
        <v>178</v>
      </c>
      <c r="F35" s="691"/>
      <c r="G35" s="692"/>
      <c r="H35" s="120" t="s">
        <v>179</v>
      </c>
    </row>
    <row r="36" spans="1:8" x14ac:dyDescent="0.3">
      <c r="B36" s="684"/>
      <c r="C36" s="685"/>
      <c r="D36" s="686"/>
      <c r="E36" s="687"/>
      <c r="F36" s="685"/>
      <c r="G36" s="686"/>
      <c r="H36" s="121"/>
    </row>
    <row r="37" spans="1:8" x14ac:dyDescent="0.3">
      <c r="B37" s="684"/>
      <c r="C37" s="685"/>
      <c r="D37" s="686"/>
      <c r="E37" s="687"/>
      <c r="F37" s="685"/>
      <c r="G37" s="686"/>
      <c r="H37" s="121"/>
    </row>
    <row r="38" spans="1:8" x14ac:dyDescent="0.3">
      <c r="B38" s="684"/>
      <c r="C38" s="685"/>
      <c r="D38" s="686"/>
      <c r="E38" s="687"/>
      <c r="F38" s="685"/>
      <c r="G38" s="686"/>
      <c r="H38" s="121"/>
    </row>
    <row r="39" spans="1:8" ht="14.5" thickBot="1" x14ac:dyDescent="0.35">
      <c r="A39" s="373">
        <f>ROW()</f>
        <v>39</v>
      </c>
      <c r="B39" s="693"/>
      <c r="C39" s="694"/>
      <c r="D39" s="695"/>
      <c r="E39" s="696"/>
      <c r="F39" s="694"/>
      <c r="G39" s="695"/>
      <c r="H39" s="122"/>
    </row>
    <row r="40" spans="1:8" ht="14.5" thickBot="1" x14ac:dyDescent="0.35">
      <c r="B40" s="372"/>
      <c r="C40" s="373"/>
      <c r="D40" s="373"/>
      <c r="E40" s="373"/>
      <c r="F40" s="373"/>
      <c r="G40" s="373"/>
      <c r="H40" s="373"/>
    </row>
    <row r="41" spans="1:8" x14ac:dyDescent="0.3">
      <c r="B41" s="375" t="s">
        <v>199</v>
      </c>
      <c r="C41" s="688" t="s">
        <v>200</v>
      </c>
      <c r="D41" s="689"/>
      <c r="E41" s="376" t="s">
        <v>201</v>
      </c>
      <c r="F41" s="377" t="s">
        <v>172</v>
      </c>
    </row>
    <row r="42" spans="1:8" x14ac:dyDescent="0.3">
      <c r="B42" s="378">
        <v>620013</v>
      </c>
      <c r="C42" s="703" t="s">
        <v>202</v>
      </c>
      <c r="D42" s="704"/>
      <c r="E42" s="379" t="s">
        <v>203</v>
      </c>
      <c r="F42" s="380">
        <f>-'Sintesis Precio'!K14</f>
        <v>-465000</v>
      </c>
    </row>
    <row r="43" spans="1:8" x14ac:dyDescent="0.3">
      <c r="B43" s="378">
        <v>800010</v>
      </c>
      <c r="C43" s="703" t="s">
        <v>204</v>
      </c>
      <c r="D43" s="704"/>
      <c r="E43" s="379" t="s">
        <v>205</v>
      </c>
      <c r="F43" s="380">
        <f>Presupuesto!K4</f>
        <v>356584.83721433999</v>
      </c>
    </row>
    <row r="44" spans="1:8" x14ac:dyDescent="0.3">
      <c r="B44" s="378">
        <v>707031</v>
      </c>
      <c r="C44" s="703" t="s">
        <v>206</v>
      </c>
      <c r="D44" s="704"/>
      <c r="E44" s="379" t="s">
        <v>207</v>
      </c>
      <c r="F44" s="380">
        <f>SUMIF(Presupuesto!$B$29:$B$42,'Facturación y SAP'!E44,Presupuesto!$K$29:$K$42)</f>
        <v>0</v>
      </c>
    </row>
    <row r="45" spans="1:8" x14ac:dyDescent="0.3">
      <c r="B45" s="378">
        <v>802213</v>
      </c>
      <c r="C45" s="703" t="s">
        <v>208</v>
      </c>
      <c r="D45" s="704"/>
      <c r="E45" s="379" t="s">
        <v>209</v>
      </c>
      <c r="F45" s="380">
        <f>SUMIF(Presupuesto!$B$29:$B$42,'Facturación y SAP'!E45,Presupuesto!$K$29:$K$42)</f>
        <v>0</v>
      </c>
    </row>
    <row r="46" spans="1:8" x14ac:dyDescent="0.3">
      <c r="B46" s="378">
        <v>802250</v>
      </c>
      <c r="C46" s="703" t="s">
        <v>210</v>
      </c>
      <c r="D46" s="704"/>
      <c r="E46" s="379" t="s">
        <v>211</v>
      </c>
      <c r="F46" s="380">
        <f>SUMIF(Presupuesto!$B$29:$B$42,'Facturación y SAP'!E46,Presupuesto!$K$29:$K$42)</f>
        <v>0</v>
      </c>
    </row>
    <row r="47" spans="1:8" x14ac:dyDescent="0.3">
      <c r="B47" s="378">
        <v>802385</v>
      </c>
      <c r="C47" s="703" t="s">
        <v>212</v>
      </c>
      <c r="D47" s="704"/>
      <c r="E47" s="379" t="s">
        <v>213</v>
      </c>
      <c r="F47" s="380">
        <f>SUMIF(Presupuesto!$B$29:$B$42,'Facturación y SAP'!E47,Presupuesto!$K$29:$K$42)</f>
        <v>0</v>
      </c>
    </row>
    <row r="48" spans="1:8" x14ac:dyDescent="0.3">
      <c r="B48" s="378">
        <v>802450</v>
      </c>
      <c r="C48" s="703" t="s">
        <v>214</v>
      </c>
      <c r="D48" s="704"/>
      <c r="E48" s="379" t="s">
        <v>197</v>
      </c>
      <c r="F48" s="380">
        <f>SUMIF(Presupuesto!$B$29:$B$42,'Facturación y SAP'!E48,Presupuesto!$K$29:$K$42)</f>
        <v>0</v>
      </c>
    </row>
    <row r="49" spans="2:6" x14ac:dyDescent="0.3">
      <c r="B49" s="381">
        <v>802550</v>
      </c>
      <c r="C49" s="708" t="s">
        <v>221</v>
      </c>
      <c r="D49" s="709"/>
      <c r="E49" s="382" t="s">
        <v>222</v>
      </c>
      <c r="F49" s="380">
        <f>SUMIF(Presupuesto!$B$29:$B$42,'Facturación y SAP'!E49,Presupuesto!$K$29:$K$42)</f>
        <v>0</v>
      </c>
    </row>
    <row r="50" spans="2:6" x14ac:dyDescent="0.3">
      <c r="B50" s="378">
        <v>802431</v>
      </c>
      <c r="C50" s="703" t="s">
        <v>215</v>
      </c>
      <c r="D50" s="704"/>
      <c r="E50" s="379" t="s">
        <v>198</v>
      </c>
      <c r="F50" s="380">
        <f>SUMIF(Presupuesto!$B$29:$B$42,'Facturación y SAP'!E50,Presupuesto!$K$29:$K$42)</f>
        <v>0</v>
      </c>
    </row>
    <row r="51" spans="2:6" x14ac:dyDescent="0.3">
      <c r="B51" s="378">
        <v>806125</v>
      </c>
      <c r="C51" s="703" t="s">
        <v>216</v>
      </c>
      <c r="D51" s="704"/>
      <c r="E51" s="379" t="s">
        <v>217</v>
      </c>
      <c r="F51" s="380">
        <f>Presupuesto!K47</f>
        <v>0</v>
      </c>
    </row>
    <row r="52" spans="2:6" x14ac:dyDescent="0.3">
      <c r="B52" s="378">
        <v>809135</v>
      </c>
      <c r="C52" s="703" t="s">
        <v>218</v>
      </c>
      <c r="D52" s="704"/>
      <c r="E52" s="379" t="s">
        <v>219</v>
      </c>
      <c r="F52" s="380">
        <f>Presupuesto!K43</f>
        <v>3565.8483721434004</v>
      </c>
    </row>
    <row r="53" spans="2:6" x14ac:dyDescent="0.3">
      <c r="B53" s="705"/>
      <c r="C53" s="706"/>
      <c r="D53" s="706"/>
      <c r="E53" s="706"/>
      <c r="F53" s="707"/>
    </row>
    <row r="54" spans="2:6" ht="14.5" thickBot="1" x14ac:dyDescent="0.35">
      <c r="B54" s="700" t="s">
        <v>220</v>
      </c>
      <c r="C54" s="701"/>
      <c r="D54" s="701"/>
      <c r="E54" s="702"/>
      <c r="F54" s="383">
        <f>-(SUM(F42:F52))</f>
        <v>104849.31441351661</v>
      </c>
    </row>
    <row r="57" spans="2:6" hidden="1" x14ac:dyDescent="0.3">
      <c r="B57" s="374" t="str">
        <f>E44</f>
        <v>Licencias SW y HW</v>
      </c>
    </row>
    <row r="58" spans="2:6" ht="28" hidden="1" x14ac:dyDescent="0.3">
      <c r="B58" s="374" t="str">
        <f>E47</f>
        <v>Mantenimiento SW de terceros</v>
      </c>
    </row>
    <row r="59" spans="2:6" hidden="1" x14ac:dyDescent="0.3">
      <c r="B59" s="374" t="str">
        <f>E48</f>
        <v>Subcontrataciones</v>
      </c>
    </row>
    <row r="60" spans="2:6" hidden="1" x14ac:dyDescent="0.3">
      <c r="B60" s="374" t="str">
        <f>E50</f>
        <v>Mantenimiento de HW</v>
      </c>
    </row>
  </sheetData>
  <sheetProtection algorithmName="SHA-512" hashValue="iG5S7YtIoJwlN/2vFiljPoXSRVKAPJjWtxwk0hjd6cYgcMz44VSrzlFnHQuVcGXV+Vc0KzYONEm72Gx3FOr6XA==" saltValue="TQlL0rLrc4p9lqjayNzOUQ==" spinCount="100000" sheet="1" objects="1" scenarios="1" formatCells="0" formatColumns="0" formatRows="0" sort="0" autoFilter="0"/>
  <mergeCells count="62">
    <mergeCell ref="C17:E17"/>
    <mergeCell ref="F17:G17"/>
    <mergeCell ref="C13:E13"/>
    <mergeCell ref="F13:G13"/>
    <mergeCell ref="C14:E14"/>
    <mergeCell ref="F14:G14"/>
    <mergeCell ref="C16:E16"/>
    <mergeCell ref="F16:G16"/>
    <mergeCell ref="C15:E15"/>
    <mergeCell ref="F15:G15"/>
    <mergeCell ref="C10:E10"/>
    <mergeCell ref="F10:G10"/>
    <mergeCell ref="C11:E11"/>
    <mergeCell ref="F11:G11"/>
    <mergeCell ref="C12:E12"/>
    <mergeCell ref="F12:G12"/>
    <mergeCell ref="C7:E7"/>
    <mergeCell ref="F7:G7"/>
    <mergeCell ref="C8:E8"/>
    <mergeCell ref="F8:G8"/>
    <mergeCell ref="C9:E9"/>
    <mergeCell ref="F9:G9"/>
    <mergeCell ref="C31:E31"/>
    <mergeCell ref="C32:E32"/>
    <mergeCell ref="C30:E30"/>
    <mergeCell ref="C29:E29"/>
    <mergeCell ref="B1:H1"/>
    <mergeCell ref="B3:H3"/>
    <mergeCell ref="C21:E21"/>
    <mergeCell ref="F21:G21"/>
    <mergeCell ref="C22:E22"/>
    <mergeCell ref="F22:G22"/>
    <mergeCell ref="C23:E23"/>
    <mergeCell ref="F23:G23"/>
    <mergeCell ref="C24:E24"/>
    <mergeCell ref="F24:G24"/>
    <mergeCell ref="C25:E25"/>
    <mergeCell ref="F25:G25"/>
    <mergeCell ref="B54:E54"/>
    <mergeCell ref="C42:D42"/>
    <mergeCell ref="C43:D43"/>
    <mergeCell ref="C52:D52"/>
    <mergeCell ref="B53:F53"/>
    <mergeCell ref="C44:D44"/>
    <mergeCell ref="C46:D46"/>
    <mergeCell ref="C45:D45"/>
    <mergeCell ref="C51:D51"/>
    <mergeCell ref="C50:D50"/>
    <mergeCell ref="C49:D49"/>
    <mergeCell ref="C48:D48"/>
    <mergeCell ref="C47:D47"/>
    <mergeCell ref="B37:D37"/>
    <mergeCell ref="E37:G37"/>
    <mergeCell ref="E38:G38"/>
    <mergeCell ref="C41:D41"/>
    <mergeCell ref="E35:G35"/>
    <mergeCell ref="B39:D39"/>
    <mergeCell ref="E39:G39"/>
    <mergeCell ref="B36:D36"/>
    <mergeCell ref="B38:D38"/>
    <mergeCell ref="B35:D35"/>
    <mergeCell ref="E36:G36"/>
  </mergeCells>
  <phoneticPr fontId="50" type="noConversion"/>
  <pageMargins left="0.19685039370078741" right="0.19685039370078741" top="0.19685039370078741" bottom="0.39370078740157483" header="0.19685039370078741" footer="0.19685039370078741"/>
  <pageSetup paperSize="9" scale="70" orientation="landscape" horizontalDpi="1200" verticalDpi="1200" r:id="rId1"/>
  <headerFooter scaleWithDoc="0" alignWithMargins="0">
    <oddFooter>&amp;LSCI32PT01-PPO - 2020-v1&amp;C&amp;D&amp;R&amp;F&amp;LSCI32PT01-PPO - 2020-v1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>
    <pageSetUpPr fitToPage="1"/>
  </sheetPr>
  <dimension ref="A1:AJ65"/>
  <sheetViews>
    <sheetView showZeros="0" tabSelected="1" topLeftCell="B1" zoomScale="85" zoomScaleNormal="85" workbookViewId="0">
      <selection activeCell="R19" sqref="R19"/>
    </sheetView>
  </sheetViews>
  <sheetFormatPr baseColWidth="10" defaultColWidth="12" defaultRowHeight="13" x14ac:dyDescent="0.3"/>
  <cols>
    <col min="1" max="1" width="4" style="1" hidden="1" customWidth="1"/>
    <col min="2" max="2" width="27.796875" style="178" customWidth="1"/>
    <col min="3" max="3" width="8.796875" style="178" customWidth="1"/>
    <col min="4" max="4" width="24" style="178" customWidth="1"/>
    <col min="5" max="5" width="11.5" style="178" bestFit="1" customWidth="1"/>
    <col min="6" max="6" width="22" style="179" customWidth="1"/>
    <col min="7" max="7" width="20" style="179" customWidth="1"/>
    <col min="8" max="8" width="21.5" style="180" bestFit="1" customWidth="1"/>
    <col min="9" max="9" width="21.5" style="178" bestFit="1" customWidth="1"/>
    <col min="10" max="10" width="8.19921875" style="178" customWidth="1"/>
    <col min="11" max="11" width="22.796875" style="180" customWidth="1"/>
    <col min="12" max="12" width="23.5" style="180" customWidth="1"/>
    <col min="13" max="13" width="8.19921875" style="178" customWidth="1"/>
    <col min="14" max="14" width="13.19921875" style="178" customWidth="1"/>
    <col min="15" max="15" width="12" style="178"/>
    <col min="16" max="16" width="17.19921875" style="178" customWidth="1"/>
    <col min="17" max="17" width="21.5" style="178" bestFit="1" customWidth="1"/>
    <col min="18" max="18" width="16.19921875" style="178" bestFit="1" customWidth="1"/>
    <col min="19" max="19" width="12" style="178"/>
    <col min="20" max="20" width="15.5" style="178" customWidth="1"/>
    <col min="21" max="21" width="14.296875" style="178" bestFit="1" customWidth="1"/>
    <col min="22" max="16384" width="12" style="178"/>
  </cols>
  <sheetData>
    <row r="1" spans="1:36" s="241" customFormat="1" ht="16" thickBot="1" x14ac:dyDescent="0.4">
      <c r="A1" s="430"/>
      <c r="B1" s="561" t="s">
        <v>117</v>
      </c>
      <c r="C1" s="562"/>
      <c r="D1" s="555" t="str">
        <f>sector</f>
        <v>Sector Público</v>
      </c>
      <c r="E1" s="556"/>
      <c r="F1" s="556"/>
      <c r="G1" s="351" t="s">
        <v>38</v>
      </c>
      <c r="H1" s="555" t="str">
        <f>oficina</f>
        <v>Valladolid</v>
      </c>
      <c r="I1" s="602"/>
      <c r="J1" s="574" t="s">
        <v>118</v>
      </c>
      <c r="K1" s="562"/>
      <c r="L1" s="591" t="str">
        <f>tipo_oferta</f>
        <v>Sin producto</v>
      </c>
      <c r="M1" s="592" t="str">
        <f>tipo_oferta</f>
        <v>Sin producto</v>
      </c>
      <c r="N1" s="593" t="str">
        <f>tipo_oferta</f>
        <v>Sin producto</v>
      </c>
      <c r="O1" s="352"/>
      <c r="Q1" s="352"/>
    </row>
    <row r="2" spans="1:36" s="353" customFormat="1" ht="16" thickBot="1" x14ac:dyDescent="0.4">
      <c r="B2" s="563" t="s">
        <v>119</v>
      </c>
      <c r="C2" s="564"/>
      <c r="D2" s="575" t="str">
        <f>nombreo</f>
        <v>Lote 2: Núcleo Estructural Java</v>
      </c>
      <c r="E2" s="576"/>
      <c r="F2" s="576"/>
      <c r="G2" s="577"/>
      <c r="H2" s="578"/>
      <c r="I2" s="354">
        <f>codigo_oferta</f>
        <v>20251160543</v>
      </c>
      <c r="J2" s="563" t="s">
        <v>33</v>
      </c>
      <c r="K2" s="564"/>
      <c r="L2" s="350" t="str">
        <f>tipo_contrato</f>
        <v>AT</v>
      </c>
      <c r="M2" s="405"/>
      <c r="N2" s="405"/>
      <c r="O2" s="405"/>
      <c r="P2" s="405"/>
      <c r="Q2" s="405"/>
      <c r="R2" s="405"/>
      <c r="S2" s="405"/>
      <c r="T2" s="405"/>
      <c r="U2" s="405"/>
      <c r="V2" s="405"/>
      <c r="W2" s="405"/>
      <c r="X2" s="405"/>
      <c r="Y2" s="405"/>
      <c r="Z2" s="405"/>
      <c r="AA2" s="405"/>
      <c r="AB2" s="405"/>
      <c r="AC2" s="405"/>
      <c r="AD2" s="405"/>
      <c r="AE2" s="405"/>
      <c r="AF2" s="405"/>
      <c r="AG2" s="405"/>
      <c r="AH2" s="405"/>
      <c r="AI2" s="405"/>
      <c r="AJ2" s="405"/>
    </row>
    <row r="3" spans="1:36" customFormat="1" ht="16" thickBot="1" x14ac:dyDescent="0.4">
      <c r="B3" s="563" t="s">
        <v>21</v>
      </c>
      <c r="C3" s="564"/>
      <c r="D3" s="568" t="str">
        <f>cliente</f>
        <v>Consejería Educación JCyL</v>
      </c>
      <c r="E3" s="569"/>
      <c r="F3" s="569"/>
      <c r="G3" s="570"/>
      <c r="H3" s="571"/>
      <c r="I3" s="403" t="s">
        <v>32</v>
      </c>
      <c r="J3" s="350">
        <f>duracion</f>
        <v>48</v>
      </c>
      <c r="K3" s="355" t="s">
        <v>235</v>
      </c>
      <c r="L3" s="350" t="str">
        <f>mes_inicio&amp;" - "&amp;año_inicio</f>
        <v>1 - 2026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</row>
    <row r="4" spans="1:36" customFormat="1" ht="5.25" customHeight="1" thickBot="1" x14ac:dyDescent="0.35"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</row>
    <row r="5" spans="1:36" customFormat="1" ht="14.5" thickBot="1" x14ac:dyDescent="0.35">
      <c r="B5" s="361" t="s">
        <v>236</v>
      </c>
      <c r="C5" s="399" t="s">
        <v>386</v>
      </c>
      <c r="D5" s="361" t="s">
        <v>237</v>
      </c>
      <c r="E5" s="572"/>
      <c r="F5" s="573"/>
      <c r="G5" s="389"/>
      <c r="H5" s="390" t="s">
        <v>238</v>
      </c>
      <c r="I5" s="399" t="s">
        <v>386</v>
      </c>
      <c r="J5" s="394"/>
      <c r="K5" s="391" t="s">
        <v>239</v>
      </c>
      <c r="L5" s="398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</row>
    <row r="6" spans="1:36" customFormat="1" ht="10.5" customHeight="1" thickBot="1" x14ac:dyDescent="0.35">
      <c r="B6" s="293"/>
      <c r="C6" s="293"/>
      <c r="D6" s="395"/>
      <c r="E6" s="395"/>
      <c r="F6" s="395"/>
      <c r="G6" s="395"/>
      <c r="H6" s="395"/>
      <c r="I6" s="395"/>
      <c r="J6" s="395"/>
      <c r="K6" s="395"/>
      <c r="L6" s="293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</row>
    <row r="7" spans="1:36" s="241" customFormat="1" ht="16" thickBot="1" x14ac:dyDescent="0.4">
      <c r="A7" s="430"/>
      <c r="B7" s="396"/>
      <c r="C7" s="396"/>
      <c r="D7" s="582" t="s">
        <v>250</v>
      </c>
      <c r="E7" s="583"/>
      <c r="F7" s="583"/>
      <c r="G7" s="583"/>
      <c r="H7" s="400" t="s">
        <v>251</v>
      </c>
      <c r="I7" s="402"/>
      <c r="J7" s="625"/>
      <c r="K7" s="626"/>
      <c r="L7" s="396"/>
      <c r="M7" s="603" t="s">
        <v>256</v>
      </c>
      <c r="N7" s="604"/>
      <c r="O7" s="604"/>
      <c r="P7" s="605"/>
    </row>
    <row r="8" spans="1:36" s="241" customFormat="1" ht="16.5" customHeight="1" thickBot="1" x14ac:dyDescent="0.4">
      <c r="A8" s="430"/>
      <c r="B8" s="396"/>
      <c r="C8" s="396"/>
      <c r="D8" s="579" t="s">
        <v>255</v>
      </c>
      <c r="E8" s="580"/>
      <c r="F8" s="581"/>
      <c r="G8" s="393"/>
      <c r="H8" s="401" t="s">
        <v>254</v>
      </c>
      <c r="I8" s="404"/>
      <c r="J8" s="627">
        <f>G8*I8</f>
        <v>0</v>
      </c>
      <c r="K8" s="628"/>
      <c r="L8" s="396"/>
      <c r="M8" s="606"/>
      <c r="N8" s="607"/>
      <c r="O8" s="607"/>
      <c r="P8" s="608"/>
    </row>
    <row r="9" spans="1:36" s="242" customFormat="1" ht="16" thickBot="1" x14ac:dyDescent="0.4">
      <c r="A9" s="38"/>
      <c r="B9" s="281"/>
      <c r="C9" s="281"/>
      <c r="D9" s="281"/>
      <c r="E9" s="281"/>
      <c r="J9" s="281"/>
      <c r="M9" s="609">
        <f>F12+J7+J8</f>
        <v>104849.31441351655</v>
      </c>
      <c r="N9" s="610"/>
      <c r="O9" s="611"/>
      <c r="P9" s="615">
        <f>IF(D12=0,0,1-(F16)/D12)</f>
        <v>0.22548239658820768</v>
      </c>
    </row>
    <row r="10" spans="1:36" customFormat="1" ht="15.75" customHeight="1" thickBot="1" x14ac:dyDescent="0.4">
      <c r="B10" s="584" t="s">
        <v>17</v>
      </c>
      <c r="C10" s="585"/>
      <c r="D10" s="88">
        <f>D11+D12</f>
        <v>562650</v>
      </c>
      <c r="E10" s="397"/>
      <c r="F10" s="559" t="s">
        <v>99</v>
      </c>
      <c r="G10" s="559" t="s">
        <v>98</v>
      </c>
      <c r="H10" s="559" t="s">
        <v>36</v>
      </c>
      <c r="I10" s="559" t="s">
        <v>37</v>
      </c>
      <c r="J10" s="396"/>
      <c r="K10" s="180"/>
      <c r="L10" s="180"/>
      <c r="M10" s="612"/>
      <c r="N10" s="613"/>
      <c r="O10" s="614"/>
      <c r="P10" s="616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</row>
    <row r="11" spans="1:36" customFormat="1" ht="15.75" customHeight="1" thickBot="1" x14ac:dyDescent="0.4">
      <c r="B11" s="557" t="s">
        <v>16</v>
      </c>
      <c r="C11" s="558"/>
      <c r="D11" s="89">
        <f>ROUND(D12*IVA,2)</f>
        <v>97650</v>
      </c>
      <c r="E11" s="397"/>
      <c r="F11" s="560"/>
      <c r="G11" s="560"/>
      <c r="H11" s="560"/>
      <c r="I11" s="560"/>
      <c r="J11" s="396"/>
      <c r="K11" s="180"/>
      <c r="L11" s="180"/>
      <c r="M11" s="178"/>
      <c r="N11" s="178"/>
      <c r="O11" s="178"/>
      <c r="P11" s="178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</row>
    <row r="12" spans="1:36" customFormat="1" ht="15.75" customHeight="1" thickBot="1" x14ac:dyDescent="0.4">
      <c r="B12" s="552" t="s">
        <v>253</v>
      </c>
      <c r="C12" s="554"/>
      <c r="D12" s="86">
        <f>K14+J7+J8</f>
        <v>465000</v>
      </c>
      <c r="E12" s="397"/>
      <c r="F12" s="87">
        <f>$K$14-F16</f>
        <v>104849.31441351655</v>
      </c>
      <c r="G12" s="87">
        <f>$K$14-G16</f>
        <v>77741.198294103844</v>
      </c>
      <c r="H12" s="87">
        <f>$K$14-H16</f>
        <v>77741.198294103844</v>
      </c>
      <c r="I12" s="87">
        <f>$K$14-I16</f>
        <v>77741.198294103844</v>
      </c>
      <c r="J12" s="279"/>
      <c r="K12" s="617" t="s">
        <v>252</v>
      </c>
      <c r="L12" s="618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</row>
    <row r="13" spans="1:36" customFormat="1" ht="18.75" customHeight="1" thickBot="1" x14ac:dyDescent="0.35">
      <c r="B13" s="437"/>
      <c r="C13" s="438" t="s">
        <v>262</v>
      </c>
      <c r="D13" s="439">
        <f>IF(D14=0,0,(Precio-D14)/D14)</f>
        <v>-9.4290724263180234E-2</v>
      </c>
      <c r="E13" s="397"/>
      <c r="F13" s="436">
        <f>IF($K$14=0,0,1-(F16)/$K$14)</f>
        <v>0.22548239658820768</v>
      </c>
      <c r="G13" s="443">
        <f>IF($K$14=0,0,1-(G16)/$K$14)</f>
        <v>0.16718537267549216</v>
      </c>
      <c r="H13" s="436">
        <f>IF($K$14=0,0,1-(H16)/$K$14)</f>
        <v>0.16718537267549216</v>
      </c>
      <c r="I13" s="436">
        <f>IF($K$14=0,0,1-(I16)/$K$14)</f>
        <v>0.16718537267549216</v>
      </c>
      <c r="J13" s="279"/>
      <c r="K13" s="619"/>
      <c r="L13" s="620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</row>
    <row r="14" spans="1:36" s="242" customFormat="1" ht="23.25" customHeight="1" thickBot="1" x14ac:dyDescent="0.4">
      <c r="A14" s="38"/>
      <c r="B14" s="589" t="s">
        <v>263</v>
      </c>
      <c r="C14" s="590"/>
      <c r="D14" s="440">
        <f>256704.89*2</f>
        <v>513409.78</v>
      </c>
      <c r="E14" s="397"/>
      <c r="F14" s="292"/>
      <c r="G14" s="292"/>
      <c r="H14" s="406"/>
      <c r="I14" s="406"/>
      <c r="J14" s="292"/>
      <c r="K14" s="621">
        <f>ROUND(K18+K42+K46+K52,2)</f>
        <v>465000</v>
      </c>
      <c r="L14" s="622"/>
      <c r="M14" s="281"/>
      <c r="N14" s="281"/>
    </row>
    <row r="15" spans="1:36" ht="15.75" customHeight="1" thickBot="1" x14ac:dyDescent="0.4">
      <c r="B15" s="407"/>
      <c r="C15" s="407"/>
      <c r="D15" s="407"/>
      <c r="E15" s="407"/>
      <c r="F15" s="246" t="s">
        <v>12</v>
      </c>
      <c r="G15" s="246" t="s">
        <v>47</v>
      </c>
      <c r="H15" s="246" t="s">
        <v>31</v>
      </c>
      <c r="I15" s="246" t="s">
        <v>30</v>
      </c>
      <c r="J15" s="279"/>
      <c r="K15" s="623"/>
      <c r="L15" s="624"/>
      <c r="M15" s="279"/>
      <c r="O15" s="552" t="s">
        <v>39</v>
      </c>
      <c r="P15" s="554"/>
      <c r="R15" s="512">
        <f>F18/E18</f>
        <v>25.012965573396468</v>
      </c>
    </row>
    <row r="16" spans="1:36" s="242" customFormat="1" ht="15.75" customHeight="1" thickBot="1" x14ac:dyDescent="0.4">
      <c r="A16" s="38"/>
      <c r="B16" s="247" t="s">
        <v>0</v>
      </c>
      <c r="C16" s="248"/>
      <c r="D16" s="249">
        <f>IF(SUM(Parametros!K19:P58)+hayerrs=0,0,"ERROR")</f>
        <v>0</v>
      </c>
      <c r="E16" s="246" t="s">
        <v>14</v>
      </c>
      <c r="F16" s="86">
        <f>F18+F40+F42+F46+F52</f>
        <v>360150.68558648345</v>
      </c>
      <c r="G16" s="86">
        <f t="shared" ref="G16:I16" si="0">G18+G40+G42+G46+G52</f>
        <v>387258.80170589616</v>
      </c>
      <c r="H16" s="86">
        <f t="shared" si="0"/>
        <v>387258.80170589616</v>
      </c>
      <c r="I16" s="86">
        <f t="shared" si="0"/>
        <v>387258.80170589616</v>
      </c>
      <c r="J16" s="279"/>
      <c r="M16" s="280"/>
      <c r="N16" s="280"/>
      <c r="O16" s="137" t="s">
        <v>53</v>
      </c>
      <c r="P16" s="341">
        <f>IF(O16="NO",0,SUM(P19:P39))</f>
        <v>0</v>
      </c>
    </row>
    <row r="17" spans="1:25" s="242" customFormat="1" ht="17.25" customHeight="1" thickBot="1" x14ac:dyDescent="0.4">
      <c r="A17" s="38"/>
      <c r="B17" s="1"/>
      <c r="C17" s="1"/>
      <c r="D17" s="441" t="s">
        <v>264</v>
      </c>
      <c r="E17" s="442">
        <f>IF(E18,F18/E18,0)</f>
        <v>25.012965573396468</v>
      </c>
      <c r="F17" s="250"/>
      <c r="G17" s="250"/>
      <c r="H17" s="250"/>
      <c r="I17" s="250"/>
      <c r="J17" s="279"/>
      <c r="K17" s="1"/>
      <c r="L17" s="1"/>
      <c r="M17" s="280"/>
      <c r="N17" s="38"/>
      <c r="O17" s="280"/>
      <c r="P17" s="280"/>
    </row>
    <row r="18" spans="1:25" s="241" customFormat="1" ht="16" thickBot="1" x14ac:dyDescent="0.4">
      <c r="A18" s="430"/>
      <c r="B18" s="246" t="s">
        <v>35</v>
      </c>
      <c r="C18" s="251"/>
      <c r="D18" s="252" t="s">
        <v>46</v>
      </c>
      <c r="E18" s="246">
        <f>SUM(E19:E39)</f>
        <v>14256</v>
      </c>
      <c r="F18" s="253">
        <f>SUM(F19:F39)+D16</f>
        <v>356584.83721434005</v>
      </c>
      <c r="G18" s="254">
        <f>SUM(G19:G39)+D16</f>
        <v>383424.55614445166</v>
      </c>
      <c r="H18" s="254">
        <f>SUM(H19:H39)+D16</f>
        <v>383424.55614445166</v>
      </c>
      <c r="I18" s="255">
        <f>SUM(I19:I39)+D16</f>
        <v>383424.55614445166</v>
      </c>
      <c r="J18" s="279"/>
      <c r="K18" s="143">
        <f>'Criterios Licitación'!C2</f>
        <v>465000</v>
      </c>
      <c r="L18" s="434" t="s">
        <v>261</v>
      </c>
      <c r="M18" s="282"/>
      <c r="N18" s="246" t="s">
        <v>14</v>
      </c>
      <c r="O18" s="246" t="s">
        <v>40</v>
      </c>
      <c r="P18" s="246" t="s">
        <v>41</v>
      </c>
      <c r="R18" s="242">
        <f>E18*E17</f>
        <v>356584.83721434005</v>
      </c>
      <c r="S18" s="515"/>
      <c r="T18" s="515"/>
      <c r="U18" s="515"/>
    </row>
    <row r="19" spans="1:25" ht="15.5" x14ac:dyDescent="0.35">
      <c r="B19" s="257" t="str">
        <f>Presupuesto!L6</f>
        <v>Susana Matarranz</v>
      </c>
      <c r="C19" s="257" t="str">
        <f>Presupuesto!C6</f>
        <v>Connectis-ICT</v>
      </c>
      <c r="D19" s="258" t="str">
        <f>Presupuesto!D6</f>
        <v>AP</v>
      </c>
      <c r="E19" s="259">
        <f>Presupuesto!K6</f>
        <v>6968</v>
      </c>
      <c r="F19" s="260">
        <f>Presupuesto!V6</f>
        <v>239333.92120456003</v>
      </c>
      <c r="G19" s="261">
        <f t="shared" ref="G19:G39" si="1">F19/Tu</f>
        <v>257348.30237049464</v>
      </c>
      <c r="H19" s="262">
        <f t="shared" ref="H19:H39" si="2">G19*(1+K_1)</f>
        <v>257348.30237049464</v>
      </c>
      <c r="I19" s="263">
        <f t="shared" ref="I19:I40" si="3">H19*(1+K_2)*(1+K_3)</f>
        <v>257348.30237049464</v>
      </c>
      <c r="J19" s="279"/>
      <c r="K19" s="264">
        <f t="shared" ref="K19:K39" si="4">IF($L$22=0,0,H19/(1-$L$22)*($H$18/($H$18-$H$39)))</f>
        <v>309010.30544726294</v>
      </c>
      <c r="L19" s="256" t="s">
        <v>13</v>
      </c>
      <c r="M19" s="279"/>
      <c r="N19" s="141">
        <f t="shared" ref="N19:N39" si="5">E19</f>
        <v>6968</v>
      </c>
      <c r="O19" s="138"/>
      <c r="P19" s="265">
        <f>N19*O19</f>
        <v>0</v>
      </c>
      <c r="R19" s="548">
        <f>K18/E18</f>
        <v>32.617845117845121</v>
      </c>
      <c r="T19" s="513"/>
      <c r="U19" s="514"/>
      <c r="W19" s="513"/>
    </row>
    <row r="20" spans="1:25" ht="16" thickBot="1" x14ac:dyDescent="0.4">
      <c r="B20" s="266" t="str">
        <f>Presupuesto!L7</f>
        <v>Jorge Puertas</v>
      </c>
      <c r="C20" s="257" t="str">
        <f>Presupuesto!C7</f>
        <v>Connectis-ICT</v>
      </c>
      <c r="D20" s="258" t="str">
        <f>Presupuesto!D7</f>
        <v>PR</v>
      </c>
      <c r="E20" s="259">
        <f>Presupuesto!K7</f>
        <v>6968</v>
      </c>
      <c r="F20" s="260">
        <f>Presupuesto!V7</f>
        <v>110557.11280978</v>
      </c>
      <c r="G20" s="261">
        <f t="shared" si="1"/>
        <v>118878.61592449462</v>
      </c>
      <c r="H20" s="262">
        <f t="shared" si="2"/>
        <v>118878.61592449462</v>
      </c>
      <c r="I20" s="263">
        <f t="shared" si="3"/>
        <v>118878.61592449462</v>
      </c>
      <c r="J20" s="279"/>
      <c r="K20" s="264">
        <f t="shared" si="4"/>
        <v>142743.18920934771</v>
      </c>
      <c r="L20" s="39">
        <f>IF((K18+K42+K46)=0,0,1-(I18+I40+I42+I46)/(K18+K42+K46))</f>
        <v>0.16718537267549216</v>
      </c>
      <c r="M20" s="279"/>
      <c r="N20" s="141">
        <f t="shared" si="5"/>
        <v>6968</v>
      </c>
      <c r="O20" s="139"/>
      <c r="P20" s="267">
        <f t="shared" ref="P20:P39" si="6">N20*O20</f>
        <v>0</v>
      </c>
      <c r="R20" s="242"/>
      <c r="T20" s="513"/>
      <c r="U20" s="514"/>
      <c r="W20" s="513"/>
    </row>
    <row r="21" spans="1:25" ht="15.5" x14ac:dyDescent="0.35">
      <c r="B21" s="266">
        <f>Presupuesto!L8</f>
        <v>0</v>
      </c>
      <c r="C21" s="257">
        <f>Presupuesto!C8</f>
        <v>0</v>
      </c>
      <c r="D21" s="258">
        <f>Presupuesto!D8</f>
        <v>0</v>
      </c>
      <c r="E21" s="259">
        <f>Presupuesto!K8</f>
        <v>0</v>
      </c>
      <c r="F21" s="260">
        <f>Presupuesto!V8</f>
        <v>0</v>
      </c>
      <c r="G21" s="261">
        <f t="shared" si="1"/>
        <v>0</v>
      </c>
      <c r="H21" s="262">
        <f t="shared" si="2"/>
        <v>0</v>
      </c>
      <c r="I21" s="263">
        <f t="shared" si="3"/>
        <v>0</v>
      </c>
      <c r="J21" s="279"/>
      <c r="K21" s="264">
        <f t="shared" si="4"/>
        <v>0</v>
      </c>
      <c r="L21" s="256" t="s">
        <v>5</v>
      </c>
      <c r="M21" s="279"/>
      <c r="N21" s="141">
        <f t="shared" si="5"/>
        <v>0</v>
      </c>
      <c r="O21" s="139"/>
      <c r="P21" s="267">
        <f t="shared" si="6"/>
        <v>0</v>
      </c>
      <c r="R21" s="242"/>
      <c r="T21" s="513"/>
      <c r="U21" s="514"/>
      <c r="W21" s="513"/>
    </row>
    <row r="22" spans="1:25" ht="16" thickBot="1" x14ac:dyDescent="0.4">
      <c r="B22" s="266" t="str">
        <f>Presupuesto!L9</f>
        <v>Sopore especializado</v>
      </c>
      <c r="C22" s="257" t="str">
        <f>Presupuesto!C9</f>
        <v>Connectis-ICT</v>
      </c>
      <c r="D22" s="258" t="str">
        <f>Presupuesto!D9</f>
        <v>AP</v>
      </c>
      <c r="E22" s="259">
        <f>Presupuesto!K9</f>
        <v>320</v>
      </c>
      <c r="F22" s="260">
        <f>Presupuesto!V9</f>
        <v>6693.8032000000003</v>
      </c>
      <c r="G22" s="261">
        <f t="shared" si="1"/>
        <v>7197.6378494623659</v>
      </c>
      <c r="H22" s="262">
        <f t="shared" si="2"/>
        <v>7197.6378494623659</v>
      </c>
      <c r="I22" s="263">
        <f t="shared" si="3"/>
        <v>7197.6378494623659</v>
      </c>
      <c r="J22" s="279"/>
      <c r="K22" s="264">
        <f t="shared" si="4"/>
        <v>8642.544947349721</v>
      </c>
      <c r="L22" s="39">
        <f>IF((K18+K42+K46)=0,0,1-(H18+H40+H42+H46)/(K18+K42+K46))</f>
        <v>0.16718537267549216</v>
      </c>
      <c r="M22" s="279"/>
      <c r="N22" s="141">
        <f t="shared" si="5"/>
        <v>320</v>
      </c>
      <c r="O22" s="139"/>
      <c r="P22" s="267">
        <f t="shared" si="6"/>
        <v>0</v>
      </c>
      <c r="R22" s="242"/>
      <c r="W22" s="512"/>
    </row>
    <row r="23" spans="1:25" x14ac:dyDescent="0.3">
      <c r="B23" s="266">
        <f>Presupuesto!L10</f>
        <v>0</v>
      </c>
      <c r="C23" s="257">
        <f>Presupuesto!C10</f>
        <v>0</v>
      </c>
      <c r="D23" s="258">
        <f>Presupuesto!D10</f>
        <v>0</v>
      </c>
      <c r="E23" s="259">
        <f>Presupuesto!K10</f>
        <v>0</v>
      </c>
      <c r="F23" s="260">
        <f>Presupuesto!V10</f>
        <v>0</v>
      </c>
      <c r="G23" s="261">
        <f t="shared" si="1"/>
        <v>0</v>
      </c>
      <c r="H23" s="262">
        <f t="shared" si="2"/>
        <v>0</v>
      </c>
      <c r="I23" s="263">
        <f t="shared" si="3"/>
        <v>0</v>
      </c>
      <c r="J23" s="279"/>
      <c r="K23" s="264">
        <f t="shared" si="4"/>
        <v>0</v>
      </c>
      <c r="L23" s="256" t="s">
        <v>120</v>
      </c>
      <c r="M23" s="279"/>
      <c r="N23" s="141">
        <f t="shared" si="5"/>
        <v>0</v>
      </c>
      <c r="O23" s="139"/>
      <c r="P23" s="267">
        <f t="shared" si="6"/>
        <v>0</v>
      </c>
    </row>
    <row r="24" spans="1:25" ht="13.5" thickBot="1" x14ac:dyDescent="0.35">
      <c r="B24" s="266">
        <f>Presupuesto!L11</f>
        <v>0</v>
      </c>
      <c r="C24" s="257">
        <f>Presupuesto!C11</f>
        <v>0</v>
      </c>
      <c r="D24" s="258">
        <f>Presupuesto!D11</f>
        <v>0</v>
      </c>
      <c r="E24" s="259">
        <f>Presupuesto!K11</f>
        <v>0</v>
      </c>
      <c r="F24" s="260">
        <f>Presupuesto!V11</f>
        <v>0</v>
      </c>
      <c r="G24" s="261">
        <f t="shared" si="1"/>
        <v>0</v>
      </c>
      <c r="H24" s="262">
        <f t="shared" si="2"/>
        <v>0</v>
      </c>
      <c r="I24" s="263">
        <f t="shared" si="3"/>
        <v>0</v>
      </c>
      <c r="J24" s="279"/>
      <c r="K24" s="264">
        <f t="shared" si="4"/>
        <v>0</v>
      </c>
      <c r="L24" s="39">
        <f>IF((K18+K42+K46)=0,0,1-(G18+G40+G42+G46)/(K18+K42+K46))</f>
        <v>0.16718537267549216</v>
      </c>
      <c r="M24" s="279"/>
      <c r="N24" s="141">
        <f t="shared" si="5"/>
        <v>0</v>
      </c>
      <c r="O24" s="139"/>
      <c r="P24" s="267">
        <f t="shared" si="6"/>
        <v>0</v>
      </c>
      <c r="R24" s="517"/>
      <c r="T24" s="513"/>
      <c r="U24" s="516"/>
      <c r="W24" s="513"/>
      <c r="Y24" s="516"/>
    </row>
    <row r="25" spans="1:25" x14ac:dyDescent="0.3">
      <c r="B25" s="266">
        <f>Presupuesto!L12</f>
        <v>0</v>
      </c>
      <c r="C25" s="257">
        <f>Presupuesto!C12</f>
        <v>0</v>
      </c>
      <c r="D25" s="258">
        <f>Presupuesto!D12</f>
        <v>0</v>
      </c>
      <c r="E25" s="259">
        <f>Presupuesto!K12</f>
        <v>0</v>
      </c>
      <c r="F25" s="260">
        <f>Presupuesto!V12</f>
        <v>0</v>
      </c>
      <c r="G25" s="261">
        <f t="shared" si="1"/>
        <v>0</v>
      </c>
      <c r="H25" s="262">
        <f t="shared" si="2"/>
        <v>0</v>
      </c>
      <c r="I25" s="263">
        <f t="shared" si="3"/>
        <v>0</v>
      </c>
      <c r="J25" s="279"/>
      <c r="K25" s="264">
        <f t="shared" si="4"/>
        <v>0</v>
      </c>
      <c r="L25" s="256" t="s">
        <v>121</v>
      </c>
      <c r="M25" s="279"/>
      <c r="N25" s="141">
        <f t="shared" si="5"/>
        <v>0</v>
      </c>
      <c r="O25" s="139"/>
      <c r="P25" s="267">
        <f t="shared" si="6"/>
        <v>0</v>
      </c>
    </row>
    <row r="26" spans="1:25" ht="13.5" thickBot="1" x14ac:dyDescent="0.35">
      <c r="B26" s="266">
        <f>Presupuesto!L13</f>
        <v>0</v>
      </c>
      <c r="C26" s="257">
        <f>Presupuesto!C13</f>
        <v>0</v>
      </c>
      <c r="D26" s="258">
        <f>Presupuesto!D13</f>
        <v>0</v>
      </c>
      <c r="E26" s="259">
        <f>Presupuesto!K13</f>
        <v>0</v>
      </c>
      <c r="F26" s="260">
        <f>Presupuesto!V13</f>
        <v>0</v>
      </c>
      <c r="G26" s="261">
        <f t="shared" si="1"/>
        <v>0</v>
      </c>
      <c r="H26" s="262">
        <f t="shared" si="2"/>
        <v>0</v>
      </c>
      <c r="I26" s="263">
        <f t="shared" si="3"/>
        <v>0</v>
      </c>
      <c r="J26" s="279"/>
      <c r="K26" s="264">
        <f t="shared" si="4"/>
        <v>0</v>
      </c>
      <c r="L26" s="39">
        <f>IF((K18+K42+K46)=0,0,1-(F18+F40+F42+F46)/(K18+K42+K46))</f>
        <v>0.22548239658820768</v>
      </c>
      <c r="M26" s="292"/>
      <c r="N26" s="141">
        <f t="shared" si="5"/>
        <v>0</v>
      </c>
      <c r="O26" s="139"/>
      <c r="P26" s="267">
        <f t="shared" si="6"/>
        <v>0</v>
      </c>
    </row>
    <row r="27" spans="1:25" ht="12.5" x14ac:dyDescent="0.25">
      <c r="B27" s="266">
        <f>Presupuesto!L14</f>
        <v>0</v>
      </c>
      <c r="C27" s="257">
        <f>Presupuesto!C14</f>
        <v>0</v>
      </c>
      <c r="D27" s="258">
        <f>Presupuesto!D14</f>
        <v>0</v>
      </c>
      <c r="E27" s="259">
        <f>Presupuesto!K14</f>
        <v>0</v>
      </c>
      <c r="F27" s="260">
        <f>Presupuesto!V14</f>
        <v>0</v>
      </c>
      <c r="G27" s="261">
        <f t="shared" si="1"/>
        <v>0</v>
      </c>
      <c r="H27" s="262">
        <f t="shared" si="2"/>
        <v>0</v>
      </c>
      <c r="I27" s="263">
        <f t="shared" si="3"/>
        <v>0</v>
      </c>
      <c r="J27" s="279"/>
      <c r="K27" s="264">
        <f t="shared" si="4"/>
        <v>0</v>
      </c>
      <c r="L27" s="409"/>
      <c r="M27" s="292"/>
      <c r="N27" s="141">
        <f t="shared" si="5"/>
        <v>0</v>
      </c>
      <c r="O27" s="139"/>
      <c r="P27" s="267">
        <f t="shared" si="6"/>
        <v>0</v>
      </c>
    </row>
    <row r="28" spans="1:25" x14ac:dyDescent="0.3">
      <c r="B28" s="266">
        <f>Presupuesto!L15</f>
        <v>0</v>
      </c>
      <c r="C28" s="257">
        <f>Presupuesto!C15</f>
        <v>0</v>
      </c>
      <c r="D28" s="258">
        <f>Presupuesto!D15</f>
        <v>0</v>
      </c>
      <c r="E28" s="259">
        <f>Presupuesto!K15</f>
        <v>0</v>
      </c>
      <c r="F28" s="260">
        <f>Presupuesto!V15</f>
        <v>0</v>
      </c>
      <c r="G28" s="261">
        <f t="shared" si="1"/>
        <v>0</v>
      </c>
      <c r="H28" s="262">
        <f t="shared" si="2"/>
        <v>0</v>
      </c>
      <c r="I28" s="263">
        <f t="shared" si="3"/>
        <v>0</v>
      </c>
      <c r="J28" s="279"/>
      <c r="K28" s="264">
        <f t="shared" si="4"/>
        <v>0</v>
      </c>
      <c r="L28" s="409"/>
      <c r="M28" s="292"/>
      <c r="N28" s="141">
        <f t="shared" si="5"/>
        <v>0</v>
      </c>
      <c r="O28" s="139"/>
      <c r="P28" s="267">
        <f t="shared" si="6"/>
        <v>0</v>
      </c>
      <c r="X28" s="516"/>
    </row>
    <row r="29" spans="1:25" ht="12.5" x14ac:dyDescent="0.25">
      <c r="B29" s="266">
        <f>Presupuesto!L16</f>
        <v>0</v>
      </c>
      <c r="C29" s="257">
        <f>Presupuesto!C16</f>
        <v>0</v>
      </c>
      <c r="D29" s="258">
        <f>Presupuesto!D16</f>
        <v>0</v>
      </c>
      <c r="E29" s="259">
        <f>Presupuesto!K16</f>
        <v>0</v>
      </c>
      <c r="F29" s="260">
        <f>Presupuesto!V16</f>
        <v>0</v>
      </c>
      <c r="G29" s="261">
        <f t="shared" si="1"/>
        <v>0</v>
      </c>
      <c r="H29" s="262">
        <f t="shared" si="2"/>
        <v>0</v>
      </c>
      <c r="I29" s="263">
        <f t="shared" si="3"/>
        <v>0</v>
      </c>
      <c r="J29" s="279"/>
      <c r="K29" s="264">
        <f t="shared" si="4"/>
        <v>0</v>
      </c>
      <c r="L29" s="409"/>
      <c r="M29" s="292"/>
      <c r="N29" s="141">
        <f t="shared" si="5"/>
        <v>0</v>
      </c>
      <c r="O29" s="139"/>
      <c r="P29" s="267">
        <f t="shared" si="6"/>
        <v>0</v>
      </c>
      <c r="R29" s="512"/>
    </row>
    <row r="30" spans="1:25" ht="12.5" x14ac:dyDescent="0.25">
      <c r="B30" s="266">
        <f>Presupuesto!L17</f>
        <v>0</v>
      </c>
      <c r="C30" s="257">
        <f>Presupuesto!C17</f>
        <v>0</v>
      </c>
      <c r="D30" s="258">
        <f>Presupuesto!D17</f>
        <v>0</v>
      </c>
      <c r="E30" s="259">
        <f>Presupuesto!K17</f>
        <v>0</v>
      </c>
      <c r="F30" s="260">
        <f>Presupuesto!V17</f>
        <v>0</v>
      </c>
      <c r="G30" s="261">
        <f t="shared" si="1"/>
        <v>0</v>
      </c>
      <c r="H30" s="262">
        <f t="shared" si="2"/>
        <v>0</v>
      </c>
      <c r="I30" s="263">
        <f t="shared" si="3"/>
        <v>0</v>
      </c>
      <c r="J30" s="279"/>
      <c r="K30" s="264">
        <f t="shared" si="4"/>
        <v>0</v>
      </c>
      <c r="L30" s="409"/>
      <c r="M30" s="292"/>
      <c r="N30" s="141">
        <f t="shared" si="5"/>
        <v>0</v>
      </c>
      <c r="O30" s="139"/>
      <c r="P30" s="267">
        <f t="shared" si="6"/>
        <v>0</v>
      </c>
      <c r="R30" s="512"/>
    </row>
    <row r="31" spans="1:25" ht="12.5" x14ac:dyDescent="0.25">
      <c r="B31" s="266">
        <f>Presupuesto!L18</f>
        <v>0</v>
      </c>
      <c r="C31" s="257">
        <f>Presupuesto!C18</f>
        <v>0</v>
      </c>
      <c r="D31" s="258">
        <f>Presupuesto!D18</f>
        <v>0</v>
      </c>
      <c r="E31" s="259">
        <f>Presupuesto!K18</f>
        <v>0</v>
      </c>
      <c r="F31" s="260">
        <f>Presupuesto!V18</f>
        <v>0</v>
      </c>
      <c r="G31" s="261">
        <f t="shared" si="1"/>
        <v>0</v>
      </c>
      <c r="H31" s="262">
        <f t="shared" si="2"/>
        <v>0</v>
      </c>
      <c r="I31" s="263">
        <f t="shared" si="3"/>
        <v>0</v>
      </c>
      <c r="J31" s="279"/>
      <c r="K31" s="264">
        <f t="shared" si="4"/>
        <v>0</v>
      </c>
      <c r="L31" s="409"/>
      <c r="M31" s="292"/>
      <c r="N31" s="141">
        <f t="shared" si="5"/>
        <v>0</v>
      </c>
      <c r="O31" s="139"/>
      <c r="P31" s="267">
        <f t="shared" si="6"/>
        <v>0</v>
      </c>
      <c r="R31" s="512"/>
    </row>
    <row r="32" spans="1:25" ht="12.5" x14ac:dyDescent="0.25">
      <c r="B32" s="266">
        <f>Presupuesto!L19</f>
        <v>0</v>
      </c>
      <c r="C32" s="257">
        <f>Presupuesto!C19</f>
        <v>0</v>
      </c>
      <c r="D32" s="258">
        <f>Presupuesto!D19</f>
        <v>0</v>
      </c>
      <c r="E32" s="259">
        <f>Presupuesto!K19</f>
        <v>0</v>
      </c>
      <c r="F32" s="260">
        <f>Presupuesto!V19</f>
        <v>0</v>
      </c>
      <c r="G32" s="261">
        <f t="shared" si="1"/>
        <v>0</v>
      </c>
      <c r="H32" s="262">
        <f t="shared" si="2"/>
        <v>0</v>
      </c>
      <c r="I32" s="263">
        <f t="shared" si="3"/>
        <v>0</v>
      </c>
      <c r="J32" s="279"/>
      <c r="K32" s="264">
        <f t="shared" si="4"/>
        <v>0</v>
      </c>
      <c r="L32" s="409"/>
      <c r="M32" s="292"/>
      <c r="N32" s="141">
        <f t="shared" si="5"/>
        <v>0</v>
      </c>
      <c r="O32" s="139"/>
      <c r="P32" s="267">
        <f t="shared" si="6"/>
        <v>0</v>
      </c>
      <c r="R32" s="512"/>
      <c r="S32" s="514"/>
    </row>
    <row r="33" spans="1:36" ht="12.5" x14ac:dyDescent="0.25">
      <c r="B33" s="266">
        <f>Presupuesto!L20</f>
        <v>0</v>
      </c>
      <c r="C33" s="257">
        <f>Presupuesto!C20</f>
        <v>0</v>
      </c>
      <c r="D33" s="258">
        <f>Presupuesto!D20</f>
        <v>0</v>
      </c>
      <c r="E33" s="259">
        <f>Presupuesto!K20</f>
        <v>0</v>
      </c>
      <c r="F33" s="260">
        <f>Presupuesto!V20</f>
        <v>0</v>
      </c>
      <c r="G33" s="261">
        <f t="shared" si="1"/>
        <v>0</v>
      </c>
      <c r="H33" s="262">
        <f t="shared" si="2"/>
        <v>0</v>
      </c>
      <c r="I33" s="263">
        <f t="shared" si="3"/>
        <v>0</v>
      </c>
      <c r="J33" s="279"/>
      <c r="K33" s="264">
        <f t="shared" si="4"/>
        <v>0</v>
      </c>
      <c r="L33" s="409"/>
      <c r="M33" s="292"/>
      <c r="N33" s="141">
        <f t="shared" si="5"/>
        <v>0</v>
      </c>
      <c r="O33" s="139"/>
      <c r="P33" s="267">
        <f t="shared" si="6"/>
        <v>0</v>
      </c>
      <c r="R33" s="512"/>
    </row>
    <row r="34" spans="1:36" ht="12.5" x14ac:dyDescent="0.25">
      <c r="B34" s="257">
        <f>Presupuesto!L21</f>
        <v>0</v>
      </c>
      <c r="C34" s="257">
        <f>Presupuesto!C21</f>
        <v>0</v>
      </c>
      <c r="D34" s="258">
        <f>Presupuesto!D21</f>
        <v>0</v>
      </c>
      <c r="E34" s="259">
        <f>Presupuesto!K21</f>
        <v>0</v>
      </c>
      <c r="F34" s="260">
        <f>Presupuesto!V21</f>
        <v>0</v>
      </c>
      <c r="G34" s="261">
        <f t="shared" si="1"/>
        <v>0</v>
      </c>
      <c r="H34" s="262">
        <f t="shared" si="2"/>
        <v>0</v>
      </c>
      <c r="I34" s="263">
        <f t="shared" si="3"/>
        <v>0</v>
      </c>
      <c r="J34" s="279"/>
      <c r="K34" s="264">
        <f t="shared" si="4"/>
        <v>0</v>
      </c>
      <c r="L34" s="409"/>
      <c r="M34" s="292"/>
      <c r="N34" s="141">
        <f t="shared" si="5"/>
        <v>0</v>
      </c>
      <c r="O34" s="139"/>
      <c r="P34" s="267">
        <f t="shared" si="6"/>
        <v>0</v>
      </c>
      <c r="R34" s="512"/>
    </row>
    <row r="35" spans="1:36" ht="12.5" x14ac:dyDescent="0.25">
      <c r="B35" s="266">
        <f>Presupuesto!L22</f>
        <v>0</v>
      </c>
      <c r="C35" s="257">
        <f>Presupuesto!C22</f>
        <v>0</v>
      </c>
      <c r="D35" s="258">
        <f>Presupuesto!D22</f>
        <v>0</v>
      </c>
      <c r="E35" s="259">
        <f>Presupuesto!K22</f>
        <v>0</v>
      </c>
      <c r="F35" s="260">
        <f>Presupuesto!V22</f>
        <v>0</v>
      </c>
      <c r="G35" s="261">
        <f t="shared" si="1"/>
        <v>0</v>
      </c>
      <c r="H35" s="262">
        <f t="shared" si="2"/>
        <v>0</v>
      </c>
      <c r="I35" s="263">
        <f t="shared" si="3"/>
        <v>0</v>
      </c>
      <c r="J35" s="279"/>
      <c r="K35" s="264">
        <f t="shared" si="4"/>
        <v>0</v>
      </c>
      <c r="L35" s="409"/>
      <c r="M35" s="292"/>
      <c r="N35" s="141">
        <f t="shared" si="5"/>
        <v>0</v>
      </c>
      <c r="O35" s="139"/>
      <c r="P35" s="267">
        <f t="shared" si="6"/>
        <v>0</v>
      </c>
      <c r="R35" s="512">
        <f>(R32+R33)/2</f>
        <v>0</v>
      </c>
    </row>
    <row r="36" spans="1:36" ht="12.5" x14ac:dyDescent="0.25">
      <c r="B36" s="266">
        <f>Presupuesto!L23</f>
        <v>0</v>
      </c>
      <c r="C36" s="257">
        <f>Presupuesto!C23</f>
        <v>0</v>
      </c>
      <c r="D36" s="258">
        <f>Presupuesto!D23</f>
        <v>0</v>
      </c>
      <c r="E36" s="259">
        <f>Presupuesto!K23</f>
        <v>0</v>
      </c>
      <c r="F36" s="260">
        <f>Presupuesto!V23</f>
        <v>0</v>
      </c>
      <c r="G36" s="261">
        <f t="shared" si="1"/>
        <v>0</v>
      </c>
      <c r="H36" s="262">
        <f t="shared" si="2"/>
        <v>0</v>
      </c>
      <c r="I36" s="263">
        <f t="shared" si="3"/>
        <v>0</v>
      </c>
      <c r="J36" s="279"/>
      <c r="K36" s="264">
        <f t="shared" si="4"/>
        <v>0</v>
      </c>
      <c r="L36" s="409"/>
      <c r="M36" s="292"/>
      <c r="N36" s="141">
        <f t="shared" si="5"/>
        <v>0</v>
      </c>
      <c r="O36" s="139"/>
      <c r="P36" s="267">
        <f t="shared" si="6"/>
        <v>0</v>
      </c>
    </row>
    <row r="37" spans="1:36" ht="12.5" x14ac:dyDescent="0.25">
      <c r="B37" s="266">
        <f>Presupuesto!L24</f>
        <v>0</v>
      </c>
      <c r="C37" s="257">
        <f>Presupuesto!C24</f>
        <v>0</v>
      </c>
      <c r="D37" s="258">
        <f>Presupuesto!D24</f>
        <v>0</v>
      </c>
      <c r="E37" s="259">
        <f>Presupuesto!K24</f>
        <v>0</v>
      </c>
      <c r="F37" s="260">
        <f>Presupuesto!V24</f>
        <v>0</v>
      </c>
      <c r="G37" s="261">
        <f t="shared" si="1"/>
        <v>0</v>
      </c>
      <c r="H37" s="262">
        <f t="shared" si="2"/>
        <v>0</v>
      </c>
      <c r="I37" s="263">
        <f t="shared" si="3"/>
        <v>0</v>
      </c>
      <c r="J37" s="279"/>
      <c r="K37" s="264">
        <f t="shared" si="4"/>
        <v>0</v>
      </c>
      <c r="L37" s="409"/>
      <c r="M37" s="292"/>
      <c r="N37" s="141">
        <f t="shared" si="5"/>
        <v>0</v>
      </c>
      <c r="O37" s="139"/>
      <c r="P37" s="267">
        <f t="shared" si="6"/>
        <v>0</v>
      </c>
    </row>
    <row r="38" spans="1:36" ht="12.5" x14ac:dyDescent="0.25">
      <c r="B38" s="266">
        <f>Presupuesto!L25</f>
        <v>0</v>
      </c>
      <c r="C38" s="257">
        <f>Presupuesto!C25</f>
        <v>0</v>
      </c>
      <c r="D38" s="258">
        <f>Presupuesto!D25</f>
        <v>0</v>
      </c>
      <c r="E38" s="259">
        <f>Presupuesto!K25</f>
        <v>0</v>
      </c>
      <c r="F38" s="260">
        <f>Presupuesto!V25</f>
        <v>0</v>
      </c>
      <c r="G38" s="261">
        <f t="shared" si="1"/>
        <v>0</v>
      </c>
      <c r="H38" s="262">
        <f t="shared" si="2"/>
        <v>0</v>
      </c>
      <c r="I38" s="263">
        <f t="shared" si="3"/>
        <v>0</v>
      </c>
      <c r="J38" s="279"/>
      <c r="K38" s="264">
        <f t="shared" si="4"/>
        <v>0</v>
      </c>
      <c r="L38" s="409"/>
      <c r="M38" s="292"/>
      <c r="N38" s="141">
        <f t="shared" si="5"/>
        <v>0</v>
      </c>
      <c r="O38" s="139"/>
      <c r="P38" s="267">
        <f t="shared" si="6"/>
        <v>0</v>
      </c>
    </row>
    <row r="39" spans="1:36" thickBot="1" x14ac:dyDescent="0.3">
      <c r="A39" s="1">
        <f>ROW()</f>
        <v>39</v>
      </c>
      <c r="B39" s="266">
        <f>Presupuesto!L26</f>
        <v>0</v>
      </c>
      <c r="C39" s="257">
        <f>Presupuesto!C26</f>
        <v>0</v>
      </c>
      <c r="D39" s="258">
        <f>Presupuesto!D26</f>
        <v>0</v>
      </c>
      <c r="E39" s="259">
        <f>Presupuesto!K26</f>
        <v>0</v>
      </c>
      <c r="F39" s="260">
        <f>Presupuesto!V26</f>
        <v>0</v>
      </c>
      <c r="G39" s="261">
        <f t="shared" si="1"/>
        <v>0</v>
      </c>
      <c r="H39" s="262">
        <f t="shared" si="2"/>
        <v>0</v>
      </c>
      <c r="I39" s="263">
        <f t="shared" si="3"/>
        <v>0</v>
      </c>
      <c r="J39" s="279"/>
      <c r="K39" s="268">
        <f t="shared" si="4"/>
        <v>0</v>
      </c>
      <c r="L39" s="409"/>
      <c r="M39" s="292"/>
      <c r="N39" s="142">
        <f t="shared" si="5"/>
        <v>0</v>
      </c>
      <c r="O39" s="140"/>
      <c r="P39" s="269">
        <f t="shared" si="6"/>
        <v>0</v>
      </c>
    </row>
    <row r="40" spans="1:36" s="241" customFormat="1" ht="16" thickBot="1" x14ac:dyDescent="0.4">
      <c r="A40" s="430"/>
      <c r="B40" s="552" t="s">
        <v>6</v>
      </c>
      <c r="C40" s="553"/>
      <c r="D40" s="554"/>
      <c r="E40" s="344"/>
      <c r="F40" s="253">
        <f>Presupuesto!K43</f>
        <v>3565.8483721434004</v>
      </c>
      <c r="G40" s="346">
        <f>(Presupuesto!K44/Tu)+Presupuesto!K45+Presupuesto!K46</f>
        <v>3834.2455614445162</v>
      </c>
      <c r="H40" s="347">
        <f>((Presupuesto!K44/Tu)*(1+K_1))+Presupuesto!K45+Presupuesto!K46</f>
        <v>3834.2455614445162</v>
      </c>
      <c r="I40" s="348">
        <f t="shared" si="3"/>
        <v>3834.2455614445162</v>
      </c>
      <c r="J40" s="282"/>
      <c r="K40" s="345">
        <f>SUM(K19:K39)</f>
        <v>460396.03960396035</v>
      </c>
      <c r="L40" s="396"/>
      <c r="M40" s="396"/>
      <c r="N40" s="396"/>
      <c r="O40" s="396"/>
      <c r="P40" s="396"/>
    </row>
    <row r="41" spans="1:36" s="353" customFormat="1" ht="16" thickBot="1" x14ac:dyDescent="0.4">
      <c r="B41" s="392" t="s">
        <v>224</v>
      </c>
      <c r="C41" s="359" t="str">
        <f>IF(haygar=0,"NO","SI")</f>
        <v>NO</v>
      </c>
      <c r="D41" s="638" t="s">
        <v>183</v>
      </c>
      <c r="E41" s="639"/>
      <c r="F41" s="360">
        <v>44927</v>
      </c>
      <c r="G41" s="638" t="s">
        <v>184</v>
      </c>
      <c r="H41" s="639"/>
      <c r="I41" s="360">
        <v>45261</v>
      </c>
      <c r="L41" s="405"/>
      <c r="M41" s="405"/>
      <c r="N41" s="405"/>
      <c r="O41" s="405"/>
      <c r="P41" s="405"/>
      <c r="Q41" s="405"/>
      <c r="R41" s="405"/>
      <c r="S41" s="405"/>
      <c r="T41" s="405"/>
      <c r="U41" s="405"/>
      <c r="V41" s="405"/>
      <c r="W41" s="405"/>
      <c r="X41" s="405"/>
      <c r="Y41" s="405"/>
      <c r="Z41" s="405"/>
      <c r="AA41" s="405"/>
      <c r="AB41" s="405"/>
      <c r="AC41" s="405"/>
      <c r="AD41" s="405"/>
      <c r="AE41" s="405"/>
      <c r="AF41" s="405"/>
      <c r="AG41" s="405"/>
      <c r="AH41" s="405"/>
      <c r="AI41" s="405"/>
      <c r="AJ41" s="405"/>
    </row>
    <row r="42" spans="1:36" s="241" customFormat="1" ht="16" thickBot="1" x14ac:dyDescent="0.4">
      <c r="A42" s="430"/>
      <c r="B42" s="552" t="s">
        <v>24</v>
      </c>
      <c r="C42" s="553"/>
      <c r="D42" s="558"/>
      <c r="E42" s="284"/>
      <c r="F42" s="356">
        <f>SUM(F43:F45)</f>
        <v>0</v>
      </c>
      <c r="G42" s="357">
        <f>SUM(G43:G45)</f>
        <v>0</v>
      </c>
      <c r="H42" s="357">
        <f>SUM(H43:H45)</f>
        <v>0</v>
      </c>
      <c r="I42" s="358">
        <f>SUM(I43:I45)</f>
        <v>0</v>
      </c>
      <c r="J42" s="279"/>
      <c r="K42" s="136"/>
      <c r="L42" s="256" t="s">
        <v>13</v>
      </c>
      <c r="M42" s="396"/>
    </row>
    <row r="43" spans="1:36" ht="13.5" thickBot="1" x14ac:dyDescent="0.35">
      <c r="B43" s="549" t="str">
        <f>Presupuesto!B48</f>
        <v>Garantía 12 meses</v>
      </c>
      <c r="C43" s="550"/>
      <c r="D43" s="551"/>
      <c r="E43" s="285"/>
      <c r="F43" s="270">
        <f>Presupuesto!K48</f>
        <v>0</v>
      </c>
      <c r="G43" s="271">
        <f>F43/Tu</f>
        <v>0</v>
      </c>
      <c r="H43" s="271">
        <f>G43*(1+K_1)</f>
        <v>0</v>
      </c>
      <c r="I43" s="265">
        <f>H43*(1+K_2)*(1+K_3)</f>
        <v>0</v>
      </c>
      <c r="J43" s="279"/>
      <c r="K43" s="278">
        <f>F43/(1-L$45)</f>
        <v>0</v>
      </c>
      <c r="L43" s="39">
        <f>IF(K42=0,0,1-I42/K42)</f>
        <v>0</v>
      </c>
      <c r="M43" s="292"/>
    </row>
    <row r="44" spans="1:36" x14ac:dyDescent="0.3">
      <c r="B44" s="549">
        <f>Presupuesto!B49</f>
        <v>0</v>
      </c>
      <c r="C44" s="550"/>
      <c r="D44" s="551"/>
      <c r="E44" s="285"/>
      <c r="F44" s="260">
        <f>Presupuesto!K49</f>
        <v>0</v>
      </c>
      <c r="G44" s="261">
        <f>F44/Tu</f>
        <v>0</v>
      </c>
      <c r="H44" s="262">
        <f>G44*(1+K_1)</f>
        <v>0</v>
      </c>
      <c r="I44" s="267">
        <f>H44*(1+K_2)*(1+K_3)</f>
        <v>0</v>
      </c>
      <c r="J44" s="279"/>
      <c r="K44" s="264">
        <f t="shared" ref="K44:K45" si="7">F44/(1-L$45)</f>
        <v>0</v>
      </c>
      <c r="L44" s="256" t="s">
        <v>43</v>
      </c>
      <c r="M44" s="292"/>
    </row>
    <row r="45" spans="1:36" ht="13.5" thickBot="1" x14ac:dyDescent="0.35">
      <c r="B45" s="586">
        <f>Presupuesto!B50</f>
        <v>0</v>
      </c>
      <c r="C45" s="587"/>
      <c r="D45" s="588"/>
      <c r="E45" s="285"/>
      <c r="F45" s="275">
        <f>Presupuesto!K50</f>
        <v>0</v>
      </c>
      <c r="G45" s="276">
        <f>F45/Tu</f>
        <v>0</v>
      </c>
      <c r="H45" s="277">
        <f>G45*(1+K_1)</f>
        <v>0</v>
      </c>
      <c r="I45" s="269">
        <f>H45*(1+K_2)*(1+K_3)</f>
        <v>0</v>
      </c>
      <c r="J45" s="279"/>
      <c r="K45" s="268">
        <f t="shared" si="7"/>
        <v>0</v>
      </c>
      <c r="L45" s="39">
        <f>IF(K42=0,0,1-F42/K42)</f>
        <v>0</v>
      </c>
      <c r="M45" s="292"/>
    </row>
    <row r="46" spans="1:36" s="241" customFormat="1" ht="16" thickBot="1" x14ac:dyDescent="0.4">
      <c r="A46" s="430"/>
      <c r="B46" s="552" t="s">
        <v>1</v>
      </c>
      <c r="C46" s="553"/>
      <c r="D46" s="554"/>
      <c r="E46" s="284"/>
      <c r="F46" s="253">
        <f>SUM(F47:F50)</f>
        <v>0</v>
      </c>
      <c r="G46" s="254">
        <f>SUM(G47:G50)</f>
        <v>0</v>
      </c>
      <c r="H46" s="254">
        <f>SUM(H47:H50)</f>
        <v>0</v>
      </c>
      <c r="I46" s="255">
        <f>SUM(I47:I50)</f>
        <v>0</v>
      </c>
      <c r="J46" s="279"/>
      <c r="K46" s="393"/>
      <c r="L46"/>
      <c r="M46"/>
    </row>
    <row r="47" spans="1:36" x14ac:dyDescent="0.3">
      <c r="B47" s="640">
        <f>Presupuesto!L29</f>
        <v>0</v>
      </c>
      <c r="C47" s="641"/>
      <c r="D47" s="642"/>
      <c r="E47" s="285"/>
      <c r="F47" s="270">
        <f>Presupuesto!K29</f>
        <v>0</v>
      </c>
      <c r="G47" s="271">
        <f t="shared" ref="G47:H50" si="8">F47</f>
        <v>0</v>
      </c>
      <c r="H47" s="271">
        <f t="shared" si="8"/>
        <v>0</v>
      </c>
      <c r="I47" s="272">
        <f>H47*(1+K_2)*(1+K_3)</f>
        <v>0</v>
      </c>
      <c r="J47" s="279"/>
      <c r="K47" s="264"/>
      <c r="L47"/>
      <c r="M47"/>
    </row>
    <row r="48" spans="1:36" x14ac:dyDescent="0.3">
      <c r="B48" s="549">
        <f>Presupuesto!L30</f>
        <v>0</v>
      </c>
      <c r="C48" s="550"/>
      <c r="D48" s="551"/>
      <c r="E48" s="285"/>
      <c r="F48" s="260">
        <f>Presupuesto!K30</f>
        <v>0</v>
      </c>
      <c r="G48" s="262">
        <f t="shared" ref="G48" si="9">F48</f>
        <v>0</v>
      </c>
      <c r="H48" s="262">
        <f t="shared" ref="H48" si="10">G48</f>
        <v>0</v>
      </c>
      <c r="I48" s="263">
        <f>H48*(1+K_2)*(1+K_3)</f>
        <v>0</v>
      </c>
      <c r="J48" s="279"/>
      <c r="K48" s="264"/>
      <c r="L48"/>
      <c r="M48"/>
    </row>
    <row r="49" spans="1:16" x14ac:dyDescent="0.3">
      <c r="B49" s="549">
        <f>Presupuesto!L31</f>
        <v>0</v>
      </c>
      <c r="C49" s="550"/>
      <c r="D49" s="551"/>
      <c r="E49" s="285"/>
      <c r="F49" s="260">
        <f>Presupuesto!K31</f>
        <v>0</v>
      </c>
      <c r="G49" s="262">
        <f t="shared" si="8"/>
        <v>0</v>
      </c>
      <c r="H49" s="262">
        <f t="shared" si="8"/>
        <v>0</v>
      </c>
      <c r="I49" s="263">
        <f>H49*(1+K_2)*(1+K_3)</f>
        <v>0</v>
      </c>
      <c r="J49" s="279"/>
      <c r="K49" s="264"/>
      <c r="L49"/>
      <c r="M49"/>
    </row>
    <row r="50" spans="1:16" ht="13.5" thickBot="1" x14ac:dyDescent="0.35">
      <c r="A50" s="1">
        <f>ROW()</f>
        <v>50</v>
      </c>
      <c r="B50" s="586">
        <f>Presupuesto!L32</f>
        <v>0</v>
      </c>
      <c r="C50" s="587"/>
      <c r="D50" s="588"/>
      <c r="E50" s="285"/>
      <c r="F50" s="275">
        <f>Presupuesto!K32</f>
        <v>0</v>
      </c>
      <c r="G50" s="277">
        <f t="shared" si="8"/>
        <v>0</v>
      </c>
      <c r="H50" s="277">
        <f t="shared" si="8"/>
        <v>0</v>
      </c>
      <c r="I50" s="435">
        <f>H50*(1+K_2)*(1+K_3)</f>
        <v>0</v>
      </c>
      <c r="J50" s="279"/>
      <c r="K50" s="268"/>
      <c r="L50"/>
      <c r="M50"/>
    </row>
    <row r="51" spans="1:16" customFormat="1" ht="13.5" thickBot="1" x14ac:dyDescent="0.35"/>
    <row r="52" spans="1:16" s="241" customFormat="1" ht="16" thickBot="1" x14ac:dyDescent="0.4">
      <c r="A52" s="430"/>
      <c r="B52" s="552" t="s">
        <v>2</v>
      </c>
      <c r="C52" s="553"/>
      <c r="D52" s="554"/>
      <c r="E52" s="284"/>
      <c r="F52" s="253">
        <f>SUM(F53:F60)</f>
        <v>0</v>
      </c>
      <c r="G52" s="254">
        <f>SUM(G53:G60)</f>
        <v>0</v>
      </c>
      <c r="H52" s="254">
        <f>SUM(H53:H60)</f>
        <v>0</v>
      </c>
      <c r="I52" s="273">
        <f>SUM(I53:I60)</f>
        <v>0</v>
      </c>
      <c r="J52" s="279"/>
      <c r="K52" s="136">
        <f>I52/0.9</f>
        <v>0</v>
      </c>
      <c r="L52" s="256" t="s">
        <v>13</v>
      </c>
      <c r="M52" s="396"/>
    </row>
    <row r="53" spans="1:16" ht="13.5" thickBot="1" x14ac:dyDescent="0.35">
      <c r="B53" s="549">
        <f>Presupuesto!L35</f>
        <v>0</v>
      </c>
      <c r="C53" s="550"/>
      <c r="D53" s="551"/>
      <c r="E53" s="285"/>
      <c r="F53" s="270">
        <f>Presupuesto!K35</f>
        <v>0</v>
      </c>
      <c r="G53" s="274">
        <f t="shared" ref="G53:H60" si="11">F53</f>
        <v>0</v>
      </c>
      <c r="H53" s="271">
        <f>G53</f>
        <v>0</v>
      </c>
      <c r="I53" s="265">
        <f t="shared" ref="I53:I60" si="12">H53*(1+K_2)*(1+K_3)</f>
        <v>0</v>
      </c>
      <c r="J53" s="279"/>
      <c r="K53" s="264">
        <f t="shared" ref="K53:K60" si="13">H53/(1-$L$55)</f>
        <v>0</v>
      </c>
      <c r="L53" s="39">
        <f>IF(K52=0,0,1-I52/K52)</f>
        <v>0</v>
      </c>
      <c r="M53" s="292"/>
    </row>
    <row r="54" spans="1:16" x14ac:dyDescent="0.3">
      <c r="B54" s="549">
        <f>Presupuesto!L36</f>
        <v>0</v>
      </c>
      <c r="C54" s="550"/>
      <c r="D54" s="551"/>
      <c r="E54" s="285"/>
      <c r="F54" s="260">
        <f>Presupuesto!K36</f>
        <v>0</v>
      </c>
      <c r="G54" s="261">
        <f t="shared" si="11"/>
        <v>0</v>
      </c>
      <c r="H54" s="262">
        <f t="shared" si="11"/>
        <v>0</v>
      </c>
      <c r="I54" s="267">
        <f t="shared" si="12"/>
        <v>0</v>
      </c>
      <c r="J54" s="279"/>
      <c r="K54" s="264">
        <f t="shared" si="13"/>
        <v>0</v>
      </c>
      <c r="L54" s="256" t="s">
        <v>5</v>
      </c>
      <c r="M54" s="292"/>
    </row>
    <row r="55" spans="1:16" ht="13.5" thickBot="1" x14ac:dyDescent="0.35">
      <c r="B55" s="549">
        <f>Presupuesto!L37</f>
        <v>0</v>
      </c>
      <c r="C55" s="550"/>
      <c r="D55" s="551"/>
      <c r="E55" s="285"/>
      <c r="F55" s="260">
        <f>Presupuesto!K37</f>
        <v>0</v>
      </c>
      <c r="G55" s="261">
        <f t="shared" si="11"/>
        <v>0</v>
      </c>
      <c r="H55" s="262">
        <f t="shared" si="11"/>
        <v>0</v>
      </c>
      <c r="I55" s="267">
        <f t="shared" si="12"/>
        <v>0</v>
      </c>
      <c r="J55" s="279"/>
      <c r="K55" s="264">
        <f t="shared" si="13"/>
        <v>0</v>
      </c>
      <c r="L55" s="39">
        <f>IF(K52=0,0,1-H52/K52)</f>
        <v>0</v>
      </c>
      <c r="M55" s="292"/>
    </row>
    <row r="56" spans="1:16" x14ac:dyDescent="0.3">
      <c r="B56" s="549">
        <f>Presupuesto!L38</f>
        <v>0</v>
      </c>
      <c r="C56" s="550"/>
      <c r="D56" s="551"/>
      <c r="E56" s="285"/>
      <c r="F56" s="260">
        <f>Presupuesto!K38</f>
        <v>0</v>
      </c>
      <c r="G56" s="261">
        <f t="shared" si="11"/>
        <v>0</v>
      </c>
      <c r="H56" s="262">
        <f t="shared" si="11"/>
        <v>0</v>
      </c>
      <c r="I56" s="267">
        <f t="shared" si="12"/>
        <v>0</v>
      </c>
      <c r="J56" s="279"/>
      <c r="K56" s="264">
        <f t="shared" si="13"/>
        <v>0</v>
      </c>
      <c r="L56" s="256" t="s">
        <v>122</v>
      </c>
      <c r="M56" s="292"/>
    </row>
    <row r="57" spans="1:16" ht="13.5" thickBot="1" x14ac:dyDescent="0.35">
      <c r="B57" s="549">
        <f>Presupuesto!L39</f>
        <v>0</v>
      </c>
      <c r="C57" s="550"/>
      <c r="D57" s="551"/>
      <c r="E57" s="285"/>
      <c r="F57" s="260">
        <f>Presupuesto!K39</f>
        <v>0</v>
      </c>
      <c r="G57" s="261">
        <f t="shared" si="11"/>
        <v>0</v>
      </c>
      <c r="H57" s="262">
        <f t="shared" si="11"/>
        <v>0</v>
      </c>
      <c r="I57" s="267">
        <f t="shared" si="12"/>
        <v>0</v>
      </c>
      <c r="J57" s="279"/>
      <c r="K57" s="264">
        <f t="shared" si="13"/>
        <v>0</v>
      </c>
      <c r="L57" s="39">
        <f>IF(K52=0,0,1-F52/K52)</f>
        <v>0</v>
      </c>
      <c r="M57" s="292"/>
    </row>
    <row r="58" spans="1:16" x14ac:dyDescent="0.3">
      <c r="B58" s="549">
        <f>Presupuesto!L40</f>
        <v>0</v>
      </c>
      <c r="C58" s="550"/>
      <c r="D58" s="551"/>
      <c r="E58" s="285"/>
      <c r="F58" s="260">
        <f>Presupuesto!K40</f>
        <v>0</v>
      </c>
      <c r="G58" s="261">
        <f t="shared" ref="G58" si="14">F58</f>
        <v>0</v>
      </c>
      <c r="H58" s="262">
        <f t="shared" ref="H58" si="15">G58</f>
        <v>0</v>
      </c>
      <c r="I58" s="267">
        <f t="shared" ref="I58" si="16">H58*(1+K_2)*(1+K_3)</f>
        <v>0</v>
      </c>
      <c r="J58" s="279"/>
      <c r="K58" s="264">
        <f t="shared" ref="K58" si="17">H58/(1-$L$55)</f>
        <v>0</v>
      </c>
      <c r="L58" s="409"/>
      <c r="M58" s="292"/>
    </row>
    <row r="59" spans="1:16" x14ac:dyDescent="0.3">
      <c r="B59" s="549">
        <f>Presupuesto!L41</f>
        <v>0</v>
      </c>
      <c r="C59" s="550"/>
      <c r="D59" s="551"/>
      <c r="E59" s="285"/>
      <c r="F59" s="260">
        <f>Presupuesto!K41</f>
        <v>0</v>
      </c>
      <c r="G59" s="261">
        <f t="shared" si="11"/>
        <v>0</v>
      </c>
      <c r="H59" s="262">
        <f t="shared" si="11"/>
        <v>0</v>
      </c>
      <c r="I59" s="267">
        <f t="shared" si="12"/>
        <v>0</v>
      </c>
      <c r="J59" s="279"/>
      <c r="K59" s="264">
        <f t="shared" si="13"/>
        <v>0</v>
      </c>
      <c r="L59" s="409"/>
      <c r="M59" s="292"/>
    </row>
    <row r="60" spans="1:16" ht="13.5" thickBot="1" x14ac:dyDescent="0.35">
      <c r="A60" s="1">
        <f>ROW()</f>
        <v>60</v>
      </c>
      <c r="B60" s="586">
        <f>Presupuesto!L42</f>
        <v>0</v>
      </c>
      <c r="C60" s="587"/>
      <c r="D60" s="588"/>
      <c r="E60" s="285"/>
      <c r="F60" s="275">
        <f>Presupuesto!K42</f>
        <v>0</v>
      </c>
      <c r="G60" s="276">
        <f t="shared" si="11"/>
        <v>0</v>
      </c>
      <c r="H60" s="277">
        <f t="shared" si="11"/>
        <v>0</v>
      </c>
      <c r="I60" s="269">
        <f t="shared" si="12"/>
        <v>0</v>
      </c>
      <c r="J60" s="279"/>
      <c r="K60" s="268">
        <f t="shared" si="13"/>
        <v>0</v>
      </c>
      <c r="L60" s="409"/>
      <c r="M60" s="292"/>
    </row>
    <row r="61" spans="1:16" ht="10.5" customHeight="1" thickBot="1" x14ac:dyDescent="0.3">
      <c r="B61" s="1"/>
      <c r="C61" s="1"/>
      <c r="D61" s="1"/>
      <c r="E61" s="1"/>
      <c r="F61" s="1"/>
      <c r="G61" s="279"/>
      <c r="H61" s="279"/>
      <c r="I61" s="279"/>
      <c r="J61" s="279"/>
      <c r="K61" s="279"/>
      <c r="L61" s="279"/>
      <c r="M61" s="292"/>
    </row>
    <row r="62" spans="1:16" s="243" customFormat="1" ht="21.75" customHeight="1" thickBot="1" x14ac:dyDescent="0.35">
      <c r="A62" s="431"/>
      <c r="B62" s="633" t="s">
        <v>188</v>
      </c>
      <c r="C62" s="634"/>
      <c r="D62" s="635" t="str">
        <f>responsable_bid</f>
        <v>Javier Sans / Martín Martín</v>
      </c>
      <c r="E62" s="636"/>
      <c r="F62" s="637"/>
      <c r="G62" s="283"/>
      <c r="H62" s="283"/>
      <c r="I62" s="283"/>
      <c r="J62" s="283"/>
      <c r="K62" s="283"/>
      <c r="L62" s="283"/>
      <c r="M62" s="408"/>
    </row>
    <row r="63" spans="1:16" s="244" customFormat="1" ht="21.75" customHeight="1" x14ac:dyDescent="0.3">
      <c r="A63" s="432"/>
      <c r="B63" s="594" t="s">
        <v>165</v>
      </c>
      <c r="C63" s="595"/>
      <c r="D63" s="596"/>
      <c r="E63" s="594" t="s">
        <v>166</v>
      </c>
      <c r="F63" s="595"/>
      <c r="G63" s="596"/>
      <c r="H63" s="594" t="s">
        <v>223</v>
      </c>
      <c r="I63" s="595"/>
      <c r="J63" s="596"/>
      <c r="K63" s="594" t="s">
        <v>191</v>
      </c>
      <c r="L63" s="595"/>
      <c r="M63" s="600"/>
      <c r="N63" s="594" t="s">
        <v>234</v>
      </c>
      <c r="O63" s="595"/>
      <c r="P63" s="600"/>
    </row>
    <row r="64" spans="1:16" s="244" customFormat="1" ht="21.75" customHeight="1" x14ac:dyDescent="0.3">
      <c r="A64" s="432"/>
      <c r="B64" s="630" t="s">
        <v>408</v>
      </c>
      <c r="C64" s="631"/>
      <c r="D64" s="632"/>
      <c r="E64" s="630" t="s">
        <v>167</v>
      </c>
      <c r="F64" s="631"/>
      <c r="G64" s="632"/>
      <c r="H64" s="597" t="s">
        <v>374</v>
      </c>
      <c r="I64" s="598"/>
      <c r="J64" s="599"/>
      <c r="K64" s="597" t="s">
        <v>187</v>
      </c>
      <c r="L64" s="598"/>
      <c r="M64" s="601"/>
      <c r="N64" s="597"/>
      <c r="O64" s="598"/>
      <c r="P64" s="601"/>
    </row>
    <row r="65" spans="1:16" s="243" customFormat="1" ht="21.75" customHeight="1" thickBot="1" x14ac:dyDescent="0.35">
      <c r="A65" s="431"/>
      <c r="B65" s="565">
        <v>44525</v>
      </c>
      <c r="C65" s="566"/>
      <c r="D65" s="629"/>
      <c r="E65" s="565">
        <v>44221</v>
      </c>
      <c r="F65" s="566"/>
      <c r="G65" s="629"/>
      <c r="H65" s="565">
        <v>44525</v>
      </c>
      <c r="I65" s="566"/>
      <c r="J65" s="629"/>
      <c r="K65" s="565">
        <v>44525</v>
      </c>
      <c r="L65" s="566"/>
      <c r="M65" s="629"/>
      <c r="N65" s="565"/>
      <c r="O65" s="566"/>
      <c r="P65" s="567"/>
    </row>
  </sheetData>
  <sheetProtection algorithmName="SHA-512" hashValue="m0NrYihJomocCSy0L7HtR9JCkpc44Uiw/KVo5U/6watvY/+Hix+E73euCyp+pjw8vHlq7z9s4om3vca0pagqqQ==" saltValue="55kjDGhxgSiEZzQVNWELfQ==" spinCount="100000" sheet="1" objects="1" scenarios="1" formatCells="0" formatColumns="0" formatRows="0" sort="0" autoFilter="0"/>
  <mergeCells count="67">
    <mergeCell ref="B62:C62"/>
    <mergeCell ref="D62:F62"/>
    <mergeCell ref="B63:D63"/>
    <mergeCell ref="D41:E41"/>
    <mergeCell ref="G41:H41"/>
    <mergeCell ref="B42:D42"/>
    <mergeCell ref="B43:D43"/>
    <mergeCell ref="B44:D44"/>
    <mergeCell ref="B45:D45"/>
    <mergeCell ref="B52:D52"/>
    <mergeCell ref="B53:D53"/>
    <mergeCell ref="B54:D54"/>
    <mergeCell ref="B55:D55"/>
    <mergeCell ref="B58:D58"/>
    <mergeCell ref="B60:D60"/>
    <mergeCell ref="B47:D47"/>
    <mergeCell ref="B65:D65"/>
    <mergeCell ref="H65:J65"/>
    <mergeCell ref="E65:G65"/>
    <mergeCell ref="K63:M63"/>
    <mergeCell ref="K64:M64"/>
    <mergeCell ref="K65:M65"/>
    <mergeCell ref="B64:D64"/>
    <mergeCell ref="E63:G63"/>
    <mergeCell ref="E64:G64"/>
    <mergeCell ref="L1:N1"/>
    <mergeCell ref="H63:J63"/>
    <mergeCell ref="H64:J64"/>
    <mergeCell ref="N63:P63"/>
    <mergeCell ref="N64:P64"/>
    <mergeCell ref="H1:I1"/>
    <mergeCell ref="H10:H11"/>
    <mergeCell ref="I10:I11"/>
    <mergeCell ref="M7:P8"/>
    <mergeCell ref="M9:O10"/>
    <mergeCell ref="P9:P10"/>
    <mergeCell ref="K12:L13"/>
    <mergeCell ref="K14:L15"/>
    <mergeCell ref="O15:P15"/>
    <mergeCell ref="J7:K7"/>
    <mergeCell ref="J8:K8"/>
    <mergeCell ref="N65:P65"/>
    <mergeCell ref="J2:K2"/>
    <mergeCell ref="D3:H3"/>
    <mergeCell ref="E5:F5"/>
    <mergeCell ref="J1:K1"/>
    <mergeCell ref="B56:D56"/>
    <mergeCell ref="B57:D57"/>
    <mergeCell ref="B59:D59"/>
    <mergeCell ref="D2:H2"/>
    <mergeCell ref="D8:F8"/>
    <mergeCell ref="D7:G7"/>
    <mergeCell ref="B10:C10"/>
    <mergeCell ref="B50:D50"/>
    <mergeCell ref="B48:D48"/>
    <mergeCell ref="B14:C14"/>
    <mergeCell ref="G10:G11"/>
    <mergeCell ref="B49:D49"/>
    <mergeCell ref="B40:D40"/>
    <mergeCell ref="D1:F1"/>
    <mergeCell ref="B11:C11"/>
    <mergeCell ref="F10:F11"/>
    <mergeCell ref="B1:C1"/>
    <mergeCell ref="B2:C2"/>
    <mergeCell ref="B3:C3"/>
    <mergeCell ref="B12:C12"/>
    <mergeCell ref="B46:D46"/>
  </mergeCells>
  <phoneticPr fontId="4" type="noConversion"/>
  <conditionalFormatting sqref="D16">
    <cfRule type="cellIs" dxfId="51" priority="3" stopIfTrue="1" operator="notEqual">
      <formula>0</formula>
    </cfRule>
  </conditionalFormatting>
  <conditionalFormatting sqref="B19:I39">
    <cfRule type="expression" dxfId="50" priority="4" stopIfTrue="1">
      <formula>$B19="Perfil duplicado"</formula>
    </cfRule>
  </conditionalFormatting>
  <dataValidations disablePrompts="1" count="8">
    <dataValidation type="list" allowBlank="1" showInputMessage="1" showErrorMessage="1" sqref="O16" xr:uid="{00000000-0002-0000-0600-000000000000}">
      <formula1>"Sí,No"</formula1>
    </dataValidation>
    <dataValidation type="list" allowBlank="1" showInputMessage="1" showErrorMessage="1" sqref="E64" xr:uid="{00000000-0002-0000-0600-000001000000}">
      <formula1>respBid</formula1>
    </dataValidation>
    <dataValidation type="list" allowBlank="1" showInputMessage="1" showErrorMessage="1" sqref="K64" xr:uid="{00000000-0002-0000-0600-000002000000}">
      <formula1>RespOperZona</formula1>
    </dataValidation>
    <dataValidation type="list" allowBlank="1" showInputMessage="1" showErrorMessage="1" sqref="N64:P64" xr:uid="{00000000-0002-0000-0600-000003000000}">
      <formula1>resprod</formula1>
    </dataValidation>
    <dataValidation allowBlank="1" showInputMessage="1" showErrorMessage="1" errorTitle="Verificación Fecha" error="Introduzca una fecha valida en formato MM-AA" sqref="I41" xr:uid="{00000000-0002-0000-0600-000004000000}"/>
    <dataValidation allowBlank="1" showInputMessage="1" showErrorMessage="1" errorTitle="Validación Fecha" error="Introduzca una fecha valida en formato MM-AA" sqref="L5 F41" xr:uid="{00000000-0002-0000-0600-000005000000}"/>
    <dataValidation type="list" allowBlank="1" showInputMessage="1" showErrorMessage="1" errorTitle="Validación Fecha" error="Introduzca una fecha valida en formato MM-AA" sqref="C5 I5" xr:uid="{00000000-0002-0000-0600-000006000000}">
      <formula1>"SI,NO"</formula1>
    </dataValidation>
    <dataValidation type="list" allowBlank="1" showInputMessage="1" showErrorMessage="1" sqref="I7" xr:uid="{00000000-0002-0000-0600-000007000000}">
      <formula1>productos</formula1>
    </dataValidation>
  </dataValidations>
  <pageMargins left="0.19685039370078741" right="0.19685039370078741" top="0.19685039370078741" bottom="0.19685039370078741" header="0.19685039370078741" footer="0.19685039370078741"/>
  <pageSetup paperSize="9" scale="42" orientation="portrait" horizontalDpi="1200" verticalDpi="1200" r:id="rId1"/>
  <headerFooter scaleWithDoc="0" alignWithMargins="0">
    <oddFooter>&amp;LSCI32PT01-PPO - 2020-v1&amp;C&amp;D&amp;R&amp;F&amp;LSCI32PT01-PPO - 2020-v1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20"/>
  <sheetViews>
    <sheetView zoomScaleNormal="100" workbookViewId="0">
      <selection activeCell="B13" sqref="B13"/>
    </sheetView>
  </sheetViews>
  <sheetFormatPr baseColWidth="10" defaultColWidth="12.69921875" defaultRowHeight="13" x14ac:dyDescent="0.3"/>
  <cols>
    <col min="1" max="1" width="20" style="521" bestFit="1" customWidth="1"/>
    <col min="2" max="2" width="16" style="521" customWidth="1"/>
    <col min="3" max="3" width="22" style="521" customWidth="1"/>
    <col min="4" max="4" width="15.5" style="521" customWidth="1"/>
    <col min="5" max="5" width="19.19921875" style="521" bestFit="1" customWidth="1"/>
    <col min="6" max="6" width="2.69921875" style="521" customWidth="1"/>
    <col min="7" max="7" width="16.796875" style="521" customWidth="1"/>
    <col min="8" max="8" width="57.796875" style="521" customWidth="1"/>
    <col min="9" max="9" width="19.19921875" style="521" bestFit="1" customWidth="1"/>
    <col min="10" max="10" width="12.796875" style="521" bestFit="1" customWidth="1"/>
    <col min="11" max="11" width="12.69921875" style="521"/>
    <col min="12" max="12" width="21" style="521" bestFit="1" customWidth="1"/>
    <col min="13" max="16384" width="12.69921875" style="521"/>
  </cols>
  <sheetData>
    <row r="1" spans="1:11" ht="15" thickBot="1" x14ac:dyDescent="0.4">
      <c r="A1" s="519" t="s">
        <v>396</v>
      </c>
      <c r="B1" s="520">
        <f>'Sintesis Precio'!D14</f>
        <v>513409.78</v>
      </c>
      <c r="D1" s="521" t="s">
        <v>411</v>
      </c>
      <c r="E1" s="541" t="s">
        <v>397</v>
      </c>
      <c r="H1" s="527" t="s">
        <v>402</v>
      </c>
      <c r="I1" s="525" t="s">
        <v>403</v>
      </c>
      <c r="J1" s="525" t="s">
        <v>404</v>
      </c>
    </row>
    <row r="2" spans="1:11" ht="15" thickBot="1" x14ac:dyDescent="0.4">
      <c r="A2" s="519" t="s">
        <v>332</v>
      </c>
      <c r="B2" s="528">
        <f>'Sintesis Precio'!D13</f>
        <v>-9.4290724263180234E-2</v>
      </c>
      <c r="C2" s="538">
        <v>465000</v>
      </c>
      <c r="D2" s="543">
        <f>SQRT((POWER($B$3,2))-(POWER($B$3*(C2-MIN($C$5:$C$20))/($B$1-MIN($C$5:$C$20)),2)))</f>
        <v>43.967861485068852</v>
      </c>
      <c r="E2" s="542">
        <f>'Sintesis Precio'!F13</f>
        <v>0.22548239658820768</v>
      </c>
      <c r="F2" s="523"/>
      <c r="H2" s="531" t="s">
        <v>405</v>
      </c>
      <c r="I2" s="533"/>
      <c r="J2" s="522"/>
    </row>
    <row r="3" spans="1:11" ht="16" customHeight="1" x14ac:dyDescent="0.35">
      <c r="A3" s="519" t="s">
        <v>398</v>
      </c>
      <c r="B3" s="524">
        <v>50</v>
      </c>
      <c r="D3" s="544">
        <f>D2-B3</f>
        <v>-6.0321385149311482</v>
      </c>
      <c r="H3" s="539" t="s">
        <v>412</v>
      </c>
      <c r="I3" s="521">
        <v>20</v>
      </c>
    </row>
    <row r="4" spans="1:11" ht="16" customHeight="1" x14ac:dyDescent="0.35">
      <c r="B4" s="525" t="s">
        <v>399</v>
      </c>
      <c r="C4" s="525"/>
      <c r="D4" s="525" t="s">
        <v>400</v>
      </c>
      <c r="E4" s="525" t="s">
        <v>401</v>
      </c>
      <c r="F4" s="526"/>
      <c r="H4" s="540" t="s">
        <v>413</v>
      </c>
      <c r="I4" s="521">
        <v>20</v>
      </c>
      <c r="K4" s="521" t="s">
        <v>414</v>
      </c>
    </row>
    <row r="5" spans="1:11" ht="16" customHeight="1" x14ac:dyDescent="0.3">
      <c r="B5" s="528">
        <v>0</v>
      </c>
      <c r="C5" s="529">
        <f>$B$1*(1-B5)</f>
        <v>513409.78</v>
      </c>
      <c r="D5" s="530">
        <f t="shared" ref="D5:D20" si="0">SQRT((POWER($I$7,2))-(POWER($I$7*(C5-MIN($C$5:$C$20))/($B$1-MIN($C$5:$C$20)),2)))</f>
        <v>0</v>
      </c>
      <c r="E5" s="531">
        <f>D5-$D$2</f>
        <v>-43.967861485068852</v>
      </c>
      <c r="F5" s="532"/>
      <c r="G5" s="532"/>
      <c r="H5" s="540" t="s">
        <v>415</v>
      </c>
      <c r="I5" s="521">
        <v>10</v>
      </c>
      <c r="K5" s="521" t="s">
        <v>416</v>
      </c>
    </row>
    <row r="6" spans="1:11" ht="16" customHeight="1" x14ac:dyDescent="0.35">
      <c r="B6" s="528">
        <v>0.02</v>
      </c>
      <c r="C6" s="529">
        <f t="shared" ref="C6:C20" si="1">$B$1*(1-B6)</f>
        <v>503141.58439999999</v>
      </c>
      <c r="D6" s="530">
        <f t="shared" si="0"/>
        <v>22.906142364542607</v>
      </c>
      <c r="E6" s="531">
        <f t="shared" ref="E6:E20" si="2">D6-$D$2</f>
        <v>-21.061719120526245</v>
      </c>
      <c r="F6" s="532"/>
      <c r="G6" s="532"/>
      <c r="H6" s="527" t="s">
        <v>406</v>
      </c>
      <c r="I6" s="533"/>
      <c r="J6" s="522"/>
    </row>
    <row r="7" spans="1:11" ht="14.5" x14ac:dyDescent="0.35">
      <c r="B7" s="528">
        <v>0.04</v>
      </c>
      <c r="C7" s="529">
        <f t="shared" si="1"/>
        <v>492873.38880000002</v>
      </c>
      <c r="D7" s="530">
        <f t="shared" si="0"/>
        <v>31.426968052735461</v>
      </c>
      <c r="E7" s="531">
        <f t="shared" si="2"/>
        <v>-12.540893432333391</v>
      </c>
      <c r="F7" s="532"/>
      <c r="G7" s="534"/>
      <c r="H7" s="531" t="s">
        <v>407</v>
      </c>
      <c r="I7" s="533">
        <v>50</v>
      </c>
      <c r="J7" s="536">
        <f>D2</f>
        <v>43.967861485068852</v>
      </c>
    </row>
    <row r="8" spans="1:11" x14ac:dyDescent="0.3">
      <c r="B8" s="528">
        <v>0.06</v>
      </c>
      <c r="C8" s="529">
        <f t="shared" si="1"/>
        <v>482605.19319999998</v>
      </c>
      <c r="D8" s="530">
        <f t="shared" si="0"/>
        <v>37.267799624996528</v>
      </c>
      <c r="E8" s="531">
        <f t="shared" si="2"/>
        <v>-6.7000618600723243</v>
      </c>
      <c r="F8" s="532"/>
      <c r="G8" s="532"/>
    </row>
    <row r="9" spans="1:11" ht="14.5" x14ac:dyDescent="0.3">
      <c r="B9" s="528">
        <v>0.08</v>
      </c>
      <c r="C9" s="529">
        <f t="shared" si="1"/>
        <v>472336.99760000006</v>
      </c>
      <c r="D9" s="530">
        <f t="shared" si="0"/>
        <v>41.573970964154896</v>
      </c>
      <c r="E9" s="531">
        <f t="shared" si="2"/>
        <v>-2.3938905209139563</v>
      </c>
      <c r="F9" s="532"/>
      <c r="G9" s="532"/>
      <c r="H9" s="532"/>
      <c r="I9" s="535">
        <f>SUM(I3:I7)</f>
        <v>100</v>
      </c>
      <c r="J9" s="535">
        <f>SUM(J2:J7)</f>
        <v>43.967861485068852</v>
      </c>
    </row>
    <row r="10" spans="1:11" ht="16" customHeight="1" x14ac:dyDescent="0.3">
      <c r="B10" s="528">
        <v>0.1</v>
      </c>
      <c r="C10" s="529">
        <f t="shared" si="1"/>
        <v>462068.80200000003</v>
      </c>
      <c r="D10" s="530">
        <f t="shared" si="0"/>
        <v>44.79032082388084</v>
      </c>
      <c r="E10" s="531">
        <f t="shared" si="2"/>
        <v>0.82245933881198852</v>
      </c>
      <c r="F10" s="532"/>
    </row>
    <row r="11" spans="1:11" ht="16" customHeight="1" x14ac:dyDescent="0.3">
      <c r="B11" s="528">
        <v>0.12</v>
      </c>
      <c r="C11" s="529">
        <f t="shared" si="1"/>
        <v>451800.60640000005</v>
      </c>
      <c r="D11" s="530">
        <f t="shared" si="0"/>
        <v>47.14045207910317</v>
      </c>
      <c r="E11" s="531">
        <f t="shared" si="2"/>
        <v>3.1725905940343182</v>
      </c>
      <c r="F11" s="532"/>
    </row>
    <row r="12" spans="1:11" ht="16" customHeight="1" x14ac:dyDescent="0.3">
      <c r="B12" s="528">
        <v>0.14000000000000001</v>
      </c>
      <c r="C12" s="529">
        <f t="shared" si="1"/>
        <v>441532.41080000001</v>
      </c>
      <c r="D12" s="530">
        <f t="shared" si="0"/>
        <v>48.749802152178461</v>
      </c>
      <c r="E12" s="531">
        <f t="shared" si="2"/>
        <v>4.781940667109609</v>
      </c>
      <c r="F12" s="532"/>
    </row>
    <row r="13" spans="1:11" ht="16" customHeight="1" x14ac:dyDescent="0.3">
      <c r="B13" s="528">
        <v>0.18</v>
      </c>
      <c r="C13" s="529">
        <f t="shared" si="1"/>
        <v>420996.01960000006</v>
      </c>
      <c r="D13" s="530">
        <f t="shared" si="0"/>
        <v>50</v>
      </c>
      <c r="E13" s="531">
        <f t="shared" si="2"/>
        <v>6.0321385149311482</v>
      </c>
      <c r="F13" s="532"/>
    </row>
    <row r="14" spans="1:11" ht="14.5" x14ac:dyDescent="0.35">
      <c r="B14" s="528"/>
      <c r="C14" s="529">
        <f t="shared" si="1"/>
        <v>513409.78</v>
      </c>
      <c r="D14" s="530">
        <f t="shared" si="0"/>
        <v>0</v>
      </c>
      <c r="E14" s="531">
        <f t="shared" si="2"/>
        <v>-43.967861485068852</v>
      </c>
      <c r="F14" s="532"/>
      <c r="G14" s="534"/>
    </row>
    <row r="15" spans="1:11" x14ac:dyDescent="0.3">
      <c r="B15" s="528"/>
      <c r="C15" s="529">
        <f t="shared" si="1"/>
        <v>513409.78</v>
      </c>
      <c r="D15" s="530">
        <f t="shared" si="0"/>
        <v>0</v>
      </c>
      <c r="E15" s="531">
        <f t="shared" si="2"/>
        <v>-43.967861485068852</v>
      </c>
      <c r="F15" s="532"/>
    </row>
    <row r="16" spans="1:11" x14ac:dyDescent="0.3">
      <c r="B16" s="528"/>
      <c r="C16" s="529">
        <f t="shared" si="1"/>
        <v>513409.78</v>
      </c>
      <c r="D16" s="530">
        <f t="shared" si="0"/>
        <v>0</v>
      </c>
      <c r="E16" s="531">
        <f t="shared" si="2"/>
        <v>-43.967861485068852</v>
      </c>
      <c r="F16" s="532"/>
    </row>
    <row r="17" spans="2:9" x14ac:dyDescent="0.3">
      <c r="B17" s="528"/>
      <c r="C17" s="529">
        <f t="shared" si="1"/>
        <v>513409.78</v>
      </c>
      <c r="D17" s="530">
        <f t="shared" si="0"/>
        <v>0</v>
      </c>
      <c r="E17" s="531">
        <f t="shared" si="2"/>
        <v>-43.967861485068852</v>
      </c>
      <c r="F17" s="532"/>
    </row>
    <row r="18" spans="2:9" x14ac:dyDescent="0.3">
      <c r="B18" s="528"/>
      <c r="C18" s="529">
        <f t="shared" si="1"/>
        <v>513409.78</v>
      </c>
      <c r="D18" s="530">
        <f t="shared" si="0"/>
        <v>0</v>
      </c>
      <c r="E18" s="531">
        <f t="shared" si="2"/>
        <v>-43.967861485068852</v>
      </c>
      <c r="F18" s="532"/>
    </row>
    <row r="19" spans="2:9" ht="14.5" x14ac:dyDescent="0.35">
      <c r="B19" s="528"/>
      <c r="C19" s="529">
        <f t="shared" si="1"/>
        <v>513409.78</v>
      </c>
      <c r="D19" s="530">
        <f t="shared" si="0"/>
        <v>0</v>
      </c>
      <c r="E19" s="531">
        <f t="shared" si="2"/>
        <v>-43.967861485068852</v>
      </c>
      <c r="F19" s="532"/>
      <c r="I19" s="537">
        <f>SQRT(49)</f>
        <v>7</v>
      </c>
    </row>
    <row r="20" spans="2:9" x14ac:dyDescent="0.3">
      <c r="B20" s="528"/>
      <c r="C20" s="529">
        <f t="shared" si="1"/>
        <v>513409.78</v>
      </c>
      <c r="D20" s="530">
        <f t="shared" si="0"/>
        <v>0</v>
      </c>
      <c r="E20" s="531">
        <f t="shared" si="2"/>
        <v>-43.967861485068852</v>
      </c>
      <c r="F20" s="532"/>
    </row>
  </sheetData>
  <pageMargins left="0.7" right="0.7" top="0.75" bottom="0.75" header="0.3" footer="0.3"/>
  <pageSetup paperSize="9" orientation="portrait" horizontalDpi="300" verticalDpi="300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29445C08-367C-4825-865E-2E5C5A310CA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'Criterios Licitación'!D5:D20</xm:f>
              <xm:sqref>D21</xm:sqref>
            </x14:sparkline>
          </x14:sparklines>
        </x14:sparklineGroup>
      </x14:sparklineGroup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pageSetUpPr fitToPage="1"/>
  </sheetPr>
  <dimension ref="A1:A20"/>
  <sheetViews>
    <sheetView topLeftCell="A13" zoomScale="80" zoomScaleNormal="80" workbookViewId="0">
      <selection activeCell="A16" sqref="A16"/>
    </sheetView>
  </sheetViews>
  <sheetFormatPr baseColWidth="10" defaultColWidth="13.296875" defaultRowHeight="12.5" x14ac:dyDescent="0.25"/>
  <cols>
    <col min="1" max="1" width="192.796875" style="41" customWidth="1"/>
    <col min="2" max="16384" width="13.296875" style="40"/>
  </cols>
  <sheetData>
    <row r="1" spans="1:1" s="65" customFormat="1" ht="18.5" thickBot="1" x14ac:dyDescent="0.45">
      <c r="A1" s="429" t="str">
        <f>"Código Oferta: "&amp;codigo_oferta</f>
        <v>Código Oferta: 20251160543</v>
      </c>
    </row>
    <row r="2" spans="1:1" s="65" customFormat="1" ht="16" thickBot="1" x14ac:dyDescent="0.4">
      <c r="A2" s="81" t="s">
        <v>260</v>
      </c>
    </row>
    <row r="3" spans="1:1" s="65" customFormat="1" ht="20.25" customHeight="1" thickBot="1" x14ac:dyDescent="0.3">
      <c r="A3" s="82" t="s">
        <v>131</v>
      </c>
    </row>
    <row r="4" spans="1:1" ht="28.5" customHeight="1" thickBot="1" x14ac:dyDescent="0.35">
      <c r="A4" s="80" t="s">
        <v>128</v>
      </c>
    </row>
    <row r="5" spans="1:1" ht="13.5" thickBot="1" x14ac:dyDescent="0.35">
      <c r="A5" s="83" t="s">
        <v>129</v>
      </c>
    </row>
    <row r="6" spans="1:1" ht="117.75" customHeight="1" thickBot="1" x14ac:dyDescent="0.3">
      <c r="A6" s="84" t="s">
        <v>265</v>
      </c>
    </row>
    <row r="7" spans="1:1" ht="13.5" thickBot="1" x14ac:dyDescent="0.35">
      <c r="A7" s="83" t="s">
        <v>124</v>
      </c>
    </row>
    <row r="8" spans="1:1" ht="75.5" thickBot="1" x14ac:dyDescent="0.3">
      <c r="A8" s="84" t="s">
        <v>266</v>
      </c>
    </row>
    <row r="9" spans="1:1" ht="13.5" thickBot="1" x14ac:dyDescent="0.35">
      <c r="A9" s="83" t="s">
        <v>130</v>
      </c>
    </row>
    <row r="10" spans="1:1" ht="63" thickBot="1" x14ac:dyDescent="0.3">
      <c r="A10" s="84" t="s">
        <v>267</v>
      </c>
    </row>
    <row r="11" spans="1:1" ht="13.5" thickBot="1" x14ac:dyDescent="0.35">
      <c r="A11" s="83" t="s">
        <v>126</v>
      </c>
    </row>
    <row r="12" spans="1:1" ht="75.5" thickBot="1" x14ac:dyDescent="0.3">
      <c r="A12" s="84" t="s">
        <v>269</v>
      </c>
    </row>
    <row r="13" spans="1:1" ht="13.5" thickBot="1" x14ac:dyDescent="0.35">
      <c r="A13" s="83" t="s">
        <v>132</v>
      </c>
    </row>
    <row r="14" spans="1:1" ht="92.25" customHeight="1" thickBot="1" x14ac:dyDescent="0.3">
      <c r="A14" s="84" t="s">
        <v>268</v>
      </c>
    </row>
    <row r="15" spans="1:1" ht="13.5" thickBot="1" x14ac:dyDescent="0.35">
      <c r="A15" s="83" t="s">
        <v>133</v>
      </c>
    </row>
    <row r="16" spans="1:1" ht="13" thickBot="1" x14ac:dyDescent="0.3">
      <c r="A16" s="84"/>
    </row>
    <row r="17" spans="1:1" ht="13.5" thickBot="1" x14ac:dyDescent="0.35">
      <c r="A17" s="83" t="s">
        <v>125</v>
      </c>
    </row>
    <row r="18" spans="1:1" ht="100.5" thickBot="1" x14ac:dyDescent="0.3">
      <c r="A18" s="84" t="s">
        <v>270</v>
      </c>
    </row>
    <row r="19" spans="1:1" ht="13.5" thickBot="1" x14ac:dyDescent="0.35">
      <c r="A19" s="83" t="s">
        <v>127</v>
      </c>
    </row>
    <row r="20" spans="1:1" ht="75.5" thickBot="1" x14ac:dyDescent="0.3">
      <c r="A20" s="84" t="s">
        <v>271</v>
      </c>
    </row>
  </sheetData>
  <sheetProtection algorithmName="SHA-512" hashValue="2ir8+Jdo1UvoHclTIcnUvxBytBhwSf0DF9Ra72SsQE3NbWuLefm3j7ELbUYtTQ63sQmy9dIciaYQ5Si7by1vZg==" saltValue="rAMhEc0uce4HVkyrWp89Yw==" spinCount="100000" sheet="1" objects="1" scenarios="1" formatCells="0" formatColumns="0" formatRows="0" sort="0" autoFilter="0"/>
  <pageMargins left="0.19685039370078741" right="0.19685039370078741" top="0.19685039370078741" bottom="0.39370078740157483" header="0.19685039370078741" footer="0.19685039370078741"/>
  <pageSetup paperSize="9" scale="63" orientation="landscape" horizontalDpi="1200" verticalDpi="1200" r:id="rId1"/>
  <headerFooter scaleWithDoc="0" alignWithMargins="0">
    <oddFooter>&amp;LSCI32PT01-PPO - 2020-v1&amp;C&amp;D&amp;R&amp;F&amp;LSCI32PT01-PPO - 2020-v1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pageSetUpPr fitToPage="1"/>
  </sheetPr>
  <dimension ref="A1:G35"/>
  <sheetViews>
    <sheetView topLeftCell="A3" zoomScaleNormal="100" workbookViewId="0">
      <selection activeCell="A4" sqref="A4:G4"/>
    </sheetView>
  </sheetViews>
  <sheetFormatPr baseColWidth="10" defaultColWidth="12" defaultRowHeight="12.5" x14ac:dyDescent="0.25"/>
  <cols>
    <col min="1" max="1" width="6.19921875" style="90" customWidth="1"/>
    <col min="2" max="2" width="36.5" style="90" customWidth="1"/>
    <col min="3" max="3" width="19.5" style="90" customWidth="1"/>
    <col min="4" max="4" width="14.5" style="90" customWidth="1"/>
    <col min="5" max="5" width="10.5" style="90" customWidth="1"/>
    <col min="6" max="6" width="10.5" style="90" bestFit="1" customWidth="1"/>
    <col min="7" max="7" width="23" style="90" bestFit="1" customWidth="1"/>
    <col min="8" max="11" width="9.296875" style="90" customWidth="1"/>
    <col min="12" max="16384" width="12" style="90"/>
  </cols>
  <sheetData>
    <row r="1" spans="1:7" ht="13.5" thickBot="1" x14ac:dyDescent="0.35">
      <c r="A1" s="724" t="s">
        <v>275</v>
      </c>
      <c r="B1" s="725"/>
      <c r="C1" s="725"/>
      <c r="D1" s="726"/>
    </row>
    <row r="2" spans="1:7" ht="13" thickBot="1" x14ac:dyDescent="0.3">
      <c r="A2" s="727" t="s">
        <v>276</v>
      </c>
      <c r="B2" s="728"/>
      <c r="C2" s="728"/>
      <c r="D2" s="490" t="s">
        <v>312</v>
      </c>
    </row>
    <row r="3" spans="1:7" ht="13" thickBot="1" x14ac:dyDescent="0.3"/>
    <row r="4" spans="1:7" ht="13.5" thickBot="1" x14ac:dyDescent="0.35">
      <c r="A4" s="724" t="s">
        <v>313</v>
      </c>
      <c r="B4" s="725"/>
      <c r="C4" s="725"/>
      <c r="D4" s="725"/>
      <c r="E4" s="725"/>
      <c r="F4" s="725"/>
      <c r="G4" s="726"/>
    </row>
    <row r="5" spans="1:7" ht="13" thickBot="1" x14ac:dyDescent="0.3">
      <c r="A5" s="491"/>
      <c r="G5" s="492"/>
    </row>
    <row r="6" spans="1:7" ht="13.5" thickBot="1" x14ac:dyDescent="0.35">
      <c r="A6" s="493"/>
      <c r="B6" s="494" t="s">
        <v>277</v>
      </c>
      <c r="C6" s="495"/>
      <c r="D6" s="478" t="s">
        <v>278</v>
      </c>
      <c r="E6" s="479" t="s">
        <v>279</v>
      </c>
      <c r="F6" s="480" t="s">
        <v>280</v>
      </c>
      <c r="G6" s="496"/>
    </row>
    <row r="7" spans="1:7" x14ac:dyDescent="0.25">
      <c r="A7" s="493"/>
      <c r="B7" s="481" t="s">
        <v>281</v>
      </c>
      <c r="C7" s="445" t="s">
        <v>282</v>
      </c>
      <c r="D7" s="446">
        <v>0.3</v>
      </c>
      <c r="E7" s="447">
        <v>0.26</v>
      </c>
      <c r="F7" s="448">
        <v>0.22</v>
      </c>
      <c r="G7" s="496"/>
    </row>
    <row r="8" spans="1:7" x14ac:dyDescent="0.25">
      <c r="A8" s="493"/>
      <c r="B8" s="482"/>
      <c r="C8" s="449" t="s">
        <v>283</v>
      </c>
      <c r="D8" s="450">
        <v>0.15</v>
      </c>
      <c r="E8" s="451">
        <v>0.15</v>
      </c>
      <c r="F8" s="452">
        <v>0.15</v>
      </c>
      <c r="G8" s="496"/>
    </row>
    <row r="9" spans="1:7" ht="13" thickBot="1" x14ac:dyDescent="0.3">
      <c r="A9" s="493"/>
      <c r="B9" s="483"/>
      <c r="C9" s="453" t="s">
        <v>284</v>
      </c>
      <c r="D9" s="454">
        <v>0.15</v>
      </c>
      <c r="E9" s="455">
        <v>0.15</v>
      </c>
      <c r="F9" s="456">
        <v>0.15</v>
      </c>
      <c r="G9" s="496"/>
    </row>
    <row r="10" spans="1:7" x14ac:dyDescent="0.25">
      <c r="A10" s="493"/>
      <c r="B10" s="481" t="s">
        <v>285</v>
      </c>
      <c r="C10" s="457" t="s">
        <v>286</v>
      </c>
      <c r="D10" s="446">
        <v>0.3</v>
      </c>
      <c r="E10" s="447">
        <v>0.26</v>
      </c>
      <c r="F10" s="448">
        <v>0.22</v>
      </c>
      <c r="G10" s="496" t="s">
        <v>287</v>
      </c>
    </row>
    <row r="11" spans="1:7" x14ac:dyDescent="0.25">
      <c r="A11" s="493"/>
      <c r="B11" s="484"/>
      <c r="C11" s="458" t="s">
        <v>288</v>
      </c>
      <c r="D11" s="450">
        <v>0.3</v>
      </c>
      <c r="E11" s="451">
        <v>0.26</v>
      </c>
      <c r="F11" s="452">
        <v>0.22</v>
      </c>
      <c r="G11" s="496"/>
    </row>
    <row r="12" spans="1:7" ht="13" thickBot="1" x14ac:dyDescent="0.3">
      <c r="A12" s="493"/>
      <c r="B12" s="485"/>
      <c r="C12" s="459" t="s">
        <v>289</v>
      </c>
      <c r="D12" s="454">
        <v>0.3</v>
      </c>
      <c r="E12" s="455">
        <v>0.26</v>
      </c>
      <c r="F12" s="456">
        <v>0.22</v>
      </c>
      <c r="G12" s="496"/>
    </row>
    <row r="13" spans="1:7" ht="25.5" thickBot="1" x14ac:dyDescent="0.3">
      <c r="A13" s="493"/>
      <c r="B13" s="486" t="s">
        <v>290</v>
      </c>
      <c r="C13" s="460"/>
      <c r="D13" s="461">
        <v>0.1</v>
      </c>
      <c r="E13" s="462">
        <v>0.09</v>
      </c>
      <c r="F13" s="463">
        <v>0.08</v>
      </c>
      <c r="G13" s="496"/>
    </row>
    <row r="14" spans="1:7" ht="13" thickBot="1" x14ac:dyDescent="0.3">
      <c r="A14" s="493"/>
      <c r="B14" s="487" t="s">
        <v>291</v>
      </c>
      <c r="C14" s="464"/>
      <c r="D14" s="465">
        <v>0.3</v>
      </c>
      <c r="E14" s="466">
        <v>0.26</v>
      </c>
      <c r="F14" s="467">
        <v>0.22</v>
      </c>
      <c r="G14" s="496" t="s">
        <v>287</v>
      </c>
    </row>
    <row r="15" spans="1:7" ht="13" thickBot="1" x14ac:dyDescent="0.3">
      <c r="A15" s="493"/>
      <c r="B15" s="487" t="s">
        <v>292</v>
      </c>
      <c r="C15" s="464"/>
      <c r="D15" s="465">
        <v>0.3</v>
      </c>
      <c r="E15" s="466">
        <v>0.26</v>
      </c>
      <c r="F15" s="467">
        <v>0.22</v>
      </c>
      <c r="G15" s="496"/>
    </row>
    <row r="16" spans="1:7" ht="13" thickBot="1" x14ac:dyDescent="0.3">
      <c r="A16" s="493"/>
      <c r="B16" s="487" t="s">
        <v>293</v>
      </c>
      <c r="C16" s="464"/>
      <c r="D16" s="465">
        <v>0.2</v>
      </c>
      <c r="E16" s="466">
        <v>0.18</v>
      </c>
      <c r="F16" s="467">
        <v>0.15</v>
      </c>
      <c r="G16" s="500" t="s">
        <v>294</v>
      </c>
    </row>
    <row r="17" spans="1:7" ht="13" thickBot="1" x14ac:dyDescent="0.3">
      <c r="A17" s="493"/>
      <c r="B17" s="487" t="s">
        <v>295</v>
      </c>
      <c r="C17" s="464"/>
      <c r="D17" s="465">
        <v>0.1</v>
      </c>
      <c r="E17" s="466">
        <v>0.08</v>
      </c>
      <c r="F17" s="467">
        <v>0.06</v>
      </c>
      <c r="G17" s="496" t="s">
        <v>287</v>
      </c>
    </row>
    <row r="18" spans="1:7" ht="13" thickBot="1" x14ac:dyDescent="0.3">
      <c r="A18" s="493"/>
      <c r="B18" s="487" t="s">
        <v>296</v>
      </c>
      <c r="C18" s="464"/>
      <c r="D18" s="465">
        <v>0.1</v>
      </c>
      <c r="E18" s="466">
        <v>0.08</v>
      </c>
      <c r="F18" s="467">
        <v>0.06</v>
      </c>
      <c r="G18" s="496"/>
    </row>
    <row r="19" spans="1:7" ht="13" thickBot="1" x14ac:dyDescent="0.3">
      <c r="A19" s="493"/>
      <c r="B19" s="729"/>
      <c r="C19" s="729"/>
      <c r="D19" s="729"/>
      <c r="E19" s="729"/>
      <c r="F19" s="729"/>
      <c r="G19" s="496"/>
    </row>
    <row r="20" spans="1:7" ht="13" thickBot="1" x14ac:dyDescent="0.3">
      <c r="A20" s="493"/>
      <c r="B20" s="487" t="s">
        <v>297</v>
      </c>
      <c r="C20" s="464"/>
      <c r="D20" s="465">
        <v>0.21</v>
      </c>
      <c r="E20" s="466">
        <v>0.19</v>
      </c>
      <c r="F20" s="467">
        <v>0.17</v>
      </c>
      <c r="G20" s="496" t="s">
        <v>287</v>
      </c>
    </row>
    <row r="21" spans="1:7" x14ac:dyDescent="0.25">
      <c r="A21" s="493"/>
      <c r="B21" s="471"/>
      <c r="C21" s="471"/>
      <c r="D21" s="471"/>
      <c r="E21" s="471"/>
      <c r="F21" s="471"/>
      <c r="G21" s="496"/>
    </row>
    <row r="22" spans="1:7" ht="13" x14ac:dyDescent="0.25">
      <c r="A22" s="493"/>
      <c r="B22" s="488" t="s">
        <v>298</v>
      </c>
      <c r="C22" s="468"/>
      <c r="D22" s="468"/>
      <c r="E22" s="468"/>
      <c r="F22" s="469"/>
      <c r="G22" s="496"/>
    </row>
    <row r="23" spans="1:7" x14ac:dyDescent="0.25">
      <c r="A23" s="493"/>
      <c r="B23" s="470" t="s">
        <v>299</v>
      </c>
      <c r="C23" s="471" t="s">
        <v>287</v>
      </c>
      <c r="D23" s="471"/>
      <c r="E23" s="471" t="s">
        <v>287</v>
      </c>
      <c r="F23" s="472" t="s">
        <v>287</v>
      </c>
      <c r="G23" s="496"/>
    </row>
    <row r="24" spans="1:7" x14ac:dyDescent="0.25">
      <c r="A24" s="493"/>
      <c r="B24" s="470" t="s">
        <v>300</v>
      </c>
      <c r="C24" s="471"/>
      <c r="D24" s="471"/>
      <c r="E24" s="471"/>
      <c r="F24" s="472"/>
      <c r="G24" s="496"/>
    </row>
    <row r="25" spans="1:7" x14ac:dyDescent="0.25">
      <c r="A25" s="493"/>
      <c r="B25" s="470" t="s">
        <v>301</v>
      </c>
      <c r="C25" s="471"/>
      <c r="D25" s="473" t="s">
        <v>302</v>
      </c>
      <c r="E25" s="473" t="s">
        <v>303</v>
      </c>
      <c r="F25" s="474" t="s">
        <v>304</v>
      </c>
      <c r="G25" s="496"/>
    </row>
    <row r="26" spans="1:7" x14ac:dyDescent="0.25">
      <c r="A26" s="493"/>
      <c r="B26" s="475" t="s">
        <v>305</v>
      </c>
      <c r="C26" s="476" t="s">
        <v>287</v>
      </c>
      <c r="D26" s="476" t="s">
        <v>306</v>
      </c>
      <c r="E26" s="476"/>
      <c r="F26" s="477"/>
      <c r="G26" s="496"/>
    </row>
    <row r="27" spans="1:7" x14ac:dyDescent="0.25">
      <c r="A27" s="493"/>
      <c r="B27" s="471"/>
      <c r="C27" s="471"/>
      <c r="D27" s="471"/>
      <c r="E27" s="471"/>
      <c r="F27" s="471"/>
      <c r="G27" s="496"/>
    </row>
    <row r="28" spans="1:7" ht="13" x14ac:dyDescent="0.25">
      <c r="A28" s="493"/>
      <c r="B28" s="489" t="s">
        <v>307</v>
      </c>
      <c r="C28" s="476"/>
      <c r="D28" s="476"/>
      <c r="E28" s="476"/>
      <c r="F28" s="476"/>
      <c r="G28" s="496"/>
    </row>
    <row r="29" spans="1:7" x14ac:dyDescent="0.25">
      <c r="A29" s="493"/>
      <c r="B29" s="471" t="s">
        <v>308</v>
      </c>
      <c r="C29" s="471"/>
      <c r="D29" s="471"/>
      <c r="E29" s="471"/>
      <c r="F29" s="471"/>
      <c r="G29" s="496"/>
    </row>
    <row r="30" spans="1:7" x14ac:dyDescent="0.25">
      <c r="A30" s="493"/>
      <c r="B30" s="471" t="s">
        <v>309</v>
      </c>
      <c r="C30" s="471"/>
      <c r="D30" s="471"/>
      <c r="E30" s="471"/>
      <c r="F30" s="471"/>
      <c r="G30" s="496"/>
    </row>
    <row r="31" spans="1:7" x14ac:dyDescent="0.25">
      <c r="A31" s="493"/>
      <c r="B31" s="471" t="s">
        <v>310</v>
      </c>
      <c r="C31" s="471"/>
      <c r="D31" s="471"/>
      <c r="E31" s="471"/>
      <c r="F31" s="471"/>
      <c r="G31" s="496"/>
    </row>
    <row r="32" spans="1:7" ht="13" thickBot="1" x14ac:dyDescent="0.3">
      <c r="A32" s="497"/>
      <c r="B32" s="498" t="s">
        <v>311</v>
      </c>
      <c r="C32" s="498"/>
      <c r="D32" s="498"/>
      <c r="E32" s="498"/>
      <c r="F32" s="498"/>
      <c r="G32" s="499"/>
    </row>
    <row r="33" spans="1:5" ht="13" thickBot="1" x14ac:dyDescent="0.3"/>
    <row r="34" spans="1:5" ht="13.5" thickBot="1" x14ac:dyDescent="0.35">
      <c r="A34" s="724" t="s">
        <v>316</v>
      </c>
      <c r="B34" s="725"/>
      <c r="C34" s="725"/>
      <c r="D34" s="725"/>
      <c r="E34" s="726"/>
    </row>
    <row r="35" spans="1:5" ht="13" thickBot="1" x14ac:dyDescent="0.3">
      <c r="A35" s="722" t="s">
        <v>315</v>
      </c>
      <c r="B35" s="723"/>
      <c r="C35" s="720" t="s">
        <v>314</v>
      </c>
      <c r="D35" s="720"/>
      <c r="E35" s="721"/>
    </row>
  </sheetData>
  <sheetProtection algorithmName="SHA-512" hashValue="ALoFmjuqnpABy3vFiUKr3iIQH/ghkacm6lM3/WNWcnVbv4EgYN010hm3zc1a4UZ1gcXINRkmzvuaIuv48Um5Ag==" saltValue="IMJsM5QRbQodXZ44xUvI2w==" spinCount="100000" sheet="1" objects="1" scenarios="1" formatCells="0" formatColumns="0" formatRows="0" sort="0" autoFilter="0"/>
  <mergeCells count="7">
    <mergeCell ref="C35:E35"/>
    <mergeCell ref="A35:B35"/>
    <mergeCell ref="A34:E34"/>
    <mergeCell ref="A2:C2"/>
    <mergeCell ref="A1:D1"/>
    <mergeCell ref="A4:G4"/>
    <mergeCell ref="B19:F19"/>
  </mergeCells>
  <hyperlinks>
    <hyperlink ref="C35:E35" r:id="rId1" display="Matriz actualizada de responsabilidades" xr:uid="{00000000-0004-0000-0800-000000000000}"/>
    <hyperlink ref="D2" r:id="rId2" xr:uid="{00000000-0004-0000-0800-000001000000}"/>
  </hyperlinks>
  <pageMargins left="0.31496062992125984" right="0.31496062992125984" top="0" bottom="0.55118110236220474" header="0.31496062992125984" footer="0.31496062992125984"/>
  <pageSetup paperSize="9" orientation="landscape" r:id="rId3"/>
  <headerFooter>
    <oddFooter>&amp;LSCI32PT01-PPO - 2020-v1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B2:D4"/>
  <sheetViews>
    <sheetView zoomScaleNormal="100" workbookViewId="0">
      <selection activeCell="C4" sqref="C4"/>
    </sheetView>
  </sheetViews>
  <sheetFormatPr baseColWidth="10" defaultRowHeight="13" x14ac:dyDescent="0.3"/>
  <cols>
    <col min="1" max="1" width="2.19921875" customWidth="1"/>
    <col min="2" max="2" width="11.296875" customWidth="1"/>
    <col min="3" max="3" width="100.796875" customWidth="1"/>
    <col min="4" max="4" width="96.5" customWidth="1"/>
  </cols>
  <sheetData>
    <row r="2" spans="2:4" ht="53.25" customHeight="1" x14ac:dyDescent="0.3">
      <c r="B2" s="509" t="s">
        <v>376</v>
      </c>
      <c r="C2" s="510" t="s">
        <v>379</v>
      </c>
      <c r="D2" s="509"/>
    </row>
    <row r="3" spans="2:4" ht="74.25" customHeight="1" x14ac:dyDescent="0.3">
      <c r="B3" s="509" t="s">
        <v>377</v>
      </c>
      <c r="C3" s="510" t="s">
        <v>380</v>
      </c>
      <c r="D3" s="510" t="s">
        <v>381</v>
      </c>
    </row>
    <row r="4" spans="2:4" ht="57.5" x14ac:dyDescent="0.3">
      <c r="B4" s="509" t="s">
        <v>375</v>
      </c>
      <c r="C4" s="510" t="s">
        <v>378</v>
      </c>
      <c r="D4" s="509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697546B5563C348A1232928683362C3" ma:contentTypeVersion="75" ma:contentTypeDescription="Crear nuevo documento." ma:contentTypeScope="" ma:versionID="d1ce3eb7679713c115c3095a07972da9">
  <xsd:schema xmlns:xsd="http://www.w3.org/2001/XMLSchema" xmlns:xs="http://www.w3.org/2001/XMLSchema" xmlns:p="http://schemas.microsoft.com/office/2006/metadata/properties" xmlns:ns1="http://schemas.microsoft.com/sharepoint/v3" xmlns:ns2="http://schemas.microsoft.com/sharepoint/v3/fields" xmlns:ns3="http://schemas.microsoft.com/sharepoint.v3" xmlns:ns4="4927fa29-ac62-48a8-a46c-4c3cfbdc6ff1" xmlns:ns5="f7e9cf62-defc-4810-a921-3ba3c6ed8b51" targetNamespace="http://schemas.microsoft.com/office/2006/metadata/properties" ma:root="true" ma:fieldsID="7e6142f86fa5284a4721629216808197" ns1:_="" ns2:_="" ns3:_="" ns4:_="" ns5:_="">
    <xsd:import namespace="http://schemas.microsoft.com/sharepoint/v3"/>
    <xsd:import namespace="http://schemas.microsoft.com/sharepoint/v3/fields"/>
    <xsd:import namespace="http://schemas.microsoft.com/sharepoint.v3"/>
    <xsd:import namespace="4927fa29-ac62-48a8-a46c-4c3cfbdc6ff1"/>
    <xsd:import namespace="f7e9cf62-defc-4810-a921-3ba3c6ed8b51"/>
    <xsd:element name="properties">
      <xsd:complexType>
        <xsd:sequence>
          <xsd:element name="documentManagement">
            <xsd:complexType>
              <xsd:all>
                <xsd:element ref="ns2:wic_System_Copyright" minOccurs="0"/>
                <xsd:element ref="ns3:CategoryDescription" minOccurs="0"/>
                <xsd:element ref="ns2:ImageCreateDate" minOccurs="0"/>
                <xsd:element ref="ns1:PublishingExpirationDate" minOccurs="0"/>
                <xsd:element ref="ns1:PublishingStartDate" minOccurs="0"/>
                <xsd:element ref="ns1:RatingCount" minOccurs="0"/>
                <xsd:element ref="ns1:LikesCount" minOccurs="0"/>
                <xsd:element ref="ns1:ReportOwner" minOccurs="0"/>
                <xsd:element ref="ns1:URL" minOccurs="0"/>
                <xsd:element ref="ns4:Permitir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5:_dlc_DocId" minOccurs="0"/>
                <xsd:element ref="ns5:_dlc_DocIdUrl" minOccurs="0"/>
                <xsd:element ref="ns5:_dlc_DocIdPersistId" minOccurs="0"/>
                <xsd:element ref="ns5:SharedWithUsers" minOccurs="0"/>
                <xsd:element ref="ns5:SharedWithDetails" minOccurs="0"/>
                <xsd:element ref="ns4:MediaServiceOCR" minOccurs="0"/>
                <xsd:element ref="ns1:_ip_UnifiedCompliancePolicyProperties" minOccurs="0"/>
                <xsd:element ref="ns1:_ip_UnifiedCompliancePolicyUIAction" minOccurs="0"/>
                <xsd:element ref="ns4:Modificaci_x00f3_nRelevan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ExpirationDate" ma:index="13" nillable="true" ma:displayName="Fecha de finalización programada" ma:description="Fecha de finalización programada es una columna del sitio que crea la característica Publicación. Se usa para especificar la fecha y la hora a la que esta página dejará de presentarse a los visitantes del sitio." ma:internalName="PublishingExpirationDate" ma:readOnly="false">
      <xsd:simpleType>
        <xsd:restriction base="dms:Unknown"/>
      </xsd:simpleType>
    </xsd:element>
    <xsd:element name="PublishingStartDate" ma:index="14" nillable="true" ma:displayName="Fecha de inicio programada" ma:description="Fecha de inicio programada es una columna del sitio que crea la característica Publicación. Se usa para especificar la fecha y la hora a la que esta página se presentará por primera vez a los visitantes del sitio." ma:internalName="PublishingStartDate" ma:readOnly="false">
      <xsd:simpleType>
        <xsd:restriction base="dms:Unknown"/>
      </xsd:simpleType>
    </xsd:element>
    <xsd:element name="RatingCount" ma:index="15" nillable="true" ma:displayName="Número de clasificaciones" ma:decimals="0" ma:description="Número de clasificaciones enviado" ma:internalName="RatingCount" ma:readOnly="false" ma:percentage="FALSE">
      <xsd:simpleType>
        <xsd:restriction base="dms:Number"/>
      </xsd:simpleType>
    </xsd:element>
    <xsd:element name="LikesCount" ma:index="16" nillable="true" ma:displayName="Número de Me gusta" ma:internalName="LikesCount" ma:readOnly="false">
      <xsd:simpleType>
        <xsd:restriction base="dms:Unknown"/>
      </xsd:simpleType>
    </xsd:element>
    <xsd:element name="ReportOwner" ma:index="18" nillable="true" ma:displayName="Propietario" ma:description="Propietario de este documento" ma:list="UserInfo" ma:SearchPeopleOnly="false" ma:SharePointGroup="0" ma:internalName="ReportOwne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RL" ma:index="19" nillable="true" ma:displayName="Dirección URL" ma:format="Hyperlink" ma:internalName="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ip_UnifiedCompliancePolicyProperties" ma:index="31" nillable="true" ma:displayName="Propiedades de la Directiva de cumplimiento unificado" ma:hidden="true" ma:internalName="_ip_UnifiedCompliancePolicyProperties">
      <xsd:simpleType>
        <xsd:restriction base="dms:Note"/>
      </xsd:simpleType>
    </xsd:element>
    <xsd:element name="_ip_UnifiedCompliancePolicyUIAction" ma:index="32" nillable="true" ma:displayName="Acción de IU de la Directiva de cumplimiento unificado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wic_System_Copyright" ma:index="10" nillable="true" ma:displayName="Copyright" ma:internalName="wic_System_Copyright" ma:readOnly="false">
      <xsd:simpleType>
        <xsd:restriction base="dms:Text"/>
      </xsd:simpleType>
    </xsd:element>
    <xsd:element name="ImageCreateDate" ma:index="12" nillable="true" ma:displayName="Fecha de captura de la imagen" ma:description="" ma:format="DateTime" ma:hidden="true" ma:internalName="ImageCreate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.v3" elementFormDefault="qualified">
    <xsd:import namespace="http://schemas.microsoft.com/office/2006/documentManagement/types"/>
    <xsd:import namespace="http://schemas.microsoft.com/office/infopath/2007/PartnerControls"/>
    <xsd:element name="CategoryDescription" ma:index="11" nillable="true" ma:displayName="Descripción" ma:internalName="CategoryDescrip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27fa29-ac62-48a8-a46c-4c3cfbdc6ff1" elementFormDefault="qualified">
    <xsd:import namespace="http://schemas.microsoft.com/office/2006/documentManagement/types"/>
    <xsd:import namespace="http://schemas.microsoft.com/office/infopath/2007/PartnerControls"/>
    <xsd:element name="Permitir" ma:index="20" nillable="true" ma:displayName="Permitir" ma:default="1" ma:description="Permitir que el Documento se pueda anunciar desde la Página de Inicio" ma:internalName="Permitir" ma:readOnly="false">
      <xsd:simpleType>
        <xsd:restriction base="dms:Boolean"/>
      </xsd:simpleType>
    </xsd:element>
    <xsd:element name="MediaServiceMetadata" ma:index="2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2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2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2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3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odificaci_x00f3_nRelevante" ma:index="33" nillable="true" ma:displayName="Modificación Relevante" ma:description="Breve descripción de cambios relevantes " ma:format="Dropdown" ma:internalName="Modificaci_x00f3_nRelevant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e9cf62-defc-4810-a921-3ba3c6ed8b51" elementFormDefault="qualified">
    <xsd:import namespace="http://schemas.microsoft.com/office/2006/documentManagement/types"/>
    <xsd:import namespace="http://schemas.microsoft.com/office/infopath/2007/PartnerControls"/>
    <xsd:element name="_dlc_DocId" ma:index="25" nillable="true" ma:displayName="Valor de Id. de documento" ma:description="El valor del identificador de documento asignado a este elemento." ma:internalName="_dlc_DocId" ma:readOnly="true">
      <xsd:simpleType>
        <xsd:restriction base="dms:Text"/>
      </xsd:simpleType>
    </xsd:element>
    <xsd:element name="_dlc_DocIdUrl" ma:index="26" nillable="true" ma:displayName="Id. de documento" ma:description="Vínculo permanente 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27" nillable="true" ma:displayName="Persist ID" ma:description="Keep ID on add." ma:hidden="true" ma:internalName="_dlc_DocIdPersistId" ma:readOnly="false">
      <xsd:simpleType>
        <xsd:restriction base="dms:Boolean"/>
      </xsd:simpleType>
    </xsd:element>
    <xsd:element name="SharedWithUsers" ma:index="28" nillable="true" ma:displayName="Compartido con" ma:SearchPeopleOnly="false" ma:SharePointGroup="0" ma:internalName="SharedWithUsers" ma:readOnly="tru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8" ma:displayName="Autor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 ma:index="9" ma:displayName="Comentarios"/>
        <xsd:element name="keywords" minOccurs="0" maxOccurs="1" type="xsd:string" ma:index="17" ma:displayName="Palabras clave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mageCreateDate xmlns="http://schemas.microsoft.com/sharepoint/v3/fields" xsi:nil="true"/>
    <LikesCount xmlns="http://schemas.microsoft.com/sharepoint/v3" xsi:nil="true"/>
    <_ip_UnifiedCompliancePolicyUIAction xmlns="http://schemas.microsoft.com/sharepoint/v3" xsi:nil="true"/>
    <_dlc_DocIdPersistId xmlns="f7e9cf62-defc-4810-a921-3ba3c6ed8b51" xsi:nil="true"/>
    <URL xmlns="http://schemas.microsoft.com/sharepoint/v3">
      <Url xsi:nil="true"/>
      <Description xsi:nil="true"/>
    </URL>
    <RatingCount xmlns="http://schemas.microsoft.com/sharepoint/v3" xsi:nil="true"/>
    <Permitir xmlns="4927fa29-ac62-48a8-a46c-4c3cfbdc6ff1">true</Permitir>
    <_ip_UnifiedCompliancePolicyProperties xmlns="http://schemas.microsoft.com/sharepoint/v3" xsi:nil="true"/>
    <CategoryDescription xmlns="http://schemas.microsoft.com/sharepoint.v3" xsi:nil="true"/>
    <PublishingExpirationDate xmlns="http://schemas.microsoft.com/sharepoint/v3" xsi:nil="true"/>
    <Modificaci_x00f3_nRelevante xmlns="4927fa29-ac62-48a8-a46c-4c3cfbdc6ff1" xsi:nil="true"/>
    <PublishingStartDate xmlns="http://schemas.microsoft.com/sharepoint/v3" xsi:nil="true"/>
    <ReportOwner xmlns="http://schemas.microsoft.com/sharepoint/v3">
      <UserInfo>
        <DisplayName/>
        <AccountId xsi:nil="true"/>
        <AccountType/>
      </UserInfo>
    </ReportOwner>
    <wic_System_Copyright xmlns="http://schemas.microsoft.com/sharepoint/v3/fields" xsi:nil="true"/>
    <_dlc_DocId xmlns="f7e9cf62-defc-4810-a921-3ba3c6ed8b51">AFUUK2QUF2TY-214-1657</_dlc_DocId>
    <_dlc_DocIdUrl xmlns="f7e9cf62-defc-4810-a921-3ba3c6ed8b51">
      <Url>https://gtn.sharepoint.com/sites/Connectis-ES/espaciocorporativo/calidad/_layouts/15/DocIdRedir.aspx?ID=AFUUK2QUF2TY-214-1657</Url>
      <Description>AFUUK2QUF2TY-214-1657</Description>
    </_dlc_DocIdUrl>
  </documentManagement>
</p:properties>
</file>

<file path=customXml/itemProps1.xml><?xml version="1.0" encoding="utf-8"?>
<ds:datastoreItem xmlns:ds="http://schemas.openxmlformats.org/officeDocument/2006/customXml" ds:itemID="{EDC7EF58-A13C-4E28-9085-12A28C7D9AE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1B01AE13-F8DD-4649-9570-24EF18ACEF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9F0FFCC-9E0C-460E-9890-59A31E61270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http://schemas.microsoft.com/sharepoint.v3"/>
    <ds:schemaRef ds:uri="4927fa29-ac62-48a8-a46c-4c3cfbdc6ff1"/>
    <ds:schemaRef ds:uri="f7e9cf62-defc-4810-a921-3ba3c6ed8b5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A52AA9A-1C61-46CD-AF19-0F81965C996C}">
  <ds:schemaRefs>
    <ds:schemaRef ds:uri="4927fa29-ac62-48a8-a46c-4c3cfbdc6ff1"/>
    <ds:schemaRef ds:uri="http://purl.org/dc/elements/1.1/"/>
    <ds:schemaRef ds:uri="http://schemas.microsoft.com/sharepoint/v3/fields"/>
    <ds:schemaRef ds:uri="http://purl.org/dc/terms/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f7e9cf62-defc-4810-a921-3ba3c6ed8b51"/>
    <ds:schemaRef ds:uri="http://www.w3.org/XML/1998/namespace"/>
    <ds:schemaRef ds:uri="http://schemas.microsoft.com/sharepoint.v3"/>
    <ds:schemaRef ds:uri="http://schemas.microsoft.com/office/2006/metadata/properties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040b5de6-6e2e-46f2-bca1-507eb809bbf7}" enabled="1" method="Privileged" siteId="{56d7daaa-b378-45b3-aa11-af9402b401b9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74</vt:i4>
      </vt:variant>
    </vt:vector>
  </HeadingPairs>
  <TitlesOfParts>
    <vt:vector size="85" baseType="lpstr">
      <vt:lpstr>tablas</vt:lpstr>
      <vt:lpstr>Hoja de datos</vt:lpstr>
      <vt:lpstr>Parametros</vt:lpstr>
      <vt:lpstr>Presupuesto</vt:lpstr>
      <vt:lpstr>Riesgos</vt:lpstr>
      <vt:lpstr>Facturación y SAP</vt:lpstr>
      <vt:lpstr>Sintesis Precio</vt:lpstr>
      <vt:lpstr>Criterios Licitación</vt:lpstr>
      <vt:lpstr>Escalado</vt:lpstr>
      <vt:lpstr>Criterios Escalado</vt:lpstr>
      <vt:lpstr>Requisitos equipo</vt:lpstr>
      <vt:lpstr>año_inicio</vt:lpstr>
      <vt:lpstr>'Hoja de datos'!Área_de_impresión</vt:lpstr>
      <vt:lpstr>Presupuesto!Área_de_impresión</vt:lpstr>
      <vt:lpstr>'Sintesis Precio'!Área_de_impresión</vt:lpstr>
      <vt:lpstr>basmax</vt:lpstr>
      <vt:lpstr>cliente</vt:lpstr>
      <vt:lpstr>codent</vt:lpstr>
      <vt:lpstr>codigo_oferta</vt:lpstr>
      <vt:lpstr>codprod</vt:lpstr>
      <vt:lpstr>codsec</vt:lpstr>
      <vt:lpstr>comercial</vt:lpstr>
      <vt:lpstr>coste_seg</vt:lpstr>
      <vt:lpstr>Costes_reales</vt:lpstr>
      <vt:lpstr>duracion</vt:lpstr>
      <vt:lpstr>entidad</vt:lpstr>
      <vt:lpstr>entidades</vt:lpstr>
      <vt:lpstr>hayerrs</vt:lpstr>
      <vt:lpstr>haygar</vt:lpstr>
      <vt:lpstr>IVA</vt:lpstr>
      <vt:lpstr>K_1</vt:lpstr>
      <vt:lpstr>K_2</vt:lpstr>
      <vt:lpstr>K_3</vt:lpstr>
      <vt:lpstr>maxf</vt:lpstr>
      <vt:lpstr>maxp</vt:lpstr>
      <vt:lpstr>maxt</vt:lpstr>
      <vt:lpstr>mercantil</vt:lpstr>
      <vt:lpstr>mes_inicio</vt:lpstr>
      <vt:lpstr>negocio</vt:lpstr>
      <vt:lpstr>nombreo</vt:lpstr>
      <vt:lpstr>Nombres</vt:lpstr>
      <vt:lpstr>ocurre</vt:lpstr>
      <vt:lpstr>oficina</vt:lpstr>
      <vt:lpstr>oficinas</vt:lpstr>
      <vt:lpstr>ozona</vt:lpstr>
      <vt:lpstr>Perfiles</vt:lpstr>
      <vt:lpstr>Precio</vt:lpstr>
      <vt:lpstr>producto</vt:lpstr>
      <vt:lpstr>productos</vt:lpstr>
      <vt:lpstr>respBid</vt:lpstr>
      <vt:lpstr>responsable_bid</vt:lpstr>
      <vt:lpstr>RespOperZona</vt:lpstr>
      <vt:lpstr>resprod</vt:lpstr>
      <vt:lpstr>resris</vt:lpstr>
      <vt:lpstr>rminimo</vt:lpstr>
      <vt:lpstr>Rs</vt:lpstr>
      <vt:lpstr>sector</vt:lpstr>
      <vt:lpstr>sectores</vt:lpstr>
      <vt:lpstr>ssfij</vt:lpstr>
      <vt:lpstr>sspar</vt:lpstr>
      <vt:lpstr>sstem</vt:lpstr>
      <vt:lpstr>tcontrata</vt:lpstr>
      <vt:lpstr>tipo_contrato</vt:lpstr>
      <vt:lpstr>tipo_oferta</vt:lpstr>
      <vt:lpstr>tipos_compras</vt:lpstr>
      <vt:lpstr>toferta</vt:lpstr>
      <vt:lpstr>triesgo</vt:lpstr>
      <vt:lpstr>tservicios</vt:lpstr>
      <vt:lpstr>Tu</vt:lpstr>
      <vt:lpstr>ulincom</vt:lpstr>
      <vt:lpstr>ulincom2</vt:lpstr>
      <vt:lpstr>ulinf1</vt:lpstr>
      <vt:lpstr>ulinf2</vt:lpstr>
      <vt:lpstr>ulinf3</vt:lpstr>
      <vt:lpstr>ulinf4</vt:lpstr>
      <vt:lpstr>ulingas</vt:lpstr>
      <vt:lpstr>ulingas2</vt:lpstr>
      <vt:lpstr>ulinma</vt:lpstr>
      <vt:lpstr>ulinma2</vt:lpstr>
      <vt:lpstr>ulinpar</vt:lpstr>
      <vt:lpstr>ulinris</vt:lpstr>
      <vt:lpstr>unidades</vt:lpstr>
      <vt:lpstr>vtocli</vt:lpstr>
      <vt:lpstr>vtos</vt:lpstr>
      <vt:lpstr>zona</vt:lpstr>
    </vt:vector>
  </TitlesOfParts>
  <Manager>Joan Vilaseca</Manager>
  <Company>Connectis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PPO 2020 - V01</dc:title>
  <dc:subject>presupuesto ofertas</dc:subject>
  <dc:creator>Joan Vilaseca</dc:creator>
  <cp:keywords>SCI32PT01</cp:keywords>
  <dc:description/>
  <cp:lastModifiedBy>Ortega Angulo, Alvaro</cp:lastModifiedBy>
  <cp:lastPrinted>2020-07-07T13:24:09Z</cp:lastPrinted>
  <dcterms:created xsi:type="dcterms:W3CDTF">1996-10-15T09:56:23Z</dcterms:created>
  <dcterms:modified xsi:type="dcterms:W3CDTF">2026-05-11T00:18:54Z</dcterms:modified>
  <cp:category>plantilla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echa de registro">
    <vt:filetime>2020-07-07T10:00:00Z</vt:filetime>
  </property>
  <property fmtid="{D5CDD505-2E9C-101B-9397-08002B2CF9AE}" pid="3" name="Propietario">
    <vt:lpwstr>P&amp;O</vt:lpwstr>
  </property>
  <property fmtid="{D5CDD505-2E9C-101B-9397-08002B2CF9AE}" pid="4" name="Asunto">
    <vt:lpwstr>presupuesto ofertas</vt:lpwstr>
  </property>
  <property fmtid="{D5CDD505-2E9C-101B-9397-08002B2CF9AE}" pid="5" name="Departamento">
    <vt:lpwstr>Preventa</vt:lpwstr>
  </property>
  <property fmtid="{D5CDD505-2E9C-101B-9397-08002B2CF9AE}" pid="6" name="Elaborado por">
    <vt:lpwstr>Joan Vilaseca</vt:lpwstr>
  </property>
  <property fmtid="{D5CDD505-2E9C-101B-9397-08002B2CF9AE}" pid="7" name="Referencia">
    <vt:lpwstr>SCI32PT01</vt:lpwstr>
  </property>
  <property fmtid="{D5CDD505-2E9C-101B-9397-08002B2CF9AE}" pid="8" name="pw">
    <vt:lpwstr>ppo2020v1</vt:lpwstr>
  </property>
  <property fmtid="{D5CDD505-2E9C-101B-9397-08002B2CF9AE}" pid="9" name="ContentTypeId">
    <vt:lpwstr>0x0101007697546B5563C348A1232928683362C3</vt:lpwstr>
  </property>
  <property fmtid="{D5CDD505-2E9C-101B-9397-08002B2CF9AE}" pid="10" name="_dlc_DocIdItemGuid">
    <vt:lpwstr>226bfc2c-f341-42f8-aae2-1fa9341abeeb</vt:lpwstr>
  </property>
</Properties>
</file>