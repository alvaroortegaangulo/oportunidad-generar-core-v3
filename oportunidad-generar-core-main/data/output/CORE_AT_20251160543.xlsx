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aortega\.nuget\packages\oportunidad-generar-core-main\1.0.39-fix-core-gpt\content\data\output\test\"/>
    </mc:Choice>
  </mc:AlternateContent>
  <xr:revisionPtr revIDLastSave="0" documentId="13_ncr:1_{0A137AD5-4E9C-4A74-9C12-E167CE1B38C1}" xr6:coauthVersionLast="47" xr6:coauthVersionMax="47" xr10:uidLastSave="{00000000-0000-0000-0000-000000000000}"/>
  <bookViews>
    <workbookView xWindow="28680" yWindow="-120" windowWidth="29040" windowHeight="17520" tabRatio="669" activeTab="5" xr2:uid="{00000000-000D-0000-FFFF-FFFF00000000}"/>
  </bookViews>
  <sheets>
    <sheet name="Project Infor" sheetId="1" r:id="rId1"/>
    <sheet name="Cost Overview" sheetId="3" r:id="rId2"/>
    <sheet name="Resources" sheetId="5" r:id="rId3"/>
    <sheet name="Cost Planning" sheetId="6" r:id="rId4"/>
    <sheet name="Monthly View" sheetId="9" r:id="rId5"/>
    <sheet name="Cost Summary" sheetId="10" r:id="rId6"/>
    <sheet name="Ayuda" sheetId="11" r:id="rId7"/>
    <sheet name="aux Billing Plan" sheetId="12" r:id="rId8"/>
    <sheet name="aux Forecast" sheetId="13" r:id="rId9"/>
    <sheet name="aux UTE" sheetId="14" r:id="rId10"/>
    <sheet name="aux Calendarios" sheetId="16" r:id="rId11"/>
  </sheets>
  <definedNames>
    <definedName name="_xlnm._FilterDatabase" localSheetId="7" hidden="1">'aux Billing Plan'!$B$7:$E$7</definedName>
    <definedName name="_xlnm._FilterDatabase" localSheetId="10" hidden="1">'aux Calendarios'!$B$6:$B$6</definedName>
    <definedName name="_xlnm._FilterDatabase" localSheetId="9" hidden="1">'aux UTE'!$B$12:$E$12</definedName>
    <definedName name="_xlnm._FilterDatabase" localSheetId="3" hidden="1">'Cost Planning'!$B$66:$E$66</definedName>
    <definedName name="_xlnm._FilterDatabase" localSheetId="2" hidden="1">Resources!$B$6:$E$6</definedName>
    <definedName name="costerecursosbaselineactual">'Cost Overview'!$G$8</definedName>
    <definedName name="costerecursostotalplanificado">costerecursosbaselineactual-'Cost Planning'!$J$5</definedName>
    <definedName name="FECHA">'Project Infor'!$D$6</definedName>
    <definedName name="FIN">'Project Infor'!$C$9</definedName>
    <definedName name="Inicio">'Project Infor'!$C$8</definedName>
    <definedName name="margendirectobaselineactual">'Cost Overview'!$F$8-'Cost Overview'!$M$8</definedName>
    <definedName name="margendirectofinal">margendirectobaselineactual+'Cost Planning'!$J$5+'Cost Planning'!$E$47+'Cost Planning'!$E$48+'Cost Planning'!$J$50+'Cost Planning'!$J$64</definedName>
    <definedName name="pedidobaselineactual">'Cost Overview'!$F$8</definedName>
    <definedName name="UTILIZACION">0.93</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40" i="9" l="1"/>
  <c r="AF9" i="6"/>
  <c r="AG9" i="6"/>
  <c r="AH9" i="6"/>
  <c r="AI9" i="6"/>
  <c r="AJ9" i="6"/>
  <c r="AK9" i="6"/>
  <c r="AL9" i="6"/>
  <c r="AM9" i="6"/>
  <c r="AN9" i="6"/>
  <c r="AO9" i="6"/>
  <c r="AP9" i="6"/>
  <c r="AQ9" i="6"/>
  <c r="AR9" i="6"/>
  <c r="AS9" i="6"/>
  <c r="AT9" i="6"/>
  <c r="AU9" i="6"/>
  <c r="AV9" i="6"/>
  <c r="AW9" i="6"/>
  <c r="AX9" i="6"/>
  <c r="AY9" i="6"/>
  <c r="AZ9" i="6"/>
  <c r="BA9" i="6"/>
  <c r="BB9" i="6"/>
  <c r="BC9" i="6"/>
  <c r="BD9" i="6"/>
  <c r="BE9" i="6"/>
  <c r="BF9" i="6"/>
  <c r="BG9" i="6"/>
  <c r="BH9" i="6"/>
  <c r="BI9" i="6"/>
  <c r="BJ9" i="6"/>
  <c r="BK9" i="6"/>
  <c r="BL9" i="6"/>
  <c r="BM9" i="6"/>
  <c r="BN9" i="6"/>
  <c r="BO9" i="6"/>
  <c r="AF44" i="6" a="1"/>
  <c r="AF44" i="6" s="1"/>
  <c r="AG44" i="6" a="1"/>
  <c r="AG44" i="6" s="1"/>
  <c r="AH44" i="6" a="1"/>
  <c r="AH44" i="6" s="1"/>
  <c r="AI44" i="6" a="1"/>
  <c r="AI44" i="6" s="1"/>
  <c r="AJ44" i="6" a="1"/>
  <c r="AJ44" i="6" s="1"/>
  <c r="AK44" i="6" a="1"/>
  <c r="AK44" i="6" s="1"/>
  <c r="AL44" i="6" a="1"/>
  <c r="AL44" i="6" s="1"/>
  <c r="AM44" i="6" a="1"/>
  <c r="AM44" i="6" s="1"/>
  <c r="AN44" i="6" a="1"/>
  <c r="AN44" i="6" s="1"/>
  <c r="AO44" i="6" a="1"/>
  <c r="AO44" i="6" s="1"/>
  <c r="AP44" i="6" a="1"/>
  <c r="AP44" i="6" s="1"/>
  <c r="AQ44" i="6" a="1"/>
  <c r="AQ44" i="6" s="1"/>
  <c r="AR44" i="6" a="1"/>
  <c r="AR44" i="6" s="1"/>
  <c r="AS44" i="6" a="1"/>
  <c r="AS44" i="6" s="1"/>
  <c r="AT44" i="6" a="1"/>
  <c r="AT44" i="6" s="1"/>
  <c r="AU44" i="6" a="1"/>
  <c r="AU44" i="6" s="1"/>
  <c r="AV44" i="6" a="1"/>
  <c r="AV44" i="6" s="1"/>
  <c r="AW44" i="6" a="1"/>
  <c r="AW44" i="6" s="1"/>
  <c r="AX44" i="6" a="1"/>
  <c r="AX44" i="6" s="1"/>
  <c r="AY44" i="6" a="1"/>
  <c r="AY44" i="6" s="1"/>
  <c r="AZ44" i="6" a="1"/>
  <c r="AZ44" i="6" s="1"/>
  <c r="BA44" i="6" a="1"/>
  <c r="BA44" i="6" s="1"/>
  <c r="BB44" i="6" a="1"/>
  <c r="BB44" i="6" s="1"/>
  <c r="BC44" i="6" a="1"/>
  <c r="BC44" i="6" s="1"/>
  <c r="BD44" i="6" a="1"/>
  <c r="BD44" i="6" s="1"/>
  <c r="BE44" i="6" a="1"/>
  <c r="BE44" i="6" s="1"/>
  <c r="BF44" i="6" a="1"/>
  <c r="BF44" i="6" s="1"/>
  <c r="BG44" i="6" a="1"/>
  <c r="BG44" i="6"/>
  <c r="BH44" i="6" a="1"/>
  <c r="BH44" i="6" s="1"/>
  <c r="BI44" i="6" a="1"/>
  <c r="BI44" i="6" s="1"/>
  <c r="BJ44" i="6" a="1"/>
  <c r="BJ44" i="6" s="1"/>
  <c r="BK44" i="6" a="1"/>
  <c r="BK44" i="6" s="1"/>
  <c r="BL44" i="6" a="1"/>
  <c r="BL44" i="6" s="1"/>
  <c r="BM44" i="6" a="1"/>
  <c r="BM44" i="6" s="1"/>
  <c r="BN44" i="6" a="1"/>
  <c r="BN44" i="6" s="1"/>
  <c r="BO44" i="6" a="1"/>
  <c r="BO44" i="6" s="1"/>
  <c r="AF61" i="6"/>
  <c r="AG61" i="6"/>
  <c r="AH61" i="6"/>
  <c r="AI61" i="6"/>
  <c r="AJ61" i="6"/>
  <c r="AK61" i="6"/>
  <c r="AL61" i="6"/>
  <c r="AM61" i="6"/>
  <c r="AN61" i="6"/>
  <c r="AO61" i="6"/>
  <c r="AP61" i="6"/>
  <c r="AQ61" i="6"/>
  <c r="AR61" i="6"/>
  <c r="AS61" i="6"/>
  <c r="AT61" i="6"/>
  <c r="AU61" i="6"/>
  <c r="AV61" i="6"/>
  <c r="AW61" i="6"/>
  <c r="AX61" i="6"/>
  <c r="AY61" i="6"/>
  <c r="AZ61" i="6"/>
  <c r="BA61" i="6"/>
  <c r="BB61" i="6"/>
  <c r="BC61" i="6"/>
  <c r="BD61" i="6"/>
  <c r="BE61" i="6"/>
  <c r="BF61" i="6"/>
  <c r="BG61" i="6"/>
  <c r="BH61" i="6"/>
  <c r="BI61" i="6"/>
  <c r="BJ61" i="6"/>
  <c r="BK61" i="6"/>
  <c r="BL61" i="6"/>
  <c r="BM61" i="6"/>
  <c r="BN61" i="6"/>
  <c r="BO61" i="6"/>
  <c r="AF77" i="6"/>
  <c r="AG77" i="6"/>
  <c r="AH77" i="6"/>
  <c r="AI77" i="6"/>
  <c r="AJ77" i="6"/>
  <c r="AK77" i="6"/>
  <c r="AL77" i="6"/>
  <c r="AM77" i="6"/>
  <c r="AN77" i="6"/>
  <c r="AO77" i="6"/>
  <c r="AP77" i="6"/>
  <c r="AQ77" i="6"/>
  <c r="AR77" i="6"/>
  <c r="AS77" i="6"/>
  <c r="AT77" i="6"/>
  <c r="AU77" i="6"/>
  <c r="AV77" i="6"/>
  <c r="AW77" i="6"/>
  <c r="AX77" i="6"/>
  <c r="AY77" i="6"/>
  <c r="AZ77" i="6"/>
  <c r="BA77" i="6"/>
  <c r="BB77" i="6"/>
  <c r="BC77" i="6"/>
  <c r="BD77" i="6"/>
  <c r="BE77" i="6"/>
  <c r="BF77" i="6"/>
  <c r="BG77" i="6"/>
  <c r="BH77" i="6"/>
  <c r="BI77" i="6"/>
  <c r="BJ77" i="6"/>
  <c r="BK77" i="6"/>
  <c r="BL77" i="6"/>
  <c r="BM77" i="6"/>
  <c r="BN77" i="6"/>
  <c r="BO77" i="6"/>
  <c r="C6" i="1"/>
  <c r="BP68" i="6"/>
  <c r="BP69" i="6"/>
  <c r="BP70" i="6"/>
  <c r="BP71" i="6"/>
  <c r="BP72" i="6"/>
  <c r="BP73" i="6"/>
  <c r="BP74" i="6"/>
  <c r="BP75" i="6"/>
  <c r="BP76" i="6"/>
  <c r="BP67" i="6"/>
  <c r="BP54" i="6"/>
  <c r="BP55" i="6"/>
  <c r="BP56" i="6"/>
  <c r="BP57" i="6"/>
  <c r="BP58" i="6"/>
  <c r="BP59" i="6"/>
  <c r="BP60" i="6"/>
  <c r="BP53" i="6"/>
  <c r="AO78" i="6" l="1" a="1"/>
  <c r="AO78" i="6" s="1"/>
  <c r="AW62" i="6" a="1"/>
  <c r="AW62" i="6" s="1"/>
  <c r="AV62" i="6" a="1"/>
  <c r="AV62" i="6" s="1"/>
  <c r="BE62" i="6" a="1"/>
  <c r="BE62" i="6" s="1"/>
  <c r="J78" i="6" a="1"/>
  <c r="J78" i="6" s="1"/>
  <c r="BG78" i="6" a="1"/>
  <c r="BG78" i="6" s="1"/>
  <c r="BD18" i="9" s="1"/>
  <c r="BD27" i="9" s="1"/>
  <c r="AM62" i="6" a="1"/>
  <c r="AM62" i="6" s="1"/>
  <c r="AX62" i="6" a="1"/>
  <c r="AX62" i="6" s="1"/>
  <c r="BO62" i="6" a="1"/>
  <c r="BO62" i="6" s="1"/>
  <c r="BN62" i="6" a="1"/>
  <c r="BN62" i="6" s="1"/>
  <c r="AG62" i="6" a="1"/>
  <c r="AG62" i="6" s="1"/>
  <c r="AF62" i="6" a="1"/>
  <c r="AF62" i="6" s="1"/>
  <c r="AN62" i="6" a="1"/>
  <c r="AN62" i="6" s="1"/>
  <c r="BG62" i="6" a="1"/>
  <c r="BG62" i="6" s="1"/>
  <c r="AO62" i="6" a="1"/>
  <c r="AO62" i="6" s="1"/>
  <c r="BF62" i="6" a="1"/>
  <c r="BF62" i="6" s="1"/>
  <c r="AW78" i="6" a="1"/>
  <c r="AW78" i="6" s="1"/>
  <c r="AT18" i="9" s="1"/>
  <c r="BC78" i="6" a="1"/>
  <c r="BC78" i="6" s="1"/>
  <c r="AK78" i="6" a="1"/>
  <c r="AK78" i="6" s="1"/>
  <c r="BM62" i="6" a="1"/>
  <c r="BM62" i="6" s="1"/>
  <c r="AU62" i="6" a="1"/>
  <c r="AU62" i="6" s="1"/>
  <c r="BF78" i="6" a="1"/>
  <c r="BF78" i="6" s="1"/>
  <c r="BN78" i="6" a="1"/>
  <c r="BN78" i="6" s="1"/>
  <c r="BK18" i="9" s="1"/>
  <c r="BK27" i="9" s="1"/>
  <c r="AM78" i="6" a="1"/>
  <c r="AM78" i="6" s="1"/>
  <c r="BL78" i="6" a="1"/>
  <c r="BL78" i="6" s="1"/>
  <c r="AT78" i="6" a="1"/>
  <c r="AT78" i="6" s="1"/>
  <c r="BK78" i="6" a="1"/>
  <c r="BK78" i="6" s="1"/>
  <c r="BB78" i="6" a="1"/>
  <c r="BB78" i="6" s="1"/>
  <c r="AS78" i="6" a="1"/>
  <c r="AS78" i="6" s="1"/>
  <c r="AJ78" i="6" a="1"/>
  <c r="AJ78" i="6" s="1"/>
  <c r="BL62" i="6" a="1"/>
  <c r="BL62" i="6" s="1"/>
  <c r="BC62" i="6" a="1"/>
  <c r="BC62" i="6" s="1"/>
  <c r="AT62" i="6" a="1"/>
  <c r="AT62" i="6" s="1"/>
  <c r="AK62" i="6" a="1"/>
  <c r="AK62" i="6" s="1"/>
  <c r="BO78" i="6" a="1"/>
  <c r="BO78" i="6" s="1"/>
  <c r="BL18" i="9" s="1"/>
  <c r="BL27" i="9" s="1"/>
  <c r="AN78" i="6" a="1"/>
  <c r="AN78" i="6" s="1"/>
  <c r="AL78" i="6" a="1"/>
  <c r="AL78" i="6" s="1"/>
  <c r="BJ78" i="6" a="1"/>
  <c r="BJ78" i="6" s="1"/>
  <c r="AR78" i="6" a="1"/>
  <c r="AR78" i="6" s="1"/>
  <c r="BK62" i="6" a="1"/>
  <c r="BK62" i="6" s="1"/>
  <c r="BB62" i="6" a="1"/>
  <c r="BB62" i="6" s="1"/>
  <c r="AS62" i="6" a="1"/>
  <c r="AS62" i="6" s="1"/>
  <c r="AP18" i="9" s="1"/>
  <c r="AJ62" i="6" a="1"/>
  <c r="AJ62" i="6" s="1"/>
  <c r="AG18" i="9" s="1"/>
  <c r="AV78" i="6" a="1"/>
  <c r="AV78" i="6" s="1"/>
  <c r="BM78" i="6" a="1"/>
  <c r="BM78" i="6" s="1"/>
  <c r="AL62" i="6" a="1"/>
  <c r="AL62" i="6" s="1"/>
  <c r="BA78" i="6" a="1"/>
  <c r="BA78" i="6" s="1"/>
  <c r="AI78" i="6" a="1"/>
  <c r="AI78" i="6" s="1"/>
  <c r="BJ62" i="6" a="1"/>
  <c r="BJ62" i="6" s="1"/>
  <c r="AR62" i="6" a="1"/>
  <c r="AR62" i="6" s="1"/>
  <c r="BE78" i="6" a="1"/>
  <c r="BE78" i="6" s="1"/>
  <c r="BD78" i="6" a="1"/>
  <c r="BD78" i="6" s="1"/>
  <c r="AU78" i="6" a="1"/>
  <c r="AU78" i="6" s="1"/>
  <c r="BD62" i="6" a="1"/>
  <c r="BD62" i="6" s="1"/>
  <c r="AZ78" i="6" a="1"/>
  <c r="AZ78" i="6" s="1"/>
  <c r="AH78" i="6" a="1"/>
  <c r="AH78" i="6" s="1"/>
  <c r="AI62" i="6" a="1"/>
  <c r="AI62" i="6" s="1"/>
  <c r="BH78" i="6" a="1"/>
  <c r="BH78" i="6" s="1"/>
  <c r="AY78" i="6" a="1"/>
  <c r="AY78" i="6" s="1"/>
  <c r="AP78" i="6" a="1"/>
  <c r="AP78" i="6" s="1"/>
  <c r="AG78" i="6" a="1"/>
  <c r="AG78" i="6" s="1"/>
  <c r="BI62" i="6" a="1"/>
  <c r="BI62" i="6" s="1"/>
  <c r="AZ62" i="6" a="1"/>
  <c r="AZ62" i="6" s="1"/>
  <c r="AQ62" i="6" a="1"/>
  <c r="AQ62" i="6" s="1"/>
  <c r="AH62" i="6" a="1"/>
  <c r="AH62" i="6" s="1"/>
  <c r="BI78" i="6" a="1"/>
  <c r="BI78" i="6" s="1"/>
  <c r="BF18" i="9" s="1"/>
  <c r="BF27" i="9" s="1"/>
  <c r="AQ78" i="6" a="1"/>
  <c r="AQ78" i="6" s="1"/>
  <c r="BA62" i="6" a="1"/>
  <c r="BA62" i="6" s="1"/>
  <c r="AX78" i="6" a="1"/>
  <c r="AX78" i="6" s="1"/>
  <c r="AU18" i="9" s="1"/>
  <c r="AF78" i="6" a="1"/>
  <c r="AF78" i="6" s="1"/>
  <c r="BH62" i="6" a="1"/>
  <c r="BH62" i="6" s="1"/>
  <c r="BE18" i="9" s="1"/>
  <c r="BE27" i="9" s="1"/>
  <c r="AY62" i="6" a="1"/>
  <c r="AY62" i="6" s="1"/>
  <c r="AV18" i="9" s="1"/>
  <c r="AP62" i="6" a="1"/>
  <c r="AP62" i="6" s="1"/>
  <c r="K62" i="6" a="1"/>
  <c r="K62" i="6" s="1"/>
  <c r="J62" i="6" a="1"/>
  <c r="J62" i="6" s="1"/>
  <c r="V62" i="6" a="1"/>
  <c r="V62" i="6" s="1"/>
  <c r="I62" i="6" a="1"/>
  <c r="I62" i="6" s="1"/>
  <c r="AA62" i="6" a="1"/>
  <c r="AA62" i="6" s="1"/>
  <c r="Z62" i="6" a="1"/>
  <c r="Z62" i="6" s="1"/>
  <c r="M62" i="6" a="1"/>
  <c r="M62" i="6" s="1"/>
  <c r="T62" i="6" a="1"/>
  <c r="T62" i="6" s="1"/>
  <c r="W62" i="6" a="1"/>
  <c r="W62" i="6" s="1"/>
  <c r="O62" i="6" a="1"/>
  <c r="O62" i="6" s="1"/>
  <c r="Y62" i="6" a="1"/>
  <c r="Y62" i="6" s="1"/>
  <c r="S62" i="6" a="1"/>
  <c r="S62" i="6" s="1"/>
  <c r="AD62" i="6" a="1"/>
  <c r="AD62" i="6" s="1"/>
  <c r="H62" i="6" a="1"/>
  <c r="H62" i="6" s="1"/>
  <c r="P62" i="6" a="1"/>
  <c r="P62" i="6" s="1"/>
  <c r="U62" i="6" a="1"/>
  <c r="U62" i="6" s="1"/>
  <c r="AE62" i="6" a="1"/>
  <c r="AE62" i="6" s="1"/>
  <c r="L62" i="6" a="1"/>
  <c r="L62" i="6" s="1"/>
  <c r="X62" i="6" a="1"/>
  <c r="X62" i="6" s="1"/>
  <c r="Q62" i="6" a="1"/>
  <c r="Q62" i="6" s="1"/>
  <c r="AB62" i="6" a="1"/>
  <c r="AB62" i="6" s="1"/>
  <c r="N62" i="6" a="1"/>
  <c r="N62" i="6" s="1"/>
  <c r="R62" i="6" a="1"/>
  <c r="R62" i="6" s="1"/>
  <c r="AC62" i="6" a="1"/>
  <c r="AC62" i="6" s="1"/>
  <c r="R78" i="6" a="1"/>
  <c r="R78" i="6" s="1"/>
  <c r="I78" i="6" a="1"/>
  <c r="I78" i="6" s="1"/>
  <c r="AD78" i="6" a="1"/>
  <c r="AD78" i="6" s="1"/>
  <c r="W78" i="6" a="1"/>
  <c r="W78" i="6" s="1"/>
  <c r="P78" i="6" a="1"/>
  <c r="P78" i="6" s="1"/>
  <c r="AE78" i="6" a="1"/>
  <c r="AE78" i="6" s="1"/>
  <c r="AC78" i="6" a="1"/>
  <c r="AC78" i="6" s="1"/>
  <c r="V78" i="6" a="1"/>
  <c r="V78" i="6" s="1"/>
  <c r="T78" i="6" a="1"/>
  <c r="T78" i="6" s="1"/>
  <c r="O78" i="6" a="1"/>
  <c r="O78" i="6" s="1"/>
  <c r="AB78" i="6" a="1"/>
  <c r="AB78" i="6" s="1"/>
  <c r="U78" i="6" a="1"/>
  <c r="U78" i="6" s="1"/>
  <c r="L78" i="6" a="1"/>
  <c r="L78" i="6" s="1"/>
  <c r="AA78" i="6" a="1"/>
  <c r="AA78" i="6" s="1"/>
  <c r="N78" i="6" a="1"/>
  <c r="N78" i="6" s="1"/>
  <c r="Y78" i="6" a="1"/>
  <c r="Y78" i="6" s="1"/>
  <c r="Z78" i="6" a="1"/>
  <c r="Z78" i="6" s="1"/>
  <c r="S78" i="6" a="1"/>
  <c r="S78" i="6" s="1"/>
  <c r="M78" i="6" a="1"/>
  <c r="M78" i="6" s="1"/>
  <c r="K78" i="6" a="1"/>
  <c r="K78" i="6" s="1"/>
  <c r="H78" i="6" a="1"/>
  <c r="H78" i="6" s="1"/>
  <c r="X78" i="6" a="1"/>
  <c r="X78" i="6" s="1"/>
  <c r="Q78" i="6" a="1"/>
  <c r="Q78" i="6" s="1"/>
  <c r="AH18" i="9" l="1"/>
  <c r="AR18" i="9"/>
  <c r="AS18" i="9"/>
  <c r="AZ18" i="9"/>
  <c r="BA18" i="9"/>
  <c r="BA27" i="9" s="1"/>
  <c r="AL18" i="9"/>
  <c r="BH18" i="9"/>
  <c r="BH27" i="9" s="1"/>
  <c r="AM18" i="9"/>
  <c r="AC18" i="9"/>
  <c r="BB18" i="9"/>
  <c r="BB27" i="9" s="1"/>
  <c r="AO18" i="9"/>
  <c r="AY18" i="9"/>
  <c r="AI18" i="9"/>
  <c r="AF18" i="9"/>
  <c r="BJ18" i="9"/>
  <c r="BJ27" i="9" s="1"/>
  <c r="AK18" i="9"/>
  <c r="AQ18" i="9"/>
  <c r="BI18" i="9"/>
  <c r="BI27" i="9" s="1"/>
  <c r="AN18" i="9"/>
  <c r="BG18" i="9"/>
  <c r="BG27" i="9" s="1"/>
  <c r="AX18" i="9"/>
  <c r="AE18" i="9"/>
  <c r="AW18" i="9"/>
  <c r="AD18" i="9"/>
  <c r="AJ18" i="9"/>
  <c r="BC18" i="9"/>
  <c r="BC27" i="9" s="1"/>
  <c r="K44" i="6" a="1"/>
  <c r="K44" i="6" s="1"/>
  <c r="J44" i="6" a="1"/>
  <c r="J44" i="6" s="1"/>
  <c r="S9" i="6"/>
  <c r="AE9" i="6"/>
  <c r="I9" i="6"/>
  <c r="J9" i="6"/>
  <c r="K9" i="6"/>
  <c r="L9" i="6"/>
  <c r="M9" i="6"/>
  <c r="N9" i="6"/>
  <c r="O9" i="6"/>
  <c r="P9" i="6"/>
  <c r="Q9" i="6"/>
  <c r="R9" i="6"/>
  <c r="T9" i="6"/>
  <c r="U9" i="6"/>
  <c r="V9" i="6"/>
  <c r="W9" i="6"/>
  <c r="X9" i="6"/>
  <c r="Y9" i="6"/>
  <c r="Z9" i="6"/>
  <c r="AA9" i="6"/>
  <c r="AB9" i="6"/>
  <c r="AC9" i="6"/>
  <c r="AD9" i="6"/>
  <c r="H9" i="6"/>
  <c r="I44" i="6" a="1"/>
  <c r="I44" i="6" s="1"/>
  <c r="L44" i="6" a="1"/>
  <c r="L44" i="6" s="1"/>
  <c r="M44" i="6" a="1"/>
  <c r="M44" i="6" s="1"/>
  <c r="N44" i="6" a="1"/>
  <c r="N44" i="6" s="1"/>
  <c r="O44" i="6" a="1"/>
  <c r="O44" i="6" s="1"/>
  <c r="P44" i="6" a="1"/>
  <c r="P44" i="6" s="1"/>
  <c r="Q44" i="6" a="1"/>
  <c r="Q44" i="6" s="1"/>
  <c r="N18" i="9" s="1"/>
  <c r="R44" i="6" a="1"/>
  <c r="R44" i="6" s="1"/>
  <c r="S44" i="6" a="1"/>
  <c r="S44" i="6" s="1"/>
  <c r="P18" i="9" s="1"/>
  <c r="T44" i="6" a="1"/>
  <c r="T44" i="6" s="1"/>
  <c r="U44" i="6" a="1"/>
  <c r="U44" i="6" s="1"/>
  <c r="V44" i="6" a="1"/>
  <c r="V44" i="6" s="1"/>
  <c r="W44" i="6" a="1"/>
  <c r="W44" i="6" s="1"/>
  <c r="X44" i="6" a="1"/>
  <c r="X44" i="6" s="1"/>
  <c r="Y44" i="6" a="1"/>
  <c r="Y44" i="6" s="1"/>
  <c r="Z44" i="6" a="1"/>
  <c r="Z44" i="6" s="1"/>
  <c r="W18" i="9" s="1"/>
  <c r="AA44" i="6" a="1"/>
  <c r="AA44" i="6" s="1"/>
  <c r="X18" i="9" s="1"/>
  <c r="AB44" i="6" a="1"/>
  <c r="AB44" i="6" s="1"/>
  <c r="AC44" i="6" a="1"/>
  <c r="AC44" i="6" s="1"/>
  <c r="AD44" i="6" a="1"/>
  <c r="AD44" i="6" s="1"/>
  <c r="AE44" i="6" a="1"/>
  <c r="AE44" i="6" s="1"/>
  <c r="H44" i="6" a="1"/>
  <c r="H44" i="6" s="1"/>
  <c r="AA18" i="9" l="1"/>
  <c r="S18" i="9"/>
  <c r="K18" i="9"/>
  <c r="F18" i="9"/>
  <c r="O18" i="9"/>
  <c r="V18" i="9"/>
  <c r="AB18" i="9"/>
  <c r="L18" i="9"/>
  <c r="T18" i="9"/>
  <c r="Y18" i="9"/>
  <c r="Z18" i="9"/>
  <c r="R18" i="9"/>
  <c r="U18" i="9"/>
  <c r="M18" i="9"/>
  <c r="J18" i="9"/>
  <c r="Q18" i="9"/>
  <c r="I18" i="9"/>
  <c r="G18" i="9"/>
  <c r="H18" i="9"/>
  <c r="E18" i="9"/>
  <c r="D8" i="12" l="1"/>
  <c r="C7" i="16"/>
  <c r="C8" i="16"/>
  <c r="C9" i="16"/>
  <c r="C10" i="16"/>
  <c r="C11" i="16"/>
  <c r="V61" i="6"/>
  <c r="O32" i="16"/>
  <c r="Y42" i="16"/>
  <c r="AA52" i="16"/>
  <c r="AB62" i="16"/>
  <c r="N62" i="16"/>
  <c r="S52" i="16"/>
  <c r="Q42" i="16"/>
  <c r="D32" i="16"/>
  <c r="D42" i="16"/>
  <c r="D52" i="16"/>
  <c r="D62" i="16"/>
  <c r="D56" i="16"/>
  <c r="E56" i="16" s="1"/>
  <c r="F56" i="16" s="1"/>
  <c r="G56" i="16" s="1"/>
  <c r="H56" i="16" s="1"/>
  <c r="I56" i="16" s="1"/>
  <c r="J56" i="16" s="1"/>
  <c r="K56" i="16" s="1"/>
  <c r="L56" i="16" s="1"/>
  <c r="M56" i="16" s="1"/>
  <c r="N56" i="16" s="1"/>
  <c r="O56" i="16" s="1"/>
  <c r="P56" i="16" s="1"/>
  <c r="Q56" i="16" s="1"/>
  <c r="R56" i="16" s="1"/>
  <c r="S56" i="16" s="1"/>
  <c r="T56" i="16" s="1"/>
  <c r="U56" i="16" s="1"/>
  <c r="V56" i="16" s="1"/>
  <c r="W56" i="16" s="1"/>
  <c r="X56" i="16" s="1"/>
  <c r="Y56" i="16" s="1"/>
  <c r="Z56" i="16" s="1"/>
  <c r="AA56" i="16" s="1"/>
  <c r="AB56" i="16" s="1"/>
  <c r="D46" i="16"/>
  <c r="E46" i="16" s="1"/>
  <c r="F46" i="16" s="1"/>
  <c r="G46" i="16" s="1"/>
  <c r="H46" i="16" s="1"/>
  <c r="I46" i="16" s="1"/>
  <c r="J46" i="16" s="1"/>
  <c r="K46" i="16" s="1"/>
  <c r="L46" i="16" s="1"/>
  <c r="M46" i="16" s="1"/>
  <c r="N46" i="16" s="1"/>
  <c r="O46" i="16" s="1"/>
  <c r="P46" i="16" s="1"/>
  <c r="Q46" i="16" s="1"/>
  <c r="R46" i="16" s="1"/>
  <c r="S46" i="16" s="1"/>
  <c r="T46" i="16" s="1"/>
  <c r="U46" i="16" s="1"/>
  <c r="V46" i="16" s="1"/>
  <c r="W46" i="16" s="1"/>
  <c r="X46" i="16" s="1"/>
  <c r="Y46" i="16" s="1"/>
  <c r="Z46" i="16" s="1"/>
  <c r="AA46" i="16" s="1"/>
  <c r="AB46" i="16" s="1"/>
  <c r="D36" i="16"/>
  <c r="E36" i="16" s="1"/>
  <c r="F36" i="16" s="1"/>
  <c r="G36" i="16" s="1"/>
  <c r="H36" i="16" s="1"/>
  <c r="I36" i="16" s="1"/>
  <c r="J36" i="16" s="1"/>
  <c r="K36" i="16" s="1"/>
  <c r="L36" i="16" s="1"/>
  <c r="M36" i="16" s="1"/>
  <c r="N36" i="16" s="1"/>
  <c r="O36" i="16" s="1"/>
  <c r="P36" i="16" s="1"/>
  <c r="Q36" i="16" s="1"/>
  <c r="R36" i="16" s="1"/>
  <c r="S36" i="16" s="1"/>
  <c r="T36" i="16" s="1"/>
  <c r="U36" i="16" s="1"/>
  <c r="V36" i="16" s="1"/>
  <c r="W36" i="16" s="1"/>
  <c r="X36" i="16" s="1"/>
  <c r="Y36" i="16" s="1"/>
  <c r="Z36" i="16" s="1"/>
  <c r="AA36" i="16" s="1"/>
  <c r="AB36" i="16" s="1"/>
  <c r="D26" i="16"/>
  <c r="E26" i="16" s="1"/>
  <c r="F26" i="16" s="1"/>
  <c r="G26" i="16" s="1"/>
  <c r="D16" i="16"/>
  <c r="E16" i="16" s="1"/>
  <c r="F16" i="16" s="1"/>
  <c r="G16" i="16" s="1"/>
  <c r="H16" i="16" s="1"/>
  <c r="I16" i="16" s="1"/>
  <c r="J16" i="16" s="1"/>
  <c r="K16" i="16" s="1"/>
  <c r="L16" i="16" s="1"/>
  <c r="M16" i="16" s="1"/>
  <c r="N16" i="16" s="1"/>
  <c r="O16" i="16" s="1"/>
  <c r="P16" i="16" s="1"/>
  <c r="Q16" i="16" s="1"/>
  <c r="R16" i="16" s="1"/>
  <c r="S16" i="16" s="1"/>
  <c r="T16" i="16" s="1"/>
  <c r="U16" i="16" s="1"/>
  <c r="V16" i="16" s="1"/>
  <c r="W16" i="16" s="1"/>
  <c r="X16" i="16" s="1"/>
  <c r="Y16" i="16" s="1"/>
  <c r="Z16" i="16" s="1"/>
  <c r="AA16" i="16" s="1"/>
  <c r="AB16" i="16" s="1"/>
  <c r="D6" i="16"/>
  <c r="E6" i="16" s="1"/>
  <c r="F6" i="16" s="1"/>
  <c r="G6" i="16" s="1"/>
  <c r="H6" i="16" s="1"/>
  <c r="I6" i="16" s="1"/>
  <c r="J6" i="16" s="1"/>
  <c r="K6" i="16" s="1"/>
  <c r="L6" i="16" s="1"/>
  <c r="M6" i="16" s="1"/>
  <c r="N6" i="16" s="1"/>
  <c r="O6" i="16" s="1"/>
  <c r="P6" i="16" s="1"/>
  <c r="Q6" i="16" s="1"/>
  <c r="R6" i="16" s="1"/>
  <c r="S6" i="16" s="1"/>
  <c r="T6" i="16" s="1"/>
  <c r="U6" i="16" s="1"/>
  <c r="V6" i="16" s="1"/>
  <c r="W6" i="16" s="1"/>
  <c r="X6" i="16" s="1"/>
  <c r="Y6" i="16" s="1"/>
  <c r="Z6" i="16" s="1"/>
  <c r="AA6" i="16" s="1"/>
  <c r="AB6" i="16" s="1"/>
  <c r="K62" i="16"/>
  <c r="Z62" i="16"/>
  <c r="P62" i="16"/>
  <c r="F62" i="16"/>
  <c r="E62" i="16"/>
  <c r="G62" i="16"/>
  <c r="H62" i="16"/>
  <c r="I62" i="16"/>
  <c r="J62" i="16"/>
  <c r="L62" i="16"/>
  <c r="M62" i="16"/>
  <c r="O62" i="16"/>
  <c r="Q62" i="16"/>
  <c r="R62" i="16"/>
  <c r="S62" i="16"/>
  <c r="T62" i="16"/>
  <c r="U62" i="16"/>
  <c r="V62" i="16"/>
  <c r="W62" i="16"/>
  <c r="X62" i="16"/>
  <c r="Y62" i="16"/>
  <c r="AA62" i="16"/>
  <c r="M52" i="16"/>
  <c r="U52" i="16"/>
  <c r="E52" i="16"/>
  <c r="F52" i="16"/>
  <c r="G52" i="16"/>
  <c r="H52" i="16"/>
  <c r="I52" i="16"/>
  <c r="J52" i="16"/>
  <c r="K52" i="16"/>
  <c r="L52" i="16"/>
  <c r="N52" i="16"/>
  <c r="O52" i="16"/>
  <c r="P52" i="16"/>
  <c r="Q52" i="16"/>
  <c r="R52" i="16"/>
  <c r="T52" i="16"/>
  <c r="V52" i="16"/>
  <c r="W52" i="16"/>
  <c r="X52" i="16"/>
  <c r="Y52" i="16"/>
  <c r="Z52" i="16"/>
  <c r="AB52" i="16"/>
  <c r="C61" i="16"/>
  <c r="C59" i="16"/>
  <c r="C58" i="16"/>
  <c r="C51" i="16"/>
  <c r="C49" i="16"/>
  <c r="C48" i="16"/>
  <c r="C47" i="16"/>
  <c r="AB42" i="16"/>
  <c r="AB12" i="16"/>
  <c r="I12" i="16"/>
  <c r="U22" i="16"/>
  <c r="Q32" i="16"/>
  <c r="T42" i="16"/>
  <c r="L42" i="16"/>
  <c r="F42" i="16"/>
  <c r="E42" i="16"/>
  <c r="G42" i="16"/>
  <c r="H42" i="16"/>
  <c r="I42" i="16"/>
  <c r="J42" i="16"/>
  <c r="K42" i="16"/>
  <c r="M42" i="16"/>
  <c r="N42" i="16"/>
  <c r="O42" i="16"/>
  <c r="P42" i="16"/>
  <c r="R42" i="16"/>
  <c r="S42" i="16"/>
  <c r="U42" i="16"/>
  <c r="V42" i="16"/>
  <c r="W42" i="16"/>
  <c r="X42" i="16"/>
  <c r="Z42" i="16"/>
  <c r="AA42" i="16"/>
  <c r="C41" i="16"/>
  <c r="C39" i="16"/>
  <c r="C38" i="16"/>
  <c r="C37" i="16"/>
  <c r="K32" i="16"/>
  <c r="J32" i="16"/>
  <c r="I32" i="16"/>
  <c r="H32" i="16"/>
  <c r="G32" i="16"/>
  <c r="F32" i="16"/>
  <c r="E32" i="16"/>
  <c r="D12" i="16"/>
  <c r="D22" i="16"/>
  <c r="N22" i="16"/>
  <c r="E22" i="16"/>
  <c r="F22" i="16"/>
  <c r="G22" i="16"/>
  <c r="H22" i="16"/>
  <c r="I22" i="16"/>
  <c r="J22" i="16"/>
  <c r="K22" i="16"/>
  <c r="L22" i="16"/>
  <c r="M22" i="16"/>
  <c r="O22" i="16"/>
  <c r="P22" i="16"/>
  <c r="Q22" i="16"/>
  <c r="R22" i="16"/>
  <c r="S22" i="16"/>
  <c r="T22" i="16"/>
  <c r="V22" i="16"/>
  <c r="W22" i="16"/>
  <c r="X22" i="16"/>
  <c r="Y22" i="16"/>
  <c r="Z22" i="16"/>
  <c r="AA22" i="16"/>
  <c r="AB22" i="16"/>
  <c r="L12" i="16"/>
  <c r="F12" i="16"/>
  <c r="G12" i="16"/>
  <c r="H12" i="16"/>
  <c r="J12" i="16"/>
  <c r="K12" i="16"/>
  <c r="M12" i="16"/>
  <c r="N12" i="16"/>
  <c r="O12" i="16"/>
  <c r="P12" i="16"/>
  <c r="Q12" i="16"/>
  <c r="R12" i="16"/>
  <c r="S12" i="16"/>
  <c r="T12" i="16"/>
  <c r="U12" i="16"/>
  <c r="V12" i="16"/>
  <c r="W12" i="16"/>
  <c r="X12" i="16"/>
  <c r="Y12" i="16"/>
  <c r="Z12" i="16"/>
  <c r="AA12" i="16"/>
  <c r="E12" i="16"/>
  <c r="M32" i="16"/>
  <c r="L32" i="16"/>
  <c r="N32" i="16"/>
  <c r="P32" i="16"/>
  <c r="R32" i="16"/>
  <c r="S32" i="16"/>
  <c r="T32" i="16"/>
  <c r="U32" i="16"/>
  <c r="V32" i="16"/>
  <c r="W32" i="16"/>
  <c r="X32" i="16"/>
  <c r="Y32" i="16"/>
  <c r="Z32" i="16"/>
  <c r="AA32" i="16"/>
  <c r="AB32" i="16"/>
  <c r="C31" i="16"/>
  <c r="C29" i="16"/>
  <c r="C28" i="16"/>
  <c r="C27" i="16"/>
  <c r="C21" i="16"/>
  <c r="C19" i="16"/>
  <c r="C18" i="16"/>
  <c r="C17" i="16"/>
  <c r="D2" i="16"/>
  <c r="C2" i="16"/>
  <c r="D2"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F46" i="14"/>
  <c r="I45" i="14"/>
  <c r="I44" i="14"/>
  <c r="I43" i="14"/>
  <c r="I42" i="14"/>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C2" i="14"/>
  <c r="N35" i="3"/>
  <c r="N17" i="3"/>
  <c r="N18" i="3"/>
  <c r="N19" i="3"/>
  <c r="N20" i="3"/>
  <c r="N21" i="3"/>
  <c r="N22" i="3"/>
  <c r="N23" i="3"/>
  <c r="N24" i="3"/>
  <c r="N25" i="3"/>
  <c r="N26" i="3"/>
  <c r="N27" i="3"/>
  <c r="N28" i="3"/>
  <c r="N29" i="3"/>
  <c r="N30" i="3"/>
  <c r="N31" i="3"/>
  <c r="N32" i="3"/>
  <c r="N33" i="3"/>
  <c r="N34" i="3"/>
  <c r="N16" i="3"/>
  <c r="G36" i="3"/>
  <c r="H26" i="16" l="1"/>
  <c r="I26" i="16" s="1"/>
  <c r="J26" i="16" s="1"/>
  <c r="K26" i="16" s="1"/>
  <c r="L26" i="16" s="1"/>
  <c r="M26" i="16" s="1"/>
  <c r="N26" i="16" s="1"/>
  <c r="O26" i="16" s="1"/>
  <c r="P26" i="16" s="1"/>
  <c r="Q26" i="16" s="1"/>
  <c r="R26" i="16" s="1"/>
  <c r="S26" i="16" s="1"/>
  <c r="T26" i="16" s="1"/>
  <c r="U26" i="16" s="1"/>
  <c r="V26" i="16" s="1"/>
  <c r="W26" i="16" s="1"/>
  <c r="X26" i="16" s="1"/>
  <c r="Y26" i="16" s="1"/>
  <c r="Z26" i="16" s="1"/>
  <c r="AA26" i="16" s="1"/>
  <c r="AB26" i="16" s="1"/>
  <c r="I46" i="14"/>
  <c r="T35" i="3" l="1"/>
  <c r="T34" i="3"/>
  <c r="T33" i="3"/>
  <c r="T32" i="3"/>
  <c r="T31" i="3"/>
  <c r="T30" i="3"/>
  <c r="T29" i="3"/>
  <c r="T28" i="3"/>
  <c r="T27" i="3"/>
  <c r="T26" i="3"/>
  <c r="T25" i="3"/>
  <c r="T24" i="3"/>
  <c r="T23" i="3"/>
  <c r="T22" i="3"/>
  <c r="T21" i="3"/>
  <c r="T20" i="3"/>
  <c r="T19" i="3"/>
  <c r="T18" i="3"/>
  <c r="T17" i="3"/>
  <c r="T16" i="3"/>
  <c r="AE77" i="6"/>
  <c r="AE61" i="6"/>
  <c r="I40" i="12"/>
  <c r="I39" i="12"/>
  <c r="I38" i="12"/>
  <c r="I37" i="12"/>
  <c r="I36" i="12"/>
  <c r="I35" i="12"/>
  <c r="I34" i="12"/>
  <c r="I33" i="12"/>
  <c r="I32" i="12"/>
  <c r="I31" i="12"/>
  <c r="I30" i="12"/>
  <c r="I29" i="12"/>
  <c r="I28" i="12"/>
  <c r="I27" i="12"/>
  <c r="I26" i="12"/>
  <c r="I25" i="12"/>
  <c r="I24" i="12"/>
  <c r="I23" i="12"/>
  <c r="I22" i="12"/>
  <c r="I21" i="12"/>
  <c r="I20" i="12"/>
  <c r="I19" i="12"/>
  <c r="I18" i="12"/>
  <c r="I17" i="12"/>
  <c r="I16" i="12"/>
  <c r="I15" i="12"/>
  <c r="I14" i="12"/>
  <c r="I13" i="12"/>
  <c r="I12" i="12"/>
  <c r="I11" i="12"/>
  <c r="I10" i="12"/>
  <c r="I9" i="12"/>
  <c r="I8" i="12"/>
  <c r="L12" i="3"/>
  <c r="K12" i="3"/>
  <c r="J12" i="3"/>
  <c r="I12" i="3"/>
  <c r="H12" i="3"/>
  <c r="G12" i="3"/>
  <c r="F12" i="3"/>
  <c r="M12" i="3" l="1"/>
  <c r="G7" i="3"/>
  <c r="N12" i="3"/>
  <c r="D9" i="12"/>
  <c r="D10" i="12"/>
  <c r="D11" i="12"/>
  <c r="D12" i="12"/>
  <c r="D13" i="12"/>
  <c r="D14" i="12"/>
  <c r="B6" i="13"/>
  <c r="B7" i="13" s="1"/>
  <c r="B8" i="13" s="1"/>
  <c r="B9" i="13" s="1"/>
  <c r="B10" i="13" s="1"/>
  <c r="B11" i="13" s="1"/>
  <c r="B12" i="13" s="1"/>
  <c r="B13" i="13" s="1"/>
  <c r="B14" i="13" s="1"/>
  <c r="B15" i="13" s="1"/>
  <c r="B16" i="13" s="1"/>
  <c r="D4" i="13"/>
  <c r="E4" i="13" s="1"/>
  <c r="F4" i="13" s="1"/>
  <c r="G4" i="13" s="1"/>
  <c r="H4" i="13" s="1"/>
  <c r="I4" i="13" s="1"/>
  <c r="J4" i="13" s="1"/>
  <c r="K4" i="13" s="1"/>
  <c r="L4" i="13" s="1"/>
  <c r="M4" i="13" s="1"/>
  <c r="N4" i="13" s="1"/>
  <c r="O4" i="13" s="1"/>
  <c r="P4" i="13" s="1"/>
  <c r="Q4" i="13" s="1"/>
  <c r="R4" i="13" s="1"/>
  <c r="S4" i="13" s="1"/>
  <c r="T4" i="13" s="1"/>
  <c r="U4" i="13" s="1"/>
  <c r="V4" i="13" s="1"/>
  <c r="W4" i="13" s="1"/>
  <c r="X4" i="13" s="1"/>
  <c r="Y4" i="13" s="1"/>
  <c r="Z4" i="13" s="1"/>
  <c r="D2" i="13"/>
  <c r="C2" i="13"/>
  <c r="F40" i="6"/>
  <c r="I77" i="6"/>
  <c r="H77" i="6"/>
  <c r="Q61" i="6"/>
  <c r="F9" i="6"/>
  <c r="D42" i="9"/>
  <c r="D43" i="9" s="1"/>
  <c r="E43" i="9" s="1"/>
  <c r="F43" i="9" s="1"/>
  <c r="G43" i="9" s="1"/>
  <c r="H43" i="9" s="1"/>
  <c r="I43" i="9" s="1"/>
  <c r="J43" i="9" s="1"/>
  <c r="K43" i="9" s="1"/>
  <c r="L43" i="9" s="1"/>
  <c r="M43" i="9" s="1"/>
  <c r="N43" i="9" l="1"/>
  <c r="O43" i="9" s="1"/>
  <c r="P43" i="9" s="1"/>
  <c r="Q43" i="9" s="1"/>
  <c r="R43" i="9" s="1"/>
  <c r="S43" i="9" s="1"/>
  <c r="T43" i="9" s="1"/>
  <c r="U43" i="9" s="1"/>
  <c r="V43" i="9" s="1"/>
  <c r="W43" i="9" s="1"/>
  <c r="X43" i="9" s="1"/>
  <c r="Y43" i="9" s="1"/>
  <c r="Z43" i="9" s="1"/>
  <c r="AA43" i="9" s="1"/>
  <c r="AB43" i="9" s="1"/>
  <c r="AC43" i="9" s="1"/>
  <c r="AD43" i="9" s="1"/>
  <c r="AE43" i="9" s="1"/>
  <c r="AF43" i="9" s="1"/>
  <c r="AG43" i="9" s="1"/>
  <c r="AH43" i="9" s="1"/>
  <c r="AI43" i="9" s="1"/>
  <c r="AJ43" i="9" s="1"/>
  <c r="AK43" i="9" s="1"/>
  <c r="AL43" i="9" s="1"/>
  <c r="AM43" i="9" s="1"/>
  <c r="AN43" i="9" s="1"/>
  <c r="AO43" i="9" s="1"/>
  <c r="AP43" i="9" s="1"/>
  <c r="F8" i="10"/>
  <c r="D30" i="9"/>
  <c r="AQ43" i="9" l="1"/>
  <c r="D17" i="12"/>
  <c r="C35" i="1"/>
  <c r="C50" i="1"/>
  <c r="C52" i="1" s="1"/>
  <c r="D37" i="12"/>
  <c r="D38" i="12"/>
  <c r="D39" i="12"/>
  <c r="D40" i="12"/>
  <c r="D15" i="12"/>
  <c r="D16" i="12"/>
  <c r="D18" i="12"/>
  <c r="D19" i="12"/>
  <c r="D20" i="12"/>
  <c r="D21" i="12"/>
  <c r="D22" i="12"/>
  <c r="D23" i="12"/>
  <c r="D24" i="12"/>
  <c r="D25" i="12"/>
  <c r="D26" i="12"/>
  <c r="D27" i="12"/>
  <c r="D28" i="12"/>
  <c r="D29" i="12"/>
  <c r="D30" i="12"/>
  <c r="D31" i="12"/>
  <c r="D32" i="12"/>
  <c r="D33" i="12"/>
  <c r="D34" i="12"/>
  <c r="D35" i="12"/>
  <c r="D36" i="12"/>
  <c r="D36" i="9"/>
  <c r="D35" i="9"/>
  <c r="D32" i="9"/>
  <c r="D31" i="9"/>
  <c r="AR43" i="9" l="1"/>
  <c r="Q40" i="6" a="1"/>
  <c r="Q40" i="6" s="1"/>
  <c r="S40" i="6" a="1"/>
  <c r="S40" i="6" s="1"/>
  <c r="Q41" i="6" a="1"/>
  <c r="Q41" i="6" s="1"/>
  <c r="I41" i="6" a="1"/>
  <c r="I41" i="6" s="1"/>
  <c r="T41" i="6" a="1"/>
  <c r="T41" i="6" s="1"/>
  <c r="AB40" i="6" a="1"/>
  <c r="AB40" i="6" s="1"/>
  <c r="N40" i="6" a="1"/>
  <c r="N40" i="6" s="1"/>
  <c r="R41" i="6" a="1"/>
  <c r="R41" i="6" s="1"/>
  <c r="O41" i="6" a="1"/>
  <c r="O41" i="6" s="1"/>
  <c r="Y40" i="6" a="1"/>
  <c r="Y40" i="6" s="1"/>
  <c r="I40" i="6" a="1"/>
  <c r="I40" i="6" s="1"/>
  <c r="M40" i="6" a="1"/>
  <c r="M40" i="6" s="1"/>
  <c r="AC41" i="6" a="1"/>
  <c r="AC41" i="6" s="1"/>
  <c r="AE41" i="6" a="1"/>
  <c r="AE41" i="6" s="1"/>
  <c r="Y41" i="6" a="1"/>
  <c r="Y41" i="6" s="1"/>
  <c r="X40" i="6" a="1"/>
  <c r="X40" i="6" s="1"/>
  <c r="L40" i="6" a="1"/>
  <c r="L40" i="6" s="1"/>
  <c r="Z40" i="6" a="1"/>
  <c r="Z40" i="6" s="1"/>
  <c r="L41" i="6" a="1"/>
  <c r="L41" i="6" s="1"/>
  <c r="W41" i="6" a="1"/>
  <c r="W41" i="6" s="1"/>
  <c r="AB41" i="6" a="1"/>
  <c r="AB41" i="6" s="1"/>
  <c r="K40" i="6" a="1"/>
  <c r="K40" i="6" s="1"/>
  <c r="V40" i="6" a="1"/>
  <c r="V40" i="6" s="1"/>
  <c r="H41" i="6" a="1"/>
  <c r="H41" i="6" s="1"/>
  <c r="J41" i="6" a="1"/>
  <c r="J41" i="6" s="1"/>
  <c r="U41" i="6" a="1"/>
  <c r="U41" i="6" s="1"/>
  <c r="AD40" i="6" a="1"/>
  <c r="AD40" i="6" s="1"/>
  <c r="O40" i="6" a="1"/>
  <c r="O40" i="6" s="1"/>
  <c r="AD41" i="6" a="1"/>
  <c r="AD41" i="6" s="1"/>
  <c r="Z41" i="6" a="1"/>
  <c r="Z41" i="6" s="1"/>
  <c r="AA41" i="6" a="1"/>
  <c r="AA41" i="6" s="1"/>
  <c r="R40" i="6" a="1"/>
  <c r="R40" i="6" s="1"/>
  <c r="P40" i="6" a="1"/>
  <c r="P40" i="6" s="1"/>
  <c r="H40" i="6" a="1"/>
  <c r="H40" i="6" s="1"/>
  <c r="AA40" i="6" a="1"/>
  <c r="AA40" i="6" s="1"/>
  <c r="D37" i="9"/>
  <c r="D38" i="9"/>
  <c r="F41" i="12"/>
  <c r="J40" i="6" l="1" a="1"/>
  <c r="J40" i="6" s="1"/>
  <c r="S41" i="6" a="1"/>
  <c r="S41" i="6" s="1"/>
  <c r="U40" i="6" a="1"/>
  <c r="U40" i="6" s="1"/>
  <c r="W40" i="6" a="1"/>
  <c r="W40" i="6" s="1"/>
  <c r="M41" i="6" a="1"/>
  <c r="M41" i="6" s="1"/>
  <c r="P41" i="6" a="1"/>
  <c r="P41" i="6" s="1"/>
  <c r="AE40" i="6" a="1"/>
  <c r="AE40" i="6" s="1"/>
  <c r="N41" i="6" a="1"/>
  <c r="N41" i="6" s="1"/>
  <c r="X41" i="6" a="1"/>
  <c r="X41" i="6" s="1"/>
  <c r="AI40" i="6" a="1"/>
  <c r="AI40" i="6" s="1"/>
  <c r="BA40" i="6" a="1"/>
  <c r="BA40" i="6" s="1"/>
  <c r="AI41" i="6" a="1"/>
  <c r="AI41" i="6" s="1"/>
  <c r="BA41" i="6" a="1"/>
  <c r="BA41" i="6" s="1"/>
  <c r="BC40" i="6" a="1"/>
  <c r="BC40" i="6" s="1"/>
  <c r="AK41" i="6" a="1"/>
  <c r="AK41" i="6" s="1"/>
  <c r="BG41" i="6" a="1"/>
  <c r="BG41" i="6" s="1"/>
  <c r="BH40" i="6" a="1"/>
  <c r="BH40" i="6" s="1"/>
  <c r="AH40" i="6" a="1"/>
  <c r="AH40" i="6" s="1"/>
  <c r="AZ41" i="6" a="1"/>
  <c r="AZ41" i="6" s="1"/>
  <c r="AR40" i="6" a="1"/>
  <c r="AR40" i="6" s="1"/>
  <c r="BJ40" i="6" a="1"/>
  <c r="BJ40" i="6" s="1"/>
  <c r="AR41" i="6" a="1"/>
  <c r="AR41" i="6" s="1"/>
  <c r="BJ41" i="6" a="1"/>
  <c r="BJ41" i="6" s="1"/>
  <c r="AT40" i="6" a="1"/>
  <c r="AT40" i="6" s="1"/>
  <c r="AT41" i="6" a="1"/>
  <c r="AT41" i="6" s="1"/>
  <c r="BL41" i="6" a="1"/>
  <c r="BL41" i="6" s="1"/>
  <c r="BO41" i="6" a="1"/>
  <c r="BO41" i="6" s="1"/>
  <c r="AO40" i="6" a="1"/>
  <c r="AO40" i="6" s="1"/>
  <c r="AX40" i="6" a="1"/>
  <c r="AX40" i="6" s="1"/>
  <c r="AP41" i="6" a="1"/>
  <c r="AP41" i="6" s="1"/>
  <c r="AZ40" i="6" a="1"/>
  <c r="AZ40" i="6" s="1"/>
  <c r="AJ40" i="6" a="1"/>
  <c r="AJ40" i="6" s="1"/>
  <c r="AS40" i="6" a="1"/>
  <c r="AS40" i="6" s="1"/>
  <c r="BB40" i="6" a="1"/>
  <c r="BB40" i="6" s="1"/>
  <c r="BK40" i="6" a="1"/>
  <c r="BK40" i="6" s="1"/>
  <c r="AJ41" i="6" a="1"/>
  <c r="AJ41" i="6" s="1"/>
  <c r="AS41" i="6" a="1"/>
  <c r="AS41" i="6" s="1"/>
  <c r="BB41" i="6" a="1"/>
  <c r="BB41" i="6" s="1"/>
  <c r="BK41" i="6" a="1"/>
  <c r="BK41" i="6" s="1"/>
  <c r="BL40" i="6" a="1"/>
  <c r="BL40" i="6" s="1"/>
  <c r="BC41" i="6" a="1"/>
  <c r="BC41" i="6" s="1"/>
  <c r="BF41" i="6" a="1"/>
  <c r="BF41" i="6" s="1"/>
  <c r="AF40" i="6" a="1"/>
  <c r="AF40" i="6" s="1"/>
  <c r="AG41" i="6" a="1"/>
  <c r="AG41" i="6" s="1"/>
  <c r="AQ40" i="6" a="1"/>
  <c r="AQ40" i="6" s="1"/>
  <c r="BI41" i="6" a="1"/>
  <c r="BI41" i="6" s="1"/>
  <c r="AK40" i="6" a="1"/>
  <c r="AK40" i="6" s="1"/>
  <c r="AU40" i="6" a="1"/>
  <c r="AU40" i="6" s="1"/>
  <c r="BM40" i="6" a="1"/>
  <c r="BM40" i="6" s="1"/>
  <c r="AU41" i="6" a="1"/>
  <c r="AU41" i="6" s="1"/>
  <c r="BM41" i="6" a="1"/>
  <c r="BM41" i="6" s="1"/>
  <c r="BF40" i="6" a="1"/>
  <c r="BF40" i="6" s="1"/>
  <c r="AW41" i="6" a="1"/>
  <c r="AW41" i="6" s="1"/>
  <c r="BG40" i="6" a="1"/>
  <c r="BG40" i="6" s="1"/>
  <c r="AG40" i="6" a="1"/>
  <c r="AG40" i="6" s="1"/>
  <c r="AY41" i="6" a="1"/>
  <c r="AY41" i="6" s="1"/>
  <c r="AQ41" i="6" a="1"/>
  <c r="AQ41" i="6" s="1"/>
  <c r="AL40" i="6" a="1"/>
  <c r="AL40" i="6" s="1"/>
  <c r="BD40" i="6" a="1"/>
  <c r="BD40" i="6" s="1"/>
  <c r="AL41" i="6" a="1"/>
  <c r="AL41" i="6" s="1"/>
  <c r="BD41" i="6" a="1"/>
  <c r="BD41" i="6" s="1"/>
  <c r="AV41" i="6" a="1"/>
  <c r="AV41" i="6" s="1"/>
  <c r="BN41" i="6" a="1"/>
  <c r="BN41" i="6" s="1"/>
  <c r="AN40" i="6" a="1"/>
  <c r="AN40" i="6" s="1"/>
  <c r="BO40" i="6" a="1"/>
  <c r="BO40" i="6" s="1"/>
  <c r="AF41" i="6" a="1"/>
  <c r="AF41" i="6" s="1"/>
  <c r="AY40" i="6" a="1"/>
  <c r="AY40" i="6" s="1"/>
  <c r="BI40" i="6" a="1"/>
  <c r="BI40" i="6" s="1"/>
  <c r="AM40" i="6" a="1"/>
  <c r="AM40" i="6" s="1"/>
  <c r="AV40" i="6" a="1"/>
  <c r="AV40" i="6" s="1"/>
  <c r="BE40" i="6" a="1"/>
  <c r="BE40" i="6" s="1"/>
  <c r="BN40" i="6" a="1"/>
  <c r="BN40" i="6" s="1"/>
  <c r="AM41" i="6" a="1"/>
  <c r="AM41" i="6" s="1"/>
  <c r="BE41" i="6" a="1"/>
  <c r="BE41" i="6" s="1"/>
  <c r="AW40" i="6" a="1"/>
  <c r="AW40" i="6" s="1"/>
  <c r="AN41" i="6" a="1"/>
  <c r="AN41" i="6" s="1"/>
  <c r="AO41" i="6" a="1"/>
  <c r="AO41" i="6" s="1"/>
  <c r="AX41" i="6" a="1"/>
  <c r="AX41" i="6" s="1"/>
  <c r="AP40" i="6" a="1"/>
  <c r="AP40" i="6" s="1"/>
  <c r="BH41" i="6" a="1"/>
  <c r="BH41" i="6" s="1"/>
  <c r="AH41" i="6" a="1"/>
  <c r="AH41" i="6" s="1"/>
  <c r="K41" i="6" a="1"/>
  <c r="K41" i="6" s="1"/>
  <c r="T40" i="6" a="1"/>
  <c r="T40" i="6" s="1"/>
  <c r="AC40" i="6" a="1"/>
  <c r="AC40" i="6" s="1"/>
  <c r="AS43" i="9"/>
  <c r="V41" i="6" a="1"/>
  <c r="V41" i="6" s="1"/>
  <c r="M26" i="3"/>
  <c r="D2" i="12"/>
  <c r="C2" i="12"/>
  <c r="D2" i="10"/>
  <c r="C2" i="10"/>
  <c r="D2" i="9"/>
  <c r="C2" i="9"/>
  <c r="D2" i="6"/>
  <c r="C2" i="6"/>
  <c r="D2" i="5"/>
  <c r="E29" i="9"/>
  <c r="F29" i="9" s="1"/>
  <c r="G29" i="9" s="1"/>
  <c r="H29" i="9" s="1"/>
  <c r="I29" i="9" s="1"/>
  <c r="J29" i="9" s="1"/>
  <c r="K29" i="9" s="1"/>
  <c r="L29" i="9" s="1"/>
  <c r="M29" i="9" s="1"/>
  <c r="N29" i="9" s="1"/>
  <c r="O29" i="9" s="1"/>
  <c r="P29" i="9" s="1"/>
  <c r="Q29" i="9" s="1"/>
  <c r="R29" i="9" s="1"/>
  <c r="S29" i="9" s="1"/>
  <c r="T29" i="9" s="1"/>
  <c r="U29" i="9" s="1"/>
  <c r="V29" i="9" s="1"/>
  <c r="W29" i="9" s="1"/>
  <c r="X29" i="9" s="1"/>
  <c r="Y29" i="9" s="1"/>
  <c r="Z29" i="9" s="1"/>
  <c r="AA29" i="9" s="1"/>
  <c r="AB29" i="9" s="1"/>
  <c r="AC29" i="9" s="1"/>
  <c r="AD29" i="9" s="1"/>
  <c r="AE29" i="9" s="1"/>
  <c r="AF29" i="9" s="1"/>
  <c r="AG29" i="9" s="1"/>
  <c r="AH29" i="9" s="1"/>
  <c r="AI29" i="9" s="1"/>
  <c r="AJ29" i="9" s="1"/>
  <c r="AK29" i="9" s="1"/>
  <c r="AL29" i="9" s="1"/>
  <c r="AM29" i="9" s="1"/>
  <c r="AN29" i="9" s="1"/>
  <c r="AO29" i="9" s="1"/>
  <c r="AP29" i="9" s="1"/>
  <c r="AQ29" i="9" s="1"/>
  <c r="AR29" i="9" s="1"/>
  <c r="AS29" i="9" s="1"/>
  <c r="AT29" i="9" s="1"/>
  <c r="AU29" i="9" s="1"/>
  <c r="AV29" i="9" s="1"/>
  <c r="AW29" i="9" s="1"/>
  <c r="AX29" i="9" s="1"/>
  <c r="AY29" i="9" s="1"/>
  <c r="AZ29" i="9" s="1"/>
  <c r="BA29" i="9" s="1"/>
  <c r="BB29" i="9" s="1"/>
  <c r="BC29" i="9" s="1"/>
  <c r="BD29" i="9" s="1"/>
  <c r="BE29" i="9" s="1"/>
  <c r="BF29" i="9" s="1"/>
  <c r="BG29" i="9" s="1"/>
  <c r="BH29" i="9" s="1"/>
  <c r="BI29" i="9" s="1"/>
  <c r="BJ29" i="9" s="1"/>
  <c r="BK29" i="9" s="1"/>
  <c r="BL29" i="9" s="1"/>
  <c r="H8" i="10"/>
  <c r="G8" i="10"/>
  <c r="H46" i="6"/>
  <c r="I46" i="6" s="1"/>
  <c r="J46" i="6" s="1"/>
  <c r="K46" i="6" s="1"/>
  <c r="L46" i="6" s="1"/>
  <c r="M46" i="6" s="1"/>
  <c r="N46" i="6" s="1"/>
  <c r="O46" i="6" s="1"/>
  <c r="P46" i="6" s="1"/>
  <c r="Q46" i="6" s="1"/>
  <c r="R46" i="6" s="1"/>
  <c r="S46" i="6" s="1"/>
  <c r="T46" i="6" s="1"/>
  <c r="U46" i="6" s="1"/>
  <c r="V46" i="6" s="1"/>
  <c r="W46" i="6" s="1"/>
  <c r="X46" i="6" s="1"/>
  <c r="Y46" i="6" s="1"/>
  <c r="Z46" i="6" s="1"/>
  <c r="AA46" i="6" s="1"/>
  <c r="AB46" i="6" s="1"/>
  <c r="AC46" i="6" s="1"/>
  <c r="AD46" i="6" s="1"/>
  <c r="AE46" i="6" s="1"/>
  <c r="AF46" i="6" s="1"/>
  <c r="AG46" i="6" s="1"/>
  <c r="AH46" i="6" s="1"/>
  <c r="AI46" i="6" s="1"/>
  <c r="AJ46" i="6" s="1"/>
  <c r="AK46" i="6" s="1"/>
  <c r="AL46" i="6" s="1"/>
  <c r="AM46" i="6" s="1"/>
  <c r="AN46" i="6" s="1"/>
  <c r="AO46" i="6" s="1"/>
  <c r="AP46" i="6" s="1"/>
  <c r="AQ46" i="6" s="1"/>
  <c r="AR46" i="6" s="1"/>
  <c r="AS46" i="6" s="1"/>
  <c r="AT46" i="6" s="1"/>
  <c r="AU46" i="6" s="1"/>
  <c r="AV46" i="6" s="1"/>
  <c r="AW46" i="6" s="1"/>
  <c r="AX46" i="6" s="1"/>
  <c r="AY46" i="6" s="1"/>
  <c r="AZ46" i="6" s="1"/>
  <c r="BA46" i="6" s="1"/>
  <c r="BB46" i="6" s="1"/>
  <c r="BC46" i="6" s="1"/>
  <c r="BD46" i="6" s="1"/>
  <c r="BE46" i="6" s="1"/>
  <c r="BF46" i="6" s="1"/>
  <c r="BG46" i="6" s="1"/>
  <c r="BH46" i="6" s="1"/>
  <c r="BI46" i="6" s="1"/>
  <c r="BJ46" i="6" s="1"/>
  <c r="BK46" i="6" s="1"/>
  <c r="BL46" i="6" s="1"/>
  <c r="BM46" i="6" s="1"/>
  <c r="BN46" i="6" s="1"/>
  <c r="BO46" i="6" s="1"/>
  <c r="H52" i="6"/>
  <c r="I52" i="6" s="1"/>
  <c r="J52" i="6" s="1"/>
  <c r="K52" i="6" s="1"/>
  <c r="L52" i="6" s="1"/>
  <c r="M52" i="6" s="1"/>
  <c r="N52" i="6" s="1"/>
  <c r="O52" i="6" s="1"/>
  <c r="P52" i="6" s="1"/>
  <c r="Q52" i="6" s="1"/>
  <c r="R52" i="6" s="1"/>
  <c r="S52" i="6" s="1"/>
  <c r="T52" i="6" s="1"/>
  <c r="U52" i="6" s="1"/>
  <c r="V52" i="6" s="1"/>
  <c r="W52" i="6" s="1"/>
  <c r="X52" i="6" s="1"/>
  <c r="Y52" i="6" s="1"/>
  <c r="Z52" i="6" s="1"/>
  <c r="AA52" i="6" s="1"/>
  <c r="AB52" i="6" s="1"/>
  <c r="AC52" i="6" s="1"/>
  <c r="AD52" i="6" s="1"/>
  <c r="AE52" i="6" s="1"/>
  <c r="AF52" i="6" s="1"/>
  <c r="AG52" i="6" s="1"/>
  <c r="AH52" i="6" s="1"/>
  <c r="AI52" i="6" s="1"/>
  <c r="AJ52" i="6" s="1"/>
  <c r="AK52" i="6" s="1"/>
  <c r="AL52" i="6" s="1"/>
  <c r="AM52" i="6" s="1"/>
  <c r="AN52" i="6" s="1"/>
  <c r="AO52" i="6" s="1"/>
  <c r="AP52" i="6" s="1"/>
  <c r="AQ52" i="6" s="1"/>
  <c r="AR52" i="6" s="1"/>
  <c r="AS52" i="6" s="1"/>
  <c r="AT52" i="6" s="1"/>
  <c r="AU52" i="6" s="1"/>
  <c r="AV52" i="6" s="1"/>
  <c r="AW52" i="6" s="1"/>
  <c r="AX52" i="6" s="1"/>
  <c r="AY52" i="6" s="1"/>
  <c r="AZ52" i="6" s="1"/>
  <c r="BA52" i="6" s="1"/>
  <c r="BB52" i="6" s="1"/>
  <c r="BC52" i="6" s="1"/>
  <c r="BD52" i="6" s="1"/>
  <c r="BE52" i="6" s="1"/>
  <c r="BF52" i="6" s="1"/>
  <c r="BG52" i="6" s="1"/>
  <c r="BH52" i="6" s="1"/>
  <c r="BI52" i="6" s="1"/>
  <c r="BJ52" i="6" s="1"/>
  <c r="BK52" i="6" s="1"/>
  <c r="BL52" i="6" s="1"/>
  <c r="BM52" i="6" s="1"/>
  <c r="BN52" i="6" s="1"/>
  <c r="BO52" i="6" s="1"/>
  <c r="AD61" i="6"/>
  <c r="AC61" i="6"/>
  <c r="AB61" i="6"/>
  <c r="AA61" i="6"/>
  <c r="Z61" i="6"/>
  <c r="Y61" i="6"/>
  <c r="X61" i="6"/>
  <c r="W61" i="6"/>
  <c r="U61" i="6"/>
  <c r="T61" i="6"/>
  <c r="S61" i="6"/>
  <c r="R61" i="6"/>
  <c r="P61" i="6"/>
  <c r="O61" i="6"/>
  <c r="N61" i="6"/>
  <c r="M61" i="6"/>
  <c r="L61" i="6"/>
  <c r="K61" i="6"/>
  <c r="J61" i="6"/>
  <c r="I61" i="6"/>
  <c r="H61" i="6"/>
  <c r="H66" i="6"/>
  <c r="I66" i="6" s="1"/>
  <c r="J66" i="6" s="1"/>
  <c r="K66" i="6" s="1"/>
  <c r="L66" i="6" s="1"/>
  <c r="M66" i="6" s="1"/>
  <c r="N66" i="6" s="1"/>
  <c r="O66" i="6" s="1"/>
  <c r="P66" i="6" s="1"/>
  <c r="Q66" i="6" s="1"/>
  <c r="R66" i="6" s="1"/>
  <c r="S66" i="6" s="1"/>
  <c r="T66" i="6" s="1"/>
  <c r="U66" i="6" s="1"/>
  <c r="V66" i="6" s="1"/>
  <c r="W66" i="6" s="1"/>
  <c r="X66" i="6" s="1"/>
  <c r="Y66" i="6" s="1"/>
  <c r="Z66" i="6" s="1"/>
  <c r="AA66" i="6" s="1"/>
  <c r="AB66" i="6" s="1"/>
  <c r="AC66" i="6" s="1"/>
  <c r="AD66" i="6" s="1"/>
  <c r="AE66" i="6" s="1"/>
  <c r="AF66" i="6" s="1"/>
  <c r="AG66" i="6" s="1"/>
  <c r="AH66" i="6" s="1"/>
  <c r="AI66" i="6" s="1"/>
  <c r="AJ66" i="6" s="1"/>
  <c r="AK66" i="6" s="1"/>
  <c r="AL66" i="6" s="1"/>
  <c r="AM66" i="6" s="1"/>
  <c r="AN66" i="6" s="1"/>
  <c r="AO66" i="6" s="1"/>
  <c r="AP66" i="6" s="1"/>
  <c r="AQ66" i="6" s="1"/>
  <c r="AR66" i="6" s="1"/>
  <c r="AS66" i="6" s="1"/>
  <c r="AT66" i="6" s="1"/>
  <c r="AU66" i="6" s="1"/>
  <c r="AV66" i="6" s="1"/>
  <c r="AW66" i="6" s="1"/>
  <c r="AX66" i="6" s="1"/>
  <c r="AY66" i="6" s="1"/>
  <c r="AZ66" i="6" s="1"/>
  <c r="BA66" i="6" s="1"/>
  <c r="BB66" i="6" s="1"/>
  <c r="BC66" i="6" s="1"/>
  <c r="BD66" i="6" s="1"/>
  <c r="BE66" i="6" s="1"/>
  <c r="BF66" i="6" s="1"/>
  <c r="BG66" i="6" s="1"/>
  <c r="BH66" i="6" s="1"/>
  <c r="BI66" i="6" s="1"/>
  <c r="BJ66" i="6" s="1"/>
  <c r="BK66" i="6" s="1"/>
  <c r="BL66" i="6" s="1"/>
  <c r="BM66" i="6" s="1"/>
  <c r="BN66" i="6" s="1"/>
  <c r="BO66" i="6" s="1"/>
  <c r="J77" i="6"/>
  <c r="K77" i="6"/>
  <c r="L77" i="6"/>
  <c r="M77" i="6"/>
  <c r="N77" i="6"/>
  <c r="O77" i="6"/>
  <c r="P77" i="6"/>
  <c r="Q77" i="6"/>
  <c r="R77" i="6"/>
  <c r="S77" i="6"/>
  <c r="T77" i="6"/>
  <c r="U77" i="6"/>
  <c r="V77" i="6"/>
  <c r="W77" i="6"/>
  <c r="X77" i="6"/>
  <c r="Y77" i="6"/>
  <c r="Z77" i="6"/>
  <c r="AA77" i="6"/>
  <c r="AB77" i="6"/>
  <c r="AC77" i="6"/>
  <c r="AD77" i="6"/>
  <c r="E17" i="9"/>
  <c r="F17" i="9" s="1"/>
  <c r="G17" i="9" s="1"/>
  <c r="H17" i="9" s="1"/>
  <c r="I17" i="9" s="1"/>
  <c r="J17" i="9" s="1"/>
  <c r="K17" i="9" s="1"/>
  <c r="L17" i="9" s="1"/>
  <c r="M17" i="9" s="1"/>
  <c r="N17" i="9" s="1"/>
  <c r="O17" i="9" s="1"/>
  <c r="P17" i="9" s="1"/>
  <c r="Q17" i="9" s="1"/>
  <c r="R17" i="9" s="1"/>
  <c r="S17" i="9" s="1"/>
  <c r="T17" i="9" s="1"/>
  <c r="U17" i="9" s="1"/>
  <c r="V17" i="9" s="1"/>
  <c r="W17" i="9" s="1"/>
  <c r="X17" i="9" s="1"/>
  <c r="Y17" i="9" s="1"/>
  <c r="Z17" i="9" s="1"/>
  <c r="AA17" i="9" s="1"/>
  <c r="AB17" i="9" s="1"/>
  <c r="AC17" i="9" s="1"/>
  <c r="AD17" i="9" s="1"/>
  <c r="AE17" i="9" s="1"/>
  <c r="AF17" i="9" s="1"/>
  <c r="AG17" i="9" s="1"/>
  <c r="AH17" i="9" s="1"/>
  <c r="AI17" i="9" s="1"/>
  <c r="AJ17" i="9" s="1"/>
  <c r="AK17" i="9" s="1"/>
  <c r="AL17" i="9" s="1"/>
  <c r="AM17" i="9" s="1"/>
  <c r="AN17" i="9" s="1"/>
  <c r="AO17" i="9" s="1"/>
  <c r="AP17" i="9" s="1"/>
  <c r="AQ17" i="9" s="1"/>
  <c r="AR17" i="9" s="1"/>
  <c r="AS17" i="9" s="1"/>
  <c r="AT17" i="9" s="1"/>
  <c r="AU17" i="9" s="1"/>
  <c r="AV17" i="9" s="1"/>
  <c r="AW17" i="9" s="1"/>
  <c r="AX17" i="9" s="1"/>
  <c r="AY17" i="9" s="1"/>
  <c r="AZ17" i="9" s="1"/>
  <c r="BA17" i="9" s="1"/>
  <c r="BB17" i="9" s="1"/>
  <c r="BC17" i="9" s="1"/>
  <c r="BD17" i="9" s="1"/>
  <c r="BE17" i="9" s="1"/>
  <c r="BF17" i="9" s="1"/>
  <c r="BG17" i="9" s="1"/>
  <c r="BH17" i="9" s="1"/>
  <c r="BI17" i="9" s="1"/>
  <c r="BJ17" i="9" s="1"/>
  <c r="BK17" i="9" s="1"/>
  <c r="BL17" i="9" s="1"/>
  <c r="O35" i="3"/>
  <c r="O34" i="3"/>
  <c r="O33" i="3"/>
  <c r="O32" i="3"/>
  <c r="O31" i="3"/>
  <c r="O30" i="3"/>
  <c r="O29" i="3"/>
  <c r="O28" i="3"/>
  <c r="O27" i="3"/>
  <c r="O26" i="3"/>
  <c r="O25" i="3"/>
  <c r="O24" i="3"/>
  <c r="O23" i="3"/>
  <c r="O22" i="3"/>
  <c r="O21" i="3"/>
  <c r="O20" i="3"/>
  <c r="O19" i="3"/>
  <c r="O18" i="3"/>
  <c r="O17" i="3"/>
  <c r="O16" i="3"/>
  <c r="AA26" i="3"/>
  <c r="L36" i="3"/>
  <c r="L7" i="3" s="1"/>
  <c r="K36" i="3"/>
  <c r="K7" i="3" s="1"/>
  <c r="J36" i="3"/>
  <c r="J7" i="3" s="1"/>
  <c r="I36" i="3"/>
  <c r="I7" i="3" s="1"/>
  <c r="H36" i="3"/>
  <c r="H7" i="3" s="1"/>
  <c r="F36" i="3"/>
  <c r="N36" i="3" s="1"/>
  <c r="L37" i="3"/>
  <c r="K37" i="3"/>
  <c r="J37" i="3"/>
  <c r="I37" i="3"/>
  <c r="H37" i="3"/>
  <c r="G37" i="3"/>
  <c r="F37" i="3"/>
  <c r="N37" i="3" s="1"/>
  <c r="W28" i="3"/>
  <c r="M32" i="3"/>
  <c r="M25" i="3"/>
  <c r="M24" i="3"/>
  <c r="M23" i="3"/>
  <c r="M22" i="3"/>
  <c r="M21" i="3"/>
  <c r="M20" i="3"/>
  <c r="M30" i="3"/>
  <c r="M29" i="3"/>
  <c r="M28" i="3"/>
  <c r="D2" i="3"/>
  <c r="C2" i="3"/>
  <c r="M17" i="3"/>
  <c r="M16" i="3"/>
  <c r="C38" i="1"/>
  <c r="D9" i="9"/>
  <c r="D10" i="9"/>
  <c r="D11" i="9"/>
  <c r="D12" i="9"/>
  <c r="D8" i="9"/>
  <c r="D7" i="9"/>
  <c r="D6" i="9"/>
  <c r="D6" i="1"/>
  <c r="BC6" i="5"/>
  <c r="BD6" i="5" s="1"/>
  <c r="BE6" i="5" s="1"/>
  <c r="BF6" i="5" s="1"/>
  <c r="BG6" i="5" s="1"/>
  <c r="BH6" i="5" s="1"/>
  <c r="BI6" i="5" s="1"/>
  <c r="BJ6" i="5" s="1"/>
  <c r="BK6" i="5" s="1"/>
  <c r="BL6" i="5" s="1"/>
  <c r="BM6" i="5" s="1"/>
  <c r="BN6" i="5" s="1"/>
  <c r="C2" i="5"/>
  <c r="M35" i="3"/>
  <c r="M18" i="3"/>
  <c r="M19" i="3"/>
  <c r="M27" i="3"/>
  <c r="M31" i="3"/>
  <c r="M33" i="3"/>
  <c r="M34" i="3"/>
  <c r="I6" i="10"/>
  <c r="H6" i="10"/>
  <c r="G6" i="10"/>
  <c r="F6" i="10"/>
  <c r="AT43" i="9" l="1"/>
  <c r="M7" i="3"/>
  <c r="J8" i="10"/>
  <c r="H7" i="6"/>
  <c r="I41" i="12"/>
  <c r="I8" i="10"/>
  <c r="E4" i="9"/>
  <c r="AA16" i="3"/>
  <c r="O12" i="3"/>
  <c r="AA17" i="3"/>
  <c r="W16" i="3"/>
  <c r="J6" i="10"/>
  <c r="W17" i="3"/>
  <c r="E6" i="10"/>
  <c r="D6" i="10"/>
  <c r="F4" i="9"/>
  <c r="E10" i="9"/>
  <c r="E9" i="9"/>
  <c r="E6" i="9"/>
  <c r="E8" i="9"/>
  <c r="E12" i="9"/>
  <c r="E11" i="9"/>
  <c r="E7" i="9"/>
  <c r="W35" i="3"/>
  <c r="L8" i="3"/>
  <c r="K8" i="3"/>
  <c r="J8" i="3"/>
  <c r="G8" i="3"/>
  <c r="W30" i="3"/>
  <c r="M37" i="3"/>
  <c r="O37" i="3"/>
  <c r="Y22" i="3"/>
  <c r="W32" i="3"/>
  <c r="X24" i="3"/>
  <c r="X32" i="3"/>
  <c r="W23" i="3"/>
  <c r="Y32" i="3"/>
  <c r="Z32" i="3"/>
  <c r="AA32" i="3"/>
  <c r="Z22" i="3"/>
  <c r="X23" i="3"/>
  <c r="W20" i="3"/>
  <c r="AA22" i="3"/>
  <c r="Y23" i="3"/>
  <c r="W24" i="3"/>
  <c r="Z26" i="3"/>
  <c r="X20" i="3"/>
  <c r="Z23" i="3"/>
  <c r="I8" i="3"/>
  <c r="Y20" i="3"/>
  <c r="W21" i="3"/>
  <c r="AA23" i="3"/>
  <c r="Y24" i="3"/>
  <c r="W25" i="3"/>
  <c r="X25" i="3"/>
  <c r="Z20" i="3"/>
  <c r="X21" i="3"/>
  <c r="Z24" i="3"/>
  <c r="AA20" i="3"/>
  <c r="Y21" i="3"/>
  <c r="W22" i="3"/>
  <c r="AA24" i="3"/>
  <c r="Y25" i="3"/>
  <c r="Z21" i="3"/>
  <c r="X22" i="3"/>
  <c r="Z25" i="3"/>
  <c r="AA21" i="3"/>
  <c r="AA25" i="3"/>
  <c r="AA27" i="3"/>
  <c r="Y28" i="3"/>
  <c r="W29" i="3"/>
  <c r="X33" i="3"/>
  <c r="X31" i="3"/>
  <c r="X28" i="3"/>
  <c r="Z28" i="3"/>
  <c r="X29" i="3"/>
  <c r="F7" i="3"/>
  <c r="AA19" i="3"/>
  <c r="AA28" i="3"/>
  <c r="Y29" i="3"/>
  <c r="Z29" i="3"/>
  <c r="X30" i="3"/>
  <c r="X34" i="3"/>
  <c r="AA29" i="3"/>
  <c r="Y30" i="3"/>
  <c r="Z30" i="3"/>
  <c r="AA30" i="3"/>
  <c r="W27" i="3"/>
  <c r="Z19" i="3"/>
  <c r="W19" i="3"/>
  <c r="X27" i="3"/>
  <c r="Y33" i="3"/>
  <c r="Z35" i="3"/>
  <c r="Z17" i="3"/>
  <c r="AA18" i="3"/>
  <c r="W18" i="3"/>
  <c r="X26" i="3"/>
  <c r="Y31" i="3"/>
  <c r="Z34" i="3"/>
  <c r="W26" i="3"/>
  <c r="Y34" i="3"/>
  <c r="Z16" i="3"/>
  <c r="Z18" i="3"/>
  <c r="X19" i="3"/>
  <c r="Y27" i="3"/>
  <c r="Z33" i="3"/>
  <c r="AA34" i="3"/>
  <c r="AA35" i="3"/>
  <c r="W31" i="3"/>
  <c r="Y18" i="3"/>
  <c r="Y17" i="3"/>
  <c r="W34" i="3"/>
  <c r="X16" i="3"/>
  <c r="X18" i="3"/>
  <c r="Y26" i="3"/>
  <c r="Z31" i="3"/>
  <c r="AA33" i="3"/>
  <c r="Y16" i="3"/>
  <c r="Y35" i="3"/>
  <c r="W33" i="3"/>
  <c r="X35" i="3"/>
  <c r="X17" i="3"/>
  <c r="Y19" i="3"/>
  <c r="Z27" i="3"/>
  <c r="AA31" i="3"/>
  <c r="H8" i="3"/>
  <c r="F7" i="10" s="1"/>
  <c r="D13" i="9"/>
  <c r="D14" i="9" s="1"/>
  <c r="O36" i="3"/>
  <c r="M36" i="3"/>
  <c r="E40" i="9" l="1"/>
  <c r="E30" i="9" s="1"/>
  <c r="AU43" i="9"/>
  <c r="M8" i="3"/>
  <c r="O7" i="3"/>
  <c r="N7" i="3"/>
  <c r="K6" i="10"/>
  <c r="L6" i="10" s="1"/>
  <c r="E8" i="10"/>
  <c r="K8" i="10" s="1"/>
  <c r="N6" i="10"/>
  <c r="M6" i="10"/>
  <c r="K7" i="6"/>
  <c r="I7" i="6"/>
  <c r="AD7" i="6"/>
  <c r="P7" i="6"/>
  <c r="V7" i="6"/>
  <c r="X7" i="6"/>
  <c r="M7" i="6"/>
  <c r="U7" i="6"/>
  <c r="J7" i="6"/>
  <c r="AB7" i="6"/>
  <c r="W7" i="6"/>
  <c r="T7" i="6"/>
  <c r="Y7" i="6"/>
  <c r="AC7" i="6"/>
  <c r="S7" i="6"/>
  <c r="Q7" i="6"/>
  <c r="R7" i="6"/>
  <c r="O7" i="6"/>
  <c r="L7" i="6"/>
  <c r="Z7" i="6"/>
  <c r="N7" i="6"/>
  <c r="AA7" i="6"/>
  <c r="F9" i="9"/>
  <c r="G4" i="9"/>
  <c r="U16" i="3"/>
  <c r="D48" i="6"/>
  <c r="E48" i="6" s="1"/>
  <c r="H7" i="10"/>
  <c r="H9" i="10" s="1"/>
  <c r="F64" i="6"/>
  <c r="J64" i="6" s="1"/>
  <c r="J7" i="10"/>
  <c r="J9" i="10" s="1"/>
  <c r="D47" i="6"/>
  <c r="E47" i="6" s="1"/>
  <c r="G7" i="10"/>
  <c r="G9" i="10" s="1"/>
  <c r="E7" i="10"/>
  <c r="F5" i="6"/>
  <c r="J5" i="6" s="1"/>
  <c r="F50" i="6"/>
  <c r="J50" i="6" s="1"/>
  <c r="I7" i="10"/>
  <c r="I9" i="10" s="1"/>
  <c r="F8" i="3"/>
  <c r="F9" i="10"/>
  <c r="F12" i="9"/>
  <c r="F7" i="9"/>
  <c r="F8" i="9"/>
  <c r="F6" i="9"/>
  <c r="F11" i="9"/>
  <c r="F10" i="9"/>
  <c r="E13" i="9"/>
  <c r="E15" i="9" s="1"/>
  <c r="U24" i="3"/>
  <c r="U32" i="3"/>
  <c r="U23" i="3"/>
  <c r="U25" i="3"/>
  <c r="U21" i="3"/>
  <c r="U20" i="3"/>
  <c r="U22" i="3"/>
  <c r="U30" i="3"/>
  <c r="U28" i="3"/>
  <c r="U29" i="3"/>
  <c r="D15" i="9"/>
  <c r="C37" i="1"/>
  <c r="AF7" i="6" l="1"/>
  <c r="AV43" i="9"/>
  <c r="N8" i="3"/>
  <c r="N5" i="6"/>
  <c r="AE7" i="6"/>
  <c r="F40" i="9"/>
  <c r="F30" i="9" s="1"/>
  <c r="G6" i="9"/>
  <c r="G10" i="9"/>
  <c r="G12" i="9"/>
  <c r="G8" i="9"/>
  <c r="H4" i="9"/>
  <c r="G7" i="9"/>
  <c r="G11" i="9"/>
  <c r="G9" i="9"/>
  <c r="E5" i="12"/>
  <c r="J5" i="12" s="1"/>
  <c r="P8" i="3" a="1"/>
  <c r="P8" i="3" s="1"/>
  <c r="K7" i="10"/>
  <c r="D7" i="10"/>
  <c r="D8" i="10" s="1"/>
  <c r="M8" i="10" s="1"/>
  <c r="O8" i="3"/>
  <c r="E9" i="10"/>
  <c r="F13" i="9"/>
  <c r="F14" i="9" s="1"/>
  <c r="E14" i="9"/>
  <c r="U34" i="3"/>
  <c r="U31" i="3"/>
  <c r="U17" i="3"/>
  <c r="U27" i="3"/>
  <c r="U19" i="3"/>
  <c r="U35" i="3"/>
  <c r="U33" i="3"/>
  <c r="U26" i="3"/>
  <c r="U18" i="3"/>
  <c r="AG7" i="6" l="1"/>
  <c r="AW43" i="9"/>
  <c r="M2" i="9"/>
  <c r="L8" i="10"/>
  <c r="G40" i="9"/>
  <c r="G30" i="9" s="1"/>
  <c r="E44" i="9"/>
  <c r="D9" i="10"/>
  <c r="H6" i="9"/>
  <c r="H11" i="9"/>
  <c r="H8" i="9"/>
  <c r="I4" i="9"/>
  <c r="H7" i="9"/>
  <c r="H12" i="9"/>
  <c r="H10" i="9"/>
  <c r="G13" i="9"/>
  <c r="G15" i="9" s="1"/>
  <c r="H9" i="9"/>
  <c r="N8" i="10"/>
  <c r="L7" i="10"/>
  <c r="K9" i="10"/>
  <c r="F15" i="9"/>
  <c r="I9" i="9" l="1"/>
  <c r="AH7" i="6"/>
  <c r="AX43" i="9"/>
  <c r="I10" i="9"/>
  <c r="F44" i="9"/>
  <c r="H40" i="9"/>
  <c r="H30" i="9" s="1"/>
  <c r="I11" i="9"/>
  <c r="I7" i="9"/>
  <c r="I12" i="9"/>
  <c r="I8" i="9"/>
  <c r="I6" i="9"/>
  <c r="J4" i="9"/>
  <c r="G14" i="9"/>
  <c r="G44" i="9" s="1"/>
  <c r="H13" i="9"/>
  <c r="H15" i="9" s="1"/>
  <c r="L9" i="10"/>
  <c r="AI7" i="6" l="1"/>
  <c r="AY43" i="9"/>
  <c r="I40" i="9"/>
  <c r="I30" i="9" s="1"/>
  <c r="I13" i="9"/>
  <c r="I15" i="9" s="1"/>
  <c r="J11" i="9"/>
  <c r="J6" i="9"/>
  <c r="J7" i="9"/>
  <c r="J9" i="9"/>
  <c r="K4" i="9"/>
  <c r="J10" i="9"/>
  <c r="J12" i="9"/>
  <c r="J8" i="9"/>
  <c r="H14" i="9"/>
  <c r="H44" i="9" s="1"/>
  <c r="AJ7" i="6" l="1"/>
  <c r="AZ43" i="9"/>
  <c r="J40" i="9"/>
  <c r="J30" i="9" s="1"/>
  <c r="K6" i="9"/>
  <c r="K8" i="9"/>
  <c r="K11" i="9"/>
  <c r="K9" i="9"/>
  <c r="K7" i="9"/>
  <c r="K12" i="9"/>
  <c r="L4" i="9"/>
  <c r="I14" i="9"/>
  <c r="I44" i="9" s="1"/>
  <c r="K10" i="9"/>
  <c r="J13" i="9"/>
  <c r="J14" i="9" s="1"/>
  <c r="AK7" i="6" l="1"/>
  <c r="E31" i="9"/>
  <c r="E34" i="9"/>
  <c r="E35" i="9"/>
  <c r="E32" i="9"/>
  <c r="E33" i="9"/>
  <c r="E36" i="9"/>
  <c r="BA43" i="9"/>
  <c r="L7" i="9"/>
  <c r="K40" i="9"/>
  <c r="K30" i="9" s="1"/>
  <c r="L6" i="9"/>
  <c r="L10" i="9"/>
  <c r="M4" i="9"/>
  <c r="L11" i="9"/>
  <c r="L8" i="9"/>
  <c r="L9" i="9"/>
  <c r="L12" i="9"/>
  <c r="K13" i="9"/>
  <c r="K15" i="9" s="1"/>
  <c r="J15" i="9"/>
  <c r="J44" i="9"/>
  <c r="E24" i="9" l="1"/>
  <c r="F36" i="9"/>
  <c r="E38" i="9"/>
  <c r="E37" i="9"/>
  <c r="E20" i="9"/>
  <c r="F32" i="9"/>
  <c r="E23" i="9"/>
  <c r="F35" i="9"/>
  <c r="E22" i="9"/>
  <c r="F34" i="9"/>
  <c r="E21" i="9"/>
  <c r="F33" i="9"/>
  <c r="F31" i="9"/>
  <c r="E19" i="9"/>
  <c r="AL7" i="6"/>
  <c r="BB43" i="9"/>
  <c r="M8" i="9"/>
  <c r="M10" i="9"/>
  <c r="M12" i="9"/>
  <c r="M9" i="9"/>
  <c r="M6" i="9"/>
  <c r="N4" i="9"/>
  <c r="M11" i="9"/>
  <c r="M7" i="9"/>
  <c r="L40" i="9"/>
  <c r="L30" i="9" s="1"/>
  <c r="L13" i="9"/>
  <c r="L15" i="9" s="1"/>
  <c r="K14" i="9"/>
  <c r="K44" i="9" s="1"/>
  <c r="E27" i="9" l="1"/>
  <c r="F21" i="9"/>
  <c r="G33" i="9"/>
  <c r="G34" i="9"/>
  <c r="F22" i="9"/>
  <c r="F23" i="9"/>
  <c r="G35" i="9"/>
  <c r="E25" i="9"/>
  <c r="E26" i="9" s="1"/>
  <c r="AM7" i="6"/>
  <c r="F24" i="9"/>
  <c r="G36" i="9"/>
  <c r="G32" i="9"/>
  <c r="F37" i="9"/>
  <c r="F20" i="9"/>
  <c r="F38" i="9"/>
  <c r="F19" i="9"/>
  <c r="G31" i="9"/>
  <c r="BC43" i="9"/>
  <c r="M40" i="9"/>
  <c r="M30" i="9" s="1"/>
  <c r="N6" i="9"/>
  <c r="N9" i="9"/>
  <c r="N7" i="9"/>
  <c r="N12" i="9"/>
  <c r="M13" i="9"/>
  <c r="M14" i="9" s="1"/>
  <c r="O4" i="9"/>
  <c r="N8" i="9"/>
  <c r="N10" i="9"/>
  <c r="N11" i="9"/>
  <c r="L14" i="9"/>
  <c r="L44" i="9" s="1"/>
  <c r="F27" i="9" l="1"/>
  <c r="G23" i="9"/>
  <c r="H35" i="9"/>
  <c r="H31" i="9"/>
  <c r="G19" i="9"/>
  <c r="H36" i="9"/>
  <c r="G24" i="9"/>
  <c r="AN7" i="6"/>
  <c r="H34" i="9"/>
  <c r="G22" i="9"/>
  <c r="G38" i="9"/>
  <c r="G20" i="9"/>
  <c r="G27" i="9" s="1"/>
  <c r="G37" i="9"/>
  <c r="H32" i="9"/>
  <c r="F25" i="9"/>
  <c r="F26" i="9" s="1"/>
  <c r="G21" i="9"/>
  <c r="H33" i="9"/>
  <c r="BD43" i="9"/>
  <c r="O9" i="9"/>
  <c r="M15" i="9"/>
  <c r="P4" i="9"/>
  <c r="N40" i="9"/>
  <c r="N30" i="9" s="1"/>
  <c r="O10" i="9"/>
  <c r="O6" i="9"/>
  <c r="O8" i="9"/>
  <c r="O12" i="9"/>
  <c r="O11" i="9"/>
  <c r="O7" i="9"/>
  <c r="N13" i="9"/>
  <c r="N14" i="9" s="1"/>
  <c r="M44" i="9"/>
  <c r="P11" i="9" l="1"/>
  <c r="G25" i="9"/>
  <c r="G26" i="9" s="1"/>
  <c r="I34" i="9"/>
  <c r="H22" i="9"/>
  <c r="H24" i="9"/>
  <c r="I36" i="9"/>
  <c r="H21" i="9"/>
  <c r="I33" i="9"/>
  <c r="I31" i="9"/>
  <c r="H19" i="9"/>
  <c r="AO7" i="6"/>
  <c r="H38" i="9"/>
  <c r="H20" i="9"/>
  <c r="I32" i="9"/>
  <c r="H37" i="9"/>
  <c r="H23" i="9"/>
  <c r="I35" i="9"/>
  <c r="BE43" i="9"/>
  <c r="P9" i="9"/>
  <c r="P12" i="9"/>
  <c r="P8" i="9"/>
  <c r="Q8" i="9" s="1"/>
  <c r="Q4" i="9"/>
  <c r="P7" i="9"/>
  <c r="Q7" i="9" s="1"/>
  <c r="O40" i="9"/>
  <c r="O30" i="9" s="1"/>
  <c r="P6" i="9"/>
  <c r="O13" i="9"/>
  <c r="O14" i="9" s="1"/>
  <c r="P10" i="9"/>
  <c r="N15" i="9"/>
  <c r="N44" i="9"/>
  <c r="H27" i="9" l="1"/>
  <c r="H25" i="9"/>
  <c r="H26" i="9" s="1"/>
  <c r="Q12" i="9"/>
  <c r="Q9" i="9"/>
  <c r="I19" i="9"/>
  <c r="J31" i="9"/>
  <c r="I21" i="9"/>
  <c r="J33" i="9"/>
  <c r="AP7" i="6"/>
  <c r="I24" i="9"/>
  <c r="J36" i="9"/>
  <c r="I23" i="9"/>
  <c r="J35" i="9"/>
  <c r="I20" i="9"/>
  <c r="I37" i="9"/>
  <c r="J32" i="9"/>
  <c r="I38" i="9"/>
  <c r="J34" i="9"/>
  <c r="I22" i="9"/>
  <c r="BF43" i="9"/>
  <c r="R4" i="9"/>
  <c r="Q11" i="9"/>
  <c r="R11" i="9" s="1"/>
  <c r="O15" i="9"/>
  <c r="P40" i="9"/>
  <c r="P30" i="9" s="1"/>
  <c r="P13" i="9"/>
  <c r="P14" i="9" s="1"/>
  <c r="Q10" i="9"/>
  <c r="R10" i="9" s="1"/>
  <c r="Q6" i="9"/>
  <c r="O44" i="9"/>
  <c r="I27" i="9" l="1"/>
  <c r="R7" i="9"/>
  <c r="S7" i="9" s="1"/>
  <c r="I25" i="9"/>
  <c r="I26" i="9" s="1"/>
  <c r="S4" i="9"/>
  <c r="R12" i="9"/>
  <c r="S12" i="9" s="1"/>
  <c r="R8" i="9"/>
  <c r="S8" i="9" s="1"/>
  <c r="R9" i="9"/>
  <c r="S9" i="9" s="1"/>
  <c r="J24" i="9"/>
  <c r="K36" i="9"/>
  <c r="J21" i="9"/>
  <c r="K33" i="9"/>
  <c r="AQ7" i="6"/>
  <c r="K34" i="9"/>
  <c r="J22" i="9"/>
  <c r="J23" i="9"/>
  <c r="K35" i="9"/>
  <c r="J19" i="9"/>
  <c r="K31" i="9"/>
  <c r="J37" i="9"/>
  <c r="J38" i="9"/>
  <c r="J20" i="9"/>
  <c r="K32" i="9"/>
  <c r="BG43" i="9"/>
  <c r="P15" i="9"/>
  <c r="Q40" i="9"/>
  <c r="Q30" i="9" s="1"/>
  <c r="R6" i="9"/>
  <c r="S6" i="9" s="1"/>
  <c r="Q13" i="9"/>
  <c r="Q14" i="9" s="1"/>
  <c r="P44" i="9"/>
  <c r="S11" i="9"/>
  <c r="S10" i="9"/>
  <c r="T4" i="9"/>
  <c r="J27" i="9" l="1"/>
  <c r="R13" i="9"/>
  <c r="R14" i="9" s="1"/>
  <c r="L31" i="9"/>
  <c r="K19" i="9"/>
  <c r="K23" i="9"/>
  <c r="L35" i="9"/>
  <c r="K22" i="9"/>
  <c r="L34" i="9"/>
  <c r="AR7" i="6"/>
  <c r="L32" i="9"/>
  <c r="K20" i="9"/>
  <c r="K37" i="9"/>
  <c r="K38" i="9"/>
  <c r="L33" i="9"/>
  <c r="K21" i="9"/>
  <c r="J25" i="9"/>
  <c r="J26" i="9" s="1"/>
  <c r="K24" i="9"/>
  <c r="L36" i="9"/>
  <c r="BH43" i="9"/>
  <c r="Q15" i="9"/>
  <c r="R40" i="9"/>
  <c r="R30" i="9" s="1"/>
  <c r="S40" i="9"/>
  <c r="T7" i="9"/>
  <c r="T12" i="9"/>
  <c r="T11" i="9"/>
  <c r="T8" i="9"/>
  <c r="S13" i="9"/>
  <c r="S15" i="9" s="1"/>
  <c r="T9" i="9"/>
  <c r="T10" i="9"/>
  <c r="T6" i="9"/>
  <c r="U4" i="9"/>
  <c r="K25" i="9" l="1"/>
  <c r="K26" i="9" s="1"/>
  <c r="K27" i="9"/>
  <c r="R15" i="9"/>
  <c r="L22" i="9"/>
  <c r="M34" i="9"/>
  <c r="M36" i="9"/>
  <c r="L24" i="9"/>
  <c r="M35" i="9"/>
  <c r="L23" i="9"/>
  <c r="M32" i="9"/>
  <c r="L38" i="9"/>
  <c r="L20" i="9"/>
  <c r="L27" i="9" s="1"/>
  <c r="L37" i="9"/>
  <c r="AS7" i="6"/>
  <c r="L21" i="9"/>
  <c r="M33" i="9"/>
  <c r="L19" i="9"/>
  <c r="M31" i="9"/>
  <c r="BI43" i="9"/>
  <c r="S30" i="9"/>
  <c r="T40" i="9"/>
  <c r="Q44" i="9"/>
  <c r="R44" i="9"/>
  <c r="S14" i="9"/>
  <c r="U6" i="9"/>
  <c r="U9" i="9"/>
  <c r="U7" i="9"/>
  <c r="U11" i="9"/>
  <c r="U10" i="9"/>
  <c r="T13" i="9"/>
  <c r="T14" i="9" s="1"/>
  <c r="U8" i="9"/>
  <c r="U12" i="9"/>
  <c r="V4" i="9"/>
  <c r="L25" i="9" l="1"/>
  <c r="L26" i="9" s="1"/>
  <c r="M23" i="9"/>
  <c r="N35" i="9"/>
  <c r="M37" i="9"/>
  <c r="M20" i="9"/>
  <c r="N32" i="9"/>
  <c r="M38" i="9"/>
  <c r="M19" i="9"/>
  <c r="N31" i="9"/>
  <c r="M24" i="9"/>
  <c r="N36" i="9"/>
  <c r="N33" i="9"/>
  <c r="M21" i="9"/>
  <c r="M22" i="9"/>
  <c r="N34" i="9"/>
  <c r="AT7" i="6"/>
  <c r="BJ43" i="9"/>
  <c r="T30" i="9"/>
  <c r="U40" i="9"/>
  <c r="S44" i="9"/>
  <c r="V12" i="9"/>
  <c r="V9" i="9"/>
  <c r="V10" i="9"/>
  <c r="T15" i="9"/>
  <c r="U13" i="9"/>
  <c r="U14" i="9" s="1"/>
  <c r="V8" i="9"/>
  <c r="V11" i="9"/>
  <c r="V7" i="9"/>
  <c r="V6" i="9"/>
  <c r="W4" i="9"/>
  <c r="M27" i="9" l="1"/>
  <c r="N19" i="9"/>
  <c r="O31" i="9"/>
  <c r="N20" i="9"/>
  <c r="N37" i="9"/>
  <c r="N38" i="9"/>
  <c r="O32" i="9"/>
  <c r="N24" i="9"/>
  <c r="O36" i="9"/>
  <c r="AU7" i="6"/>
  <c r="M25" i="9"/>
  <c r="M26" i="9" s="1"/>
  <c r="N21" i="9"/>
  <c r="O33" i="9"/>
  <c r="N22" i="9"/>
  <c r="O34" i="9"/>
  <c r="O35" i="9"/>
  <c r="N23" i="9"/>
  <c r="BK43" i="9"/>
  <c r="U30" i="9"/>
  <c r="V40" i="9"/>
  <c r="W6" i="9"/>
  <c r="T44" i="9"/>
  <c r="W7" i="9"/>
  <c r="W11" i="9"/>
  <c r="U15" i="9"/>
  <c r="W10" i="9"/>
  <c r="W9" i="9"/>
  <c r="V13" i="9"/>
  <c r="V15" i="9" s="1"/>
  <c r="W8" i="9"/>
  <c r="W12" i="9"/>
  <c r="X4" i="9"/>
  <c r="N27" i="9" l="1"/>
  <c r="O24" i="9"/>
  <c r="P36" i="9"/>
  <c r="P35" i="9"/>
  <c r="O23" i="9"/>
  <c r="O22" i="9"/>
  <c r="P34" i="9"/>
  <c r="N25" i="9"/>
  <c r="N26" i="9" s="1"/>
  <c r="AV7" i="6"/>
  <c r="O37" i="9"/>
  <c r="O20" i="9"/>
  <c r="P32" i="9"/>
  <c r="O38" i="9"/>
  <c r="O19" i="9"/>
  <c r="P31" i="9"/>
  <c r="O21" i="9"/>
  <c r="P33" i="9"/>
  <c r="BL43" i="9"/>
  <c r="V30" i="9"/>
  <c r="W40" i="9"/>
  <c r="X9" i="9"/>
  <c r="X7" i="9"/>
  <c r="V14" i="9"/>
  <c r="X10" i="9"/>
  <c r="X12" i="9"/>
  <c r="W13" i="9"/>
  <c r="W15" i="9" s="1"/>
  <c r="X8" i="9"/>
  <c r="X6" i="9"/>
  <c r="X11" i="9"/>
  <c r="Y4" i="9"/>
  <c r="W30" i="9" l="1"/>
  <c r="O25" i="9"/>
  <c r="O26" i="9" s="1"/>
  <c r="O27" i="9"/>
  <c r="P21" i="9"/>
  <c r="Q33" i="9"/>
  <c r="P23" i="9"/>
  <c r="Q35" i="9"/>
  <c r="AW7" i="6"/>
  <c r="Q34" i="9"/>
  <c r="P22" i="9"/>
  <c r="P24" i="9"/>
  <c r="Q36" i="9"/>
  <c r="Q32" i="9"/>
  <c r="P37" i="9"/>
  <c r="P20" i="9"/>
  <c r="P38" i="9"/>
  <c r="P19" i="9"/>
  <c r="Q31" i="9"/>
  <c r="X40" i="9"/>
  <c r="X30" i="9" s="1"/>
  <c r="V44" i="9"/>
  <c r="U44" i="9"/>
  <c r="Y12" i="9"/>
  <c r="W14" i="9"/>
  <c r="Y11" i="9"/>
  <c r="Y7" i="9"/>
  <c r="Y9" i="9"/>
  <c r="X13" i="9"/>
  <c r="X14" i="9" s="1"/>
  <c r="Y8" i="9"/>
  <c r="Y10" i="9"/>
  <c r="Y6" i="9"/>
  <c r="Z4" i="9"/>
  <c r="P27" i="9" l="1"/>
  <c r="AX7" i="6"/>
  <c r="Q24" i="9"/>
  <c r="R36" i="9"/>
  <c r="Q23" i="9"/>
  <c r="R35" i="9"/>
  <c r="Q19" i="9"/>
  <c r="R31" i="9"/>
  <c r="Q22" i="9"/>
  <c r="R34" i="9"/>
  <c r="Q21" i="9"/>
  <c r="R33" i="9"/>
  <c r="R32" i="9"/>
  <c r="Q37" i="9"/>
  <c r="Q20" i="9"/>
  <c r="Q38" i="9"/>
  <c r="P25" i="9"/>
  <c r="P26" i="9" s="1"/>
  <c r="Y40" i="9"/>
  <c r="Y30" i="9" s="1"/>
  <c r="W44" i="9"/>
  <c r="X15" i="9"/>
  <c r="Z12" i="9"/>
  <c r="Z6" i="9"/>
  <c r="Z7" i="9"/>
  <c r="Z11" i="9"/>
  <c r="Z10" i="9"/>
  <c r="Y13" i="9"/>
  <c r="Y15" i="9" s="1"/>
  <c r="Z8" i="9"/>
  <c r="Z9" i="9"/>
  <c r="Q27" i="9" l="1"/>
  <c r="R37" i="9"/>
  <c r="S32" i="9"/>
  <c r="R20" i="9"/>
  <c r="R38" i="9"/>
  <c r="S31" i="9"/>
  <c r="R19" i="9"/>
  <c r="S35" i="9"/>
  <c r="R23" i="9"/>
  <c r="R21" i="9"/>
  <c r="S33" i="9"/>
  <c r="S34" i="9"/>
  <c r="R22" i="9"/>
  <c r="R24" i="9"/>
  <c r="S36" i="9"/>
  <c r="Q25" i="9"/>
  <c r="Q26" i="9" s="1"/>
  <c r="AY7" i="6"/>
  <c r="AA4" i="9"/>
  <c r="Z40" i="9" s="1"/>
  <c r="Z30" i="9" s="1"/>
  <c r="X44" i="9"/>
  <c r="AA10" i="9"/>
  <c r="AB10" i="9" s="1"/>
  <c r="AC10" i="9" s="1"/>
  <c r="Y14" i="9"/>
  <c r="AA7" i="9"/>
  <c r="AA9" i="9"/>
  <c r="AA11" i="9"/>
  <c r="AA6" i="9"/>
  <c r="AA8" i="9"/>
  <c r="Z13" i="9"/>
  <c r="Z14" i="9" s="1"/>
  <c r="AA12" i="9"/>
  <c r="AB12" i="9" s="1"/>
  <c r="AC12" i="9" s="1"/>
  <c r="R27" i="9" l="1"/>
  <c r="AB9" i="9"/>
  <c r="AC9" i="9" s="1"/>
  <c r="AB7" i="9"/>
  <c r="AC7" i="9" s="1"/>
  <c r="AC4" i="9"/>
  <c r="S23" i="9"/>
  <c r="T35" i="9"/>
  <c r="S19" i="9"/>
  <c r="T31" i="9"/>
  <c r="S21" i="9"/>
  <c r="T33" i="9"/>
  <c r="AZ7" i="6"/>
  <c r="R25" i="9"/>
  <c r="R26" i="9" s="1"/>
  <c r="S22" i="9"/>
  <c r="T34" i="9"/>
  <c r="T36" i="9"/>
  <c r="S24" i="9"/>
  <c r="S38" i="9"/>
  <c r="S20" i="9"/>
  <c r="T32" i="9"/>
  <c r="S37" i="9"/>
  <c r="AB8" i="9"/>
  <c r="AC8" i="9" s="1"/>
  <c r="AB11" i="9"/>
  <c r="AB4" i="9"/>
  <c r="AA40" i="9" s="1"/>
  <c r="AA30" i="9" s="1"/>
  <c r="AB6" i="9"/>
  <c r="AC6" i="9" s="1"/>
  <c r="Y44" i="9"/>
  <c r="Z15" i="9"/>
  <c r="AA13" i="9"/>
  <c r="AA14" i="9" s="1"/>
  <c r="S27" i="9" l="1"/>
  <c r="AD9" i="9"/>
  <c r="AD7" i="9"/>
  <c r="AB13" i="9"/>
  <c r="AC11" i="9"/>
  <c r="AD11" i="9" s="1"/>
  <c r="AD4" i="9"/>
  <c r="AC40" i="9" s="1"/>
  <c r="AD6" i="9"/>
  <c r="AD12" i="9"/>
  <c r="AE12" i="9" s="1"/>
  <c r="AD8" i="9"/>
  <c r="AD10" i="9"/>
  <c r="AE10" i="9" s="1"/>
  <c r="T21" i="9"/>
  <c r="U33" i="9"/>
  <c r="T22" i="9"/>
  <c r="U34" i="9"/>
  <c r="T19" i="9"/>
  <c r="U31" i="9"/>
  <c r="BA7" i="6"/>
  <c r="U36" i="9"/>
  <c r="T24" i="9"/>
  <c r="U32" i="9"/>
  <c r="T38" i="9"/>
  <c r="T20" i="9"/>
  <c r="T37" i="9"/>
  <c r="S25" i="9"/>
  <c r="S26" i="9" s="1"/>
  <c r="U35" i="9"/>
  <c r="T23" i="9"/>
  <c r="AA15" i="9"/>
  <c r="AB15" i="9"/>
  <c r="AB14" i="9"/>
  <c r="AB40" i="9"/>
  <c r="AB30" i="9" s="1"/>
  <c r="Z44" i="9"/>
  <c r="T27" i="9" l="1"/>
  <c r="AC30" i="9"/>
  <c r="AC44" i="9" s="1"/>
  <c r="AC13" i="9"/>
  <c r="AC14" i="9" s="1"/>
  <c r="AE11" i="9"/>
  <c r="AE7" i="9"/>
  <c r="AE6" i="9"/>
  <c r="AE9" i="9"/>
  <c r="AE4" i="9"/>
  <c r="AF12" i="9"/>
  <c r="AE8" i="9"/>
  <c r="AD13" i="9"/>
  <c r="AD14" i="9" s="1"/>
  <c r="U37" i="9"/>
  <c r="U38" i="9"/>
  <c r="V32" i="9"/>
  <c r="U20" i="9"/>
  <c r="U19" i="9"/>
  <c r="V31" i="9"/>
  <c r="U24" i="9"/>
  <c r="V36" i="9"/>
  <c r="U23" i="9"/>
  <c r="V35" i="9"/>
  <c r="U22" i="9"/>
  <c r="V34" i="9"/>
  <c r="BB7" i="6"/>
  <c r="U21" i="9"/>
  <c r="V33" i="9"/>
  <c r="T25" i="9"/>
  <c r="T26" i="9" s="1"/>
  <c r="AA44" i="9"/>
  <c r="AC15" i="9" l="1"/>
  <c r="U27" i="9"/>
  <c r="AD15" i="9"/>
  <c r="AF9" i="9"/>
  <c r="AD40" i="9"/>
  <c r="AD30" i="9" s="1"/>
  <c r="AD44" i="9" s="1"/>
  <c r="AF7" i="9"/>
  <c r="AG7" i="9" s="1"/>
  <c r="AF4" i="9"/>
  <c r="AF6" i="9"/>
  <c r="AF8" i="9"/>
  <c r="AE13" i="9"/>
  <c r="AE14" i="9" s="1"/>
  <c r="AF11" i="9"/>
  <c r="AG11" i="9" s="1"/>
  <c r="AF10" i="9"/>
  <c r="W35" i="9"/>
  <c r="V23" i="9"/>
  <c r="W36" i="9"/>
  <c r="V24" i="9"/>
  <c r="V19" i="9"/>
  <c r="W31" i="9"/>
  <c r="V21" i="9"/>
  <c r="W33" i="9"/>
  <c r="U25" i="9"/>
  <c r="U26" i="9" s="1"/>
  <c r="W34" i="9"/>
  <c r="V22" i="9"/>
  <c r="V38" i="9"/>
  <c r="V20" i="9"/>
  <c r="W32" i="9"/>
  <c r="V37" i="9"/>
  <c r="BD8" i="6"/>
  <c r="BC7" i="6"/>
  <c r="V27" i="9" l="1"/>
  <c r="AE15" i="9"/>
  <c r="AE40" i="9"/>
  <c r="AE30" i="9" s="1"/>
  <c r="AE44" i="9" s="1"/>
  <c r="AG6" i="9"/>
  <c r="AG4" i="9"/>
  <c r="AG9" i="9"/>
  <c r="AH9" i="9" s="1"/>
  <c r="AF13" i="9"/>
  <c r="AF14" i="9" s="1"/>
  <c r="AG8" i="9"/>
  <c r="AG10" i="9"/>
  <c r="AH10" i="9" s="1"/>
  <c r="AG12" i="9"/>
  <c r="AH12" i="9" s="1"/>
  <c r="W21" i="9"/>
  <c r="X33" i="9"/>
  <c r="X31" i="9"/>
  <c r="W19" i="9"/>
  <c r="X34" i="9"/>
  <c r="W22" i="9"/>
  <c r="BD7" i="6"/>
  <c r="BE8" i="6"/>
  <c r="X36" i="9"/>
  <c r="W24" i="9"/>
  <c r="W37" i="9"/>
  <c r="X32" i="9"/>
  <c r="W20" i="9"/>
  <c r="W27" i="9" s="1"/>
  <c r="W38" i="9"/>
  <c r="V25" i="9"/>
  <c r="V26" i="9" s="1"/>
  <c r="X35" i="9"/>
  <c r="W23" i="9"/>
  <c r="AB44" i="9"/>
  <c r="AF15" i="9" l="1"/>
  <c r="AH6" i="9"/>
  <c r="AH11" i="9"/>
  <c r="AI11" i="9" s="1"/>
  <c r="AH4" i="9"/>
  <c r="AG40" i="9" s="1"/>
  <c r="AI10" i="9"/>
  <c r="AF40" i="9"/>
  <c r="AF30" i="9" s="1"/>
  <c r="AH7" i="9"/>
  <c r="AI7" i="9" s="1"/>
  <c r="AH8" i="9"/>
  <c r="AG13" i="9"/>
  <c r="AG14" i="9" s="1"/>
  <c r="X22" i="9"/>
  <c r="Y34" i="9"/>
  <c r="BE7" i="6"/>
  <c r="BF8" i="6"/>
  <c r="X23" i="9"/>
  <c r="Y35" i="9"/>
  <c r="Y31" i="9"/>
  <c r="X19" i="9"/>
  <c r="Y32" i="9"/>
  <c r="X37" i="9"/>
  <c r="X38" i="9"/>
  <c r="X20" i="9"/>
  <c r="Y36" i="9"/>
  <c r="X24" i="9"/>
  <c r="X21" i="9"/>
  <c r="Y33" i="9"/>
  <c r="W25" i="9"/>
  <c r="W26" i="9" s="1"/>
  <c r="N7" i="10"/>
  <c r="M7" i="10"/>
  <c r="M9" i="10" s="1"/>
  <c r="X27" i="9" l="1"/>
  <c r="AG15" i="9"/>
  <c r="AG30" i="9"/>
  <c r="AG44" i="9" s="1"/>
  <c r="AI9" i="9"/>
  <c r="AF44" i="9"/>
  <c r="AI4" i="9"/>
  <c r="X25" i="9"/>
  <c r="X26" i="9" s="1"/>
  <c r="AI12" i="9"/>
  <c r="AJ12" i="9" s="1"/>
  <c r="AH13" i="9"/>
  <c r="AH14" i="9" s="1"/>
  <c r="AI8" i="9"/>
  <c r="AJ7" i="9"/>
  <c r="AH15" i="9"/>
  <c r="AI6" i="9"/>
  <c r="Y20" i="9"/>
  <c r="Y38" i="9"/>
  <c r="Z32" i="9"/>
  <c r="Y37" i="9"/>
  <c r="Y19" i="9"/>
  <c r="Z31" i="9"/>
  <c r="Y23" i="9"/>
  <c r="Z35" i="9"/>
  <c r="Z33" i="9"/>
  <c r="Y21" i="9"/>
  <c r="BF7" i="6"/>
  <c r="BG8" i="6"/>
  <c r="Z34" i="9"/>
  <c r="Y22" i="9"/>
  <c r="Y24" i="9"/>
  <c r="Z36" i="9"/>
  <c r="Y27" i="9" l="1"/>
  <c r="AJ6" i="9"/>
  <c r="AH40" i="9"/>
  <c r="AH30" i="9" s="1"/>
  <c r="AH44" i="9" s="1"/>
  <c r="AJ4" i="9"/>
  <c r="AI40" i="9" s="1"/>
  <c r="AI13" i="9"/>
  <c r="AI14" i="9" s="1"/>
  <c r="AJ8" i="9"/>
  <c r="AJ9" i="9"/>
  <c r="AJ11" i="9"/>
  <c r="AJ10" i="9"/>
  <c r="Z19" i="9"/>
  <c r="AA31" i="9"/>
  <c r="Z24" i="9"/>
  <c r="AA36" i="9"/>
  <c r="BH8" i="6"/>
  <c r="BG7" i="6"/>
  <c r="Z20" i="9"/>
  <c r="Z37" i="9"/>
  <c r="AA32" i="9"/>
  <c r="Z38" i="9"/>
  <c r="AA33" i="9"/>
  <c r="Z21" i="9"/>
  <c r="AA35" i="9"/>
  <c r="Z23" i="9"/>
  <c r="Z22" i="9"/>
  <c r="AA34" i="9"/>
  <c r="Y25" i="9"/>
  <c r="Y26" i="9" s="1"/>
  <c r="Z27" i="9" l="1"/>
  <c r="AI15" i="9"/>
  <c r="AI30" i="9"/>
  <c r="AI44" i="9" s="1"/>
  <c r="AK4" i="9"/>
  <c r="AK10" i="9"/>
  <c r="AL10" i="9" s="1"/>
  <c r="AK12" i="9"/>
  <c r="AL12" i="9" s="1"/>
  <c r="AK11" i="9"/>
  <c r="AL11" i="9" s="1"/>
  <c r="AK9" i="9"/>
  <c r="AL9" i="9" s="1"/>
  <c r="AK6" i="9"/>
  <c r="AJ13" i="9"/>
  <c r="AJ14" i="9" s="1"/>
  <c r="AK8" i="9"/>
  <c r="AK7" i="9"/>
  <c r="AL7" i="9" s="1"/>
  <c r="BH7" i="6"/>
  <c r="BI8" i="6"/>
  <c r="AA21" i="9"/>
  <c r="AB33" i="9"/>
  <c r="AA24" i="9"/>
  <c r="AB36" i="9"/>
  <c r="AA38" i="9"/>
  <c r="AB32" i="9"/>
  <c r="AA20" i="9"/>
  <c r="AA37" i="9"/>
  <c r="Z25" i="9"/>
  <c r="Z26" i="9" s="1"/>
  <c r="AA22" i="9"/>
  <c r="AB34" i="9"/>
  <c r="AB31" i="9"/>
  <c r="AA19" i="9"/>
  <c r="AB35" i="9"/>
  <c r="AA23" i="9"/>
  <c r="AA27" i="9" l="1"/>
  <c r="AJ15" i="9"/>
  <c r="AL4" i="9"/>
  <c r="AM7" i="9"/>
  <c r="AL6" i="9"/>
  <c r="AL8" i="9"/>
  <c r="AK13" i="9"/>
  <c r="AK14" i="9" s="1"/>
  <c r="AJ40" i="9"/>
  <c r="AJ30" i="9" s="1"/>
  <c r="AJ44" i="9" s="1"/>
  <c r="AA25" i="9"/>
  <c r="AA26" i="9" s="1"/>
  <c r="AC32" i="9"/>
  <c r="AB37" i="9"/>
  <c r="AB20" i="9"/>
  <c r="AB27" i="9" s="1"/>
  <c r="AB38" i="9"/>
  <c r="AC36" i="9"/>
  <c r="AB24" i="9"/>
  <c r="AC35" i="9"/>
  <c r="AB23" i="9"/>
  <c r="AC33" i="9"/>
  <c r="AB21" i="9"/>
  <c r="AC31" i="9"/>
  <c r="AB19" i="9"/>
  <c r="BJ8" i="6"/>
  <c r="BI7" i="6"/>
  <c r="AC34" i="9"/>
  <c r="AB22" i="9"/>
  <c r="AK15" i="9" l="1"/>
  <c r="AM6" i="9"/>
  <c r="AK40" i="9"/>
  <c r="AK30" i="9" s="1"/>
  <c r="AK44" i="9" s="1"/>
  <c r="AL13" i="9"/>
  <c r="AL14" i="9" s="1"/>
  <c r="AM8" i="9"/>
  <c r="AM4" i="9"/>
  <c r="AM9" i="9"/>
  <c r="AM11" i="9"/>
  <c r="AM10" i="9"/>
  <c r="AM12" i="9"/>
  <c r="AD33" i="9"/>
  <c r="AC21" i="9"/>
  <c r="AC23" i="9"/>
  <c r="AD35" i="9"/>
  <c r="AD36" i="9"/>
  <c r="AC24" i="9"/>
  <c r="AD34" i="9"/>
  <c r="AC22" i="9"/>
  <c r="AB25" i="9"/>
  <c r="AB26" i="9" s="1"/>
  <c r="AC19" i="9"/>
  <c r="AD31" i="9"/>
  <c r="AC20" i="9"/>
  <c r="AD32" i="9"/>
  <c r="AC37" i="9"/>
  <c r="AC38" i="9"/>
  <c r="BJ7" i="6"/>
  <c r="BK8" i="6"/>
  <c r="AC27" i="9" l="1"/>
  <c r="AL15" i="9"/>
  <c r="AL40" i="9"/>
  <c r="AL30" i="9" s="1"/>
  <c r="AL44" i="9" s="1"/>
  <c r="AN8" i="9"/>
  <c r="AM13" i="9"/>
  <c r="AM14" i="9" s="1"/>
  <c r="AN12" i="9"/>
  <c r="AN10" i="9"/>
  <c r="AO10" i="9" s="1"/>
  <c r="AN4" i="9"/>
  <c r="AN6" i="9"/>
  <c r="AN11" i="9"/>
  <c r="AN9" i="9"/>
  <c r="AN7" i="9"/>
  <c r="AD19" i="9"/>
  <c r="AE31" i="9"/>
  <c r="AD22" i="9"/>
  <c r="AE34" i="9"/>
  <c r="AD24" i="9"/>
  <c r="AE36" i="9"/>
  <c r="AD23" i="9"/>
  <c r="AE35" i="9"/>
  <c r="BK7" i="6"/>
  <c r="BL8" i="6"/>
  <c r="AC25" i="9"/>
  <c r="AC26" i="9" s="1"/>
  <c r="AD20" i="9"/>
  <c r="AE32" i="9"/>
  <c r="AD37" i="9"/>
  <c r="AD38" i="9"/>
  <c r="AD21" i="9"/>
  <c r="AE33" i="9"/>
  <c r="AM15" i="9" l="1"/>
  <c r="AD27" i="9"/>
  <c r="AO12" i="9"/>
  <c r="AN13" i="9"/>
  <c r="AN15" i="9" s="1"/>
  <c r="AO8" i="9"/>
  <c r="AM40" i="9"/>
  <c r="AM30" i="9" s="1"/>
  <c r="AM44" i="9" s="1"/>
  <c r="AO7" i="9"/>
  <c r="AP7" i="9" s="1"/>
  <c r="AP10" i="9"/>
  <c r="AO11" i="9"/>
  <c r="AD25" i="9"/>
  <c r="AD26" i="9" s="1"/>
  <c r="AO4" i="9"/>
  <c r="AN40" i="9" s="1"/>
  <c r="AO9" i="9"/>
  <c r="AP9" i="9" s="1"/>
  <c r="AO6" i="9"/>
  <c r="AF35" i="9"/>
  <c r="AE23" i="9"/>
  <c r="AF36" i="9"/>
  <c r="AE24" i="9"/>
  <c r="AE37" i="9"/>
  <c r="AF34" i="9"/>
  <c r="AE22" i="9"/>
  <c r="BL7" i="6"/>
  <c r="BM8" i="6"/>
  <c r="AE21" i="9"/>
  <c r="AF33" i="9"/>
  <c r="AE19" i="9"/>
  <c r="AF31" i="9"/>
  <c r="AE20" i="9"/>
  <c r="AF32" i="9"/>
  <c r="AE38" i="9"/>
  <c r="AN14" i="9" l="1"/>
  <c r="AE27" i="9"/>
  <c r="AP12" i="9"/>
  <c r="AN30" i="9"/>
  <c r="AN44" i="9" s="1"/>
  <c r="AE25" i="9"/>
  <c r="AE26" i="9" s="1"/>
  <c r="AP6" i="9"/>
  <c r="AO13" i="9"/>
  <c r="AO14" i="9" s="1"/>
  <c r="AP8" i="9"/>
  <c r="AP11" i="9"/>
  <c r="AQ11" i="9" s="1"/>
  <c r="AP4" i="9"/>
  <c r="BN8" i="6"/>
  <c r="BM7" i="6"/>
  <c r="AG34" i="9"/>
  <c r="AF22" i="9"/>
  <c r="AF21" i="9"/>
  <c r="AG33" i="9"/>
  <c r="AF20" i="9"/>
  <c r="AG32" i="9"/>
  <c r="AF37" i="9"/>
  <c r="AF38" i="9"/>
  <c r="AF24" i="9"/>
  <c r="AG36" i="9"/>
  <c r="AG31" i="9"/>
  <c r="AF19" i="9"/>
  <c r="AF23" i="9"/>
  <c r="AG35" i="9"/>
  <c r="AF27" i="9" l="1"/>
  <c r="AO15" i="9"/>
  <c r="AQ4" i="9"/>
  <c r="AP40" i="9" s="1"/>
  <c r="AQ6" i="9"/>
  <c r="AO40" i="9"/>
  <c r="AO30" i="9" s="1"/>
  <c r="AO44" i="9" s="1"/>
  <c r="AQ7" i="9"/>
  <c r="AQ8" i="9"/>
  <c r="AP13" i="9"/>
  <c r="AP14" i="9" s="1"/>
  <c r="AR11" i="9"/>
  <c r="AQ9" i="9"/>
  <c r="AR9" i="9" s="1"/>
  <c r="AQ12" i="9"/>
  <c r="AR12" i="9" s="1"/>
  <c r="AQ10" i="9"/>
  <c r="AR10" i="9" s="1"/>
  <c r="AH33" i="9"/>
  <c r="AG21" i="9"/>
  <c r="AF25" i="9"/>
  <c r="AF26" i="9" s="1"/>
  <c r="AG20" i="9"/>
  <c r="AH32" i="9"/>
  <c r="AG37" i="9"/>
  <c r="AG38" i="9"/>
  <c r="AG23" i="9"/>
  <c r="AH35" i="9"/>
  <c r="AH36" i="9"/>
  <c r="AG24" i="9"/>
  <c r="AH34" i="9"/>
  <c r="AG22" i="9"/>
  <c r="AG19" i="9"/>
  <c r="AH31" i="9"/>
  <c r="BO8" i="6"/>
  <c r="BO7" i="6" s="1"/>
  <c r="BN7" i="6"/>
  <c r="AG27" i="9" l="1"/>
  <c r="AP15" i="9"/>
  <c r="AP30" i="9"/>
  <c r="AP44" i="9" s="1"/>
  <c r="AR6" i="9"/>
  <c r="AR8" i="9"/>
  <c r="AQ13" i="9"/>
  <c r="AQ14" i="9" s="1"/>
  <c r="AR7" i="9"/>
  <c r="AS7" i="9" s="1"/>
  <c r="AS10" i="9"/>
  <c r="AR4" i="9"/>
  <c r="AH20" i="9"/>
  <c r="AI32" i="9"/>
  <c r="AH37" i="9"/>
  <c r="AH38" i="9"/>
  <c r="AH22" i="9"/>
  <c r="AI34" i="9"/>
  <c r="AH23" i="9"/>
  <c r="AI35" i="9"/>
  <c r="AH19" i="9"/>
  <c r="AI31" i="9"/>
  <c r="AG25" i="9"/>
  <c r="AG26" i="9" s="1"/>
  <c r="AI36" i="9"/>
  <c r="AH24" i="9"/>
  <c r="AH21" i="9"/>
  <c r="AI33" i="9"/>
  <c r="AH27" i="9" l="1"/>
  <c r="AQ15" i="9"/>
  <c r="AS12" i="9"/>
  <c r="AT12" i="9" s="1"/>
  <c r="AS11" i="9"/>
  <c r="AT11" i="9" s="1"/>
  <c r="AS4" i="9"/>
  <c r="AR40" i="9" s="1"/>
  <c r="AS8" i="9"/>
  <c r="AR13" i="9"/>
  <c r="AT7" i="9"/>
  <c r="AS9" i="9"/>
  <c r="AT9" i="9" s="1"/>
  <c r="AR14" i="9"/>
  <c r="AR15" i="9"/>
  <c r="AS6" i="9"/>
  <c r="AQ40" i="9"/>
  <c r="AQ30" i="9" s="1"/>
  <c r="AQ44" i="9" s="1"/>
  <c r="AI22" i="9"/>
  <c r="AJ34" i="9"/>
  <c r="AI24" i="9"/>
  <c r="AJ36" i="9"/>
  <c r="AJ31" i="9"/>
  <c r="AI19" i="9"/>
  <c r="AI37" i="9"/>
  <c r="AI21" i="9"/>
  <c r="AJ33" i="9"/>
  <c r="AI20" i="9"/>
  <c r="AI27" i="9" s="1"/>
  <c r="AJ32" i="9"/>
  <c r="AI38" i="9"/>
  <c r="AJ35" i="9"/>
  <c r="AI23" i="9"/>
  <c r="AH25" i="9"/>
  <c r="AH26" i="9" s="1"/>
  <c r="AI25" i="9" l="1"/>
  <c r="AI26" i="9" s="1"/>
  <c r="AR30" i="9"/>
  <c r="AR44" i="9" s="1"/>
  <c r="AT6" i="9"/>
  <c r="AT8" i="9"/>
  <c r="AS13" i="9"/>
  <c r="AS14" i="9" s="1"/>
  <c r="AT4" i="9"/>
  <c r="AU7" i="9"/>
  <c r="AT10" i="9"/>
  <c r="AU10" i="9" s="1"/>
  <c r="AJ19" i="9"/>
  <c r="AK31" i="9"/>
  <c r="AK36" i="9"/>
  <c r="AJ24" i="9"/>
  <c r="AJ20" i="9"/>
  <c r="AK32" i="9"/>
  <c r="AJ37" i="9"/>
  <c r="AJ38" i="9"/>
  <c r="AJ21" i="9"/>
  <c r="AK33" i="9"/>
  <c r="AJ22" i="9"/>
  <c r="AK34" i="9"/>
  <c r="AJ23" i="9"/>
  <c r="AK35" i="9"/>
  <c r="AJ27" i="9" l="1"/>
  <c r="AS15" i="9"/>
  <c r="AU12" i="9"/>
  <c r="AJ25" i="9"/>
  <c r="AJ26" i="9" s="1"/>
  <c r="AU9" i="9"/>
  <c r="AU11" i="9"/>
  <c r="AT13" i="9"/>
  <c r="AT14" i="9" s="1"/>
  <c r="AU8" i="9"/>
  <c r="AS40" i="9"/>
  <c r="AS30" i="9" s="1"/>
  <c r="AS44" i="9" s="1"/>
  <c r="AU4" i="9"/>
  <c r="AT40" i="9" s="1"/>
  <c r="AU6" i="9"/>
  <c r="AT15" i="9"/>
  <c r="AK20" i="9"/>
  <c r="AL32" i="9"/>
  <c r="AK38" i="9"/>
  <c r="AK37" i="9"/>
  <c r="AL33" i="9"/>
  <c r="AK21" i="9"/>
  <c r="AL36" i="9"/>
  <c r="AK24" i="9"/>
  <c r="AL31" i="9"/>
  <c r="AK19" i="9"/>
  <c r="AK22" i="9"/>
  <c r="AL34" i="9"/>
  <c r="AL35" i="9"/>
  <c r="AK23" i="9"/>
  <c r="AK27" i="9" l="1"/>
  <c r="AT30" i="9"/>
  <c r="AT44" i="9" s="1"/>
  <c r="AV4" i="9"/>
  <c r="AU40" i="9" s="1"/>
  <c r="AV11" i="9"/>
  <c r="AW11" i="9" s="1"/>
  <c r="AV9" i="9"/>
  <c r="AW9" i="9" s="1"/>
  <c r="AV8" i="9"/>
  <c r="AU13" i="9"/>
  <c r="AV12" i="9"/>
  <c r="AW12" i="9" s="1"/>
  <c r="AV10" i="9"/>
  <c r="AW10" i="9" s="1"/>
  <c r="AU15" i="9"/>
  <c r="AV6" i="9"/>
  <c r="AU14" i="9"/>
  <c r="AV7" i="9"/>
  <c r="AW7" i="9" s="1"/>
  <c r="AL24" i="9"/>
  <c r="AM36" i="9"/>
  <c r="AL21" i="9"/>
  <c r="AM33" i="9"/>
  <c r="AL19" i="9"/>
  <c r="AM31" i="9"/>
  <c r="AM34" i="9"/>
  <c r="AL22" i="9"/>
  <c r="AL20" i="9"/>
  <c r="AM32" i="9"/>
  <c r="AL37" i="9"/>
  <c r="AL38" i="9"/>
  <c r="AL23" i="9"/>
  <c r="AM35" i="9"/>
  <c r="AK25" i="9"/>
  <c r="AK26" i="9" s="1"/>
  <c r="AL25" i="9" l="1"/>
  <c r="AL26" i="9" s="1"/>
  <c r="AL27" i="9"/>
  <c r="AU30" i="9"/>
  <c r="AU44" i="9" s="1"/>
  <c r="AW8" i="9"/>
  <c r="AV13" i="9"/>
  <c r="AV14" i="9" s="1"/>
  <c r="AW6" i="9"/>
  <c r="AV15" i="9"/>
  <c r="AW4" i="9"/>
  <c r="AV40" i="9" s="1"/>
  <c r="AX10" i="9"/>
  <c r="AM19" i="9"/>
  <c r="AN31" i="9"/>
  <c r="AN32" i="9"/>
  <c r="AM20" i="9"/>
  <c r="AM38" i="9"/>
  <c r="AM37" i="9"/>
  <c r="AN33" i="9"/>
  <c r="AM21" i="9"/>
  <c r="AN34" i="9"/>
  <c r="AM22" i="9"/>
  <c r="AM24" i="9"/>
  <c r="AN36" i="9"/>
  <c r="AN35" i="9"/>
  <c r="AM23" i="9"/>
  <c r="AM27" i="9" l="1"/>
  <c r="AV30" i="9"/>
  <c r="AX4" i="9"/>
  <c r="AW40" i="9" s="1"/>
  <c r="AX11" i="9"/>
  <c r="AY11" i="9" s="1"/>
  <c r="AX9" i="9"/>
  <c r="AY9" i="9" s="1"/>
  <c r="AY10" i="9"/>
  <c r="AW13" i="9"/>
  <c r="AX8" i="9"/>
  <c r="AX7" i="9"/>
  <c r="AY7" i="9" s="1"/>
  <c r="AX6" i="9"/>
  <c r="AW14" i="9"/>
  <c r="AW15" i="9"/>
  <c r="AX12" i="9"/>
  <c r="AY12" i="9" s="1"/>
  <c r="AN21" i="9"/>
  <c r="AO33" i="9"/>
  <c r="AO36" i="9"/>
  <c r="AN24" i="9"/>
  <c r="AO34" i="9"/>
  <c r="AN22" i="9"/>
  <c r="AM25" i="9"/>
  <c r="AM26" i="9" s="1"/>
  <c r="AN20" i="9"/>
  <c r="AN27" i="9" s="1"/>
  <c r="AN37" i="9"/>
  <c r="AO32" i="9"/>
  <c r="AN38" i="9"/>
  <c r="AN19" i="9"/>
  <c r="AO31" i="9"/>
  <c r="AN23" i="9"/>
  <c r="AO35" i="9"/>
  <c r="AV44" i="9"/>
  <c r="AW30" i="9" l="1"/>
  <c r="AW44" i="9" s="1"/>
  <c r="AY8" i="9"/>
  <c r="AX13" i="9"/>
  <c r="AX14" i="9" s="1"/>
  <c r="AY6" i="9"/>
  <c r="AY4" i="9"/>
  <c r="AX40" i="9" s="1"/>
  <c r="AZ11" i="9"/>
  <c r="AN25" i="9"/>
  <c r="AN26" i="9" s="1"/>
  <c r="AP34" i="9"/>
  <c r="AO22" i="9"/>
  <c r="AP36" i="9"/>
  <c r="AO24" i="9"/>
  <c r="AP35" i="9"/>
  <c r="AO23" i="9"/>
  <c r="AO21" i="9"/>
  <c r="AP33" i="9"/>
  <c r="AO20" i="9"/>
  <c r="AO37" i="9"/>
  <c r="AP32" i="9"/>
  <c r="AO38" i="9"/>
  <c r="AP31" i="9"/>
  <c r="AO19" i="9"/>
  <c r="AX15" i="9" l="1"/>
  <c r="AX30" i="9"/>
  <c r="AX44" i="9" s="1"/>
  <c r="AO27" i="9"/>
  <c r="AZ10" i="9"/>
  <c r="AZ4" i="9"/>
  <c r="AY40" i="9" s="1"/>
  <c r="BA5" i="9"/>
  <c r="AZ12" i="9"/>
  <c r="BA12" i="9" s="1"/>
  <c r="AZ8" i="9"/>
  <c r="AY13" i="9"/>
  <c r="AY14" i="9" s="1"/>
  <c r="AZ9" i="9"/>
  <c r="BA9" i="9" s="1"/>
  <c r="AZ6" i="9"/>
  <c r="AZ7" i="9"/>
  <c r="BA7" i="9" s="1"/>
  <c r="AP23" i="9"/>
  <c r="AQ35" i="9"/>
  <c r="AQ33" i="9"/>
  <c r="AP21" i="9"/>
  <c r="AP20" i="9"/>
  <c r="AQ32" i="9"/>
  <c r="AP37" i="9"/>
  <c r="AP38" i="9"/>
  <c r="AP24" i="9"/>
  <c r="AQ36" i="9"/>
  <c r="AO25" i="9"/>
  <c r="AO26" i="9" s="1"/>
  <c r="AQ31" i="9"/>
  <c r="AP19" i="9"/>
  <c r="AP22" i="9"/>
  <c r="AQ34" i="9"/>
  <c r="AY30" i="9" l="1"/>
  <c r="AP27" i="9"/>
  <c r="AY15" i="9"/>
  <c r="BA10" i="9"/>
  <c r="BA6" i="9"/>
  <c r="BA8" i="9"/>
  <c r="AZ13" i="9"/>
  <c r="AZ14" i="9" s="1"/>
  <c r="BA4" i="9"/>
  <c r="AZ40" i="9" s="1"/>
  <c r="AZ30" i="9" s="1"/>
  <c r="BB5" i="9"/>
  <c r="BA11" i="9"/>
  <c r="BB11" i="9" s="1"/>
  <c r="AQ20" i="9"/>
  <c r="AR32" i="9"/>
  <c r="AQ38" i="9"/>
  <c r="AR31" i="9"/>
  <c r="AQ19" i="9"/>
  <c r="AQ24" i="9"/>
  <c r="AR36" i="9"/>
  <c r="AR33" i="9"/>
  <c r="AQ21" i="9"/>
  <c r="AQ37" i="9"/>
  <c r="AR34" i="9"/>
  <c r="AQ22" i="9"/>
  <c r="AR35" i="9"/>
  <c r="AQ23" i="9"/>
  <c r="AP25" i="9"/>
  <c r="AP26" i="9" s="1"/>
  <c r="AY44" i="9"/>
  <c r="AQ27" i="9" l="1"/>
  <c r="AZ15" i="9"/>
  <c r="BB9" i="9"/>
  <c r="BC5" i="9"/>
  <c r="BB4" i="9"/>
  <c r="BA40" i="9" s="1"/>
  <c r="BA30" i="9" s="1"/>
  <c r="BB8" i="9"/>
  <c r="BA13" i="9"/>
  <c r="BA14" i="9" s="1"/>
  <c r="BB12" i="9"/>
  <c r="BC12" i="9" s="1"/>
  <c r="BB7" i="9"/>
  <c r="BC7" i="9" s="1"/>
  <c r="BB10" i="9"/>
  <c r="BC10" i="9" s="1"/>
  <c r="BA15" i="9"/>
  <c r="BB6" i="9"/>
  <c r="AS33" i="9"/>
  <c r="AR21" i="9"/>
  <c r="AR19" i="9"/>
  <c r="AS31" i="9"/>
  <c r="AQ25" i="9"/>
  <c r="AQ26" i="9" s="1"/>
  <c r="AR22" i="9"/>
  <c r="AS34" i="9"/>
  <c r="AS32" i="9"/>
  <c r="AR20" i="9"/>
  <c r="AR37" i="9"/>
  <c r="AR38" i="9"/>
  <c r="AS36" i="9"/>
  <c r="AR24" i="9"/>
  <c r="AR23" i="9"/>
  <c r="AS35" i="9"/>
  <c r="AZ44" i="9"/>
  <c r="AR27" i="9" l="1"/>
  <c r="BC9" i="9"/>
  <c r="BD9" i="9" s="1"/>
  <c r="BD5" i="9"/>
  <c r="BD12" i="9" s="1"/>
  <c r="BC4" i="9"/>
  <c r="BB40" i="9" s="1"/>
  <c r="BB30" i="9" s="1"/>
  <c r="BD10" i="9"/>
  <c r="BC6" i="9"/>
  <c r="BB13" i="9"/>
  <c r="BB14" i="9" s="1"/>
  <c r="BC8" i="9"/>
  <c r="BC11" i="9"/>
  <c r="BD11" i="9" s="1"/>
  <c r="AT32" i="9"/>
  <c r="AS20" i="9"/>
  <c r="AS37" i="9"/>
  <c r="AS38" i="9"/>
  <c r="AR25" i="9"/>
  <c r="AR26" i="9" s="1"/>
  <c r="AT36" i="9"/>
  <c r="AS24" i="9"/>
  <c r="AT31" i="9"/>
  <c r="AS19" i="9"/>
  <c r="AT35" i="9"/>
  <c r="AS23" i="9"/>
  <c r="AT34" i="9"/>
  <c r="AS22" i="9"/>
  <c r="AT33" i="9"/>
  <c r="AS21" i="9"/>
  <c r="BA44" i="9"/>
  <c r="AS27" i="9" l="1"/>
  <c r="BB15" i="9"/>
  <c r="BD6" i="9"/>
  <c r="BD8" i="9"/>
  <c r="BC13" i="9"/>
  <c r="BC14" i="9" s="1"/>
  <c r="BD4" i="9"/>
  <c r="BC40" i="9" s="1"/>
  <c r="BC30" i="9" s="1"/>
  <c r="BE5" i="9"/>
  <c r="BE11" i="9" s="1"/>
  <c r="BD7" i="9"/>
  <c r="BE7" i="9" s="1"/>
  <c r="AT24" i="9"/>
  <c r="AU36" i="9"/>
  <c r="AU35" i="9"/>
  <c r="AT23" i="9"/>
  <c r="AT22" i="9"/>
  <c r="AU34" i="9"/>
  <c r="AU31" i="9"/>
  <c r="AT19" i="9"/>
  <c r="AU33" i="9"/>
  <c r="AT21" i="9"/>
  <c r="AS25" i="9"/>
  <c r="AS26" i="9" s="1"/>
  <c r="AT20" i="9"/>
  <c r="AU32" i="9"/>
  <c r="AT37" i="9"/>
  <c r="AT38" i="9"/>
  <c r="BB44" i="9"/>
  <c r="AT27" i="9" l="1"/>
  <c r="BC15" i="9"/>
  <c r="AT25" i="9"/>
  <c r="AT26" i="9" s="1"/>
  <c r="BE6" i="9"/>
  <c r="BE9" i="9"/>
  <c r="BE4" i="9"/>
  <c r="BD40" i="9" s="1"/>
  <c r="BD30" i="9" s="1"/>
  <c r="BF5" i="9"/>
  <c r="BF7" i="9" s="1"/>
  <c r="BE10" i="9"/>
  <c r="BF10" i="9" s="1"/>
  <c r="BD13" i="9"/>
  <c r="BD14" i="9" s="1"/>
  <c r="BE8" i="9"/>
  <c r="BE12" i="9"/>
  <c r="BF12" i="9" s="1"/>
  <c r="AU22" i="9"/>
  <c r="AV34" i="9"/>
  <c r="AV33" i="9"/>
  <c r="AU21" i="9"/>
  <c r="AV35" i="9"/>
  <c r="AU23" i="9"/>
  <c r="AU19" i="9"/>
  <c r="AV31" i="9"/>
  <c r="AU24" i="9"/>
  <c r="AV36" i="9"/>
  <c r="AV32" i="9"/>
  <c r="AU20" i="9"/>
  <c r="AU37" i="9"/>
  <c r="AU38" i="9"/>
  <c r="BC44" i="9"/>
  <c r="AU27" i="9" l="1"/>
  <c r="BD15" i="9"/>
  <c r="AU25" i="9"/>
  <c r="AU26" i="9" s="1"/>
  <c r="BF9" i="9"/>
  <c r="BF8" i="9"/>
  <c r="BE13" i="9"/>
  <c r="BE14" i="9" s="1"/>
  <c r="BF6" i="9"/>
  <c r="BF4" i="9"/>
  <c r="BE40" i="9" s="1"/>
  <c r="BE30" i="9" s="1"/>
  <c r="BG5" i="9"/>
  <c r="BF11" i="9"/>
  <c r="BG11" i="9" s="1"/>
  <c r="AW32" i="9"/>
  <c r="AV20" i="9"/>
  <c r="AV27" i="9" s="1"/>
  <c r="AV38" i="9"/>
  <c r="AW35" i="9"/>
  <c r="AV23" i="9"/>
  <c r="AV24" i="9"/>
  <c r="AW36" i="9"/>
  <c r="AV37" i="9"/>
  <c r="AV21" i="9"/>
  <c r="AW33" i="9"/>
  <c r="AW34" i="9"/>
  <c r="AV22" i="9"/>
  <c r="AW31" i="9"/>
  <c r="AV19" i="9"/>
  <c r="BD44" i="9"/>
  <c r="BE15" i="9" l="1"/>
  <c r="AV25" i="9"/>
  <c r="AV26" i="9" s="1"/>
  <c r="BG4" i="9"/>
  <c r="BF40" i="9" s="1"/>
  <c r="BF30" i="9" s="1"/>
  <c r="BH5" i="9"/>
  <c r="BH11" i="9" s="1"/>
  <c r="BG6" i="9"/>
  <c r="BG12" i="9"/>
  <c r="BH12" i="9" s="1"/>
  <c r="BG7" i="9"/>
  <c r="BH7" i="9" s="1"/>
  <c r="BG9" i="9"/>
  <c r="BF13" i="9"/>
  <c r="BF14" i="9" s="1"/>
  <c r="BG8" i="9"/>
  <c r="BG10" i="9"/>
  <c r="BH10" i="9" s="1"/>
  <c r="AW22" i="9"/>
  <c r="AX34" i="9"/>
  <c r="AW23" i="9"/>
  <c r="AX35" i="9"/>
  <c r="AW24" i="9"/>
  <c r="AX36" i="9"/>
  <c r="AW21" i="9"/>
  <c r="AX33" i="9"/>
  <c r="AX31" i="9"/>
  <c r="AW19" i="9"/>
  <c r="AW20" i="9"/>
  <c r="AX32" i="9"/>
  <c r="AW37" i="9"/>
  <c r="AW38" i="9"/>
  <c r="BE44" i="9"/>
  <c r="AW27" i="9" l="1"/>
  <c r="BF15" i="9"/>
  <c r="BH6" i="9"/>
  <c r="BH8" i="9"/>
  <c r="BG13" i="9"/>
  <c r="BG14" i="9" s="1"/>
  <c r="BH9" i="9"/>
  <c r="BH4" i="9"/>
  <c r="BG40" i="9" s="1"/>
  <c r="BG30" i="9" s="1"/>
  <c r="BI5" i="9"/>
  <c r="BI7" i="9" s="1"/>
  <c r="AY36" i="9"/>
  <c r="AX24" i="9"/>
  <c r="AX19" i="9"/>
  <c r="AY31" i="9"/>
  <c r="AX23" i="9"/>
  <c r="AY35" i="9"/>
  <c r="AX21" i="9"/>
  <c r="AY33" i="9"/>
  <c r="AX20" i="9"/>
  <c r="AY32" i="9"/>
  <c r="AX38" i="9"/>
  <c r="AX37" i="9"/>
  <c r="AY34" i="9"/>
  <c r="AX22" i="9"/>
  <c r="AW25" i="9"/>
  <c r="AW26" i="9" s="1"/>
  <c r="BF44" i="9"/>
  <c r="AX27" i="9" l="1"/>
  <c r="BG15" i="9"/>
  <c r="BI6" i="9"/>
  <c r="BI9" i="9"/>
  <c r="BJ9" i="9" s="1"/>
  <c r="BJ5" i="9"/>
  <c r="BI4" i="9"/>
  <c r="BH40" i="9" s="1"/>
  <c r="BH30" i="9" s="1"/>
  <c r="BH13" i="9"/>
  <c r="BH14" i="9" s="1"/>
  <c r="BI8" i="9"/>
  <c r="BI12" i="9"/>
  <c r="BJ12" i="9" s="1"/>
  <c r="BI10" i="9"/>
  <c r="BJ10" i="9" s="1"/>
  <c r="BI11" i="9"/>
  <c r="AZ35" i="9"/>
  <c r="AY23" i="9"/>
  <c r="AY20" i="9"/>
  <c r="AZ32" i="9"/>
  <c r="AY37" i="9"/>
  <c r="AY38" i="9"/>
  <c r="AZ31" i="9"/>
  <c r="AY19" i="9"/>
  <c r="AY21" i="9"/>
  <c r="AZ33" i="9"/>
  <c r="AX25" i="9"/>
  <c r="AX26" i="9" s="1"/>
  <c r="AY22" i="9"/>
  <c r="AZ34" i="9"/>
  <c r="AZ36" i="9"/>
  <c r="AY24" i="9"/>
  <c r="BG44" i="9"/>
  <c r="AY27" i="9" l="1"/>
  <c r="BH15" i="9"/>
  <c r="BJ11" i="9"/>
  <c r="BJ4" i="9"/>
  <c r="BI40" i="9" s="1"/>
  <c r="BI30" i="9" s="1"/>
  <c r="BK5" i="9"/>
  <c r="BJ8" i="9"/>
  <c r="BI13" i="9"/>
  <c r="BI14" i="9" s="1"/>
  <c r="BJ6" i="9"/>
  <c r="BJ7" i="9"/>
  <c r="BK7" i="9" s="1"/>
  <c r="AY25" i="9"/>
  <c r="AY26" i="9" s="1"/>
  <c r="BA33" i="9"/>
  <c r="AZ21" i="9"/>
  <c r="BA32" i="9"/>
  <c r="AZ20" i="9"/>
  <c r="AZ37" i="9"/>
  <c r="AZ38" i="9"/>
  <c r="BA31" i="9"/>
  <c r="AZ19" i="9"/>
  <c r="AZ24" i="9"/>
  <c r="BA36" i="9"/>
  <c r="BA34" i="9"/>
  <c r="AZ22" i="9"/>
  <c r="AZ23" i="9"/>
  <c r="BA35" i="9"/>
  <c r="BH44" i="9"/>
  <c r="AZ27" i="9" l="1"/>
  <c r="BI15" i="9"/>
  <c r="BJ13" i="9"/>
  <c r="BK8" i="9"/>
  <c r="BK9" i="9"/>
  <c r="BK4" i="9"/>
  <c r="BJ40" i="9" s="1"/>
  <c r="BJ30" i="9" s="1"/>
  <c r="BL5" i="9"/>
  <c r="BL4" i="9" s="1"/>
  <c r="BK11" i="9"/>
  <c r="BL11" i="9" s="1"/>
  <c r="BJ14" i="9"/>
  <c r="BJ15" i="9"/>
  <c r="BK6" i="9"/>
  <c r="BK10" i="9"/>
  <c r="BL10" i="9" s="1"/>
  <c r="BK12" i="9"/>
  <c r="BA22" i="9"/>
  <c r="BB34" i="9"/>
  <c r="BB36" i="9"/>
  <c r="BA24" i="9"/>
  <c r="BA20" i="9"/>
  <c r="BB32" i="9"/>
  <c r="BA37" i="9"/>
  <c r="BA38" i="9"/>
  <c r="AZ25" i="9"/>
  <c r="AZ26" i="9" s="1"/>
  <c r="BA19" i="9"/>
  <c r="BB31" i="9"/>
  <c r="BB33" i="9"/>
  <c r="BA21" i="9"/>
  <c r="BB35" i="9"/>
  <c r="BA23" i="9"/>
  <c r="BI44" i="9"/>
  <c r="BL9" i="9" l="1"/>
  <c r="BL12" i="9"/>
  <c r="BA25" i="9"/>
  <c r="BA26" i="9" s="1"/>
  <c r="BL6" i="9"/>
  <c r="BK40" i="9"/>
  <c r="BK30" i="9" s="1"/>
  <c r="D11" i="10"/>
  <c r="H11" i="10"/>
  <c r="I11" i="10"/>
  <c r="E11" i="10"/>
  <c r="E12" i="10" s="1"/>
  <c r="F11" i="10"/>
  <c r="F12" i="10" s="1"/>
  <c r="G11" i="10"/>
  <c r="J11" i="10"/>
  <c r="BL8" i="9"/>
  <c r="BK13" i="9"/>
  <c r="BK14" i="9" s="1"/>
  <c r="BL7" i="9"/>
  <c r="BB20" i="9"/>
  <c r="BC32" i="9"/>
  <c r="BB37" i="9"/>
  <c r="BB38" i="9"/>
  <c r="BB19" i="9"/>
  <c r="BC31" i="9"/>
  <c r="BC33" i="9"/>
  <c r="BB21" i="9"/>
  <c r="BC36" i="9"/>
  <c r="BB24" i="9"/>
  <c r="BB22" i="9"/>
  <c r="BC34" i="9"/>
  <c r="BB23" i="9"/>
  <c r="BC35" i="9"/>
  <c r="BJ44" i="9"/>
  <c r="BL13" i="9" l="1"/>
  <c r="BK15" i="9"/>
  <c r="M11" i="10"/>
  <c r="D12" i="10"/>
  <c r="N11" i="10"/>
  <c r="K11" i="10"/>
  <c r="L11" i="10" s="1"/>
  <c r="BL15" i="9"/>
  <c r="BL14" i="9"/>
  <c r="BD31" i="9"/>
  <c r="BC19" i="9"/>
  <c r="BC24" i="9"/>
  <c r="BD36" i="9"/>
  <c r="BC21" i="9"/>
  <c r="BD33" i="9"/>
  <c r="BD34" i="9"/>
  <c r="BC22" i="9"/>
  <c r="BB25" i="9"/>
  <c r="BB26" i="9" s="1"/>
  <c r="BD32" i="9"/>
  <c r="BC20" i="9"/>
  <c r="BC37" i="9"/>
  <c r="BC38" i="9"/>
  <c r="BD35" i="9"/>
  <c r="BC23" i="9"/>
  <c r="BL30" i="9"/>
  <c r="BK44" i="9"/>
  <c r="BE33" i="9" l="1"/>
  <c r="BD21" i="9"/>
  <c r="BC25" i="9"/>
  <c r="BC26" i="9" s="1"/>
  <c r="BD24" i="9"/>
  <c r="BE36" i="9"/>
  <c r="BE34" i="9"/>
  <c r="BD22" i="9"/>
  <c r="BE32" i="9"/>
  <c r="BD20" i="9"/>
  <c r="BD37" i="9"/>
  <c r="BD38" i="9"/>
  <c r="BE35" i="9"/>
  <c r="BD23" i="9"/>
  <c r="BE31" i="9"/>
  <c r="BD19" i="9"/>
  <c r="BL44" i="9"/>
  <c r="BE22" i="9" l="1"/>
  <c r="BF34" i="9"/>
  <c r="BF36" i="9"/>
  <c r="BE24" i="9"/>
  <c r="BF35" i="9"/>
  <c r="BE23" i="9"/>
  <c r="BF31" i="9"/>
  <c r="BE19" i="9"/>
  <c r="BD25" i="9"/>
  <c r="BD26" i="9" s="1"/>
  <c r="BF32" i="9"/>
  <c r="BE20" i="9"/>
  <c r="BE37" i="9"/>
  <c r="BE38" i="9"/>
  <c r="BF33" i="9"/>
  <c r="BE21" i="9"/>
  <c r="BF23" i="9" l="1"/>
  <c r="BG35" i="9"/>
  <c r="BF19" i="9"/>
  <c r="BG31" i="9"/>
  <c r="BF24" i="9"/>
  <c r="BG36" i="9"/>
  <c r="BF21" i="9"/>
  <c r="BG33" i="9"/>
  <c r="BF22" i="9"/>
  <c r="BG34" i="9"/>
  <c r="BG32" i="9"/>
  <c r="BF37" i="9"/>
  <c r="BF20" i="9"/>
  <c r="BF38" i="9"/>
  <c r="BE25" i="9"/>
  <c r="BE26" i="9" s="1"/>
  <c r="BF25" i="9" l="1"/>
  <c r="BF26" i="9" s="1"/>
  <c r="BG24" i="9"/>
  <c r="BH36" i="9"/>
  <c r="BG20" i="9"/>
  <c r="BH32" i="9"/>
  <c r="BG37" i="9"/>
  <c r="BG38" i="9"/>
  <c r="BG19" i="9"/>
  <c r="BH31" i="9"/>
  <c r="BG21" i="9"/>
  <c r="BH33" i="9"/>
  <c r="BH34" i="9"/>
  <c r="BG22" i="9"/>
  <c r="BG23" i="9"/>
  <c r="BH35" i="9"/>
  <c r="BI33" i="9" l="1"/>
  <c r="BH21" i="9"/>
  <c r="BH20" i="9"/>
  <c r="BI32" i="9"/>
  <c r="BH37" i="9"/>
  <c r="BH38" i="9"/>
  <c r="BI34" i="9"/>
  <c r="BH22" i="9"/>
  <c r="BG25" i="9"/>
  <c r="BG26" i="9" s="1"/>
  <c r="BI31" i="9"/>
  <c r="BH19" i="9"/>
  <c r="BI36" i="9"/>
  <c r="BH24" i="9"/>
  <c r="BH23" i="9"/>
  <c r="BI35" i="9"/>
  <c r="BJ31" i="9" l="1"/>
  <c r="BI19" i="9"/>
  <c r="BJ32" i="9"/>
  <c r="BI20" i="9"/>
  <c r="BI37" i="9"/>
  <c r="BI38" i="9"/>
  <c r="BI23" i="9"/>
  <c r="BJ35" i="9"/>
  <c r="BJ34" i="9"/>
  <c r="BI22" i="9"/>
  <c r="BH25" i="9"/>
  <c r="BH26" i="9" s="1"/>
  <c r="BJ36" i="9"/>
  <c r="BI24" i="9"/>
  <c r="BJ33" i="9"/>
  <c r="BI21" i="9"/>
  <c r="BJ23" i="9" l="1"/>
  <c r="BK35" i="9"/>
  <c r="BK36" i="9"/>
  <c r="BJ24" i="9"/>
  <c r="BJ22" i="9"/>
  <c r="BK34" i="9"/>
  <c r="BK32" i="9"/>
  <c r="BJ20" i="9"/>
  <c r="BJ37" i="9"/>
  <c r="BJ38" i="9"/>
  <c r="BI25" i="9"/>
  <c r="BI26" i="9" s="1"/>
  <c r="BK33" i="9"/>
  <c r="BJ21" i="9"/>
  <c r="BJ19" i="9"/>
  <c r="BK31" i="9"/>
  <c r="BJ25" i="9" l="1"/>
  <c r="BJ26" i="9" s="1"/>
  <c r="BL34" i="9"/>
  <c r="BL22" i="9" s="1"/>
  <c r="BK22" i="9"/>
  <c r="BK21" i="9"/>
  <c r="BL33" i="9"/>
  <c r="BL21" i="9" s="1"/>
  <c r="BL32" i="9"/>
  <c r="BK20" i="9"/>
  <c r="BK37" i="9"/>
  <c r="BK38" i="9"/>
  <c r="BK19" i="9"/>
  <c r="BL31" i="9"/>
  <c r="BL19" i="9" s="1"/>
  <c r="BL36" i="9"/>
  <c r="BL24" i="9" s="1"/>
  <c r="BK24" i="9"/>
  <c r="BL35" i="9"/>
  <c r="BL23" i="9" s="1"/>
  <c r="BK23" i="9"/>
  <c r="BK25" i="9" l="1"/>
  <c r="BK26" i="9" s="1"/>
  <c r="BL20" i="9"/>
  <c r="BL25" i="9" s="1"/>
  <c r="BL26" i="9" s="1"/>
  <c r="BL37" i="9"/>
  <c r="BL38"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Ingelmo Agustin, M Jose</author>
  </authors>
  <commentList>
    <comment ref="D7" authorId="0" shapeId="0" xr:uid="{A99C9831-D076-4283-93FE-C05DDE007402}">
      <text>
        <r>
          <rPr>
            <b/>
            <sz val="9"/>
            <color indexed="81"/>
            <rFont val="Tahoma"/>
            <family val="2"/>
          </rPr>
          <t>Insertar Z2 para poder copiar a SAP directamente</t>
        </r>
        <r>
          <rPr>
            <sz val="9"/>
            <color indexed="81"/>
            <rFont val="Tahoma"/>
            <family val="2"/>
          </rPr>
          <t xml:space="preserve">
</t>
        </r>
      </text>
    </comment>
    <comment ref="G7" authorId="0" shapeId="0" xr:uid="{0FD45537-FAAA-4CB3-B4FA-00FC60600386}">
      <text>
        <r>
          <rPr>
            <b/>
            <sz val="9"/>
            <color indexed="81"/>
            <rFont val="Tahoma"/>
            <family val="2"/>
          </rPr>
          <t>EUR
USD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Ingelmo Agustin, M Jose</author>
  </authors>
  <commentList>
    <comment ref="D12" authorId="0" shapeId="0" xr:uid="{D726C2A6-90B0-425E-8704-C5BCEEFE4712}">
      <text>
        <r>
          <rPr>
            <b/>
            <sz val="9"/>
            <color indexed="81"/>
            <rFont val="Tahoma"/>
            <family val="2"/>
          </rPr>
          <t>Insertar Z2 para poder copiar a SAP directamente</t>
        </r>
        <r>
          <rPr>
            <sz val="9"/>
            <color indexed="81"/>
            <rFont val="Tahoma"/>
            <family val="2"/>
          </rPr>
          <t xml:space="preserve">
</t>
        </r>
      </text>
    </comment>
    <comment ref="G12" authorId="0" shapeId="0" xr:uid="{0D31579F-539B-4964-AC00-23F5C61A75BA}">
      <text>
        <r>
          <rPr>
            <b/>
            <sz val="9"/>
            <color indexed="81"/>
            <rFont val="Tahoma"/>
            <family val="2"/>
          </rPr>
          <t>EUR
USD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<sst xmlns="http://schemas.openxmlformats.org/spreadsheetml/2006/main" count="525" uniqueCount="301">
  <si>
    <t>CORE (COst REport) - AT</t>
  </si>
  <si>
    <t>Fecha Actual</t>
  </si>
  <si>
    <t>Fecha Reporting</t>
  </si>
  <si>
    <t>Fecha de Inicio CORE</t>
  </si>
  <si>
    <t>Fecha Fin CORE</t>
  </si>
  <si>
    <t>WBS-Element</t>
  </si>
  <si>
    <t>Descripción</t>
  </si>
  <si>
    <t>Práctica principal</t>
  </si>
  <si>
    <t>Otras prácticas relacionadas</t>
  </si>
  <si>
    <t>CÓDIGO</t>
  </si>
  <si>
    <t>DESCRIPCIÓN</t>
  </si>
  <si>
    <t>Cliente</t>
  </si>
  <si>
    <t>Contrato / Expediente</t>
  </si>
  <si>
    <t>Pedido (Order)</t>
  </si>
  <si>
    <t>COD EMPLEADO</t>
  </si>
  <si>
    <t>NOMBRE Y APELLIDOS</t>
  </si>
  <si>
    <t>Project Manager</t>
  </si>
  <si>
    <t>Practice Leader</t>
  </si>
  <si>
    <t>Sales Manager</t>
  </si>
  <si>
    <t>PRESUPUESTO INICIAL (PPO)</t>
  </si>
  <si>
    <t>Pedido</t>
  </si>
  <si>
    <t>Horas estimadas</t>
  </si>
  <si>
    <t>Coste Recursos</t>
  </si>
  <si>
    <t>Riegos</t>
  </si>
  <si>
    <t>Garantía</t>
  </si>
  <si>
    <t>Gastos</t>
  </si>
  <si>
    <t>Compras</t>
  </si>
  <si>
    <t>Coste Directo</t>
  </si>
  <si>
    <t>Margen Directo</t>
  </si>
  <si>
    <t>Margen Bruto</t>
  </si>
  <si>
    <t>Comentarios adicionales Presupuesto inicial</t>
  </si>
  <si>
    <t>PRESUPUESTO YA CONSUMIDO</t>
  </si>
  <si>
    <t>Venta incurrida</t>
  </si>
  <si>
    <t>Horas realizadas</t>
  </si>
  <si>
    <t>Coste Recursos incurrido</t>
  </si>
  <si>
    <t>Gastos incurridos</t>
  </si>
  <si>
    <t>Compras incurridas</t>
  </si>
  <si>
    <t>Margen Directo (To Date)</t>
  </si>
  <si>
    <t>Facturación ya emitida</t>
  </si>
  <si>
    <t>Comentarios adicionales Presupuesto ya consumido</t>
  </si>
  <si>
    <t>Prácticas</t>
  </si>
  <si>
    <t>CAU</t>
  </si>
  <si>
    <t>Infraestructure MS</t>
  </si>
  <si>
    <t>Manufacturing</t>
  </si>
  <si>
    <t>Mobility solutions</t>
  </si>
  <si>
    <t>SCADAS and OT/IT</t>
  </si>
  <si>
    <t>Sfere</t>
  </si>
  <si>
    <t>Smart Integration</t>
  </si>
  <si>
    <t>Staff augmentation</t>
  </si>
  <si>
    <t>TIWORKS</t>
  </si>
  <si>
    <t>BASELINE ACTUAL</t>
  </si>
  <si>
    <t>pneta</t>
  </si>
  <si>
    <t>operac</t>
  </si>
  <si>
    <t>coste r.</t>
  </si>
  <si>
    <t>reservas</t>
  </si>
  <si>
    <t>gastos</t>
  </si>
  <si>
    <t>compras</t>
  </si>
  <si>
    <t>Venta</t>
  </si>
  <si>
    <t>PEDIDO
IMPORTE NETO</t>
  </si>
  <si>
    <t>COSTE RECURSOS</t>
  </si>
  <si>
    <t>HORAS</t>
  </si>
  <si>
    <t>RIESGOS</t>
  </si>
  <si>
    <t>GARANTÍA</t>
  </si>
  <si>
    <t>GASTOS</t>
  </si>
  <si>
    <t>COMPRAS</t>
  </si>
  <si>
    <t>COSTE DIRECTO</t>
  </si>
  <si>
    <t>MARGEN
DIRECTO</t>
  </si>
  <si>
    <t>MARGEN BRUTO</t>
  </si>
  <si>
    <t>PROYECCION DEL PROYECTO SIN REESTIMACIONES</t>
  </si>
  <si>
    <t>LINEA BASE ACTUAL - PROYECCION DEL PROYECTO FINAL</t>
  </si>
  <si>
    <t>BASELINE INICIAL</t>
  </si>
  <si>
    <t>FECHA</t>
  </si>
  <si>
    <t>LÍNEA DE PEDIDO</t>
  </si>
  <si>
    <t>IMPORTE NETO</t>
  </si>
  <si>
    <t>MARGEN DIRECTO</t>
  </si>
  <si>
    <t>Apertura contrato</t>
  </si>
  <si>
    <t>*** Ocultar estos datos en la versión definitiva</t>
  </si>
  <si>
    <t>Cambios sobre la BASELINE INICIAL</t>
  </si>
  <si>
    <t>TIPO CAMBIO</t>
  </si>
  <si>
    <t>AUTORIZADO POR CCO</t>
  </si>
  <si>
    <t>DATOS  ADICIONALES 
AMPLIACION</t>
  </si>
  <si>
    <t>ej:otro cliente, PO asociada, …</t>
  </si>
  <si>
    <t>TOTAL AMPLIACIONES</t>
  </si>
  <si>
    <t>TOTAL REESTIMACIONES</t>
  </si>
  <si>
    <t>Comentarios adicionales Cost Overview</t>
  </si>
  <si>
    <t>&lt;dd/mm/aaaa&gt; comentario
&lt;dd/mm/aaaa&gt; comentario
&lt;dd/mm/aaaa&gt; comentario</t>
  </si>
  <si>
    <t>Equipo GETRONICS. Costes hora por perfil.</t>
  </si>
  <si>
    <t>(!) IMPORTANTE: se debe indicar si cada perfil es o no INTERCO</t>
  </si>
  <si>
    <t>INICIALES</t>
  </si>
  <si>
    <t>INTERCO</t>
  </si>
  <si>
    <t>ROL</t>
  </si>
  <si>
    <t>Coste/hora</t>
  </si>
  <si>
    <t>Tarifa venta (Hora o Jornada)</t>
  </si>
  <si>
    <t>Tipo de Roles</t>
  </si>
  <si>
    <t>COD</t>
  </si>
  <si>
    <t>DESCRIPCION</t>
  </si>
  <si>
    <t>PM</t>
  </si>
  <si>
    <t>CO</t>
  </si>
  <si>
    <t>Consultor</t>
  </si>
  <si>
    <t>ANF</t>
  </si>
  <si>
    <t>Analista Funcional</t>
  </si>
  <si>
    <t>AP</t>
  </si>
  <si>
    <t>Analista Programador</t>
  </si>
  <si>
    <t>PR</t>
  </si>
  <si>
    <t>Programador</t>
  </si>
  <si>
    <t>TEST</t>
  </si>
  <si>
    <t>Tester</t>
  </si>
  <si>
    <t>ARQ</t>
  </si>
  <si>
    <t>Arquitecto</t>
  </si>
  <si>
    <t>SO</t>
  </si>
  <si>
    <t>Soporte</t>
  </si>
  <si>
    <t>TS</t>
  </si>
  <si>
    <t>Tecnico de sistemas</t>
  </si>
  <si>
    <t>INST</t>
  </si>
  <si>
    <t>Tecnico Instalaciones</t>
  </si>
  <si>
    <t>Soporte CAU</t>
  </si>
  <si>
    <t>COOR</t>
  </si>
  <si>
    <t>Coordinador</t>
  </si>
  <si>
    <t>TTL</t>
  </si>
  <si>
    <t>Technical Team Leader</t>
  </si>
  <si>
    <t>SEG</t>
  </si>
  <si>
    <t>Seguridad</t>
  </si>
  <si>
    <t>DG</t>
  </si>
  <si>
    <t>Diseño Gráfico</t>
  </si>
  <si>
    <t>Equipo GETRONICS</t>
  </si>
  <si>
    <t>COSTE TOTAL RECURSOS BASELINE</t>
  </si>
  <si>
    <t>PENDIENTE DE PLANIFICAR</t>
  </si>
  <si>
    <t>PENDIENTE DE PEDIDO</t>
  </si>
  <si>
    <t>CODIGO INTERCO</t>
  </si>
  <si>
    <t>HORAS REALES RECURSOS entidad PROYECTO + INTERCO</t>
  </si>
  <si>
    <t>Horas Reales</t>
  </si>
  <si>
    <t>Horas/Jornadas Facturables</t>
  </si>
  <si>
    <t>COSTE TOTAL RECURSOS entidad PROYECTO (euros)</t>
  </si>
  <si>
    <t>COSTE TOTAL RECURSOS INTERCO (euros)</t>
  </si>
  <si>
    <t>AJUSTE con SAP (en EUROS) para perfiles NO INTERCO</t>
  </si>
  <si>
    <t>AJUSTE con SAP (en EUROS) para perfiles INTERCO</t>
  </si>
  <si>
    <t>VENTA TOTAL HORAS/JORNADAS FACTURABLES (euros)</t>
  </si>
  <si>
    <t>PLANIFICADO BASELINE</t>
  </si>
  <si>
    <t>"accrual future loss"</t>
  </si>
  <si>
    <t>GARANTIA</t>
  </si>
  <si>
    <t>"Warranty Provisions"</t>
  </si>
  <si>
    <t>COSTE TOTAL GASTOS BASELINE</t>
  </si>
  <si>
    <t>(!) El coste de GASTOS planificado es mayor que el de la BASELINE</t>
  </si>
  <si>
    <t>TIPO GASTO</t>
  </si>
  <si>
    <t>DESCRIPCION GASTO</t>
  </si>
  <si>
    <t xml:space="preserve">INFORMACION ADICIONAL </t>
  </si>
  <si>
    <t>REFACTURABLE</t>
  </si>
  <si>
    <t>MARGEN</t>
  </si>
  <si>
    <t>TOTAL GASTOS</t>
  </si>
  <si>
    <t>VENTA GASTOS REFACTURABLES</t>
  </si>
  <si>
    <t xml:space="preserve">COSTE TOTAL COMPRAS BASELINE </t>
  </si>
  <si>
    <t>(!) El coste de COMPRAS planificado es mayor que el de la BASELINE</t>
  </si>
  <si>
    <t>PROVEEDOR</t>
  </si>
  <si>
    <t>DESCRIPCION COMPRA</t>
  </si>
  <si>
    <t>PO COMPRA</t>
  </si>
  <si>
    <t>INFOR ARIBA</t>
  </si>
  <si>
    <t>NO</t>
  </si>
  <si>
    <t>TOTAL COMPRAS</t>
  </si>
  <si>
    <t>VENTA COMPRAS REFACTURABLES</t>
  </si>
  <si>
    <t>Tipos Gasto</t>
  </si>
  <si>
    <t>Travelling Expenses</t>
  </si>
  <si>
    <t>Recruitment Fees</t>
  </si>
  <si>
    <t>Trainning Costs</t>
  </si>
  <si>
    <t>Salaries varios (becas,…)</t>
  </si>
  <si>
    <t>Fees</t>
  </si>
  <si>
    <t>Otros</t>
  </si>
  <si>
    <t>(!) La VENTA total planificada excede el PEDIDO</t>
  </si>
  <si>
    <t>LINEA BASE ACTUAL</t>
  </si>
  <si>
    <t>INICIAL</t>
  </si>
  <si>
    <t>+ INGRESOS PREVISTOS</t>
  </si>
  <si>
    <t>- COSTE RECURSOS</t>
  </si>
  <si>
    <t>- RIESGOS</t>
  </si>
  <si>
    <t>- GARANTIA</t>
  </si>
  <si>
    <t>- GASTOS</t>
  </si>
  <si>
    <t>- COMPRAS</t>
  </si>
  <si>
    <t>MARGEN DIRECTO (euros)</t>
  </si>
  <si>
    <t>MARGEN DIRECTO (%)</t>
  </si>
  <si>
    <t>REALIZADO + PREVISTO MES</t>
  </si>
  <si>
    <t>VENTA</t>
  </si>
  <si>
    <t>REALIZADO + PREVISTO ACUMULADO</t>
  </si>
  <si>
    <t>ANTERIOR</t>
  </si>
  <si>
    <t>VENTA ACUMULADA</t>
  </si>
  <si>
    <t>- COSTE RECURSOS ACUMULADO</t>
  </si>
  <si>
    <t>MARGEN DIRECTO ACUMULADO (euros)</t>
  </si>
  <si>
    <t>VENTA ACUMULADA REPORTADA SAP</t>
  </si>
  <si>
    <t xml:space="preserve">FACTURACION EMITIDA/PLANIFICADA </t>
  </si>
  <si>
    <t>FACTURACION ACUMULADA</t>
  </si>
  <si>
    <t>FACTURACION vs VENTA</t>
  </si>
  <si>
    <t>MARGEN DIRECTO  
(euros)</t>
  </si>
  <si>
    <t>MARGEN DIRECTO 
(%)</t>
  </si>
  <si>
    <t>LINEA BASE INICIAL</t>
  </si>
  <si>
    <t xml:space="preserve">LINEA BASE ACTUAL </t>
  </si>
  <si>
    <t>PROYECCIÓN PROYECTO (REAL + ESTIMADO)</t>
  </si>
  <si>
    <t>Diferencia de PROYECCION DEL PROYECTO con BASELINE ACTUAL</t>
  </si>
  <si>
    <t>REALIZADO</t>
  </si>
  <si>
    <t>% Avance</t>
  </si>
  <si>
    <t>Comentarios adicionales Cost Summary</t>
  </si>
  <si>
    <t>CORE PC - VENTA POR AVANCE DE COSTES</t>
  </si>
  <si>
    <t>Pasos para completar el CORE en la apertura de un proyecto</t>
  </si>
  <si>
    <t>1) Completar "Project Infor" incluyendo los datos del PPO</t>
  </si>
  <si>
    <t>2) Revisar "Cost Overview" con la información de la Baseline Inicial (Fila 10) para que esté ok con PPO</t>
  </si>
  <si>
    <r>
      <t xml:space="preserve">3) Completar los coste del personal que va a ejecutar el proyecto en "Resources". </t>
    </r>
    <r>
      <rPr>
        <sz val="12"/>
        <color rgb="FFFF670A"/>
        <rFont val="Verdana"/>
        <family val="2"/>
      </rPr>
      <t>IMPORTANTE: No indicar Nombre y Apellidos, solo Iniciales. También se debe indicar para cada perfil si es o no INTERCO porque ese dato se utiliza para calcular en coste de cada tipo de perfil y si no se completa no se tiene en cuenta el coste</t>
    </r>
    <r>
      <rPr>
        <sz val="12"/>
        <color theme="3" tint="-0.499984740745262"/>
        <rFont val="Verdana"/>
        <family val="2"/>
      </rPr>
      <t>.</t>
    </r>
  </si>
  <si>
    <t>4) Completar el Planning de Horas, Riesgos, Garantía, Gastos y Compras en "Cost Planning". Tendremos avisos sobre lo que no hayamos planificado en cada una de las secciones</t>
  </si>
  <si>
    <t>5) En "Monthly View" y "Cost Summary" tendremos la información de arranque del proyecto</t>
  </si>
  <si>
    <t>Pasos para completar la información mensual</t>
  </si>
  <si>
    <t>1) Introducir la Fecha de Reporting en "Project Infor", celda C8</t>
  </si>
  <si>
    <t>2) Introducir Ampliaciones y Reestimaciones en "Cost Overview"</t>
  </si>
  <si>
    <t>3) Actualizar Costes de Recursos en "Resources". Importante: como nuestros costes puede que no cuadren 100% con los de SAP, si tenemos el dato de los costes mensuales del mes pasado en SAP, metemos la diferencia en "Cost Planning" en las celdas amarillas. Así vamos corrigiendo las diferencias mes a mes. Si la diferencia es signiticativa tendremos que revisar los costes de los recursos por si alguno no está como en SAP.
Tambien en Resources tenemos que actualizar la tarifa de venta, ya sea por hora o por jornadas</t>
  </si>
  <si>
    <t xml:space="preserve">4) Actualizar el Planning de Horas Reales y Facturables,  Riesgos, Garantía, Gastos y Compras en "Cost Planning". Tendremos avisos sobre lo que no hayamos planificado en cada una de las secciones. Si por ejemplo nos vamos a gastar más en Horas y queremos reestimar Riesgos, tendremos que volver a la pestaña "Cost Overview" para ver qué reestimación sería necesaria. Las Reestimaciones tienen que tener validación por parte de Cost Control &amp; Optimization (CCO). </t>
  </si>
  <si>
    <t>5) Una vez actualizadas Ampliaciones, Reestimaciones y Plan de Costes tenemos en "Monthly View" la vista mensualizada de avance del proyecto en todos los conceptos de coste.
En la versión de Ats la venta mensual se calcula en función de las horas/jornadas facturables por la tarifa correspondiente.</t>
  </si>
  <si>
    <t xml:space="preserve">6) Actualizar Facturación en "Monthly View" - Fila 42. Una vez actualizada esta información tenemos en "Monthly View"-Fila 44 el dato de si estamos facturando por adelantado o no con respecto al acance en venta. En la pestaña Aux Billing Plan podemos guardar información de detalle sobre el Billing Plan por si nos facilita el seguimiento, pero no se utiliza para cálculos en el resto del CORE. </t>
  </si>
  <si>
    <t>6) Si en el mes anterior la Venta acumulada en SAP no coincide totalmente con la de CORE usaremos las celdas amarillas del "Monthly View" (Fila 40) para fijar la venta acumulada hasta el mes pasado para que la diferencia que tuvimos no impacte en el calculo de venta de este mes</t>
  </si>
  <si>
    <t>Normas para cumplimentar la Información</t>
  </si>
  <si>
    <t>Las celdas para completar información tendrán fondo blanco. También hay que completar las celdas con fondo azul que son las relacionadsa con Tarifa de venta y Horas/Jornadas facturables, que son los datos que se utilizarán para el cálculo de la venta mensual</t>
  </si>
  <si>
    <t>Las celdas para ajustar costes o venta con respecto a SAP tienen fondo amarillo y también se pueden completar cada mes si hace falta.</t>
  </si>
  <si>
    <t>No hay casi validaciones de campos así que el Project Manager será el responsable de que la información que se introduzca sea consistente (fechas de reporting, inicio y fin, costes, ingresos, fechas ampliaciones, facturaciones, …). Ejemplo si las fechas no son consistentes los cálculos fallarán.</t>
  </si>
  <si>
    <t>Los datos que tenemos que copiar en SAP, en la CJR2,  serían los siguientes:
- SALARIES: costes personal propio, aparecen en "Cost Planning" - Fila 40
- Subc Cost fr Affilia: costes personal INTERCO, aparecen en "Cost Planning" - Fila 41
- RISK (accrual future loss) : provisión para RIESGOS, aparece en "Cost Planning" - Fila 47
- WARRANTY: provisión para Garantía, aparece en "Cost Planning" - Fila 48
- GASTOS: costes provisionados para gatos varios (Becas, training, travelling expenses, ...), aparecen en "Cost Planning" - Fila 61
- COMPRAS: costes provisionados para compras (hardware, subcontractors, ...), aparecen en "Cost Planning" - Fila 77</t>
  </si>
  <si>
    <t>Los datos del FORECAST de VENTA aparecen en "Monthly View" - Fila 18. En la pestaña Aux Forecast se puede ir guardando el forecast proporcionado cada mes para tener una vista de la evolución de Forecast.</t>
  </si>
  <si>
    <t>IMPORTE NETO A FACTURAR</t>
  </si>
  <si>
    <t>(!) Faltan HITOS de FACTURACION por planificar</t>
  </si>
  <si>
    <t>TIPO FACTURA</t>
  </si>
  <si>
    <t>FECHA ESTIMADA FACTURA</t>
  </si>
  <si>
    <t>DCat</t>
  </si>
  <si>
    <t>CONCEPTO FACTURA</t>
  </si>
  <si>
    <t>IMPORTE FACTURA</t>
  </si>
  <si>
    <t>Currency</t>
  </si>
  <si>
    <t>IMPUESTOS (%)</t>
  </si>
  <si>
    <t>IMPORTE más  IMPUESTOS</t>
  </si>
  <si>
    <t>LINEA/S DE PEDIDO</t>
  </si>
  <si>
    <t>CLIENTE</t>
  </si>
  <si>
    <t>Ticket support 
BILLING &amp; COLLECTION</t>
  </si>
  <si>
    <t>FECHA FACTURA</t>
  </si>
  <si>
    <t>ENVIO FACTURA</t>
  </si>
  <si>
    <t>OTRA INFOR FACTURACION</t>
  </si>
  <si>
    <t>COBRADA</t>
  </si>
  <si>
    <t>TOTAL FACTURACION</t>
  </si>
  <si>
    <t>Comentarios adicionales Billing Plan</t>
  </si>
  <si>
    <t>Mes Forecast</t>
  </si>
  <si>
    <t>Comentarios adicionales Forecast</t>
  </si>
  <si>
    <t xml:space="preserve">MINISTERIO </t>
  </si>
  <si>
    <t>ENTIDADES 
que forman la UTE</t>
  </si>
  <si>
    <t xml:space="preserve">PORCENTAJE </t>
  </si>
  <si>
    <t>IMPORTE 
(sin IVA)</t>
  </si>
  <si>
    <t>INTERLOCUTOR</t>
  </si>
  <si>
    <t>INFOR ADICIONAL</t>
  </si>
  <si>
    <t>GERENTE UTE</t>
  </si>
  <si>
    <t>Nombre Apellidos</t>
  </si>
  <si>
    <t>Entidad 1</t>
  </si>
  <si>
    <t>DENOMINACION UTE</t>
  </si>
  <si>
    <t>UTE CONNECTIS ---</t>
  </si>
  <si>
    <t>Entidad 2</t>
  </si>
  <si>
    <t>IMPORTE CONTRATACION (SIN iva)</t>
  </si>
  <si>
    <t>(!) Los IMPORTES por ENTIDADES no coinciden con el TOTAL</t>
  </si>
  <si>
    <t>Entidad 3</t>
  </si>
  <si>
    <t>Entidad 4</t>
  </si>
  <si>
    <t>Entidad 5</t>
  </si>
  <si>
    <t>ENTIDAD 
que FACTURA</t>
  </si>
  <si>
    <t>ENVIADA a
utes@getronics.com</t>
  </si>
  <si>
    <t>FACTURA</t>
  </si>
  <si>
    <t>Factura Hito 1</t>
  </si>
  <si>
    <t>EUR</t>
  </si>
  <si>
    <t>MINISTERIO</t>
  </si>
  <si>
    <t>Portal efacturación</t>
  </si>
  <si>
    <t>Comentarios adicionales Gestión UTE</t>
  </si>
  <si>
    <t>CALENDARIO 1</t>
  </si>
  <si>
    <t>Descripción calendario</t>
  </si>
  <si>
    <t>HORAS/JORNADA</t>
  </si>
  <si>
    <t>HORAS JORNADA</t>
  </si>
  <si>
    <t>TOTAL HORAS MES</t>
  </si>
  <si>
    <t>CALENDARIO 2</t>
  </si>
  <si>
    <t>CALENDARIO 3</t>
  </si>
  <si>
    <t>CALENDARIO 4</t>
  </si>
  <si>
    <t>CALENDARIO 5</t>
  </si>
  <si>
    <t>CALENDARIO 6</t>
  </si>
  <si>
    <t>Advanced Services</t>
  </si>
  <si>
    <t>Advanced Services (Data Analytics)</t>
  </si>
  <si>
    <t>Advanced Services (PMO)</t>
  </si>
  <si>
    <t>Advanced Services (Testing &amp; QA)</t>
  </si>
  <si>
    <t>EAI (Enterprise App Integration) &amp; Cloud Native</t>
  </si>
  <si>
    <t>Outsourcing contracts &amp; Devops</t>
  </si>
  <si>
    <t>Tailored Software</t>
  </si>
  <si>
    <t>ZEV-ATE0012-1001</t>
  </si>
  <si>
    <t>Lote 2: Núcleo Estructural Java</t>
  </si>
  <si>
    <t>AMS</t>
  </si>
  <si>
    <t>CUST-CE-TEST</t>
  </si>
  <si>
    <t>Comunidad Educacion</t>
  </si>
  <si>
    <t>SLFC 20251160543</t>
  </si>
  <si>
    <t>SO-TEST-20251160543</t>
  </si>
  <si>
    <t>E92001</t>
  </si>
  <si>
    <t>PM AT Test</t>
  </si>
  <si>
    <t>E92002</t>
  </si>
  <si>
    <t>Practice Leader AT Test</t>
  </si>
  <si>
    <t>E92003</t>
  </si>
  <si>
    <t>Sales Manager AT Test</t>
  </si>
  <si>
    <t>E92012</t>
  </si>
  <si>
    <t>Susana Matarranz</t>
  </si>
  <si>
    <t>E92011</t>
  </si>
  <si>
    <t>Jorge Puertas</t>
  </si>
  <si>
    <t>E92013</t>
  </si>
  <si>
    <t>Sopore especializado</t>
  </si>
  <si>
    <t>Generado por RPA: 2026-05-11 09:11:46 | PPO=20251160543_PPO_CEducación_AMS_SI_Lote 2_v01.xlsm | NumeroSF=20251160543 | Tipo=AT | Campos PPO=7 | Datos SAP/SF del ejemplo: valores de prueba hardcodeados para validacion. | Revisar: campos externos, intercompany y planificacion.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</si>
</sst>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_-* #,##0.00\ _€_-;\-* #,##0.00\ _€_-;_-* &quot;-&quot;??\ _€_-;_-@_-"/>
    <numFmt numFmtId="166" formatCode="_-* #,##0.00\ [$€-C0A]_-;\-* #,##0.00\ [$€-C0A]_-;_-* &quot;-&quot;??\ [$€-C0A]_-;_-@_-"/>
    <numFmt numFmtId="167" formatCode="[$-C0A]mmm\-yy;@"/>
    <numFmt numFmtId="168" formatCode="[$-C0A]d\-mmm\-yy;@"/>
    <numFmt numFmtId="169" formatCode="#,##0.00_ ;\-#,##0.00\ "/>
    <numFmt numFmtId="170" formatCode="dd\.mm\.yyyy"/>
    <numFmt numFmtId="171" formatCode="#,##0.0"/>
    <numFmt numFmtId="172" formatCode="#,##0.00_ ;[Red]\-#,##0.00\ "/>
  </numFmts>
  <fonts count="55" x14ac:knownFonts="1">
    <font>
      <sz val="11"/>
      <color theme="1"/>
      <name val="Calibri"/>
      <family val="2"/>
      <scheme val="minor"/>
    </font>
    <font>
      <sz val="11"/>
      <color theme="1"/>
      <name val="Calibri"/>
      <family val="2"/>
      <scheme val="minor"/>
    </font>
    <font>
      <sz val="10"/>
      <color theme="1"/>
      <name val="Verdana"/>
      <family val="2"/>
    </font>
    <font>
      <sz val="8"/>
      <name val="Calibri"/>
      <family val="2"/>
      <scheme val="minor"/>
    </font>
    <font>
      <i/>
      <sz val="10"/>
      <color theme="1"/>
      <name val="Verdana"/>
      <family val="2"/>
    </font>
    <font>
      <sz val="10"/>
      <name val="Verdana"/>
      <family val="2"/>
    </font>
    <font>
      <b/>
      <sz val="10"/>
      <color rgb="FF035E00"/>
      <name val="Verdana"/>
      <family val="2"/>
    </font>
    <font>
      <sz val="10"/>
      <color rgb="FF035E00"/>
      <name val="Verdana"/>
      <family val="2"/>
    </font>
    <font>
      <sz val="18"/>
      <color theme="3" tint="-0.499984740745262"/>
      <name val="Verdana"/>
      <family val="2"/>
    </font>
    <font>
      <sz val="20"/>
      <color theme="3" tint="-0.499984740745262"/>
      <name val="Verdana"/>
      <family val="2"/>
    </font>
    <font>
      <b/>
      <sz val="11"/>
      <color theme="3" tint="-0.499984740745262"/>
      <name val="Verdana"/>
      <family val="2"/>
    </font>
    <font>
      <sz val="11"/>
      <color theme="3" tint="-0.499984740745262"/>
      <name val="Verdana"/>
      <family val="2"/>
    </font>
    <font>
      <sz val="11"/>
      <color rgb="FF035E00"/>
      <name val="Verdana"/>
      <family val="2"/>
    </font>
    <font>
      <sz val="11"/>
      <color theme="1"/>
      <name val="Verdana"/>
      <family val="2"/>
    </font>
    <font>
      <sz val="11"/>
      <color rgb="FFFF670A"/>
      <name val="Verdana"/>
      <family val="2"/>
    </font>
    <font>
      <sz val="11"/>
      <name val="Verdana"/>
      <family val="2"/>
    </font>
    <font>
      <b/>
      <sz val="10"/>
      <color theme="1"/>
      <name val="Verdana"/>
      <family val="2"/>
    </font>
    <font>
      <b/>
      <sz val="11"/>
      <color theme="1"/>
      <name val="Verdana"/>
      <family val="2"/>
    </font>
    <font>
      <b/>
      <sz val="11"/>
      <color rgb="FF035E00"/>
      <name val="Verdana"/>
      <family val="2"/>
    </font>
    <font>
      <sz val="11"/>
      <color rgb="FF00B050"/>
      <name val="Verdana"/>
      <family val="2"/>
    </font>
    <font>
      <sz val="10"/>
      <name val="Arial"/>
      <family val="2"/>
    </font>
    <font>
      <sz val="11"/>
      <name val="Arial"/>
      <family val="2"/>
    </font>
    <font>
      <b/>
      <sz val="14"/>
      <color rgb="FFFF0000"/>
      <name val="Verdana"/>
      <family val="2"/>
    </font>
    <font>
      <b/>
      <sz val="10"/>
      <color rgb="FFFF0000"/>
      <name val="Verdana"/>
      <family val="2"/>
    </font>
    <font>
      <sz val="10"/>
      <color rgb="FFFF670A"/>
      <name val="Verdana"/>
      <family val="2"/>
    </font>
    <font>
      <b/>
      <sz val="11"/>
      <color rgb="FFFF0000"/>
      <name val="Verdana"/>
      <family val="2"/>
    </font>
    <font>
      <sz val="12"/>
      <color theme="0"/>
      <name val="Verdana"/>
      <family val="2"/>
    </font>
    <font>
      <sz val="11"/>
      <color theme="0"/>
      <name val="Verdana"/>
      <family val="2"/>
    </font>
    <font>
      <b/>
      <sz val="11"/>
      <color theme="0"/>
      <name val="Verdana"/>
      <family val="2"/>
    </font>
    <font>
      <b/>
      <sz val="12"/>
      <color theme="0"/>
      <name val="Verdana"/>
      <family val="2"/>
    </font>
    <font>
      <sz val="12"/>
      <color theme="3" tint="-0.499984740745262"/>
      <name val="Verdana"/>
      <family val="2"/>
    </font>
    <font>
      <sz val="10"/>
      <color theme="0" tint="-0.499984740745262"/>
      <name val="Verdana"/>
      <family val="2"/>
    </font>
    <font>
      <sz val="9"/>
      <color theme="0" tint="-0.499984740745262"/>
      <name val="Verdana"/>
      <family val="2"/>
    </font>
    <font>
      <b/>
      <sz val="13"/>
      <color theme="3" tint="-0.499984740745262"/>
      <name val="Verdana"/>
      <family val="2"/>
    </font>
    <font>
      <sz val="13"/>
      <color theme="3" tint="-0.499984740745262"/>
      <name val="Verdana"/>
      <family val="2"/>
    </font>
    <font>
      <sz val="11"/>
      <color theme="0" tint="-0.499984740745262"/>
      <name val="Verdana"/>
      <family val="2"/>
    </font>
    <font>
      <b/>
      <sz val="11"/>
      <color rgb="FF1D252C"/>
      <name val="Verdana"/>
      <family val="2"/>
    </font>
    <font>
      <sz val="11"/>
      <color rgb="FF1D252C"/>
      <name val="Verdana"/>
      <family val="2"/>
    </font>
    <font>
      <sz val="11"/>
      <color rgb="FF03C000"/>
      <name val="Verdana"/>
      <family val="2"/>
    </font>
    <font>
      <i/>
      <sz val="10"/>
      <color rgb="FFFF8452"/>
      <name val="Verdana"/>
      <family val="2"/>
    </font>
    <font>
      <b/>
      <sz val="13"/>
      <color theme="1"/>
      <name val="Verdana"/>
      <family val="2"/>
    </font>
    <font>
      <b/>
      <sz val="16"/>
      <color rgb="FF03E100"/>
      <name val="Verdana"/>
      <family val="2"/>
    </font>
    <font>
      <b/>
      <sz val="11"/>
      <color theme="2" tint="-0.89999084444715716"/>
      <name val="Verdana"/>
      <family val="2"/>
    </font>
    <font>
      <sz val="11"/>
      <color theme="2" tint="-0.89999084444715716"/>
      <name val="Verdana"/>
      <family val="2"/>
    </font>
    <font>
      <sz val="11"/>
      <color rgb="FFE20000"/>
      <name val="Verdana"/>
      <family val="2"/>
    </font>
    <font>
      <sz val="12"/>
      <color rgb="FFE20000"/>
      <name val="Verdana"/>
      <family val="2"/>
    </font>
    <font>
      <sz val="10"/>
      <color theme="0"/>
      <name val="Verdana"/>
      <family val="2"/>
    </font>
    <font>
      <i/>
      <sz val="10"/>
      <color theme="0"/>
      <name val="Verdana"/>
      <family val="2"/>
    </font>
    <font>
      <sz val="10"/>
      <color rgb="FFFF0000"/>
      <name val="Verdana"/>
      <family val="2"/>
    </font>
    <font>
      <b/>
      <sz val="10"/>
      <color theme="0"/>
      <name val="Verdana"/>
      <family val="2"/>
    </font>
    <font>
      <sz val="9"/>
      <color indexed="81"/>
      <name val="Tahoma"/>
      <family val="2"/>
    </font>
    <font>
      <b/>
      <sz val="9"/>
      <color indexed="81"/>
      <name val="Tahoma"/>
      <family val="2"/>
    </font>
    <font>
      <sz val="11"/>
      <color theme="0" tint="-0.249977111117893"/>
      <name val="Verdana"/>
      <family val="2"/>
    </font>
    <font>
      <b/>
      <sz val="18"/>
      <color theme="3" tint="-0.499984740745262"/>
      <name val="Verdana"/>
      <family val="2"/>
    </font>
    <font>
      <sz val="12"/>
      <color rgb="FFFF670A"/>
      <name val="Verdana"/>
      <family val="2"/>
    </font>
  </fonts>
  <fills count="16">
    <fill>
      <patternFill patternType="none"/>
    </fill>
    <fill>
      <patternFill patternType="gray125"/>
    </fill>
    <fill>
      <patternFill patternType="solid">
        <fgColor rgb="FFA2B3AD"/>
        <bgColor indexed="64"/>
      </patternFill>
    </fill>
    <fill>
      <patternFill patternType="solid">
        <fgColor theme="0"/>
        <bgColor indexed="64"/>
      </patternFill>
    </fill>
    <fill>
      <patternFill patternType="solid">
        <fgColor rgb="FFD2E6E6"/>
        <bgColor indexed="64"/>
      </patternFill>
    </fill>
    <fill>
      <patternFill patternType="solid">
        <fgColor rgb="FFE4F0F0"/>
      </patternFill>
    </fill>
    <fill>
      <patternFill patternType="solid">
        <fgColor rgb="FFE6E6E6"/>
        <bgColor indexed="64"/>
      </patternFill>
    </fill>
    <fill>
      <patternFill patternType="solid">
        <fgColor rgb="FFEAEAEA"/>
        <bgColor indexed="64"/>
      </patternFill>
    </fill>
    <fill>
      <patternFill patternType="solid">
        <fgColor rgb="FFCDF9CC"/>
        <bgColor indexed="64"/>
      </patternFill>
    </fill>
    <fill>
      <patternFill patternType="solid">
        <fgColor rgb="FF323E48"/>
        <bgColor indexed="64"/>
      </patternFill>
    </fill>
    <fill>
      <patternFill patternType="solid">
        <fgColor rgb="FFFFE6DC"/>
        <bgColor indexed="64"/>
      </patternFill>
    </fill>
    <fill>
      <patternFill patternType="solid">
        <fgColor rgb="FFFFE0E0"/>
        <bgColor indexed="64"/>
      </patternFill>
    </fill>
    <fill>
      <patternFill patternType="solid">
        <fgColor theme="0" tint="-0.14996795556505021"/>
        <bgColor indexed="64"/>
      </patternFill>
    </fill>
    <fill>
      <patternFill patternType="solid">
        <fgColor rgb="FFF3F3F3"/>
        <bgColor indexed="64"/>
      </patternFill>
    </fill>
    <fill>
      <patternFill patternType="solid">
        <fgColor rgb="FFFFFF97"/>
        <bgColor indexed="64"/>
      </patternFill>
    </fill>
    <fill>
      <patternFill patternType="solid">
        <fgColor theme="4" tint="0.79998168889431442"/>
        <bgColor indexed="64"/>
      </patternFill>
    </fill>
  </fills>
  <borders count="43">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3"/>
      </bottom>
      <diagonal/>
    </border>
    <border>
      <left/>
      <right/>
      <top style="thin">
        <color theme="3"/>
      </top>
      <bottom style="thin">
        <color theme="3"/>
      </bottom>
      <diagonal/>
    </border>
    <border>
      <left style="thin">
        <color theme="3"/>
      </left>
      <right/>
      <top style="thin">
        <color theme="3"/>
      </top>
      <bottom style="thin">
        <color theme="3"/>
      </bottom>
      <diagonal/>
    </border>
    <border>
      <left/>
      <right style="thin">
        <color theme="3"/>
      </right>
      <top style="thin">
        <color theme="3"/>
      </top>
      <bottom style="thin">
        <color theme="3"/>
      </bottom>
      <diagonal/>
    </border>
    <border>
      <left/>
      <right/>
      <top style="thin">
        <color theme="3"/>
      </top>
      <bottom/>
      <diagonal/>
    </border>
    <border>
      <left style="thin">
        <color theme="3"/>
      </left>
      <right/>
      <top/>
      <bottom/>
      <diagonal/>
    </border>
    <border>
      <left/>
      <right/>
      <top style="thin">
        <color indexed="64"/>
      </top>
      <bottom style="thin">
        <color theme="3"/>
      </bottom>
      <diagonal/>
    </border>
    <border>
      <left/>
      <right/>
      <top style="thin">
        <color theme="3"/>
      </top>
      <bottom style="thin">
        <color indexed="64"/>
      </bottom>
      <diagonal/>
    </border>
    <border>
      <left/>
      <right/>
      <top/>
      <bottom style="medium">
        <color rgb="FFFF8452"/>
      </bottom>
      <diagonal/>
    </border>
    <border>
      <left/>
      <right style="medium">
        <color rgb="FFFF8452"/>
      </right>
      <top style="thin">
        <color theme="3"/>
      </top>
      <bottom style="thin">
        <color theme="3"/>
      </bottom>
      <diagonal/>
    </border>
    <border>
      <left/>
      <right/>
      <top style="thin">
        <color indexed="64"/>
      </top>
      <bottom style="medium">
        <color theme="3"/>
      </bottom>
      <diagonal/>
    </border>
    <border>
      <left/>
      <right/>
      <top style="medium">
        <color theme="3"/>
      </top>
      <bottom style="medium">
        <color theme="3"/>
      </bottom>
      <diagonal/>
    </border>
    <border>
      <left/>
      <right/>
      <top style="thin">
        <color theme="3"/>
      </top>
      <bottom style="medium">
        <color theme="3"/>
      </bottom>
      <diagonal/>
    </border>
    <border>
      <left/>
      <right/>
      <top style="medium">
        <color theme="3"/>
      </top>
      <bottom/>
      <diagonal/>
    </border>
    <border>
      <left/>
      <right/>
      <top/>
      <bottom style="medium">
        <color rgb="FFFF670A"/>
      </bottom>
      <diagonal/>
    </border>
    <border>
      <left/>
      <right style="medium">
        <color rgb="FFFF670A"/>
      </right>
      <top style="medium">
        <color rgb="FFFF670A"/>
      </top>
      <bottom style="medium">
        <color rgb="FFFF670A"/>
      </bottom>
      <diagonal/>
    </border>
    <border>
      <left/>
      <right/>
      <top style="medium">
        <color rgb="FFFF670A"/>
      </top>
      <bottom style="medium">
        <color rgb="FFFF670A"/>
      </bottom>
      <diagonal/>
    </border>
    <border>
      <left/>
      <right style="medium">
        <color rgb="FFFF670A"/>
      </right>
      <top/>
      <bottom style="thin">
        <color indexed="64"/>
      </bottom>
      <diagonal/>
    </border>
    <border>
      <left/>
      <right/>
      <top style="thin">
        <color indexed="64"/>
      </top>
      <bottom style="medium">
        <color rgb="FFFF670A"/>
      </bottom>
      <diagonal/>
    </border>
    <border>
      <left/>
      <right/>
      <top/>
      <bottom style="thin">
        <color rgb="FF03C000"/>
      </bottom>
      <diagonal/>
    </border>
    <border>
      <left/>
      <right/>
      <top style="medium">
        <color theme="3" tint="-0.499984740745262"/>
      </top>
      <bottom style="medium">
        <color theme="3" tint="-0.499984740745262"/>
      </bottom>
      <diagonal/>
    </border>
    <border>
      <left/>
      <right/>
      <top/>
      <bottom style="medium">
        <color theme="3" tint="-0.499984740745262"/>
      </bottom>
      <diagonal/>
    </border>
    <border>
      <left/>
      <right/>
      <top style="thin">
        <color rgb="FF248188"/>
      </top>
      <bottom style="thin">
        <color theme="3"/>
      </bottom>
      <diagonal/>
    </border>
    <border>
      <left/>
      <right/>
      <top style="thin">
        <color rgb="FFFF670A"/>
      </top>
      <bottom style="thin">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FF8452"/>
      </left>
      <right style="medium">
        <color rgb="FFFF8452"/>
      </right>
      <top style="medium">
        <color rgb="FFFF8452"/>
      </top>
      <bottom style="medium">
        <color rgb="FFFF8452"/>
      </bottom>
      <diagonal/>
    </border>
    <border>
      <left/>
      <right/>
      <top/>
      <bottom style="medium">
        <color theme="3"/>
      </bottom>
      <diagonal/>
    </border>
    <border>
      <left/>
      <right/>
      <top/>
      <bottom style="thin">
        <color theme="1"/>
      </bottom>
      <diagonal/>
    </border>
    <border>
      <left/>
      <right/>
      <top style="thin">
        <color indexed="64"/>
      </top>
      <bottom style="thin">
        <color theme="1"/>
      </bottom>
      <diagonal/>
    </border>
    <border>
      <left/>
      <right/>
      <top style="thin">
        <color theme="1"/>
      </top>
      <bottom style="thin">
        <color theme="1"/>
      </bottom>
      <diagonal/>
    </border>
    <border>
      <left/>
      <right/>
      <top style="thin">
        <color theme="1"/>
      </top>
      <bottom/>
      <diagonal/>
    </border>
    <border>
      <left/>
      <right/>
      <top style="thin">
        <color indexed="64"/>
      </top>
      <bottom/>
      <diagonal/>
    </border>
    <border>
      <left/>
      <right/>
      <top style="thin">
        <color theme="3"/>
      </top>
      <bottom style="hair">
        <color indexed="64"/>
      </bottom>
      <diagonal/>
    </border>
    <border>
      <left/>
      <right/>
      <top style="thin">
        <color indexed="64"/>
      </top>
      <bottom style="hair">
        <color indexed="64"/>
      </bottom>
      <diagonal/>
    </border>
    <border>
      <left/>
      <right/>
      <top style="hair">
        <color indexed="64"/>
      </top>
      <bottom style="thin">
        <color theme="3"/>
      </bottom>
      <diagonal/>
    </border>
    <border>
      <left style="medium">
        <color rgb="FFFF670A"/>
      </left>
      <right/>
      <top style="medium">
        <color rgb="FFFF670A"/>
      </top>
      <bottom style="medium">
        <color rgb="FFFF670A"/>
      </bottom>
      <diagonal/>
    </border>
    <border>
      <left style="medium">
        <color indexed="64"/>
      </left>
      <right/>
      <top style="medium">
        <color rgb="FFFF670A"/>
      </top>
      <bottom style="medium">
        <color rgb="FFFF670A"/>
      </bottom>
      <diagonal/>
    </border>
    <border>
      <left style="medium">
        <color rgb="FFFF670A"/>
      </left>
      <right style="medium">
        <color indexed="64"/>
      </right>
      <top style="medium">
        <color rgb="FFFF670A"/>
      </top>
      <bottom style="medium">
        <color rgb="FFFF670A"/>
      </bottom>
      <diagonal/>
    </border>
    <border>
      <left/>
      <right style="medium">
        <color rgb="FFFF670A"/>
      </right>
      <top/>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0" fontId="11" fillId="4" borderId="1">
      <alignment vertical="center"/>
    </xf>
    <xf numFmtId="0" fontId="11" fillId="5" borderId="1" applyBorder="0">
      <alignment vertical="center"/>
    </xf>
  </cellStyleXfs>
  <cellXfs count="336">
    <xf numFmtId="0" fontId="0" fillId="0" borderId="0" xfId="0"/>
    <xf numFmtId="0" fontId="11" fillId="3" borderId="4" xfId="0" applyFont="1" applyFill="1" applyBorder="1" applyAlignment="1" applyProtection="1">
      <alignment horizontal="left" vertical="center"/>
      <protection locked="0"/>
    </xf>
    <xf numFmtId="4" fontId="11" fillId="0" borderId="4" xfId="0" applyNumberFormat="1" applyFont="1" applyBorder="1" applyAlignment="1" applyProtection="1">
      <alignment horizontal="right" vertical="center"/>
      <protection locked="0"/>
    </xf>
    <xf numFmtId="14" fontId="11" fillId="3" borderId="4" xfId="0" applyNumberFormat="1"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wrapText="1"/>
      <protection locked="0"/>
    </xf>
    <xf numFmtId="40" fontId="11" fillId="3" borderId="4" xfId="0" applyNumberFormat="1" applyFont="1" applyFill="1" applyBorder="1" applyAlignment="1" applyProtection="1">
      <alignment horizontal="left" vertical="center"/>
      <protection locked="0"/>
    </xf>
    <xf numFmtId="40" fontId="11" fillId="3" borderId="4" xfId="0" applyNumberFormat="1" applyFont="1" applyFill="1" applyBorder="1" applyAlignment="1" applyProtection="1">
      <alignment horizontal="left"/>
      <protection locked="0"/>
    </xf>
    <xf numFmtId="40" fontId="19" fillId="0" borderId="7" xfId="0" applyNumberFormat="1" applyFont="1" applyBorder="1" applyAlignment="1" applyProtection="1">
      <alignment horizontal="left" vertical="center"/>
      <protection locked="0"/>
    </xf>
    <xf numFmtId="9" fontId="11" fillId="3" borderId="4" xfId="2" applyFont="1" applyFill="1" applyBorder="1" applyAlignment="1" applyProtection="1">
      <alignment horizontal="left" vertical="center"/>
      <protection locked="0"/>
    </xf>
    <xf numFmtId="0" fontId="15" fillId="3" borderId="4" xfId="1" applyNumberFormat="1" applyFont="1" applyFill="1" applyBorder="1" applyAlignment="1" applyProtection="1">
      <alignment horizontal="left" vertical="center"/>
      <protection locked="0"/>
    </xf>
    <xf numFmtId="0" fontId="11" fillId="0" borderId="4" xfId="0" applyFont="1" applyBorder="1" applyAlignment="1" applyProtection="1">
      <alignment horizontal="left" vertical="center"/>
      <protection locked="0"/>
    </xf>
    <xf numFmtId="0" fontId="11" fillId="0" borderId="4" xfId="0" applyFont="1" applyBorder="1" applyAlignment="1" applyProtection="1">
      <alignment vertical="center"/>
      <protection locked="0"/>
    </xf>
    <xf numFmtId="0" fontId="11" fillId="0" borderId="0" xfId="0" applyFont="1" applyAlignment="1" applyProtection="1">
      <alignment vertical="center"/>
      <protection locked="0"/>
    </xf>
    <xf numFmtId="166" fontId="10" fillId="0" borderId="4" xfId="0" applyNumberFormat="1" applyFont="1" applyBorder="1" applyAlignment="1" applyProtection="1">
      <alignment horizontal="center"/>
      <protection locked="0"/>
    </xf>
    <xf numFmtId="164" fontId="11" fillId="0" borderId="4" xfId="1" applyFont="1" applyFill="1" applyBorder="1" applyAlignment="1" applyProtection="1">
      <alignment horizontal="center"/>
      <protection locked="0"/>
    </xf>
    <xf numFmtId="166" fontId="14" fillId="0" borderId="4" xfId="0" applyNumberFormat="1" applyFont="1" applyBorder="1" applyAlignment="1" applyProtection="1">
      <alignment horizontal="center"/>
      <protection locked="0"/>
    </xf>
    <xf numFmtId="10" fontId="11" fillId="0" borderId="4" xfId="0" applyNumberFormat="1" applyFont="1" applyBorder="1" applyAlignment="1" applyProtection="1">
      <alignment vertical="center"/>
      <protection locked="0"/>
    </xf>
    <xf numFmtId="40" fontId="11" fillId="7" borderId="4" xfId="0" applyNumberFormat="1" applyFont="1" applyFill="1" applyBorder="1" applyAlignment="1">
      <alignment vertical="center"/>
    </xf>
    <xf numFmtId="10" fontId="11" fillId="7" borderId="4" xfId="0" applyNumberFormat="1" applyFont="1" applyFill="1" applyBorder="1" applyAlignment="1">
      <alignment vertical="center"/>
    </xf>
    <xf numFmtId="0" fontId="10" fillId="7" borderId="3" xfId="0" applyFont="1" applyFill="1" applyBorder="1" applyAlignment="1">
      <alignment vertical="center"/>
    </xf>
    <xf numFmtId="0" fontId="13" fillId="7" borderId="3" xfId="0" applyFont="1" applyFill="1" applyBorder="1" applyAlignment="1">
      <alignment vertical="center"/>
    </xf>
    <xf numFmtId="0" fontId="2" fillId="0" borderId="0" xfId="0" applyFont="1"/>
    <xf numFmtId="0" fontId="7" fillId="0" borderId="0" xfId="0" applyFont="1" applyAlignment="1">
      <alignment vertical="center"/>
    </xf>
    <xf numFmtId="0" fontId="6" fillId="0" borderId="0" xfId="0" applyFont="1" applyAlignment="1">
      <alignment horizontal="left" vertical="center"/>
    </xf>
    <xf numFmtId="0" fontId="2" fillId="0" borderId="0" xfId="0" applyFont="1" applyAlignment="1">
      <alignment vertical="center"/>
    </xf>
    <xf numFmtId="0" fontId="16" fillId="0" borderId="2" xfId="0" applyFont="1" applyBorder="1" applyAlignment="1">
      <alignment vertical="center"/>
    </xf>
    <xf numFmtId="40" fontId="31" fillId="0" borderId="3" xfId="0" applyNumberFormat="1" applyFont="1" applyBorder="1" applyAlignment="1">
      <alignment horizontal="right" wrapText="1"/>
    </xf>
    <xf numFmtId="0" fontId="31" fillId="0" borderId="3" xfId="0" applyFont="1" applyBorder="1" applyAlignment="1">
      <alignment horizontal="right" wrapText="1"/>
    </xf>
    <xf numFmtId="40" fontId="11" fillId="7" borderId="15" xfId="0" applyNumberFormat="1" applyFont="1" applyFill="1" applyBorder="1" applyAlignment="1">
      <alignment horizontal="right" vertical="center"/>
    </xf>
    <xf numFmtId="40" fontId="11" fillId="7" borderId="0" xfId="0" applyNumberFormat="1" applyFont="1" applyFill="1" applyAlignment="1">
      <alignment horizontal="right" vertical="center"/>
    </xf>
    <xf numFmtId="40" fontId="15" fillId="7" borderId="0" xfId="0" applyNumberFormat="1" applyFont="1" applyFill="1" applyAlignment="1">
      <alignment horizontal="right" vertical="center"/>
    </xf>
    <xf numFmtId="40" fontId="15" fillId="7" borderId="15" xfId="0" applyNumberFormat="1" applyFont="1" applyFill="1" applyBorder="1" applyAlignment="1">
      <alignment horizontal="right" vertical="center"/>
    </xf>
    <xf numFmtId="10" fontId="11" fillId="7" borderId="7" xfId="0" applyNumberFormat="1" applyFont="1" applyFill="1" applyBorder="1" applyAlignment="1">
      <alignment horizontal="right" vertical="center"/>
    </xf>
    <xf numFmtId="40" fontId="33" fillId="7" borderId="14" xfId="0" applyNumberFormat="1" applyFont="1" applyFill="1" applyBorder="1" applyAlignment="1">
      <alignment horizontal="right" vertical="center"/>
    </xf>
    <xf numFmtId="40" fontId="33" fillId="7" borderId="16" xfId="0" applyNumberFormat="1" applyFont="1" applyFill="1" applyBorder="1" applyAlignment="1">
      <alignment horizontal="right" vertical="center"/>
    </xf>
    <xf numFmtId="40" fontId="33" fillId="7" borderId="0" xfId="0" applyNumberFormat="1" applyFont="1" applyFill="1" applyAlignment="1">
      <alignment horizontal="right" vertical="center"/>
    </xf>
    <xf numFmtId="10" fontId="34" fillId="7" borderId="16" xfId="0" applyNumberFormat="1" applyFont="1" applyFill="1" applyBorder="1" applyAlignment="1">
      <alignment horizontal="right" vertical="center"/>
    </xf>
    <xf numFmtId="10" fontId="34" fillId="7" borderId="14" xfId="0" applyNumberFormat="1" applyFont="1" applyFill="1" applyBorder="1" applyAlignment="1">
      <alignment horizontal="right" vertical="center"/>
    </xf>
    <xf numFmtId="40" fontId="7" fillId="3" borderId="0" xfId="0" applyNumberFormat="1" applyFont="1" applyFill="1" applyAlignment="1">
      <alignment horizontal="center" vertical="center"/>
    </xf>
    <xf numFmtId="40" fontId="7" fillId="3" borderId="16" xfId="0" applyNumberFormat="1" applyFont="1" applyFill="1" applyBorder="1" applyAlignment="1">
      <alignment horizontal="center" vertical="center"/>
    </xf>
    <xf numFmtId="40" fontId="7" fillId="3" borderId="16" xfId="0" applyNumberFormat="1" applyFont="1" applyFill="1" applyBorder="1" applyAlignment="1">
      <alignment horizontal="right" vertical="center"/>
    </xf>
    <xf numFmtId="10" fontId="7" fillId="3" borderId="16" xfId="0" applyNumberFormat="1" applyFont="1" applyFill="1" applyBorder="1" applyAlignment="1">
      <alignment horizontal="center" vertical="center"/>
    </xf>
    <xf numFmtId="0" fontId="31" fillId="0" borderId="3" xfId="0" applyFont="1" applyBorder="1" applyAlignment="1">
      <alignment horizontal="left" wrapText="1"/>
    </xf>
    <xf numFmtId="40" fontId="31" fillId="0" borderId="3" xfId="0" applyNumberFormat="1" applyFont="1" applyBorder="1" applyAlignment="1">
      <alignment horizontal="left" wrapText="1"/>
    </xf>
    <xf numFmtId="14" fontId="11" fillId="7" borderId="4" xfId="0" applyNumberFormat="1" applyFont="1" applyFill="1" applyBorder="1" applyAlignment="1">
      <alignment horizontal="left" vertical="center" wrapText="1"/>
    </xf>
    <xf numFmtId="0" fontId="11" fillId="7" borderId="4" xfId="0" applyFont="1" applyFill="1" applyBorder="1" applyAlignment="1">
      <alignment horizontal="left" vertical="center" wrapText="1"/>
    </xf>
    <xf numFmtId="40" fontId="11" fillId="7" borderId="4" xfId="0" applyNumberFormat="1" applyFont="1" applyFill="1" applyBorder="1" applyAlignment="1">
      <alignment horizontal="right" vertical="center" wrapText="1"/>
    </xf>
    <xf numFmtId="10" fontId="11" fillId="7" borderId="4" xfId="0" applyNumberFormat="1" applyFont="1" applyFill="1" applyBorder="1" applyAlignment="1">
      <alignment horizontal="right" vertical="center"/>
    </xf>
    <xf numFmtId="10" fontId="11" fillId="7" borderId="4" xfId="0" applyNumberFormat="1" applyFont="1" applyFill="1" applyBorder="1" applyAlignment="1">
      <alignment horizontal="right" vertical="center" wrapText="1"/>
    </xf>
    <xf numFmtId="0" fontId="31" fillId="0" borderId="3" xfId="0" applyFont="1" applyBorder="1" applyAlignment="1">
      <alignment wrapText="1"/>
    </xf>
    <xf numFmtId="40" fontId="11" fillId="8" borderId="4" xfId="0" applyNumberFormat="1" applyFont="1" applyFill="1" applyBorder="1" applyAlignment="1">
      <alignment vertical="center"/>
    </xf>
    <xf numFmtId="10" fontId="11" fillId="8" borderId="4" xfId="0" applyNumberFormat="1" applyFont="1" applyFill="1" applyBorder="1" applyAlignment="1">
      <alignment vertical="center"/>
    </xf>
    <xf numFmtId="0" fontId="22" fillId="0" borderId="0" xfId="0" applyFont="1"/>
    <xf numFmtId="0" fontId="22" fillId="0" borderId="0" xfId="0" applyFont="1" applyAlignment="1">
      <alignment vertical="center"/>
    </xf>
    <xf numFmtId="14" fontId="11" fillId="0" borderId="29" xfId="0" applyNumberFormat="1" applyFont="1" applyBorder="1" applyAlignment="1" applyProtection="1">
      <alignment horizontal="left" vertical="center"/>
      <protection locked="0"/>
    </xf>
    <xf numFmtId="170" fontId="11" fillId="3" borderId="4" xfId="0" applyNumberFormat="1" applyFont="1" applyFill="1" applyBorder="1" applyAlignment="1" applyProtection="1">
      <alignment horizontal="left" vertical="center"/>
      <protection locked="0"/>
    </xf>
    <xf numFmtId="0" fontId="2" fillId="0" borderId="0" xfId="0" applyFont="1" applyAlignment="1">
      <alignment horizontal="center"/>
    </xf>
    <xf numFmtId="0" fontId="9" fillId="0" borderId="0" xfId="0" applyFont="1" applyAlignment="1">
      <alignment horizontal="center"/>
    </xf>
    <xf numFmtId="0" fontId="2" fillId="0" borderId="3" xfId="0" applyFont="1" applyBorder="1"/>
    <xf numFmtId="0" fontId="2" fillId="0" borderId="11" xfId="0" applyFont="1" applyBorder="1"/>
    <xf numFmtId="0" fontId="48" fillId="0" borderId="0" xfId="0" applyFont="1"/>
    <xf numFmtId="0" fontId="11" fillId="7" borderId="12" xfId="0" applyFont="1" applyFill="1" applyBorder="1" applyAlignment="1">
      <alignment vertical="center"/>
    </xf>
    <xf numFmtId="0" fontId="46" fillId="0" borderId="0" xfId="0" applyFont="1"/>
    <xf numFmtId="14" fontId="47" fillId="0" borderId="0" xfId="0" applyNumberFormat="1" applyFont="1"/>
    <xf numFmtId="0" fontId="12" fillId="0" borderId="0" xfId="0" applyFont="1" applyAlignment="1">
      <alignment vertical="center"/>
    </xf>
    <xf numFmtId="0" fontId="11" fillId="0" borderId="0" xfId="0" applyFont="1" applyAlignment="1">
      <alignment vertical="center"/>
    </xf>
    <xf numFmtId="0" fontId="11" fillId="7" borderId="4" xfId="0" applyFont="1" applyFill="1" applyBorder="1" applyAlignment="1">
      <alignment vertical="center"/>
    </xf>
    <xf numFmtId="0" fontId="5" fillId="0" borderId="0" xfId="0" applyFont="1"/>
    <xf numFmtId="0" fontId="13" fillId="0" borderId="3" xfId="0" applyFont="1" applyBorder="1" applyAlignment="1">
      <alignment horizontal="left" vertical="center"/>
    </xf>
    <xf numFmtId="0" fontId="32" fillId="0" borderId="3" xfId="0" applyFont="1" applyBorder="1"/>
    <xf numFmtId="0" fontId="7" fillId="0" borderId="0" xfId="0" applyFont="1" applyAlignment="1">
      <alignment horizontal="left" vertical="center"/>
    </xf>
    <xf numFmtId="0" fontId="12" fillId="0" borderId="3" xfId="0" applyFont="1" applyBorder="1" applyAlignment="1">
      <alignment vertical="center"/>
    </xf>
    <xf numFmtId="0" fontId="32" fillId="0" borderId="3" xfId="0" applyFont="1" applyBorder="1" applyAlignment="1">
      <alignment horizontal="left"/>
    </xf>
    <xf numFmtId="0" fontId="7" fillId="0" borderId="7" xfId="0" applyFont="1" applyBorder="1" applyAlignment="1">
      <alignment vertical="center"/>
    </xf>
    <xf numFmtId="0" fontId="29" fillId="9" borderId="0" xfId="0" applyFont="1" applyFill="1" applyAlignment="1">
      <alignment horizontal="left" vertical="center"/>
    </xf>
    <xf numFmtId="0" fontId="28" fillId="9" borderId="0" xfId="0" applyFont="1" applyFill="1" applyAlignment="1">
      <alignment vertical="center"/>
    </xf>
    <xf numFmtId="0" fontId="7" fillId="0" borderId="3" xfId="0" applyFont="1" applyBorder="1" applyAlignment="1">
      <alignment horizontal="left" vertical="center"/>
    </xf>
    <xf numFmtId="0" fontId="11" fillId="7" borderId="3" xfId="0" applyFont="1" applyFill="1" applyBorder="1" applyAlignment="1">
      <alignment vertical="center"/>
    </xf>
    <xf numFmtId="166" fontId="10" fillId="7" borderId="3" xfId="0" applyNumberFormat="1" applyFont="1" applyFill="1" applyBorder="1" applyAlignment="1">
      <alignment horizontal="center"/>
    </xf>
    <xf numFmtId="0" fontId="12" fillId="0" borderId="4" xfId="0" applyFont="1" applyBorder="1" applyAlignment="1">
      <alignment horizontal="left" vertical="center"/>
    </xf>
    <xf numFmtId="0" fontId="11" fillId="0" borderId="4" xfId="0" applyFont="1" applyBorder="1" applyAlignment="1">
      <alignment horizontal="left" vertical="center"/>
    </xf>
    <xf numFmtId="0" fontId="11" fillId="7" borderId="0" xfId="0" applyFont="1" applyFill="1" applyAlignment="1">
      <alignment vertical="center"/>
    </xf>
    <xf numFmtId="10" fontId="10" fillId="8" borderId="4" xfId="2" applyNumberFormat="1" applyFont="1" applyFill="1" applyBorder="1" applyAlignment="1" applyProtection="1">
      <alignment vertical="center"/>
    </xf>
    <xf numFmtId="10" fontId="10" fillId="8" borderId="3" xfId="2" applyNumberFormat="1" applyFont="1" applyFill="1" applyBorder="1" applyAlignment="1" applyProtection="1">
      <alignment vertical="center"/>
    </xf>
    <xf numFmtId="0" fontId="2" fillId="0" borderId="8" xfId="0" applyFont="1" applyBorder="1" applyAlignment="1">
      <alignment vertical="center"/>
    </xf>
    <xf numFmtId="0" fontId="46" fillId="0" borderId="0" xfId="0" applyFont="1" applyAlignment="1">
      <alignment vertical="center"/>
    </xf>
    <xf numFmtId="0" fontId="16" fillId="0" borderId="0" xfId="0" applyFont="1"/>
    <xf numFmtId="0" fontId="49" fillId="0" borderId="0" xfId="0" applyFont="1" applyAlignment="1">
      <alignment vertical="center"/>
    </xf>
    <xf numFmtId="0" fontId="16" fillId="0" borderId="0" xfId="0" applyFont="1" applyAlignment="1">
      <alignment vertical="center"/>
    </xf>
    <xf numFmtId="0" fontId="7" fillId="0" borderId="0" xfId="0" applyFont="1"/>
    <xf numFmtId="0" fontId="46" fillId="3" borderId="0" xfId="0" applyFont="1" applyFill="1" applyAlignment="1">
      <alignment vertical="center"/>
    </xf>
    <xf numFmtId="40" fontId="11" fillId="3" borderId="4" xfId="0" applyNumberFormat="1" applyFont="1" applyFill="1" applyBorder="1" applyAlignment="1" applyProtection="1">
      <alignment horizontal="right" vertical="center"/>
      <protection locked="0"/>
    </xf>
    <xf numFmtId="0" fontId="11" fillId="3" borderId="4" xfId="0" applyFont="1" applyFill="1" applyBorder="1" applyAlignment="1" applyProtection="1">
      <alignment horizontal="left" vertical="top" wrapText="1"/>
      <protection locked="0"/>
    </xf>
    <xf numFmtId="0" fontId="13" fillId="0" borderId="0" xfId="0" applyFont="1"/>
    <xf numFmtId="0" fontId="13" fillId="0" borderId="0" xfId="0" applyFont="1" applyAlignment="1">
      <alignment horizontal="center"/>
    </xf>
    <xf numFmtId="0" fontId="10" fillId="7" borderId="2" xfId="0" applyFont="1" applyFill="1" applyBorder="1" applyAlignment="1">
      <alignment vertical="center"/>
    </xf>
    <xf numFmtId="0" fontId="13" fillId="7" borderId="2" xfId="0" applyFont="1" applyFill="1" applyBorder="1" applyAlignment="1">
      <alignment horizontal="center" vertical="center"/>
    </xf>
    <xf numFmtId="0" fontId="12" fillId="0" borderId="0" xfId="0" applyFont="1" applyAlignment="1">
      <alignment horizontal="center" vertical="center"/>
    </xf>
    <xf numFmtId="0" fontId="18" fillId="0" borderId="0" xfId="0" applyFont="1" applyAlignment="1">
      <alignment horizontal="left" vertical="center"/>
    </xf>
    <xf numFmtId="0" fontId="13" fillId="0" borderId="0" xfId="0" applyFont="1" applyAlignment="1">
      <alignment vertical="center"/>
    </xf>
    <xf numFmtId="0" fontId="27" fillId="9" borderId="0" xfId="0" applyFont="1" applyFill="1" applyAlignment="1">
      <alignment vertical="center"/>
    </xf>
    <xf numFmtId="0" fontId="35" fillId="0" borderId="3" xfId="0" applyFont="1" applyBorder="1" applyAlignment="1">
      <alignment horizontal="left" wrapText="1"/>
    </xf>
    <xf numFmtId="167" fontId="35" fillId="0" borderId="3" xfId="0" applyNumberFormat="1" applyFont="1" applyBorder="1" applyAlignment="1">
      <alignment horizontal="left" wrapText="1"/>
    </xf>
    <xf numFmtId="0" fontId="17" fillId="0" borderId="0" xfId="0" applyFont="1"/>
    <xf numFmtId="0" fontId="15" fillId="0" borderId="0" xfId="0" applyFont="1"/>
    <xf numFmtId="49" fontId="11" fillId="7" borderId="4" xfId="0" applyNumberFormat="1" applyFont="1" applyFill="1" applyBorder="1" applyAlignment="1">
      <alignment horizontal="left" vertical="center"/>
    </xf>
    <xf numFmtId="0" fontId="25" fillId="0" borderId="0" xfId="0" applyFont="1"/>
    <xf numFmtId="0" fontId="11" fillId="3" borderId="0" xfId="0" applyFont="1" applyFill="1" applyAlignment="1">
      <alignment horizontal="center" vertical="center" wrapText="1"/>
    </xf>
    <xf numFmtId="0" fontId="26" fillId="9" borderId="0" xfId="0" applyFont="1" applyFill="1" applyAlignment="1">
      <alignment vertical="center"/>
    </xf>
    <xf numFmtId="0" fontId="13" fillId="0" borderId="0" xfId="0" applyFont="1" applyAlignment="1">
      <alignment horizontal="center" vertical="center"/>
    </xf>
    <xf numFmtId="0" fontId="13" fillId="0" borderId="17" xfId="0" applyFont="1" applyBorder="1" applyAlignment="1">
      <alignment vertical="center"/>
    </xf>
    <xf numFmtId="0" fontId="13" fillId="7" borderId="2" xfId="0" applyFont="1" applyFill="1" applyBorder="1" applyAlignment="1">
      <alignment vertical="center"/>
    </xf>
    <xf numFmtId="40" fontId="13" fillId="7" borderId="20" xfId="0" applyNumberFormat="1" applyFont="1" applyFill="1" applyBorder="1" applyAlignment="1">
      <alignment horizontal="left" vertical="center"/>
    </xf>
    <xf numFmtId="166" fontId="13" fillId="10" borderId="19" xfId="0" applyNumberFormat="1" applyFont="1" applyFill="1" applyBorder="1"/>
    <xf numFmtId="166" fontId="13" fillId="10" borderId="18" xfId="0" applyNumberFormat="1" applyFont="1" applyFill="1" applyBorder="1"/>
    <xf numFmtId="0" fontId="14" fillId="0" borderId="0" xfId="0" applyFont="1" applyAlignment="1">
      <alignment vertical="center"/>
    </xf>
    <xf numFmtId="0" fontId="38" fillId="3" borderId="22" xfId="0" applyFont="1" applyFill="1" applyBorder="1" applyAlignment="1">
      <alignment horizontal="left" vertical="center"/>
    </xf>
    <xf numFmtId="0" fontId="36" fillId="8" borderId="10" xfId="0" applyFont="1" applyFill="1" applyBorder="1" applyAlignment="1">
      <alignment horizontal="left" vertical="center"/>
    </xf>
    <xf numFmtId="0" fontId="37" fillId="8" borderId="10" xfId="0" applyFont="1" applyFill="1" applyBorder="1" applyAlignment="1">
      <alignment horizontal="left" vertical="center"/>
    </xf>
    <xf numFmtId="0" fontId="13" fillId="8" borderId="10" xfId="0" applyFont="1" applyFill="1" applyBorder="1" applyAlignment="1">
      <alignment horizontal="left" vertical="center"/>
    </xf>
    <xf numFmtId="169" fontId="13" fillId="8" borderId="10" xfId="1" applyNumberFormat="1" applyFont="1" applyFill="1" applyBorder="1" applyAlignment="1" applyProtection="1">
      <alignment horizontal="left" vertical="center"/>
    </xf>
    <xf numFmtId="0" fontId="36" fillId="8" borderId="2" xfId="0" applyFont="1" applyFill="1" applyBorder="1" applyAlignment="1">
      <alignment horizontal="left" vertical="center"/>
    </xf>
    <xf numFmtId="0" fontId="37" fillId="8" borderId="2" xfId="0" applyFont="1" applyFill="1" applyBorder="1" applyAlignment="1">
      <alignment horizontal="left" vertical="center"/>
    </xf>
    <xf numFmtId="0" fontId="13" fillId="8" borderId="2" xfId="0" applyFont="1" applyFill="1" applyBorder="1" applyAlignment="1">
      <alignment horizontal="left" vertical="center"/>
    </xf>
    <xf numFmtId="169" fontId="13" fillId="0" borderId="0" xfId="1" applyNumberFormat="1" applyFont="1" applyFill="1" applyBorder="1" applyAlignment="1" applyProtection="1">
      <alignment horizontal="center" vertical="center"/>
    </xf>
    <xf numFmtId="169" fontId="13" fillId="0" borderId="0" xfId="1" applyNumberFormat="1" applyFont="1" applyFill="1" applyBorder="1" applyAlignment="1" applyProtection="1">
      <alignment horizontal="center"/>
    </xf>
    <xf numFmtId="40" fontId="35" fillId="0" borderId="3" xfId="0" applyNumberFormat="1" applyFont="1" applyBorder="1" applyAlignment="1">
      <alignment horizontal="right" wrapText="1"/>
    </xf>
    <xf numFmtId="40" fontId="35" fillId="0" borderId="17" xfId="0" applyNumberFormat="1" applyFont="1" applyBorder="1" applyAlignment="1">
      <alignment horizontal="right" wrapText="1"/>
    </xf>
    <xf numFmtId="0" fontId="28" fillId="9" borderId="2" xfId="0" applyFont="1" applyFill="1" applyBorder="1" applyAlignment="1">
      <alignment horizontal="left" vertical="center"/>
    </xf>
    <xf numFmtId="40" fontId="13" fillId="7" borderId="2" xfId="0" applyNumberFormat="1" applyFont="1" applyFill="1" applyBorder="1" applyAlignment="1">
      <alignment vertical="center"/>
    </xf>
    <xf numFmtId="40" fontId="13" fillId="7" borderId="2" xfId="0" applyNumberFormat="1" applyFont="1" applyFill="1" applyBorder="1" applyAlignment="1">
      <alignment horizontal="right" vertical="center"/>
    </xf>
    <xf numFmtId="166" fontId="13" fillId="10" borderId="19" xfId="0" applyNumberFormat="1" applyFont="1" applyFill="1" applyBorder="1" applyAlignment="1">
      <alignment horizontal="right" vertical="center"/>
    </xf>
    <xf numFmtId="0" fontId="13" fillId="6" borderId="2" xfId="0" applyFont="1" applyFill="1" applyBorder="1" applyAlignment="1">
      <alignment horizontal="left" vertical="center"/>
    </xf>
    <xf numFmtId="0" fontId="28" fillId="9" borderId="1" xfId="0" applyFont="1" applyFill="1" applyBorder="1" applyAlignment="1">
      <alignment horizontal="left" vertical="center"/>
    </xf>
    <xf numFmtId="40" fontId="13" fillId="7" borderId="1" xfId="0" applyNumberFormat="1" applyFont="1" applyFill="1" applyBorder="1" applyAlignment="1">
      <alignment vertical="center"/>
    </xf>
    <xf numFmtId="40" fontId="13" fillId="7" borderId="1" xfId="0" applyNumberFormat="1" applyFont="1" applyFill="1" applyBorder="1" applyAlignment="1">
      <alignment horizontal="right" vertical="center"/>
    </xf>
    <xf numFmtId="0" fontId="13" fillId="6" borderId="1" xfId="0" applyFont="1" applyFill="1" applyBorder="1" applyAlignment="1">
      <alignment horizontal="left" vertical="center"/>
    </xf>
    <xf numFmtId="0" fontId="13" fillId="0" borderId="21" xfId="0" applyFont="1" applyBorder="1" applyAlignment="1">
      <alignment vertical="center"/>
    </xf>
    <xf numFmtId="0" fontId="36" fillId="8" borderId="10" xfId="0" applyFont="1" applyFill="1" applyBorder="1" applyAlignment="1">
      <alignment horizontal="left"/>
    </xf>
    <xf numFmtId="0" fontId="13" fillId="8" borderId="10" xfId="0" applyFont="1" applyFill="1" applyBorder="1" applyAlignment="1">
      <alignment horizontal="left"/>
    </xf>
    <xf numFmtId="169" fontId="13" fillId="8" borderId="10" xfId="1" applyNumberFormat="1" applyFont="1" applyFill="1" applyBorder="1" applyAlignment="1" applyProtection="1">
      <alignment horizontal="left"/>
    </xf>
    <xf numFmtId="0" fontId="2" fillId="2" borderId="0" xfId="0" applyFont="1" applyFill="1"/>
    <xf numFmtId="0" fontId="7" fillId="0" borderId="0" xfId="0" applyFont="1" applyAlignment="1">
      <alignment horizontal="center" vertical="center"/>
    </xf>
    <xf numFmtId="0" fontId="2" fillId="0" borderId="0" xfId="0" applyFont="1" applyAlignment="1">
      <alignment horizontal="center" vertical="center"/>
    </xf>
    <xf numFmtId="0" fontId="38" fillId="3" borderId="22" xfId="0" applyFont="1" applyFill="1" applyBorder="1" applyAlignment="1">
      <alignment horizontal="center" vertical="center"/>
    </xf>
    <xf numFmtId="0" fontId="35" fillId="0" borderId="3" xfId="0" applyFont="1" applyBorder="1" applyAlignment="1">
      <alignment horizontal="right" wrapText="1"/>
    </xf>
    <xf numFmtId="167" fontId="35" fillId="0" borderId="3" xfId="0" applyNumberFormat="1" applyFont="1" applyBorder="1" applyAlignment="1">
      <alignment horizontal="right" wrapText="1"/>
    </xf>
    <xf numFmtId="167" fontId="35" fillId="0" borderId="25" xfId="0" applyNumberFormat="1" applyFont="1" applyBorder="1" applyAlignment="1">
      <alignment horizontal="right" wrapText="1"/>
    </xf>
    <xf numFmtId="167" fontId="35" fillId="0" borderId="26" xfId="0" applyNumberFormat="1" applyFont="1" applyBorder="1" applyAlignment="1">
      <alignment horizontal="right" wrapText="1"/>
    </xf>
    <xf numFmtId="4" fontId="43" fillId="8" borderId="4" xfId="1" applyNumberFormat="1" applyFont="1" applyFill="1" applyBorder="1" applyAlignment="1" applyProtection="1">
      <alignment horizontal="right" vertical="center"/>
    </xf>
    <xf numFmtId="4" fontId="43" fillId="8" borderId="4" xfId="0" applyNumberFormat="1" applyFont="1" applyFill="1" applyBorder="1" applyAlignment="1">
      <alignment horizontal="right" vertical="center"/>
    </xf>
    <xf numFmtId="4" fontId="11" fillId="13" borderId="4" xfId="1" applyNumberFormat="1" applyFont="1" applyFill="1" applyBorder="1" applyAlignment="1" applyProtection="1">
      <alignment horizontal="right" vertical="center"/>
    </xf>
    <xf numFmtId="4" fontId="11" fillId="13" borderId="4" xfId="0" applyNumberFormat="1" applyFont="1" applyFill="1" applyBorder="1" applyAlignment="1">
      <alignment horizontal="right" vertical="center"/>
    </xf>
    <xf numFmtId="4" fontId="11" fillId="12" borderId="4" xfId="1" applyNumberFormat="1" applyFont="1" applyFill="1" applyBorder="1" applyAlignment="1" applyProtection="1">
      <alignment horizontal="right" vertical="center"/>
    </xf>
    <xf numFmtId="10" fontId="11" fillId="12" borderId="4" xfId="2" applyNumberFormat="1" applyFont="1" applyFill="1" applyBorder="1" applyAlignment="1" applyProtection="1">
      <alignment horizontal="center" vertical="center"/>
    </xf>
    <xf numFmtId="0" fontId="35" fillId="0" borderId="3" xfId="0" applyFont="1" applyBorder="1" applyAlignment="1">
      <alignment wrapText="1"/>
    </xf>
    <xf numFmtId="167" fontId="35" fillId="0" borderId="3" xfId="0" applyNumberFormat="1" applyFont="1" applyBorder="1" applyAlignment="1">
      <alignment wrapText="1"/>
    </xf>
    <xf numFmtId="171" fontId="11" fillId="12" borderId="4" xfId="1" applyNumberFormat="1" applyFont="1" applyFill="1" applyBorder="1" applyAlignment="1" applyProtection="1">
      <alignment horizontal="right" vertical="center"/>
    </xf>
    <xf numFmtId="4" fontId="15" fillId="13" borderId="4" xfId="0" applyNumberFormat="1" applyFont="1" applyFill="1" applyBorder="1" applyAlignment="1">
      <alignment horizontal="right" vertical="center"/>
    </xf>
    <xf numFmtId="4" fontId="15" fillId="12" borderId="4" xfId="1" applyNumberFormat="1" applyFont="1" applyFill="1" applyBorder="1" applyAlignment="1" applyProtection="1">
      <alignment horizontal="right" vertical="center"/>
    </xf>
    <xf numFmtId="172" fontId="11" fillId="12" borderId="4" xfId="1" applyNumberFormat="1" applyFont="1" applyFill="1" applyBorder="1" applyAlignment="1" applyProtection="1">
      <alignment horizontal="right" vertical="center"/>
    </xf>
    <xf numFmtId="4" fontId="11" fillId="8" borderId="4" xfId="0" applyNumberFormat="1" applyFont="1" applyFill="1" applyBorder="1" applyAlignment="1">
      <alignment horizontal="right" vertical="center"/>
    </xf>
    <xf numFmtId="0" fontId="23" fillId="0" borderId="0" xfId="0" applyFont="1"/>
    <xf numFmtId="0" fontId="48" fillId="0" borderId="0" xfId="0" applyFont="1" applyAlignment="1">
      <alignment vertical="center"/>
    </xf>
    <xf numFmtId="0" fontId="31" fillId="0" borderId="2" xfId="0" applyFont="1" applyBorder="1" applyAlignment="1">
      <alignment vertical="center"/>
    </xf>
    <xf numFmtId="10" fontId="39" fillId="0" borderId="0" xfId="2" applyNumberFormat="1" applyFont="1" applyAlignment="1" applyProtection="1">
      <alignment vertical="center"/>
    </xf>
    <xf numFmtId="10" fontId="39" fillId="0" borderId="0" xfId="0" applyNumberFormat="1" applyFont="1" applyAlignment="1">
      <alignment vertical="center"/>
    </xf>
    <xf numFmtId="0" fontId="39" fillId="0" borderId="0" xfId="0" applyFont="1" applyAlignment="1">
      <alignment vertical="center"/>
    </xf>
    <xf numFmtId="166" fontId="45" fillId="11" borderId="0" xfId="0" applyNumberFormat="1" applyFont="1" applyFill="1" applyAlignment="1">
      <alignment vertical="center"/>
    </xf>
    <xf numFmtId="0" fontId="21" fillId="0" borderId="0" xfId="0" applyFont="1"/>
    <xf numFmtId="40" fontId="21" fillId="0" borderId="0" xfId="0" applyNumberFormat="1" applyFont="1"/>
    <xf numFmtId="168" fontId="20" fillId="0" borderId="0" xfId="0" applyNumberFormat="1" applyFont="1"/>
    <xf numFmtId="0" fontId="20" fillId="0" borderId="0" xfId="0" applyFont="1"/>
    <xf numFmtId="0" fontId="13" fillId="3" borderId="0" xfId="0" applyFont="1" applyFill="1" applyAlignment="1">
      <alignment horizontal="left" vertical="top" wrapText="1"/>
    </xf>
    <xf numFmtId="0" fontId="41" fillId="0" borderId="0" xfId="0" applyFont="1" applyAlignment="1">
      <alignment horizontal="left" vertical="center" wrapText="1"/>
    </xf>
    <xf numFmtId="0" fontId="30" fillId="0" borderId="0" xfId="0" applyFont="1" applyAlignment="1">
      <alignment horizontal="left" vertical="center" wrapText="1"/>
    </xf>
    <xf numFmtId="0" fontId="13" fillId="0" borderId="0" xfId="0" applyFont="1" applyAlignment="1">
      <alignment horizontal="left" vertical="center" wrapText="1"/>
    </xf>
    <xf numFmtId="0" fontId="11" fillId="0" borderId="3" xfId="0" applyFont="1" applyBorder="1" applyAlignment="1" applyProtection="1">
      <alignment horizontal="left" vertical="center"/>
      <protection locked="0"/>
    </xf>
    <xf numFmtId="0" fontId="11" fillId="0" borderId="7" xfId="0" applyFont="1" applyBorder="1" applyAlignment="1" applyProtection="1">
      <alignment vertical="center"/>
      <protection locked="0"/>
    </xf>
    <xf numFmtId="4" fontId="11" fillId="14" borderId="4" xfId="0" applyNumberFormat="1" applyFont="1" applyFill="1" applyBorder="1" applyAlignment="1" applyProtection="1">
      <alignment horizontal="right" vertical="center"/>
      <protection locked="0"/>
    </xf>
    <xf numFmtId="169" fontId="52" fillId="8" borderId="10" xfId="1" applyNumberFormat="1" applyFont="1" applyFill="1" applyBorder="1" applyAlignment="1" applyProtection="1">
      <alignment horizontal="center" vertical="center"/>
    </xf>
    <xf numFmtId="0" fontId="4" fillId="0" borderId="0" xfId="0" applyFont="1"/>
    <xf numFmtId="40" fontId="11" fillId="3" borderId="0" xfId="0" applyNumberFormat="1" applyFont="1" applyFill="1" applyAlignment="1">
      <alignment horizontal="left" vertical="center"/>
    </xf>
    <xf numFmtId="14" fontId="11" fillId="0" borderId="4" xfId="0" applyNumberFormat="1" applyFont="1" applyBorder="1" applyAlignment="1" applyProtection="1">
      <alignment horizontal="left" vertical="center" wrapText="1"/>
      <protection locked="0"/>
    </xf>
    <xf numFmtId="0" fontId="46" fillId="0" borderId="3" xfId="0" applyFont="1" applyBorder="1"/>
    <xf numFmtId="14" fontId="11" fillId="7" borderId="3" xfId="0" applyNumberFormat="1" applyFont="1" applyFill="1" applyBorder="1" applyAlignment="1">
      <alignment horizontal="left" vertical="center"/>
    </xf>
    <xf numFmtId="0" fontId="12" fillId="0" borderId="3" xfId="0" applyFont="1" applyBorder="1" applyAlignment="1">
      <alignment horizontal="left" vertical="center"/>
    </xf>
    <xf numFmtId="0" fontId="11" fillId="0" borderId="3" xfId="0" applyFont="1" applyBorder="1" applyAlignment="1">
      <alignment horizontal="left" vertical="center"/>
    </xf>
    <xf numFmtId="0" fontId="2" fillId="0" borderId="3" xfId="0" applyFont="1" applyBorder="1" applyAlignment="1">
      <alignment vertical="center"/>
    </xf>
    <xf numFmtId="0" fontId="5" fillId="0" borderId="4" xfId="0" applyFont="1" applyBorder="1" applyAlignment="1" applyProtection="1">
      <alignment horizontal="left"/>
      <protection locked="0"/>
    </xf>
    <xf numFmtId="40" fontId="11" fillId="0" borderId="4" xfId="0" applyNumberFormat="1" applyFont="1" applyBorder="1" applyAlignment="1" applyProtection="1">
      <alignment horizontal="right" vertical="center"/>
      <protection locked="0"/>
    </xf>
    <xf numFmtId="167" fontId="35" fillId="0" borderId="3" xfId="0" applyNumberFormat="1" applyFont="1" applyBorder="1" applyAlignment="1" applyProtection="1">
      <alignment horizontal="right" wrapText="1"/>
      <protection locked="0"/>
    </xf>
    <xf numFmtId="164" fontId="43" fillId="0" borderId="4" xfId="1" applyFont="1" applyFill="1" applyBorder="1" applyAlignment="1" applyProtection="1">
      <alignment horizontal="right" vertical="center"/>
      <protection locked="0"/>
    </xf>
    <xf numFmtId="0" fontId="5" fillId="0" borderId="2" xfId="0" applyFont="1" applyBorder="1" applyAlignment="1" applyProtection="1">
      <alignment horizontal="left" vertical="center"/>
      <protection locked="0"/>
    </xf>
    <xf numFmtId="170" fontId="11" fillId="3" borderId="3" xfId="0" applyNumberFormat="1" applyFont="1" applyFill="1" applyBorder="1" applyAlignment="1" applyProtection="1">
      <alignment horizontal="left" vertical="center"/>
      <protection locked="0"/>
    </xf>
    <xf numFmtId="0" fontId="11" fillId="3" borderId="3" xfId="0" applyFont="1" applyFill="1" applyBorder="1" applyAlignment="1" applyProtection="1">
      <alignment horizontal="left" vertical="center" wrapText="1"/>
      <protection locked="0"/>
    </xf>
    <xf numFmtId="40" fontId="11" fillId="3" borderId="3" xfId="0" applyNumberFormat="1" applyFont="1" applyFill="1" applyBorder="1" applyAlignment="1" applyProtection="1">
      <alignment horizontal="left" vertical="center"/>
      <protection locked="0"/>
    </xf>
    <xf numFmtId="9" fontId="11" fillId="3" borderId="3" xfId="2" applyFont="1" applyFill="1" applyBorder="1" applyAlignment="1" applyProtection="1">
      <alignment horizontal="left" vertical="center"/>
      <protection locked="0"/>
    </xf>
    <xf numFmtId="0" fontId="15" fillId="3" borderId="3" xfId="1" applyNumberFormat="1" applyFont="1" applyFill="1" applyBorder="1" applyAlignment="1" applyProtection="1">
      <alignment horizontal="left" vertical="center"/>
      <protection locked="0"/>
    </xf>
    <xf numFmtId="0" fontId="5" fillId="0" borderId="4" xfId="0" applyFont="1" applyBorder="1" applyAlignment="1" applyProtection="1">
      <alignment horizontal="left" vertical="center"/>
      <protection locked="0"/>
    </xf>
    <xf numFmtId="0" fontId="5" fillId="0" borderId="3" xfId="0" applyFont="1" applyBorder="1" applyAlignment="1" applyProtection="1">
      <alignment horizontal="left" vertical="center"/>
      <protection locked="0"/>
    </xf>
    <xf numFmtId="10" fontId="11" fillId="7" borderId="3" xfId="0" applyNumberFormat="1" applyFont="1" applyFill="1" applyBorder="1" applyAlignment="1">
      <alignment horizontal="right" vertical="center"/>
    </xf>
    <xf numFmtId="40" fontId="10" fillId="7" borderId="31" xfId="0" applyNumberFormat="1" applyFont="1" applyFill="1" applyBorder="1" applyAlignment="1">
      <alignment horizontal="right" vertical="center"/>
    </xf>
    <xf numFmtId="10" fontId="11" fillId="7" borderId="31" xfId="0" applyNumberFormat="1" applyFont="1" applyFill="1" applyBorder="1" applyAlignment="1">
      <alignment horizontal="right" vertical="center"/>
    </xf>
    <xf numFmtId="0" fontId="31" fillId="0" borderId="31" xfId="0" applyFont="1" applyBorder="1" applyAlignment="1">
      <alignment horizontal="right" vertical="center"/>
    </xf>
    <xf numFmtId="40" fontId="31" fillId="0" borderId="31" xfId="0" applyNumberFormat="1" applyFont="1" applyBorder="1" applyAlignment="1">
      <alignment horizontal="center" wrapText="1"/>
    </xf>
    <xf numFmtId="40" fontId="31" fillId="0" borderId="31" xfId="0" applyNumberFormat="1" applyFont="1" applyBorder="1" applyAlignment="1">
      <alignment horizontal="right" wrapText="1"/>
    </xf>
    <xf numFmtId="0" fontId="31" fillId="0" borderId="31" xfId="0" applyFont="1" applyBorder="1" applyAlignment="1">
      <alignment horizontal="right" wrapText="1"/>
    </xf>
    <xf numFmtId="0" fontId="31" fillId="0" borderId="31" xfId="0" applyFont="1" applyBorder="1" applyAlignment="1">
      <alignment horizontal="center" wrapText="1"/>
    </xf>
    <xf numFmtId="40" fontId="10" fillId="7" borderId="33" xfId="0" applyNumberFormat="1" applyFont="1" applyFill="1" applyBorder="1" applyAlignment="1">
      <alignment horizontal="right" vertical="center"/>
    </xf>
    <xf numFmtId="10" fontId="11" fillId="7" borderId="33" xfId="0" applyNumberFormat="1" applyFont="1" applyFill="1" applyBorder="1" applyAlignment="1">
      <alignment horizontal="right" vertical="center"/>
    </xf>
    <xf numFmtId="10" fontId="39" fillId="0" borderId="34" xfId="2" applyNumberFormat="1" applyFont="1" applyBorder="1" applyAlignment="1" applyProtection="1">
      <alignment vertical="center"/>
    </xf>
    <xf numFmtId="10" fontId="39" fillId="0" borderId="34" xfId="0" applyNumberFormat="1" applyFont="1" applyBorder="1" applyAlignment="1">
      <alignment horizontal="right" vertical="center"/>
    </xf>
    <xf numFmtId="0" fontId="24" fillId="0" borderId="31" xfId="0" applyFont="1" applyBorder="1" applyAlignment="1">
      <alignment horizontal="right" vertical="center"/>
    </xf>
    <xf numFmtId="10" fontId="24" fillId="0" borderId="31" xfId="2" applyNumberFormat="1" applyFont="1" applyBorder="1" applyAlignment="1" applyProtection="1">
      <alignment vertical="center"/>
    </xf>
    <xf numFmtId="10" fontId="24" fillId="0" borderId="31" xfId="0" applyNumberFormat="1" applyFont="1" applyBorder="1" applyAlignment="1">
      <alignment horizontal="right" vertical="center"/>
    </xf>
    <xf numFmtId="0" fontId="10" fillId="7" borderId="31" xfId="0" applyFont="1" applyFill="1" applyBorder="1" applyAlignment="1">
      <alignment vertical="center"/>
    </xf>
    <xf numFmtId="0" fontId="13" fillId="7" borderId="31" xfId="0" applyFont="1" applyFill="1" applyBorder="1" applyAlignment="1">
      <alignment vertical="center"/>
    </xf>
    <xf numFmtId="0" fontId="13" fillId="7" borderId="31" xfId="0" applyFont="1" applyFill="1" applyBorder="1" applyAlignment="1">
      <alignment horizontal="center" vertical="center"/>
    </xf>
    <xf numFmtId="40" fontId="11" fillId="8" borderId="3" xfId="0" applyNumberFormat="1" applyFont="1" applyFill="1" applyBorder="1" applyAlignment="1">
      <alignment horizontal="left" vertical="center"/>
    </xf>
    <xf numFmtId="0" fontId="11" fillId="8" borderId="3" xfId="1" applyNumberFormat="1" applyFont="1" applyFill="1" applyBorder="1" applyAlignment="1" applyProtection="1">
      <alignment horizontal="left" vertical="center"/>
    </xf>
    <xf numFmtId="170" fontId="11" fillId="3" borderId="2" xfId="0" applyNumberFormat="1" applyFont="1" applyFill="1" applyBorder="1" applyAlignment="1" applyProtection="1">
      <alignment horizontal="left" vertical="center"/>
      <protection locked="0"/>
    </xf>
    <xf numFmtId="0" fontId="11" fillId="3" borderId="2" xfId="0" applyFont="1" applyFill="1" applyBorder="1" applyAlignment="1" applyProtection="1">
      <alignment horizontal="left" vertical="center" wrapText="1"/>
      <protection locked="0"/>
    </xf>
    <xf numFmtId="40" fontId="11" fillId="3" borderId="2" xfId="0" applyNumberFormat="1" applyFont="1" applyFill="1" applyBorder="1" applyAlignment="1" applyProtection="1">
      <alignment horizontal="left" vertical="center"/>
      <protection locked="0"/>
    </xf>
    <xf numFmtId="9" fontId="11" fillId="3" borderId="2" xfId="2" applyFont="1" applyFill="1" applyBorder="1" applyAlignment="1" applyProtection="1">
      <alignment horizontal="left" vertical="center"/>
      <protection locked="0"/>
    </xf>
    <xf numFmtId="0" fontId="15" fillId="3" borderId="2" xfId="1" applyNumberFormat="1" applyFont="1" applyFill="1" applyBorder="1" applyAlignment="1" applyProtection="1">
      <alignment horizontal="left" vertical="center"/>
      <protection locked="0"/>
    </xf>
    <xf numFmtId="170" fontId="13" fillId="0" borderId="0" xfId="0" applyNumberFormat="1" applyFont="1" applyAlignment="1" applyProtection="1">
      <alignment horizontal="left" vertical="center"/>
      <protection locked="0"/>
    </xf>
    <xf numFmtId="172" fontId="11" fillId="14" borderId="4" xfId="0" applyNumberFormat="1" applyFont="1" applyFill="1" applyBorder="1" applyAlignment="1" applyProtection="1">
      <alignment horizontal="left" vertical="center"/>
      <protection locked="0"/>
    </xf>
    <xf numFmtId="0" fontId="11" fillId="7" borderId="3" xfId="0" applyFont="1" applyFill="1" applyBorder="1" applyAlignment="1">
      <alignment vertical="center" wrapText="1"/>
    </xf>
    <xf numFmtId="0" fontId="44" fillId="11" borderId="0" xfId="0" applyFont="1" applyFill="1" applyAlignment="1">
      <alignment vertical="center"/>
    </xf>
    <xf numFmtId="10" fontId="11" fillId="3" borderId="4" xfId="2" applyNumberFormat="1" applyFont="1" applyFill="1" applyBorder="1" applyAlignment="1" applyProtection="1">
      <alignment vertical="center"/>
      <protection locked="0"/>
    </xf>
    <xf numFmtId="164" fontId="11" fillId="3" borderId="4" xfId="1" applyFont="1" applyFill="1" applyBorder="1" applyAlignment="1" applyProtection="1">
      <alignment vertical="center"/>
      <protection locked="0"/>
    </xf>
    <xf numFmtId="2" fontId="11" fillId="3" borderId="3" xfId="0" applyNumberFormat="1" applyFont="1" applyFill="1" applyBorder="1" applyAlignment="1" applyProtection="1">
      <alignment horizontal="center" vertical="center"/>
      <protection locked="0"/>
    </xf>
    <xf numFmtId="2" fontId="11" fillId="3" borderId="4" xfId="0" applyNumberFormat="1" applyFont="1" applyFill="1" applyBorder="1" applyAlignment="1" applyProtection="1">
      <alignment horizontal="center" vertical="center"/>
      <protection locked="0"/>
    </xf>
    <xf numFmtId="167" fontId="35" fillId="0" borderId="3" xfId="0" applyNumberFormat="1" applyFont="1" applyBorder="1" applyAlignment="1">
      <alignment horizontal="center" wrapText="1"/>
    </xf>
    <xf numFmtId="1" fontId="11" fillId="3" borderId="4" xfId="0" applyNumberFormat="1" applyFont="1" applyFill="1" applyBorder="1" applyAlignment="1" applyProtection="1">
      <alignment horizontal="center" vertical="center"/>
      <protection locked="0"/>
    </xf>
    <xf numFmtId="0" fontId="31" fillId="0" borderId="3" xfId="0" applyFont="1" applyBorder="1" applyAlignment="1" applyProtection="1">
      <alignment horizontal="left" wrapText="1"/>
      <protection locked="0"/>
    </xf>
    <xf numFmtId="40" fontId="31" fillId="0" borderId="3" xfId="0" applyNumberFormat="1" applyFont="1" applyBorder="1" applyAlignment="1" applyProtection="1">
      <alignment horizontal="left" wrapText="1"/>
      <protection locked="0"/>
    </xf>
    <xf numFmtId="40" fontId="31" fillId="0" borderId="3" xfId="0" applyNumberFormat="1" applyFont="1" applyBorder="1" applyAlignment="1" applyProtection="1">
      <alignment horizontal="right" wrapText="1"/>
      <protection locked="0"/>
    </xf>
    <xf numFmtId="0" fontId="31" fillId="0" borderId="3" xfId="0" applyFont="1" applyBorder="1" applyAlignment="1" applyProtection="1">
      <alignment horizontal="right" wrapText="1"/>
      <protection locked="0"/>
    </xf>
    <xf numFmtId="0" fontId="2" fillId="0" borderId="0" xfId="0" applyFont="1" applyProtection="1">
      <protection locked="0"/>
    </xf>
    <xf numFmtId="0" fontId="10" fillId="7" borderId="31" xfId="0" applyFont="1" applyFill="1" applyBorder="1" applyAlignment="1" applyProtection="1">
      <alignment vertical="center"/>
      <protection locked="0"/>
    </xf>
    <xf numFmtId="0" fontId="13" fillId="7" borderId="31" xfId="0" applyFont="1" applyFill="1" applyBorder="1" applyAlignment="1" applyProtection="1">
      <alignment vertical="center"/>
      <protection locked="0"/>
    </xf>
    <xf numFmtId="0" fontId="13" fillId="7" borderId="31" xfId="0"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6" fillId="0" borderId="0" xfId="0" applyFont="1" applyAlignment="1" applyProtection="1">
      <alignment horizontal="left" vertical="center"/>
      <protection locked="0"/>
    </xf>
    <xf numFmtId="0" fontId="2" fillId="0" borderId="24" xfId="0" applyFont="1" applyBorder="1" applyAlignment="1" applyProtection="1">
      <alignment vertical="center"/>
      <protection locked="0"/>
    </xf>
    <xf numFmtId="0" fontId="2" fillId="0" borderId="0" xfId="0" applyFont="1" applyAlignment="1" applyProtection="1">
      <alignment vertical="center"/>
      <protection locked="0"/>
    </xf>
    <xf numFmtId="0" fontId="33" fillId="8" borderId="23" xfId="0" applyFont="1" applyFill="1" applyBorder="1" applyAlignment="1" applyProtection="1">
      <alignment vertical="center"/>
      <protection locked="0"/>
    </xf>
    <xf numFmtId="40" fontId="40" fillId="8" borderId="23" xfId="0" applyNumberFormat="1" applyFont="1" applyFill="1" applyBorder="1" applyAlignment="1" applyProtection="1">
      <alignment horizontal="center" vertical="center"/>
      <protection locked="0"/>
    </xf>
    <xf numFmtId="166" fontId="45" fillId="11" borderId="0" xfId="0" applyNumberFormat="1" applyFont="1" applyFill="1" applyAlignment="1" applyProtection="1">
      <alignment vertical="center"/>
      <protection locked="0"/>
    </xf>
    <xf numFmtId="0" fontId="16" fillId="0" borderId="0" xfId="0" applyFont="1" applyAlignment="1" applyProtection="1">
      <alignment vertical="center"/>
      <protection locked="0"/>
    </xf>
    <xf numFmtId="0" fontId="16" fillId="0" borderId="0" xfId="0" applyFont="1" applyProtection="1">
      <protection locked="0"/>
    </xf>
    <xf numFmtId="0" fontId="5" fillId="0" borderId="0" xfId="0" applyFont="1" applyProtection="1">
      <protection locked="0"/>
    </xf>
    <xf numFmtId="0" fontId="7" fillId="0" borderId="0" xfId="0" applyFont="1" applyProtection="1">
      <protection locked="0"/>
    </xf>
    <xf numFmtId="40" fontId="11" fillId="8" borderId="3" xfId="0" applyNumberFormat="1" applyFont="1" applyFill="1" applyBorder="1" applyAlignment="1" applyProtection="1">
      <alignment horizontal="left" vertical="center"/>
      <protection locked="0"/>
    </xf>
    <xf numFmtId="0" fontId="11" fillId="8" borderId="3" xfId="1" applyNumberFormat="1" applyFont="1" applyFill="1" applyBorder="1" applyAlignment="1" applyProtection="1">
      <alignment horizontal="left" vertical="center"/>
      <protection locked="0"/>
    </xf>
    <xf numFmtId="0" fontId="22" fillId="0" borderId="0" xfId="0" applyFont="1" applyProtection="1">
      <protection locked="0"/>
    </xf>
    <xf numFmtId="0" fontId="22" fillId="0" borderId="0" xfId="0" applyFont="1" applyAlignment="1" applyProtection="1">
      <alignment vertical="center"/>
      <protection locked="0"/>
    </xf>
    <xf numFmtId="0" fontId="13" fillId="3" borderId="0" xfId="0" applyFont="1" applyFill="1" applyAlignment="1" applyProtection="1">
      <alignment horizontal="left" vertical="top" wrapText="1"/>
      <protection locked="0"/>
    </xf>
    <xf numFmtId="1" fontId="11" fillId="3" borderId="3" xfId="0" applyNumberFormat="1" applyFont="1" applyFill="1" applyBorder="1" applyAlignment="1" applyProtection="1">
      <alignment horizontal="center" vertical="center"/>
      <protection locked="0"/>
    </xf>
    <xf numFmtId="0" fontId="13" fillId="0" borderId="4" xfId="0" applyFont="1" applyBorder="1" applyAlignment="1">
      <alignment horizontal="right" vertical="center"/>
    </xf>
    <xf numFmtId="40" fontId="11" fillId="8" borderId="3" xfId="0" applyNumberFormat="1" applyFont="1" applyFill="1" applyBorder="1" applyAlignment="1">
      <alignment vertical="center"/>
    </xf>
    <xf numFmtId="2" fontId="11" fillId="8" borderId="3" xfId="0" applyNumberFormat="1" applyFont="1" applyFill="1" applyBorder="1" applyAlignment="1">
      <alignment horizontal="center" vertical="center"/>
    </xf>
    <xf numFmtId="0" fontId="13" fillId="0" borderId="3" xfId="0" applyFont="1" applyBorder="1" applyAlignment="1">
      <alignment horizontal="right" vertical="center"/>
    </xf>
    <xf numFmtId="40" fontId="11" fillId="3" borderId="36" xfId="0" applyNumberFormat="1" applyFont="1" applyFill="1" applyBorder="1" applyAlignment="1" applyProtection="1">
      <alignment horizontal="left" vertical="center"/>
      <protection locked="0"/>
    </xf>
    <xf numFmtId="40" fontId="11" fillId="15" borderId="3" xfId="0" applyNumberFormat="1" applyFont="1" applyFill="1" applyBorder="1" applyAlignment="1" applyProtection="1">
      <alignment horizontal="left" vertical="center"/>
      <protection locked="0"/>
    </xf>
    <xf numFmtId="0" fontId="13" fillId="6" borderId="0" xfId="0" applyFont="1" applyFill="1" applyAlignment="1">
      <alignment horizontal="left" vertical="center"/>
    </xf>
    <xf numFmtId="40" fontId="38" fillId="0" borderId="37" xfId="0" applyNumberFormat="1" applyFont="1" applyBorder="1" applyAlignment="1" applyProtection="1">
      <alignment horizontal="left" vertical="center"/>
      <protection locked="0"/>
    </xf>
    <xf numFmtId="40" fontId="38" fillId="0" borderId="36" xfId="0" applyNumberFormat="1" applyFont="1" applyBorder="1" applyAlignment="1" applyProtection="1">
      <alignment horizontal="left" vertical="center"/>
      <protection locked="0"/>
    </xf>
    <xf numFmtId="40" fontId="19" fillId="0" borderId="36" xfId="0" applyNumberFormat="1" applyFont="1" applyBorder="1" applyAlignment="1" applyProtection="1">
      <alignment horizontal="left" vertical="center"/>
      <protection locked="0"/>
    </xf>
    <xf numFmtId="40" fontId="19" fillId="0" borderId="0" xfId="0" applyNumberFormat="1" applyFont="1" applyAlignment="1" applyProtection="1">
      <alignment horizontal="left" vertical="center"/>
      <protection locked="0"/>
    </xf>
    <xf numFmtId="38" fontId="11" fillId="3" borderId="7" xfId="0" applyNumberFormat="1" applyFont="1" applyFill="1" applyBorder="1" applyAlignment="1" applyProtection="1">
      <alignment horizontal="left" vertical="center"/>
      <protection locked="0"/>
    </xf>
    <xf numFmtId="38" fontId="11" fillId="15" borderId="38" xfId="0" applyNumberFormat="1" applyFont="1" applyFill="1" applyBorder="1" applyAlignment="1" applyProtection="1">
      <alignment horizontal="left" vertical="center"/>
      <protection locked="0"/>
    </xf>
    <xf numFmtId="40" fontId="11" fillId="15" borderId="38" xfId="0" applyNumberFormat="1" applyFont="1" applyFill="1" applyBorder="1" applyAlignment="1" applyProtection="1">
      <alignment horizontal="left" vertical="center"/>
      <protection locked="0"/>
    </xf>
    <xf numFmtId="0" fontId="2" fillId="10" borderId="39" xfId="0" applyFont="1" applyFill="1" applyBorder="1"/>
    <xf numFmtId="166" fontId="13" fillId="10" borderId="40" xfId="0" applyNumberFormat="1" applyFont="1" applyFill="1" applyBorder="1"/>
    <xf numFmtId="0" fontId="2" fillId="10" borderId="41" xfId="0" applyFont="1" applyFill="1" applyBorder="1"/>
    <xf numFmtId="40" fontId="13" fillId="7" borderId="2" xfId="0" applyNumberFormat="1" applyFont="1" applyFill="1" applyBorder="1" applyAlignment="1">
      <alignment horizontal="left" vertical="center"/>
    </xf>
    <xf numFmtId="40" fontId="13" fillId="7" borderId="42" xfId="0" applyNumberFormat="1" applyFont="1" applyFill="1" applyBorder="1" applyAlignment="1">
      <alignment horizontal="left" vertical="center"/>
    </xf>
    <xf numFmtId="0" fontId="13" fillId="0" borderId="35" xfId="0" applyFont="1" applyBorder="1" applyAlignment="1">
      <alignment horizontal="center" vertical="center"/>
    </xf>
    <xf numFmtId="0" fontId="13" fillId="6" borderId="10" xfId="0" applyFont="1" applyFill="1" applyBorder="1" applyAlignment="1">
      <alignment horizontal="left" vertical="center"/>
    </xf>
    <xf numFmtId="169" fontId="11" fillId="8" borderId="10" xfId="1" applyNumberFormat="1" applyFont="1" applyFill="1" applyBorder="1" applyAlignment="1" applyProtection="1">
      <alignment horizontal="left" vertical="center"/>
    </xf>
    <xf numFmtId="49" fontId="11" fillId="7" borderId="37" xfId="0" applyNumberFormat="1" applyFont="1" applyFill="1" applyBorder="1" applyAlignment="1">
      <alignment vertical="center" wrapText="1"/>
    </xf>
    <xf numFmtId="0" fontId="15" fillId="7" borderId="3" xfId="0" applyFont="1" applyFill="1" applyBorder="1" applyAlignment="1">
      <alignment horizontal="left" vertical="center"/>
    </xf>
    <xf numFmtId="49" fontId="11" fillId="7" borderId="37" xfId="0" applyNumberFormat="1" applyFont="1" applyFill="1" applyBorder="1" applyAlignment="1">
      <alignment horizontal="left" vertical="center"/>
    </xf>
    <xf numFmtId="49" fontId="11" fillId="7" borderId="3" xfId="0" applyNumberFormat="1" applyFont="1" applyFill="1" applyBorder="1" applyAlignment="1">
      <alignment horizontal="left" vertical="center"/>
    </xf>
    <xf numFmtId="164" fontId="15" fillId="0" borderId="0" xfId="1" applyFont="1" applyProtection="1"/>
    <xf numFmtId="165" fontId="13" fillId="0" borderId="0" xfId="0" applyNumberFormat="1" applyFont="1"/>
    <xf numFmtId="0" fontId="11" fillId="3" borderId="4" xfId="0" applyFont="1" applyFill="1" applyBorder="1" applyAlignment="1" applyProtection="1">
      <alignment vertical="center"/>
      <protection locked="0"/>
    </xf>
    <xf numFmtId="0" fontId="11" fillId="3" borderId="3" xfId="0" applyFont="1" applyFill="1" applyBorder="1" applyAlignment="1" applyProtection="1">
      <alignment vertical="center"/>
      <protection locked="0"/>
    </xf>
    <xf numFmtId="40" fontId="35" fillId="0" borderId="3" xfId="0" applyNumberFormat="1" applyFont="1" applyBorder="1" applyAlignment="1">
      <alignment horizontal="left" wrapText="1"/>
    </xf>
    <xf numFmtId="0" fontId="10" fillId="7" borderId="4" xfId="0" applyFont="1" applyFill="1" applyBorder="1" applyAlignment="1">
      <alignment horizontal="left" vertical="center"/>
    </xf>
    <xf numFmtId="0" fontId="39" fillId="0" borderId="34" xfId="0" applyFont="1" applyBorder="1" applyAlignment="1">
      <alignment horizontal="right" vertical="center"/>
    </xf>
    <xf numFmtId="0" fontId="44" fillId="11" borderId="0" xfId="0" applyFont="1" applyFill="1" applyAlignment="1">
      <alignment horizontal="center" vertical="center"/>
    </xf>
    <xf numFmtId="0" fontId="10" fillId="7" borderId="9" xfId="0" applyFont="1" applyFill="1" applyBorder="1" applyAlignment="1">
      <alignment horizontal="left" vertical="center"/>
    </xf>
    <xf numFmtId="0" fontId="44" fillId="11" borderId="0" xfId="0" applyFont="1" applyFill="1" applyAlignment="1">
      <alignment horizontal="left" vertical="center"/>
    </xf>
    <xf numFmtId="0" fontId="42" fillId="8" borderId="4" xfId="0" quotePrefix="1" applyFont="1" applyFill="1" applyBorder="1" applyAlignment="1">
      <alignment horizontal="left" vertical="center"/>
    </xf>
    <xf numFmtId="0" fontId="15" fillId="13" borderId="4" xfId="0" quotePrefix="1" applyFont="1" applyFill="1" applyBorder="1" applyAlignment="1">
      <alignment horizontal="left" vertical="center"/>
    </xf>
    <xf numFmtId="0" fontId="15" fillId="12" borderId="4" xfId="0" quotePrefix="1" applyFont="1" applyFill="1" applyBorder="1" applyAlignment="1">
      <alignment horizontal="left" vertical="center"/>
    </xf>
    <xf numFmtId="0" fontId="11" fillId="12" borderId="4" xfId="0" quotePrefix="1" applyFont="1" applyFill="1" applyBorder="1" applyAlignment="1">
      <alignment horizontal="left" vertical="center"/>
    </xf>
    <xf numFmtId="0" fontId="10" fillId="8" borderId="4" xfId="0" quotePrefix="1" applyFont="1" applyFill="1" applyBorder="1" applyAlignment="1">
      <alignment horizontal="left" vertical="center"/>
    </xf>
    <xf numFmtId="0" fontId="13" fillId="3" borderId="27" xfId="0" applyFont="1" applyFill="1" applyBorder="1" applyAlignment="1" applyProtection="1">
      <alignment horizontal="left" vertical="top" wrapText="1"/>
      <protection locked="0"/>
    </xf>
    <xf numFmtId="0" fontId="13" fillId="3" borderId="1" xfId="0" applyFont="1" applyFill="1" applyBorder="1" applyAlignment="1" applyProtection="1">
      <alignment horizontal="left" vertical="top" wrapText="1"/>
      <protection locked="0"/>
    </xf>
    <xf numFmtId="0" fontId="13" fillId="3" borderId="28" xfId="0" applyFont="1" applyFill="1" applyBorder="1" applyAlignment="1" applyProtection="1">
      <alignment horizontal="left" vertical="top" wrapText="1"/>
      <protection locked="0"/>
    </xf>
    <xf numFmtId="0" fontId="39" fillId="0" borderId="0" xfId="0" applyFont="1" applyAlignment="1">
      <alignment horizontal="right" vertical="center"/>
    </xf>
    <xf numFmtId="0" fontId="10" fillId="7" borderId="32" xfId="0" applyFont="1" applyFill="1" applyBorder="1" applyAlignment="1">
      <alignment horizontal="left" vertical="center" wrapText="1"/>
    </xf>
    <xf numFmtId="0" fontId="10" fillId="7" borderId="31" xfId="0" applyFont="1" applyFill="1" applyBorder="1" applyAlignment="1">
      <alignment horizontal="left" vertical="center" wrapText="1"/>
    </xf>
    <xf numFmtId="0" fontId="10" fillId="7" borderId="33" xfId="0" applyFont="1" applyFill="1" applyBorder="1" applyAlignment="1">
      <alignment horizontal="left" vertical="center" wrapText="1"/>
    </xf>
    <xf numFmtId="0" fontId="39" fillId="0" borderId="34" xfId="0" applyFont="1" applyBorder="1" applyAlignment="1">
      <alignment horizontal="right" vertical="center"/>
    </xf>
    <xf numFmtId="0" fontId="44" fillId="11" borderId="0" xfId="0" applyFont="1" applyFill="1" applyAlignment="1">
      <alignment horizontal="center" vertical="center"/>
    </xf>
    <xf numFmtId="0" fontId="13" fillId="3" borderId="5" xfId="0" applyFont="1" applyFill="1" applyBorder="1" applyAlignment="1" applyProtection="1">
      <alignment horizontal="left" vertical="top" wrapText="1"/>
      <protection locked="0"/>
    </xf>
    <xf numFmtId="0" fontId="13" fillId="3" borderId="4" xfId="0" applyFont="1" applyFill="1" applyBorder="1" applyAlignment="1" applyProtection="1">
      <alignment horizontal="left" vertical="top" wrapText="1"/>
      <protection locked="0"/>
    </xf>
    <xf numFmtId="0" fontId="13" fillId="3" borderId="6" xfId="0" applyFont="1" applyFill="1" applyBorder="1" applyAlignment="1" applyProtection="1">
      <alignment horizontal="left" vertical="top" wrapText="1"/>
      <protection locked="0"/>
    </xf>
    <xf numFmtId="0" fontId="8" fillId="0" borderId="0" xfId="0" applyFont="1" applyAlignment="1">
      <alignment horizontal="center" vertical="top"/>
    </xf>
    <xf numFmtId="0" fontId="11" fillId="3" borderId="3" xfId="0" applyFont="1" applyFill="1" applyBorder="1" applyAlignment="1" applyProtection="1">
      <alignment horizontal="left" vertical="center"/>
      <protection locked="0"/>
    </xf>
    <xf numFmtId="0" fontId="11" fillId="3" borderId="4" xfId="0" applyFont="1" applyFill="1" applyBorder="1" applyAlignment="1" applyProtection="1">
      <alignment vertical="center"/>
      <protection locked="0"/>
    </xf>
    <xf numFmtId="0" fontId="11" fillId="3" borderId="3" xfId="0" applyFont="1" applyFill="1" applyBorder="1" applyAlignment="1" applyProtection="1">
      <alignment vertical="center"/>
      <protection locked="0"/>
    </xf>
    <xf numFmtId="0" fontId="11" fillId="3" borderId="2" xfId="0" applyFont="1" applyFill="1" applyBorder="1" applyAlignment="1" applyProtection="1">
      <alignment horizontal="left" vertical="center"/>
      <protection locked="0"/>
    </xf>
    <xf numFmtId="0" fontId="11" fillId="8" borderId="4" xfId="0" applyFont="1" applyFill="1" applyBorder="1" applyAlignment="1">
      <alignment horizontal="center" vertical="center" wrapText="1"/>
    </xf>
    <xf numFmtId="0" fontId="29" fillId="9" borderId="0" xfId="0" applyFont="1" applyFill="1" applyAlignment="1">
      <alignment horizontal="left" vertical="center"/>
    </xf>
    <xf numFmtId="0" fontId="11" fillId="7" borderId="13" xfId="0" applyFont="1" applyFill="1" applyBorder="1" applyAlignment="1">
      <alignment horizontal="center" vertical="center" wrapText="1"/>
    </xf>
    <xf numFmtId="0" fontId="11" fillId="7" borderId="30" xfId="0" applyFont="1" applyFill="1" applyBorder="1" applyAlignment="1">
      <alignment horizontal="center" vertical="center" wrapText="1"/>
    </xf>
    <xf numFmtId="0" fontId="33" fillId="7" borderId="14" xfId="0" applyFont="1" applyFill="1" applyBorder="1" applyAlignment="1">
      <alignment horizontal="center" vertical="center" wrapText="1"/>
    </xf>
    <xf numFmtId="0" fontId="53" fillId="0" borderId="0" xfId="0" applyFont="1" applyAlignment="1">
      <alignment horizontal="left" vertical="top"/>
    </xf>
    <xf numFmtId="0" fontId="11" fillId="8" borderId="2" xfId="0" applyFont="1" applyFill="1" applyBorder="1" applyAlignment="1" applyProtection="1">
      <alignment horizontal="left" vertical="center" wrapText="1"/>
      <protection locked="0"/>
    </xf>
    <xf numFmtId="0" fontId="44" fillId="11" borderId="0" xfId="0" applyFont="1" applyFill="1" applyAlignment="1" applyProtection="1">
      <alignment horizontal="center" vertical="center"/>
      <protection locked="0"/>
    </xf>
    <xf numFmtId="0" fontId="11" fillId="3" borderId="4" xfId="0" applyFont="1" applyFill="1" applyBorder="1" applyAlignment="1" applyProtection="1">
      <alignment horizontal="left" vertical="center"/>
      <protection locked="0"/>
    </xf>
    <xf numFmtId="0" fontId="11" fillId="7" borderId="3" xfId="0" applyFont="1" applyFill="1" applyBorder="1" applyAlignment="1">
      <alignment horizontal="left" vertical="center" wrapText="1"/>
    </xf>
    <xf numFmtId="0" fontId="11" fillId="8" borderId="2" xfId="0" applyFont="1" applyFill="1" applyBorder="1" applyAlignment="1">
      <alignment horizontal="left" vertical="center" wrapText="1"/>
    </xf>
    <xf numFmtId="0" fontId="13" fillId="3" borderId="27" xfId="0" applyFont="1" applyFill="1" applyBorder="1" applyAlignment="1">
      <alignment horizontal="left" vertical="top" wrapText="1"/>
    </xf>
    <xf numFmtId="0" fontId="13" fillId="3" borderId="1" xfId="0" applyFont="1" applyFill="1" applyBorder="1" applyAlignment="1">
      <alignment horizontal="left" vertical="top" wrapText="1"/>
    </xf>
    <xf numFmtId="164" fontId="11" fillId="3" borderId="4" xfId="1" applyFont="1" applyFill="1" applyBorder="1" applyAlignment="1" applyProtection="1">
      <alignment horizontal="center" vertical="center"/>
      <protection locked="0"/>
    </xf>
    <xf numFmtId="0" fontId="11" fillId="7" borderId="3" xfId="0" applyFont="1" applyFill="1" applyBorder="1" applyAlignment="1">
      <alignment horizontal="left" vertical="center"/>
    </xf>
    <xf numFmtId="0" fontId="29" fillId="9" borderId="0" xfId="0" applyFont="1" applyFill="1" applyAlignment="1">
      <alignment horizontal="center" vertical="center"/>
    </xf>
    <xf numFmtId="0" fontId="11" fillId="3" borderId="2" xfId="0" applyFont="1" applyFill="1" applyBorder="1" applyAlignment="1" applyProtection="1">
      <alignment horizontal="center" vertical="center"/>
      <protection locked="0"/>
    </xf>
  </cellXfs>
  <cellStyles count="5">
    <cellStyle name="Estilo 1" xfId="3" xr:uid="{BC52A2A8-2B39-B44D-B154-BC97C7D69492}"/>
    <cellStyle name="Estilo 2" xfId="4" xr:uid="{4A2E99C8-15D8-E140-BD1B-DE7842F5966C}"/>
    <cellStyle name="Millares" xfId="1" builtinId="3"/>
    <cellStyle name="Normal" xfId="0" builtinId="0"/>
    <cellStyle name="Porcentaje" xfId="2" builtinId="5"/>
  </cellStyles>
  <dxfs count="388">
    <dxf>
      <font>
        <color theme="0"/>
      </font>
      <fill>
        <patternFill>
          <bgColor theme="0"/>
        </patternFill>
      </fill>
    </dxf>
    <dxf>
      <font>
        <color theme="0"/>
      </font>
      <fill>
        <patternFill>
          <bgColor theme="0"/>
        </patternFill>
      </fill>
    </dxf>
    <dxf>
      <font>
        <color rgb="FFCDF9CC"/>
      </font>
    </dxf>
    <dxf>
      <font>
        <color theme="0"/>
      </font>
      <fill>
        <patternFill>
          <bgColor theme="0"/>
        </patternFill>
      </fill>
    </dxf>
    <dxf>
      <font>
        <color theme="0"/>
      </font>
      <fill>
        <patternFill>
          <bgColor theme="0"/>
        </patternFill>
      </fill>
    </dxf>
    <dxf>
      <font>
        <color rgb="FFFFFF97"/>
      </font>
    </dxf>
    <dxf>
      <font>
        <color rgb="FFFFFF97"/>
      </font>
      <fill>
        <patternFill>
          <fgColor theme="0"/>
        </patternFill>
      </fill>
    </dxf>
    <dxf>
      <font>
        <color rgb="FFD9D9D9"/>
      </font>
    </dxf>
    <dxf>
      <font>
        <color rgb="FFF3F3F3"/>
      </font>
    </dxf>
    <dxf>
      <font>
        <b/>
        <i val="0"/>
        <color rgb="FFFF0000"/>
      </font>
    </dxf>
    <dxf>
      <font>
        <color rgb="FFCDF9CC"/>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FF97"/>
      </font>
    </dxf>
    <dxf>
      <font>
        <color rgb="FFFFFF97"/>
      </font>
    </dxf>
    <dxf>
      <font>
        <color rgb="FFD9D9D9"/>
      </font>
    </dxf>
    <dxf>
      <font>
        <color rgb="FFF3F3F3"/>
      </font>
    </dxf>
    <dxf>
      <font>
        <b/>
        <i val="0"/>
        <color rgb="FFFF0000"/>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b/>
        <i val="0"/>
        <color rgb="FFFF0000"/>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b/>
        <i val="0"/>
        <color rgb="FFFF0000"/>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D9D9D9"/>
      </font>
    </dxf>
    <dxf>
      <font>
        <color rgb="FFF3F3F3"/>
      </font>
    </dxf>
    <dxf>
      <font>
        <b/>
        <i val="0"/>
        <color rgb="FFFF0000"/>
      </font>
    </dxf>
    <dxf>
      <font>
        <color rgb="FFCDF9CC"/>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FF97"/>
      </font>
    </dxf>
    <dxf>
      <font>
        <color rgb="FFFFFF97"/>
      </font>
    </dxf>
    <dxf>
      <font>
        <color rgb="FFD9D9D9"/>
      </font>
    </dxf>
    <dxf>
      <font>
        <color rgb="FFF3F3F3"/>
      </font>
    </dxf>
    <dxf>
      <font>
        <b/>
        <i val="0"/>
        <color rgb="FFFF0000"/>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theme="0"/>
      </font>
      <fill>
        <patternFill>
          <bgColor theme="0"/>
        </patternFill>
      </fill>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theme="0"/>
      </font>
      <fill>
        <patternFill>
          <bgColor theme="0"/>
        </patternFill>
      </fill>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b/>
        <i val="0"/>
        <u val="none"/>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theme="0"/>
      </font>
      <fill>
        <patternFill>
          <bgColor theme="0"/>
        </patternFill>
      </fill>
    </dxf>
    <dxf>
      <font>
        <color theme="0"/>
      </font>
      <fill>
        <patternFill>
          <bgColor theme="0"/>
        </patternFill>
      </fill>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b/>
        <i val="0"/>
        <color rgb="FFFF0000"/>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b/>
        <i val="0"/>
        <u val="none"/>
        <color rgb="FFFF0000"/>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b/>
        <i val="0"/>
        <color rgb="FFFF0000"/>
      </font>
    </dxf>
    <dxf>
      <font>
        <b/>
        <i val="0"/>
        <color rgb="FFFF0000"/>
      </font>
    </dxf>
    <dxf>
      <font>
        <color theme="0"/>
      </font>
      <fill>
        <patternFill>
          <bgColor theme="0"/>
        </patternFill>
      </fill>
    </dxf>
  </dxfs>
  <tableStyles count="0" defaultTableStyle="TableStyleMedium2" defaultPivotStyle="PivotStyleLight16"/>
  <colors>
    <mruColors>
      <color rgb="FFCDF9CC"/>
      <color rgb="FFEAEAEA"/>
      <color rgb="FF03C000"/>
      <color rgb="FFFFFF97"/>
      <color rgb="FFFFCBAB"/>
      <color rgb="FFFF670A"/>
      <color rgb="FF248188"/>
      <color rgb="FFD2E6E6"/>
      <color rgb="FF69A8AF"/>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5108</xdr:colOff>
      <xdr:row>1</xdr:row>
      <xdr:rowOff>25909</xdr:rowOff>
    </xdr:from>
    <xdr:to>
      <xdr:col>1</xdr:col>
      <xdr:colOff>1462731</xdr:colOff>
      <xdr:row>2</xdr:row>
      <xdr:rowOff>278873</xdr:rowOff>
    </xdr:to>
    <xdr:pic>
      <xdr:nvPicPr>
        <xdr:cNvPr id="3" name="Imagen 2">
          <a:extLst>
            <a:ext uri="{FF2B5EF4-FFF2-40B4-BE49-F238E27FC236}">
              <a16:creationId xmlns:a16="http://schemas.microsoft.com/office/drawing/2014/main" id="{358E92B0-4352-4656-8402-288DE80A0F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0388" y="188469"/>
          <a:ext cx="1457623" cy="669524"/>
        </a:xfrm>
        <a:prstGeom prst="rect">
          <a:avLst/>
        </a:prstGeom>
      </xdr:spPr>
    </xdr:pic>
    <xdr:clientData/>
  </xdr:twoCellAnchor>
  <xdr:twoCellAnchor editAs="oneCell">
    <xdr:from>
      <xdr:col>3</xdr:col>
      <xdr:colOff>2085976</xdr:colOff>
      <xdr:row>0</xdr:row>
      <xdr:rowOff>114299</xdr:rowOff>
    </xdr:from>
    <xdr:to>
      <xdr:col>4</xdr:col>
      <xdr:colOff>178388</xdr:colOff>
      <xdr:row>2</xdr:row>
      <xdr:rowOff>226011</xdr:rowOff>
    </xdr:to>
    <xdr:pic>
      <xdr:nvPicPr>
        <xdr:cNvPr id="5" name="Imagen 4">
          <a:extLst>
            <a:ext uri="{FF2B5EF4-FFF2-40B4-BE49-F238E27FC236}">
              <a16:creationId xmlns:a16="http://schemas.microsoft.com/office/drawing/2014/main" id="{8507AB7F-79A6-4E7F-8AB4-BB421CA84F7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29276" y="114299"/>
          <a:ext cx="1559512" cy="692737"/>
        </a:xfrm>
        <a:prstGeom prst="rect">
          <a:avLst/>
        </a:prstGeom>
      </xdr:spPr>
    </xdr:pic>
    <xdr:clientData/>
  </xdr:twoCellAnchor>
  <xdr:twoCellAnchor>
    <xdr:from>
      <xdr:col>3</xdr:col>
      <xdr:colOff>323851</xdr:colOff>
      <xdr:row>41</xdr:row>
      <xdr:rowOff>247649</xdr:rowOff>
    </xdr:from>
    <xdr:to>
      <xdr:col>4</xdr:col>
      <xdr:colOff>0</xdr:colOff>
      <xdr:row>54</xdr:row>
      <xdr:rowOff>104775</xdr:rowOff>
    </xdr:to>
    <xdr:sp macro="" textlink="">
      <xdr:nvSpPr>
        <xdr:cNvPr id="4" name="CuadroTexto 3">
          <a:extLst>
            <a:ext uri="{FF2B5EF4-FFF2-40B4-BE49-F238E27FC236}">
              <a16:creationId xmlns:a16="http://schemas.microsoft.com/office/drawing/2014/main" id="{0F164140-25F8-4FAA-B954-4088DF4A560C}"/>
            </a:ext>
          </a:extLst>
        </xdr:cNvPr>
        <xdr:cNvSpPr txBox="1"/>
      </xdr:nvSpPr>
      <xdr:spPr>
        <a:xfrm>
          <a:off x="4248151" y="9944099"/>
          <a:ext cx="3143249" cy="1752601"/>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Para</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proyectos de más de 25 meses podemos utilizar estas celdas para gestionar con un CORE los 25 primeros meses (o el periodo que decidamos) y después abrir uno nuevo indicando lo ya incurrido hasta la fecha para tener la visión completa del proyecto</a:t>
          </a:r>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4330</xdr:colOff>
      <xdr:row>37</xdr:row>
      <xdr:rowOff>177800</xdr:rowOff>
    </xdr:from>
    <xdr:to>
      <xdr:col>4</xdr:col>
      <xdr:colOff>2646680</xdr:colOff>
      <xdr:row>45</xdr:row>
      <xdr:rowOff>0</xdr:rowOff>
    </xdr:to>
    <xdr:sp macro="" textlink="">
      <xdr:nvSpPr>
        <xdr:cNvPr id="2" name="CuadroTexto 1">
          <a:extLst>
            <a:ext uri="{FF2B5EF4-FFF2-40B4-BE49-F238E27FC236}">
              <a16:creationId xmlns:a16="http://schemas.microsoft.com/office/drawing/2014/main" id="{F52E2E1B-9D2B-C54A-AE2C-020652F51634}"/>
            </a:ext>
          </a:extLst>
        </xdr:cNvPr>
        <xdr:cNvSpPr txBox="1"/>
      </xdr:nvSpPr>
      <xdr:spPr>
        <a:xfrm>
          <a:off x="142875" y="9875982"/>
          <a:ext cx="6867987" cy="1588654"/>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AMPLIACIONES</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 debe existir un PPO con los datos de la ampliación. No se requiere informar de la Autorización porque se da por hecho que el PPO está debidamente validado. Debe constar la infor de PPO y la Linea de Pedido en SAP</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REESTIMACIONES</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 no tienen pedido nuevo, son reestimaciones propuesta por el Project Manager y que deben ser autorizadas por Cost Control &amp; Optimizacion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4331</xdr:colOff>
      <xdr:row>38</xdr:row>
      <xdr:rowOff>50801</xdr:rowOff>
    </xdr:from>
    <xdr:to>
      <xdr:col>7</xdr:col>
      <xdr:colOff>472109</xdr:colOff>
      <xdr:row>43</xdr:row>
      <xdr:rowOff>155864</xdr:rowOff>
    </xdr:to>
    <xdr:sp macro="" textlink="">
      <xdr:nvSpPr>
        <xdr:cNvPr id="2" name="CuadroTexto 1">
          <a:extLst>
            <a:ext uri="{FF2B5EF4-FFF2-40B4-BE49-F238E27FC236}">
              <a16:creationId xmlns:a16="http://schemas.microsoft.com/office/drawing/2014/main" id="{0E87B459-D5AD-7C4A-B1FE-8A4F75F9D9B5}"/>
            </a:ext>
          </a:extLst>
        </xdr:cNvPr>
        <xdr:cNvSpPr txBox="1"/>
      </xdr:nvSpPr>
      <xdr:spPr>
        <a:xfrm>
          <a:off x="145135" y="9377018"/>
          <a:ext cx="7996670" cy="1016150"/>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Cada mes se debe revisar</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el coste SAP para que cuadre con el coste del CORE.</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Un motivo de diferencia puede ser que algún coste de recursos haya cambiado y en ese caso se tendrá que actualizar en esta pestaña.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12700</xdr:colOff>
      <xdr:row>45</xdr:row>
      <xdr:rowOff>50800</xdr:rowOff>
    </xdr:from>
    <xdr:to>
      <xdr:col>7</xdr:col>
      <xdr:colOff>342900</xdr:colOff>
      <xdr:row>49</xdr:row>
      <xdr:rowOff>139700</xdr:rowOff>
    </xdr:to>
    <xdr:sp macro="" textlink="">
      <xdr:nvSpPr>
        <xdr:cNvPr id="2" name="CuadroTexto 1">
          <a:extLst>
            <a:ext uri="{FF2B5EF4-FFF2-40B4-BE49-F238E27FC236}">
              <a16:creationId xmlns:a16="http://schemas.microsoft.com/office/drawing/2014/main" id="{48604277-C2AE-754B-A566-CBBA510092A6}"/>
            </a:ext>
          </a:extLst>
        </xdr:cNvPr>
        <xdr:cNvSpPr txBox="1"/>
      </xdr:nvSpPr>
      <xdr:spPr>
        <a:xfrm>
          <a:off x="177800" y="13271500"/>
          <a:ext cx="8318500" cy="749300"/>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Esta Venta Acumulada se completa el mes siguiente al cierre para que cuadre la venta con la reportada en SAP</a:t>
          </a:r>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4330</xdr:colOff>
      <xdr:row>41</xdr:row>
      <xdr:rowOff>177800</xdr:rowOff>
    </xdr:from>
    <xdr:to>
      <xdr:col>4</xdr:col>
      <xdr:colOff>3498273</xdr:colOff>
      <xdr:row>47</xdr:row>
      <xdr:rowOff>88900</xdr:rowOff>
    </xdr:to>
    <xdr:sp macro="" textlink="">
      <xdr:nvSpPr>
        <xdr:cNvPr id="2" name="CuadroTexto 1">
          <a:extLst>
            <a:ext uri="{FF2B5EF4-FFF2-40B4-BE49-F238E27FC236}">
              <a16:creationId xmlns:a16="http://schemas.microsoft.com/office/drawing/2014/main" id="{66B68610-F1A5-0545-8C48-C2FF8C2FAF6C}"/>
            </a:ext>
          </a:extLst>
        </xdr:cNvPr>
        <xdr:cNvSpPr txBox="1"/>
      </xdr:nvSpPr>
      <xdr:spPr>
        <a:xfrm>
          <a:off x="142875" y="10256982"/>
          <a:ext cx="8117898" cy="1365827"/>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 - Pestaña</a:t>
          </a:r>
          <a:r>
            <a:rPr lang="es-ES_tradnl" sz="1100" b="1" baseline="0">
              <a:solidFill>
                <a:srgbClr val="FF670A"/>
              </a:solidFill>
              <a:latin typeface="Verdana" panose="020B0604030504040204" pitchFamily="34" charset="0"/>
              <a:ea typeface="Verdana" panose="020B0604030504040204" pitchFamily="34" charset="0"/>
              <a:cs typeface="Verdana" panose="020B0604030504040204" pitchFamily="34" charset="0"/>
            </a:rPr>
            <a:t> auxiliar para registrar infor de Facturación. No se utiliza para otros cálculos</a:t>
          </a:r>
          <a:endPar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endParaRP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Los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ABONOS</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 deben ir con importe negativo</a:t>
          </a:r>
        </a:p>
        <a:p>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ENVIO FACTURA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indicar el método de envío (portal facturación, …)</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i="0">
              <a:solidFill>
                <a:srgbClr val="1D252C"/>
              </a:solidFill>
              <a:latin typeface="Verdana" panose="020B0604030504040204" pitchFamily="34" charset="0"/>
              <a:ea typeface="Verdana" panose="020B0604030504040204" pitchFamily="34" charset="0"/>
              <a:cs typeface="Verdana" panose="020B0604030504040204" pitchFamily="34" charset="0"/>
            </a:rPr>
            <a:t>OTRA INFOR FACTURACION </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indicar información necesaria para que la factura se emita (ej, Códigos DIR3)</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830036</xdr:colOff>
      <xdr:row>18</xdr:row>
      <xdr:rowOff>231321</xdr:rowOff>
    </xdr:from>
    <xdr:to>
      <xdr:col>16</xdr:col>
      <xdr:colOff>122464</xdr:colOff>
      <xdr:row>19</xdr:row>
      <xdr:rowOff>1333500</xdr:rowOff>
    </xdr:to>
    <xdr:sp macro="" textlink="">
      <xdr:nvSpPr>
        <xdr:cNvPr id="2" name="CuadroTexto 1">
          <a:extLst>
            <a:ext uri="{FF2B5EF4-FFF2-40B4-BE49-F238E27FC236}">
              <a16:creationId xmlns:a16="http://schemas.microsoft.com/office/drawing/2014/main" id="{58625C49-85E2-4408-8093-D7A8FCDEA9DD}"/>
            </a:ext>
          </a:extLst>
        </xdr:cNvPr>
        <xdr:cNvSpPr txBox="1"/>
      </xdr:nvSpPr>
      <xdr:spPr>
        <a:xfrm>
          <a:off x="12192000" y="5633357"/>
          <a:ext cx="6395357" cy="1347107"/>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Cada mes se puede copiar el forecast de</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VENTA Mensual de Monthly View - Fila 18 en el mes correspondiente. Así podemos comparar distintos Forecast que vamos enviando, además de comprobar si en el Forecast que damos para cada año estamos manteniendo el total sin grandes variaciones (ej, que el Forecast Total de Venta para 2021 sea similar todos los meses)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4330</xdr:colOff>
      <xdr:row>46</xdr:row>
      <xdr:rowOff>177800</xdr:rowOff>
    </xdr:from>
    <xdr:to>
      <xdr:col>4</xdr:col>
      <xdr:colOff>3498273</xdr:colOff>
      <xdr:row>52</xdr:row>
      <xdr:rowOff>88900</xdr:rowOff>
    </xdr:to>
    <xdr:sp macro="" textlink="">
      <xdr:nvSpPr>
        <xdr:cNvPr id="2" name="CuadroTexto 1">
          <a:extLst>
            <a:ext uri="{FF2B5EF4-FFF2-40B4-BE49-F238E27FC236}">
              <a16:creationId xmlns:a16="http://schemas.microsoft.com/office/drawing/2014/main" id="{0B5BC202-C70D-428E-A847-CD5D58AEE98E}"/>
            </a:ext>
          </a:extLst>
        </xdr:cNvPr>
        <xdr:cNvSpPr txBox="1"/>
      </xdr:nvSpPr>
      <xdr:spPr>
        <a:xfrm>
          <a:off x="147205" y="10445750"/>
          <a:ext cx="8123093" cy="1397000"/>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 - Pestaña</a:t>
          </a:r>
          <a:r>
            <a:rPr lang="es-ES_tradnl" sz="1100" b="1" baseline="0">
              <a:solidFill>
                <a:srgbClr val="FF670A"/>
              </a:solidFill>
              <a:latin typeface="Verdana" panose="020B0604030504040204" pitchFamily="34" charset="0"/>
              <a:ea typeface="Verdana" panose="020B0604030504040204" pitchFamily="34" charset="0"/>
              <a:cs typeface="Verdana" panose="020B0604030504040204" pitchFamily="34" charset="0"/>
            </a:rPr>
            <a:t> auxiliar para registrar infor de UTEs. No se utiliza para otros cálculos</a:t>
          </a:r>
          <a:endPar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endParaRP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Los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ABONOS</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 deben ir con importe negativo</a:t>
          </a:r>
        </a:p>
        <a:p>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ENVIO FACTURA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indicar el método de envío (portal facturación, …)</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i="0">
              <a:solidFill>
                <a:srgbClr val="1D252C"/>
              </a:solidFill>
              <a:latin typeface="Verdana" panose="020B0604030504040204" pitchFamily="34" charset="0"/>
              <a:ea typeface="Verdana" panose="020B0604030504040204" pitchFamily="34" charset="0"/>
              <a:cs typeface="Verdana" panose="020B0604030504040204" pitchFamily="34" charset="0"/>
            </a:rPr>
            <a:t>OTRA INFOR FACTURACION </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indicar información necesaria para que la factura se emita (ej, Códigos DIR3)</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B2:P80"/>
  <sheetViews>
    <sheetView showGridLines="0" topLeftCell="A45" zoomScale="85" zoomScaleNormal="85" workbookViewId="0">
      <selection activeCell="A60" sqref="A60:XFD79"/>
    </sheetView>
  </sheetViews>
  <sheetFormatPr baseColWidth="10" defaultColWidth="9.1796875" defaultRowHeight="13.5" x14ac:dyDescent="0.3"/>
  <cols>
    <col min="1" max="1" width="4.26953125" style="21" customWidth="1"/>
    <col min="2" max="2" width="32.54296875" style="21" customWidth="1"/>
    <col min="3" max="3" width="23.81640625" style="21" customWidth="1"/>
    <col min="4" max="4" width="52" style="21" customWidth="1"/>
    <col min="5" max="5" width="17.7265625" style="21" customWidth="1"/>
    <col min="6" max="6" width="15.1796875" style="21" customWidth="1"/>
    <col min="7" max="7" width="37.453125" style="21" customWidth="1"/>
    <col min="8" max="16384" width="9.1796875" style="21"/>
  </cols>
  <sheetData>
    <row r="2" spans="2:16" ht="33" customHeight="1" x14ac:dyDescent="0.45">
      <c r="B2" s="56"/>
      <c r="C2" s="57"/>
    </row>
    <row r="3" spans="2:16" ht="24" customHeight="1" x14ac:dyDescent="0.3">
      <c r="B3" s="314" t="s">
        <v>0</v>
      </c>
      <c r="C3" s="314"/>
      <c r="D3" s="314"/>
    </row>
    <row r="4" spans="2:16" ht="21" customHeight="1" thickBot="1" x14ac:dyDescent="0.35">
      <c r="B4" s="58"/>
      <c r="C4" s="59"/>
      <c r="D4" s="60"/>
      <c r="E4" s="60"/>
      <c r="F4" s="67"/>
      <c r="G4" s="62"/>
    </row>
    <row r="5" spans="2:16" ht="21" customHeight="1" thickBot="1" x14ac:dyDescent="0.35">
      <c r="B5" s="61" t="s">
        <v>1</v>
      </c>
      <c r="C5" s="54">
        <v>46153</v>
      </c>
      <c r="D5" s="62"/>
      <c r="E5" s="60"/>
      <c r="F5" s="67"/>
      <c r="G5" s="62"/>
    </row>
    <row r="6" spans="2:16" ht="18" customHeight="1" x14ac:dyDescent="0.3">
      <c r="B6" s="66" t="s">
        <v>2</v>
      </c>
      <c r="C6" s="185">
        <f>DATE(IF(EXACT(MONTH(EDATE(C5,0)),"12"),YEAR(C5)+1,YEAR(C5)),MONTH(EDATE(C5,1)),1)</f>
        <v>46174</v>
      </c>
      <c r="D6" s="63">
        <f>DATE(YEAR(C6),MONTH(C6),1)</f>
        <v>46174</v>
      </c>
      <c r="E6" s="60"/>
      <c r="F6" s="67"/>
      <c r="G6" s="62"/>
      <c r="H6" s="24"/>
      <c r="I6" s="24"/>
      <c r="J6" s="24"/>
      <c r="K6" s="24"/>
      <c r="L6" s="24"/>
      <c r="M6" s="24"/>
      <c r="N6" s="24"/>
      <c r="O6" s="24"/>
      <c r="P6" s="24"/>
    </row>
    <row r="7" spans="2:16" ht="13.5" customHeight="1" x14ac:dyDescent="0.3">
      <c r="B7" s="64"/>
      <c r="C7" s="65"/>
      <c r="D7" s="62"/>
      <c r="E7" s="60"/>
      <c r="F7" s="67"/>
      <c r="G7" s="62"/>
      <c r="H7" s="24"/>
      <c r="I7" s="24"/>
      <c r="J7" s="24"/>
      <c r="K7" s="24"/>
      <c r="L7" s="24"/>
      <c r="M7" s="24"/>
      <c r="N7" s="24"/>
      <c r="O7" s="24"/>
      <c r="P7" s="24"/>
    </row>
    <row r="8" spans="2:16" ht="18" customHeight="1" x14ac:dyDescent="0.3">
      <c r="B8" s="66" t="s">
        <v>3</v>
      </c>
      <c r="C8" s="3">
        <v>46023</v>
      </c>
      <c r="D8" s="60"/>
      <c r="E8" s="60"/>
      <c r="F8" s="67"/>
      <c r="G8" s="62"/>
      <c r="H8" s="24"/>
      <c r="I8" s="24"/>
      <c r="J8" s="24"/>
      <c r="K8" s="24"/>
      <c r="L8" s="24"/>
      <c r="M8" s="24"/>
      <c r="N8" s="24"/>
      <c r="O8" s="24"/>
      <c r="P8" s="24"/>
    </row>
    <row r="9" spans="2:16" ht="18" customHeight="1" x14ac:dyDescent="0.3">
      <c r="B9" s="66" t="s">
        <v>4</v>
      </c>
      <c r="C9" s="3">
        <v>47483</v>
      </c>
      <c r="D9" s="184"/>
      <c r="E9" s="67"/>
      <c r="F9" s="67"/>
      <c r="G9" s="62"/>
      <c r="H9" s="24"/>
      <c r="I9" s="24"/>
      <c r="J9" s="24"/>
      <c r="K9" s="24"/>
      <c r="L9" s="24"/>
      <c r="M9" s="24"/>
      <c r="N9" s="24"/>
      <c r="O9" s="24"/>
      <c r="P9" s="24"/>
    </row>
    <row r="10" spans="2:16" ht="18" customHeight="1" x14ac:dyDescent="0.3">
      <c r="B10" s="66" t="s">
        <v>5</v>
      </c>
      <c r="C10" s="289" t="s">
        <v>281</v>
      </c>
      <c r="D10" s="290"/>
      <c r="H10" s="24"/>
      <c r="I10" s="24"/>
      <c r="J10" s="24"/>
      <c r="K10" s="24"/>
      <c r="L10" s="24"/>
      <c r="M10" s="24"/>
      <c r="N10" s="24"/>
      <c r="O10" s="24"/>
      <c r="P10" s="24"/>
    </row>
    <row r="11" spans="2:16" ht="18" customHeight="1" x14ac:dyDescent="0.3">
      <c r="B11" s="66" t="s">
        <v>6</v>
      </c>
      <c r="C11" s="318" t="s">
        <v>282</v>
      </c>
      <c r="D11" s="318"/>
      <c r="E11" s="318"/>
      <c r="F11" s="318"/>
      <c r="G11" s="318"/>
      <c r="H11" s="24"/>
      <c r="I11" s="24"/>
      <c r="J11" s="24"/>
      <c r="K11" s="24"/>
      <c r="L11" s="24"/>
      <c r="M11" s="24"/>
      <c r="N11" s="24"/>
      <c r="O11" s="24"/>
      <c r="P11" s="24"/>
    </row>
    <row r="12" spans="2:16" ht="18" customHeight="1" x14ac:dyDescent="0.3">
      <c r="B12" s="66" t="s">
        <v>7</v>
      </c>
      <c r="C12" s="315" t="s">
        <v>283</v>
      </c>
      <c r="D12" s="315"/>
      <c r="H12" s="24"/>
      <c r="I12" s="24"/>
      <c r="J12" s="24"/>
      <c r="K12" s="24"/>
      <c r="L12" s="24"/>
      <c r="M12" s="24"/>
      <c r="N12" s="24"/>
      <c r="O12" s="24"/>
      <c r="P12" s="24"/>
    </row>
    <row r="13" spans="2:16" ht="18" customHeight="1" x14ac:dyDescent="0.3">
      <c r="B13" s="66" t="s">
        <v>8</v>
      </c>
      <c r="C13" s="316"/>
      <c r="D13" s="317"/>
      <c r="H13" s="24"/>
      <c r="I13" s="24"/>
      <c r="J13" s="24"/>
      <c r="K13" s="24"/>
      <c r="L13" s="24"/>
      <c r="M13" s="24"/>
      <c r="N13" s="24"/>
      <c r="O13" s="24"/>
      <c r="P13" s="24"/>
    </row>
    <row r="14" spans="2:16" ht="9" customHeight="1" x14ac:dyDescent="0.3">
      <c r="B14" s="64"/>
      <c r="C14" s="65"/>
      <c r="D14" s="65"/>
      <c r="H14" s="24"/>
      <c r="I14" s="24"/>
      <c r="J14" s="24"/>
      <c r="K14" s="24"/>
      <c r="L14" s="24"/>
      <c r="M14" s="24"/>
      <c r="N14" s="24"/>
      <c r="O14" s="24"/>
      <c r="P14" s="24"/>
    </row>
    <row r="15" spans="2:16" ht="18" customHeight="1" x14ac:dyDescent="0.3">
      <c r="B15" s="68"/>
      <c r="C15" s="69" t="s">
        <v>9</v>
      </c>
      <c r="D15" s="69" t="s">
        <v>10</v>
      </c>
      <c r="E15" s="24"/>
      <c r="F15" s="24"/>
      <c r="G15" s="24"/>
      <c r="H15" s="24"/>
      <c r="I15" s="24"/>
      <c r="J15" s="24"/>
      <c r="K15" s="24"/>
      <c r="L15" s="24"/>
      <c r="M15" s="24"/>
      <c r="N15" s="24"/>
      <c r="O15" s="24"/>
      <c r="P15" s="24"/>
    </row>
    <row r="16" spans="2:16" ht="18" customHeight="1" x14ac:dyDescent="0.3">
      <c r="B16" s="66" t="s">
        <v>11</v>
      </c>
      <c r="C16" s="10" t="s">
        <v>284</v>
      </c>
      <c r="D16" s="11" t="s">
        <v>285</v>
      </c>
      <c r="E16" s="24"/>
      <c r="F16" s="24"/>
      <c r="G16" s="24"/>
      <c r="H16" s="24"/>
      <c r="I16" s="24"/>
      <c r="J16" s="24"/>
      <c r="K16" s="24"/>
      <c r="L16" s="24"/>
      <c r="M16" s="24"/>
      <c r="N16" s="24"/>
      <c r="O16" s="24"/>
      <c r="P16" s="24"/>
    </row>
    <row r="17" spans="2:16" ht="4.5" customHeight="1" x14ac:dyDescent="0.3">
      <c r="B17" s="64"/>
      <c r="C17" s="65"/>
      <c r="D17" s="62"/>
      <c r="E17" s="60"/>
      <c r="F17" s="67"/>
      <c r="G17" s="62"/>
      <c r="H17" s="24"/>
      <c r="I17" s="24"/>
      <c r="J17" s="24"/>
      <c r="K17" s="24"/>
      <c r="L17" s="24"/>
      <c r="M17" s="24"/>
      <c r="N17" s="24"/>
      <c r="O17" s="24"/>
      <c r="P17" s="24"/>
    </row>
    <row r="18" spans="2:16" ht="18" customHeight="1" x14ac:dyDescent="0.3">
      <c r="B18" s="66" t="s">
        <v>12</v>
      </c>
      <c r="C18" s="10" t="s">
        <v>286</v>
      </c>
      <c r="D18" s="11"/>
      <c r="E18" s="24"/>
      <c r="F18" s="24"/>
      <c r="G18" s="24"/>
      <c r="H18" s="24"/>
      <c r="I18" s="24"/>
      <c r="J18" s="24"/>
      <c r="K18" s="24"/>
      <c r="L18" s="24"/>
      <c r="M18" s="24"/>
      <c r="N18" s="24"/>
      <c r="O18" s="24"/>
      <c r="P18" s="24"/>
    </row>
    <row r="19" spans="2:16" ht="18" customHeight="1" x14ac:dyDescent="0.3">
      <c r="B19" s="66" t="s">
        <v>13</v>
      </c>
      <c r="C19" s="177" t="s">
        <v>287</v>
      </c>
      <c r="D19" s="65"/>
      <c r="E19" s="70"/>
      <c r="F19" s="181"/>
      <c r="G19" s="181"/>
      <c r="H19" s="24"/>
      <c r="I19" s="24"/>
      <c r="J19" s="24"/>
      <c r="K19" s="24"/>
      <c r="L19" s="24"/>
      <c r="M19" s="24"/>
      <c r="N19" s="24"/>
      <c r="O19" s="24"/>
      <c r="P19" s="24"/>
    </row>
    <row r="20" spans="2:16" ht="9" customHeight="1" x14ac:dyDescent="0.3">
      <c r="B20" s="64"/>
      <c r="C20" s="65"/>
      <c r="D20" s="65"/>
      <c r="E20" s="70"/>
      <c r="F20" s="181"/>
      <c r="G20" s="181"/>
      <c r="H20" s="24"/>
      <c r="I20" s="24"/>
      <c r="J20" s="24"/>
      <c r="K20" s="24"/>
      <c r="L20" s="24"/>
      <c r="M20" s="24"/>
      <c r="N20" s="24"/>
      <c r="O20" s="24"/>
      <c r="P20" s="24"/>
    </row>
    <row r="21" spans="2:16" ht="20.149999999999999" customHeight="1" x14ac:dyDescent="0.3">
      <c r="B21" s="71"/>
      <c r="C21" s="72" t="s">
        <v>14</v>
      </c>
      <c r="D21" s="72" t="s">
        <v>15</v>
      </c>
      <c r="E21" s="70"/>
      <c r="F21" s="181"/>
      <c r="G21" s="181"/>
      <c r="H21" s="24"/>
      <c r="I21" s="24"/>
      <c r="J21" s="24"/>
      <c r="K21" s="24"/>
      <c r="L21" s="24"/>
      <c r="M21" s="24"/>
      <c r="N21" s="24"/>
      <c r="O21" s="24"/>
      <c r="P21" s="24"/>
    </row>
    <row r="22" spans="2:16" ht="18" customHeight="1" x14ac:dyDescent="0.3">
      <c r="B22" s="66" t="s">
        <v>16</v>
      </c>
      <c r="C22" s="11" t="s">
        <v>288</v>
      </c>
      <c r="D22" s="11" t="s">
        <v>289</v>
      </c>
      <c r="E22" s="70"/>
      <c r="F22" s="181"/>
      <c r="G22" s="181"/>
      <c r="H22" s="24"/>
      <c r="I22" s="24"/>
      <c r="J22" s="24"/>
      <c r="K22" s="24"/>
      <c r="L22" s="24"/>
      <c r="M22" s="24"/>
      <c r="N22" s="24"/>
      <c r="O22" s="24"/>
      <c r="P22" s="24"/>
    </row>
    <row r="23" spans="2:16" ht="18" customHeight="1" x14ac:dyDescent="0.3">
      <c r="B23" s="66" t="s">
        <v>17</v>
      </c>
      <c r="C23" s="11" t="s">
        <v>290</v>
      </c>
      <c r="D23" s="12" t="s">
        <v>291</v>
      </c>
      <c r="E23" s="70"/>
      <c r="F23" s="181"/>
      <c r="G23" s="181"/>
      <c r="H23" s="24"/>
      <c r="I23" s="24"/>
      <c r="J23" s="24"/>
      <c r="K23" s="24"/>
      <c r="L23" s="24"/>
      <c r="M23" s="24"/>
      <c r="N23" s="24"/>
      <c r="O23" s="24"/>
      <c r="P23" s="24"/>
    </row>
    <row r="24" spans="2:16" ht="18" customHeight="1" x14ac:dyDescent="0.3">
      <c r="B24" s="66" t="s">
        <v>18</v>
      </c>
      <c r="C24" s="12" t="s">
        <v>292</v>
      </c>
      <c r="D24" s="178" t="s">
        <v>293</v>
      </c>
      <c r="E24" s="70"/>
      <c r="F24" s="181"/>
      <c r="G24" s="181"/>
      <c r="H24" s="24"/>
      <c r="I24" s="24"/>
      <c r="J24" s="24"/>
      <c r="K24" s="24"/>
      <c r="L24" s="24"/>
      <c r="M24" s="24"/>
      <c r="N24" s="24"/>
      <c r="O24" s="24"/>
      <c r="P24" s="24"/>
    </row>
    <row r="25" spans="2:16" ht="15" customHeight="1" x14ac:dyDescent="0.3">
      <c r="C25" s="73"/>
      <c r="D25" s="73"/>
      <c r="E25" s="70"/>
      <c r="F25" s="181"/>
      <c r="G25" s="181"/>
      <c r="H25" s="24"/>
      <c r="I25" s="24"/>
      <c r="J25" s="24"/>
      <c r="K25" s="24"/>
      <c r="L25" s="24"/>
      <c r="M25" s="24"/>
      <c r="N25" s="24"/>
      <c r="O25" s="24"/>
      <c r="P25" s="24"/>
    </row>
    <row r="26" spans="2:16" ht="20.25" customHeight="1" x14ac:dyDescent="0.3">
      <c r="B26" s="74" t="s">
        <v>19</v>
      </c>
      <c r="C26" s="75"/>
      <c r="D26" s="24"/>
      <c r="E26" s="24"/>
      <c r="F26" s="24"/>
      <c r="G26" s="24"/>
      <c r="H26" s="24"/>
      <c r="I26" s="24"/>
      <c r="J26" s="24"/>
      <c r="K26" s="24"/>
      <c r="L26" s="24"/>
      <c r="M26" s="24"/>
      <c r="N26" s="24"/>
      <c r="O26" s="24"/>
      <c r="P26" s="24"/>
    </row>
    <row r="27" spans="2:16" ht="7.5" customHeight="1" x14ac:dyDescent="0.3">
      <c r="B27" s="76"/>
      <c r="C27" s="76"/>
      <c r="D27" s="24"/>
      <c r="E27" s="24"/>
      <c r="F27" s="24"/>
      <c r="G27" s="24"/>
      <c r="H27" s="24"/>
      <c r="I27" s="24"/>
      <c r="J27" s="24"/>
      <c r="K27" s="24"/>
      <c r="L27" s="24"/>
      <c r="M27" s="24"/>
      <c r="N27" s="24"/>
      <c r="O27" s="24"/>
      <c r="P27" s="24"/>
    </row>
    <row r="28" spans="2:16" ht="16" customHeight="1" x14ac:dyDescent="0.3">
      <c r="B28" s="66" t="s">
        <v>20</v>
      </c>
      <c r="C28" s="13">
        <v>465000</v>
      </c>
      <c r="D28" s="24"/>
      <c r="E28" s="24"/>
      <c r="F28" s="24"/>
      <c r="G28" s="24"/>
      <c r="H28" s="24"/>
      <c r="I28" s="24"/>
      <c r="J28" s="24"/>
      <c r="K28" s="24"/>
      <c r="L28" s="24"/>
      <c r="M28" s="24"/>
      <c r="N28" s="24"/>
      <c r="O28" s="24"/>
      <c r="P28" s="24"/>
    </row>
    <row r="29" spans="2:16" ht="16" customHeight="1" x14ac:dyDescent="0.3">
      <c r="B29" s="66" t="s">
        <v>21</v>
      </c>
      <c r="C29" s="14">
        <v>14256</v>
      </c>
      <c r="D29" s="24"/>
      <c r="E29" s="24"/>
      <c r="F29" s="24"/>
      <c r="G29" s="24"/>
      <c r="H29" s="24"/>
      <c r="I29" s="24"/>
      <c r="J29" s="24"/>
      <c r="K29" s="24"/>
      <c r="L29" s="24"/>
      <c r="M29" s="24"/>
      <c r="N29" s="24"/>
      <c r="O29" s="24"/>
      <c r="P29" s="24"/>
    </row>
    <row r="30" spans="2:16" ht="16" customHeight="1" x14ac:dyDescent="0.3">
      <c r="B30" s="66" t="s">
        <v>22</v>
      </c>
      <c r="C30" s="15">
        <v>356584.84</v>
      </c>
      <c r="D30" s="24"/>
      <c r="E30" s="24"/>
      <c r="F30" s="24"/>
      <c r="G30" s="24"/>
      <c r="H30" s="24"/>
      <c r="I30" s="24"/>
      <c r="J30" s="24"/>
      <c r="K30" s="24"/>
      <c r="L30" s="24"/>
      <c r="M30" s="24"/>
      <c r="N30" s="24"/>
      <c r="O30" s="24"/>
      <c r="P30" s="24"/>
    </row>
    <row r="31" spans="2:16" ht="16" customHeight="1" x14ac:dyDescent="0.3">
      <c r="B31" s="66" t="s">
        <v>23</v>
      </c>
      <c r="C31" s="15">
        <v>3565.85</v>
      </c>
      <c r="D31" s="24"/>
      <c r="E31" s="24"/>
      <c r="F31" s="24"/>
      <c r="G31" s="24"/>
      <c r="H31" s="24"/>
      <c r="I31" s="24"/>
      <c r="J31" s="24"/>
      <c r="K31" s="24"/>
      <c r="L31" s="24"/>
      <c r="M31" s="24"/>
      <c r="N31" s="24"/>
      <c r="O31" s="24"/>
      <c r="P31" s="24"/>
    </row>
    <row r="32" spans="2:16" ht="16" customHeight="1" x14ac:dyDescent="0.3">
      <c r="B32" s="66" t="s">
        <v>24</v>
      </c>
      <c r="C32" s="15">
        <v>0</v>
      </c>
      <c r="D32" s="24"/>
      <c r="E32" s="24"/>
      <c r="F32" s="24"/>
      <c r="G32" s="24"/>
      <c r="H32" s="24"/>
      <c r="I32" s="24"/>
      <c r="J32" s="24"/>
      <c r="K32" s="24"/>
      <c r="L32" s="24"/>
      <c r="M32" s="24"/>
      <c r="N32" s="24"/>
      <c r="O32" s="24"/>
      <c r="P32" s="24"/>
    </row>
    <row r="33" spans="2:16" ht="16" customHeight="1" x14ac:dyDescent="0.3">
      <c r="B33" s="66" t="s">
        <v>25</v>
      </c>
      <c r="C33" s="15">
        <v>0</v>
      </c>
      <c r="D33" s="24"/>
      <c r="E33" s="24"/>
      <c r="F33" s="24"/>
      <c r="G33" s="24"/>
      <c r="H33" s="24"/>
      <c r="I33" s="24"/>
      <c r="J33" s="24"/>
      <c r="K33" s="24"/>
      <c r="L33" s="24"/>
      <c r="M33" s="24"/>
      <c r="N33" s="24"/>
      <c r="O33" s="24"/>
      <c r="P33" s="24"/>
    </row>
    <row r="34" spans="2:16" ht="16" customHeight="1" x14ac:dyDescent="0.3">
      <c r="B34" s="66" t="s">
        <v>26</v>
      </c>
      <c r="C34" s="15">
        <v>0</v>
      </c>
      <c r="D34" s="24"/>
      <c r="E34" s="24"/>
      <c r="F34" s="24"/>
      <c r="G34" s="24"/>
      <c r="H34" s="24"/>
      <c r="I34" s="24"/>
      <c r="J34" s="24"/>
      <c r="K34" s="24"/>
      <c r="L34" s="24"/>
      <c r="M34" s="24"/>
      <c r="N34" s="24"/>
      <c r="O34" s="24"/>
      <c r="P34" s="24"/>
    </row>
    <row r="35" spans="2:16" ht="16" customHeight="1" x14ac:dyDescent="0.3">
      <c r="B35" s="77" t="s">
        <v>27</v>
      </c>
      <c r="C35" s="78">
        <f>SUM(C30:C34)</f>
        <v>360150.69</v>
      </c>
      <c r="D35" s="24"/>
      <c r="E35" s="24"/>
      <c r="F35" s="24"/>
      <c r="G35" s="24"/>
      <c r="H35" s="24"/>
      <c r="I35" s="24"/>
      <c r="J35" s="24"/>
      <c r="K35" s="24"/>
      <c r="L35" s="24"/>
      <c r="M35" s="24"/>
      <c r="N35" s="24"/>
      <c r="O35" s="24"/>
      <c r="P35" s="24"/>
    </row>
    <row r="36" spans="2:16" ht="7.5" customHeight="1" x14ac:dyDescent="0.3">
      <c r="B36" s="79"/>
      <c r="C36" s="80"/>
      <c r="D36" s="24"/>
      <c r="E36" s="24"/>
      <c r="F36" s="24"/>
      <c r="G36" s="24"/>
      <c r="H36" s="24"/>
      <c r="I36" s="24"/>
      <c r="J36" s="24"/>
      <c r="K36" s="24"/>
      <c r="L36" s="24"/>
      <c r="M36" s="24"/>
      <c r="N36" s="24"/>
      <c r="O36" s="24"/>
      <c r="P36" s="24"/>
    </row>
    <row r="37" spans="2:16" ht="18" customHeight="1" x14ac:dyDescent="0.3">
      <c r="B37" s="81" t="s">
        <v>28</v>
      </c>
      <c r="C37" s="82">
        <f>IF(C28=0,0,(C28-C35)/C28)</f>
        <v>0.22548238709677418</v>
      </c>
      <c r="D37" s="24"/>
      <c r="E37" s="24"/>
      <c r="F37" s="24"/>
      <c r="G37" s="24"/>
      <c r="H37" s="24"/>
      <c r="I37" s="24"/>
      <c r="J37" s="24"/>
      <c r="K37" s="24"/>
      <c r="L37" s="24"/>
      <c r="M37" s="24"/>
      <c r="N37" s="24"/>
      <c r="O37" s="24"/>
      <c r="P37" s="24"/>
    </row>
    <row r="38" spans="2:16" ht="18" customHeight="1" x14ac:dyDescent="0.3">
      <c r="B38" s="66" t="s">
        <v>29</v>
      </c>
      <c r="C38" s="83">
        <f>IF(C28=0,0,(C28-(SUM(C30,C31,C32)/UTILIZACION)-SUM(C34,C33))/C28)</f>
        <v>0.16718536246964966</v>
      </c>
      <c r="D38" s="24"/>
      <c r="E38" s="24"/>
      <c r="F38" s="24"/>
      <c r="G38" s="24"/>
      <c r="H38" s="24"/>
      <c r="I38" s="24"/>
      <c r="J38" s="24"/>
      <c r="K38" s="24"/>
      <c r="L38" s="24"/>
      <c r="M38" s="24"/>
      <c r="N38" s="24"/>
      <c r="O38" s="24"/>
      <c r="P38" s="24"/>
    </row>
    <row r="39" spans="2:16" ht="13.5" customHeight="1" x14ac:dyDescent="0.3">
      <c r="B39" s="24"/>
      <c r="C39" s="24"/>
      <c r="D39" s="24"/>
      <c r="E39" s="24"/>
      <c r="F39" s="24"/>
      <c r="G39" s="24"/>
      <c r="H39" s="24"/>
      <c r="I39" s="24"/>
      <c r="J39" s="24"/>
      <c r="K39" s="24"/>
      <c r="L39" s="24"/>
      <c r="M39" s="24"/>
      <c r="N39" s="24"/>
      <c r="O39" s="24"/>
      <c r="P39" s="24"/>
    </row>
    <row r="40" spans="2:16" ht="20.149999999999999" customHeight="1" x14ac:dyDescent="0.3">
      <c r="B40" s="65" t="s">
        <v>30</v>
      </c>
      <c r="C40" s="65"/>
      <c r="D40" s="65"/>
      <c r="E40" s="24"/>
      <c r="F40" s="24"/>
      <c r="G40" s="24"/>
      <c r="H40" s="24"/>
      <c r="I40" s="24"/>
      <c r="J40" s="24"/>
      <c r="K40" s="24"/>
      <c r="L40" s="24"/>
      <c r="M40" s="24"/>
      <c r="N40" s="24"/>
      <c r="O40" s="24"/>
      <c r="P40" s="24"/>
    </row>
    <row r="41" spans="2:16" ht="103.5" customHeight="1" x14ac:dyDescent="0.3">
      <c r="B41" s="311"/>
      <c r="C41" s="312"/>
      <c r="D41" s="313"/>
      <c r="E41" s="84"/>
      <c r="F41" s="24"/>
      <c r="G41" s="24"/>
      <c r="H41" s="24"/>
      <c r="I41" s="24"/>
      <c r="J41" s="24"/>
      <c r="K41" s="24"/>
      <c r="L41" s="24"/>
      <c r="M41" s="24"/>
      <c r="N41" s="24"/>
      <c r="O41" s="24"/>
      <c r="P41" s="24"/>
    </row>
    <row r="42" spans="2:16" ht="20.149999999999999" customHeight="1" x14ac:dyDescent="0.3">
      <c r="B42" s="24"/>
      <c r="C42" s="24"/>
      <c r="D42" s="24"/>
      <c r="E42" s="24"/>
      <c r="F42" s="24"/>
      <c r="G42" s="24"/>
      <c r="H42" s="24"/>
      <c r="I42" s="24"/>
      <c r="J42" s="24"/>
      <c r="K42" s="24"/>
      <c r="L42" s="24"/>
      <c r="M42" s="24"/>
      <c r="N42" s="24"/>
      <c r="O42" s="24"/>
      <c r="P42" s="24"/>
    </row>
    <row r="43" spans="2:16" ht="20.25" customHeight="1" x14ac:dyDescent="0.3">
      <c r="B43" s="74" t="s">
        <v>31</v>
      </c>
      <c r="C43" s="75"/>
      <c r="D43" s="24"/>
      <c r="E43" s="24"/>
      <c r="F43" s="24"/>
      <c r="G43" s="24"/>
      <c r="H43" s="24"/>
      <c r="I43" s="24"/>
      <c r="J43" s="24"/>
      <c r="K43" s="24"/>
      <c r="L43" s="24"/>
      <c r="M43" s="24"/>
      <c r="N43" s="24"/>
      <c r="O43" s="24"/>
      <c r="P43" s="24"/>
    </row>
    <row r="44" spans="2:16" ht="7.5" customHeight="1" x14ac:dyDescent="0.3">
      <c r="B44" s="76"/>
      <c r="C44" s="76"/>
      <c r="D44" s="24"/>
      <c r="E44" s="24"/>
      <c r="F44" s="24"/>
      <c r="G44" s="24"/>
      <c r="H44" s="24"/>
      <c r="I44" s="24"/>
      <c r="J44" s="24"/>
      <c r="K44" s="24"/>
      <c r="L44" s="24"/>
      <c r="M44" s="24"/>
      <c r="N44" s="24"/>
      <c r="O44" s="24"/>
      <c r="P44" s="24"/>
    </row>
    <row r="45" spans="2:16" ht="16" customHeight="1" x14ac:dyDescent="0.3">
      <c r="B45" s="66" t="s">
        <v>32</v>
      </c>
      <c r="C45" s="13"/>
      <c r="D45" s="24"/>
      <c r="E45" s="24"/>
      <c r="F45" s="24"/>
      <c r="G45" s="24"/>
      <c r="H45" s="24"/>
      <c r="I45" s="24"/>
      <c r="J45" s="24"/>
      <c r="K45" s="24"/>
      <c r="L45" s="24"/>
      <c r="M45" s="24"/>
      <c r="N45" s="24"/>
      <c r="O45" s="24"/>
      <c r="P45" s="24"/>
    </row>
    <row r="46" spans="2:16" ht="16" customHeight="1" x14ac:dyDescent="0.3">
      <c r="B46" s="66" t="s">
        <v>33</v>
      </c>
      <c r="C46" s="14"/>
      <c r="D46" s="24"/>
      <c r="E46" s="24"/>
      <c r="F46" s="24"/>
      <c r="G46" s="24"/>
      <c r="H46" s="24"/>
      <c r="I46" s="24"/>
      <c r="J46" s="24"/>
      <c r="K46" s="24"/>
      <c r="L46" s="24"/>
      <c r="M46" s="24"/>
      <c r="N46" s="24"/>
      <c r="O46" s="24"/>
      <c r="P46" s="24"/>
    </row>
    <row r="47" spans="2:16" ht="16" customHeight="1" x14ac:dyDescent="0.3">
      <c r="B47" s="66" t="s">
        <v>34</v>
      </c>
      <c r="C47" s="15"/>
      <c r="D47" s="24"/>
      <c r="E47" s="24"/>
      <c r="F47" s="24"/>
      <c r="G47" s="24"/>
      <c r="H47" s="24"/>
      <c r="I47" s="24"/>
      <c r="J47" s="24"/>
      <c r="K47" s="24"/>
      <c r="L47" s="24"/>
      <c r="M47" s="24"/>
      <c r="N47" s="24"/>
      <c r="O47" s="24"/>
      <c r="P47" s="24"/>
    </row>
    <row r="48" spans="2:16" ht="16" customHeight="1" x14ac:dyDescent="0.3">
      <c r="B48" s="66" t="s">
        <v>35</v>
      </c>
      <c r="C48" s="15"/>
      <c r="D48" s="24"/>
      <c r="E48" s="24"/>
      <c r="F48" s="24"/>
      <c r="G48" s="24"/>
      <c r="H48" s="24"/>
      <c r="I48" s="24"/>
      <c r="J48" s="24"/>
      <c r="K48" s="24"/>
      <c r="L48" s="24"/>
      <c r="M48" s="24"/>
      <c r="N48" s="24"/>
      <c r="O48" s="24"/>
      <c r="P48" s="24"/>
    </row>
    <row r="49" spans="2:16" ht="16" customHeight="1" x14ac:dyDescent="0.3">
      <c r="B49" s="66" t="s">
        <v>36</v>
      </c>
      <c r="C49" s="15"/>
      <c r="D49" s="24"/>
      <c r="E49" s="24"/>
      <c r="F49" s="24"/>
      <c r="G49" s="24"/>
      <c r="H49" s="24"/>
      <c r="I49" s="24"/>
      <c r="J49" s="24"/>
      <c r="K49" s="24"/>
      <c r="L49" s="24"/>
      <c r="M49" s="24"/>
      <c r="N49" s="24"/>
      <c r="O49" s="24"/>
      <c r="P49" s="24"/>
    </row>
    <row r="50" spans="2:16" ht="16" customHeight="1" x14ac:dyDescent="0.3">
      <c r="B50" s="77" t="s">
        <v>27</v>
      </c>
      <c r="C50" s="78">
        <f>SUM(C47:C49)</f>
        <v>0</v>
      </c>
      <c r="D50" s="24"/>
      <c r="E50" s="24"/>
      <c r="F50" s="24"/>
      <c r="G50" s="24"/>
      <c r="H50" s="24"/>
      <c r="I50" s="24"/>
      <c r="J50" s="24"/>
      <c r="K50" s="24"/>
      <c r="L50" s="24"/>
      <c r="M50" s="24"/>
      <c r="N50" s="24"/>
      <c r="O50" s="24"/>
      <c r="P50" s="24"/>
    </row>
    <row r="51" spans="2:16" ht="7.5" customHeight="1" x14ac:dyDescent="0.3">
      <c r="B51" s="79"/>
      <c r="C51" s="80"/>
      <c r="D51" s="24"/>
      <c r="E51" s="24"/>
      <c r="F51" s="24"/>
      <c r="G51" s="24"/>
      <c r="H51" s="24"/>
      <c r="I51" s="24"/>
      <c r="J51" s="24"/>
      <c r="K51" s="24"/>
      <c r="L51" s="24"/>
      <c r="M51" s="24"/>
      <c r="N51" s="24"/>
      <c r="O51" s="24"/>
      <c r="P51" s="24"/>
    </row>
    <row r="52" spans="2:16" ht="18" customHeight="1" x14ac:dyDescent="0.3">
      <c r="B52" s="66" t="s">
        <v>37</v>
      </c>
      <c r="C52" s="82">
        <f>IF(C45=0,0,(C45-C50)/C45)</f>
        <v>0</v>
      </c>
      <c r="D52" s="24"/>
      <c r="E52" s="24"/>
      <c r="F52" s="24"/>
      <c r="G52" s="24"/>
      <c r="H52" s="24"/>
      <c r="I52" s="24"/>
      <c r="J52" s="24"/>
      <c r="K52" s="24"/>
      <c r="L52" s="24"/>
      <c r="M52" s="24"/>
      <c r="N52" s="24"/>
      <c r="O52" s="24"/>
      <c r="P52" s="24"/>
    </row>
    <row r="53" spans="2:16" ht="7.5" customHeight="1" x14ac:dyDescent="0.3">
      <c r="B53" s="186"/>
      <c r="C53" s="187"/>
      <c r="D53" s="24"/>
      <c r="E53" s="24"/>
      <c r="F53" s="24"/>
      <c r="G53" s="24"/>
      <c r="H53" s="24"/>
      <c r="I53" s="24"/>
      <c r="J53" s="24"/>
      <c r="K53" s="24"/>
      <c r="L53" s="24"/>
      <c r="M53" s="24"/>
      <c r="N53" s="24"/>
      <c r="O53" s="24"/>
      <c r="P53" s="24"/>
    </row>
    <row r="54" spans="2:16" ht="16" customHeight="1" x14ac:dyDescent="0.3">
      <c r="B54" s="66" t="s">
        <v>38</v>
      </c>
      <c r="C54" s="13"/>
      <c r="D54" s="24"/>
      <c r="E54" s="24"/>
      <c r="F54" s="24"/>
      <c r="G54" s="24"/>
      <c r="H54" s="24"/>
      <c r="I54" s="24"/>
      <c r="J54" s="24"/>
      <c r="K54" s="24"/>
      <c r="L54" s="24"/>
      <c r="M54" s="24"/>
      <c r="N54" s="24"/>
      <c r="O54" s="24"/>
      <c r="P54" s="24"/>
    </row>
    <row r="55" spans="2:16" ht="13.5" customHeight="1" x14ac:dyDescent="0.3">
      <c r="B55" s="24"/>
      <c r="C55" s="24"/>
      <c r="D55" s="24"/>
      <c r="E55" s="24"/>
      <c r="F55" s="24"/>
      <c r="G55" s="24"/>
      <c r="H55" s="24"/>
      <c r="I55" s="24"/>
      <c r="J55" s="24"/>
      <c r="K55" s="24"/>
      <c r="L55" s="24"/>
      <c r="M55" s="24"/>
      <c r="N55" s="24"/>
      <c r="O55" s="24"/>
      <c r="P55" s="24"/>
    </row>
    <row r="56" spans="2:16" ht="20.149999999999999" customHeight="1" x14ac:dyDescent="0.3">
      <c r="B56" s="65" t="s">
        <v>39</v>
      </c>
      <c r="C56" s="65"/>
      <c r="D56" s="65"/>
      <c r="E56" s="24"/>
      <c r="F56" s="24"/>
      <c r="G56" s="24"/>
      <c r="H56" s="24"/>
      <c r="I56" s="24"/>
      <c r="J56" s="24"/>
      <c r="K56" s="24"/>
      <c r="L56" s="24"/>
      <c r="M56" s="24"/>
      <c r="N56" s="24"/>
      <c r="O56" s="24"/>
      <c r="P56" s="24"/>
    </row>
    <row r="57" spans="2:16" ht="103.5" customHeight="1" x14ac:dyDescent="0.3">
      <c r="B57" s="311"/>
      <c r="C57" s="312"/>
      <c r="D57" s="313"/>
      <c r="E57" s="84"/>
      <c r="F57" s="24"/>
      <c r="G57" s="24"/>
      <c r="H57" s="24"/>
      <c r="I57" s="24"/>
      <c r="J57" s="24"/>
      <c r="K57" s="24"/>
      <c r="L57" s="24"/>
      <c r="M57" s="24"/>
      <c r="N57" s="24"/>
      <c r="O57" s="24"/>
      <c r="P57" s="24"/>
    </row>
    <row r="58" spans="2:16" ht="20.149999999999999" customHeight="1" x14ac:dyDescent="0.3">
      <c r="B58" s="24"/>
      <c r="C58" s="24"/>
      <c r="D58" s="24"/>
      <c r="E58" s="24"/>
      <c r="F58" s="24"/>
      <c r="G58" s="24"/>
      <c r="H58" s="24"/>
      <c r="I58" s="24"/>
      <c r="J58" s="24"/>
      <c r="K58" s="24"/>
      <c r="L58" s="24"/>
      <c r="M58" s="24"/>
      <c r="N58" s="24"/>
      <c r="O58" s="24"/>
      <c r="P58" s="24"/>
    </row>
    <row r="59" spans="2:16" ht="20.149999999999999" customHeight="1" x14ac:dyDescent="0.35">
      <c r="B59"/>
      <c r="C59" s="24"/>
      <c r="D59" s="24"/>
      <c r="E59" s="24"/>
      <c r="F59" s="24"/>
      <c r="G59" s="24"/>
      <c r="H59" s="24"/>
      <c r="I59" s="24"/>
      <c r="J59" s="24"/>
      <c r="K59" s="24"/>
      <c r="L59" s="24"/>
      <c r="M59" s="24"/>
      <c r="N59" s="24"/>
      <c r="O59" s="24"/>
      <c r="P59" s="24"/>
    </row>
    <row r="60" spans="2:16" ht="20.149999999999999" hidden="1" customHeight="1" x14ac:dyDescent="0.3">
      <c r="B60" s="141" t="s">
        <v>40</v>
      </c>
      <c r="C60" s="24"/>
      <c r="D60" s="24"/>
      <c r="E60" s="24"/>
      <c r="F60" s="24"/>
      <c r="G60" s="24"/>
      <c r="H60" s="24"/>
      <c r="I60" s="24"/>
      <c r="J60" s="24"/>
      <c r="K60" s="24"/>
      <c r="L60" s="24"/>
      <c r="M60" s="24"/>
      <c r="N60" s="24"/>
      <c r="O60" s="24"/>
      <c r="P60" s="24"/>
    </row>
    <row r="61" spans="2:16" ht="12.75" hidden="1" customHeight="1" x14ac:dyDescent="0.3">
      <c r="B61" s="21" t="s">
        <v>274</v>
      </c>
      <c r="C61" s="24"/>
      <c r="D61" s="24"/>
      <c r="E61" s="24"/>
      <c r="F61" s="24"/>
      <c r="G61" s="24"/>
      <c r="H61" s="24"/>
      <c r="I61" s="24"/>
      <c r="J61" s="24"/>
      <c r="K61" s="24"/>
      <c r="L61" s="24"/>
      <c r="M61" s="24"/>
      <c r="N61" s="24"/>
      <c r="O61" s="24"/>
      <c r="P61" s="24"/>
    </row>
    <row r="62" spans="2:16" ht="12.75" hidden="1" customHeight="1" x14ac:dyDescent="0.3">
      <c r="B62" s="21" t="s">
        <v>275</v>
      </c>
      <c r="C62" s="24"/>
      <c r="D62" s="24"/>
      <c r="E62" s="24"/>
      <c r="F62" s="24"/>
      <c r="G62" s="24"/>
      <c r="H62" s="24"/>
      <c r="I62" s="24"/>
      <c r="J62" s="24"/>
      <c r="K62" s="24"/>
      <c r="L62" s="24"/>
      <c r="M62" s="24"/>
      <c r="N62" s="24"/>
      <c r="O62" s="24"/>
      <c r="P62" s="24"/>
    </row>
    <row r="63" spans="2:16" hidden="1" x14ac:dyDescent="0.3">
      <c r="B63" s="21" t="s">
        <v>276</v>
      </c>
    </row>
    <row r="64" spans="2:16" ht="12.75" hidden="1" customHeight="1" x14ac:dyDescent="0.3">
      <c r="B64" s="21" t="s">
        <v>277</v>
      </c>
      <c r="C64" s="24"/>
      <c r="D64" s="24"/>
      <c r="E64" s="24"/>
      <c r="F64" s="24"/>
      <c r="G64" s="24"/>
      <c r="H64" s="24"/>
      <c r="I64" s="24"/>
      <c r="J64" s="24"/>
      <c r="K64" s="24"/>
      <c r="L64" s="24"/>
      <c r="M64" s="24"/>
      <c r="N64" s="24"/>
      <c r="O64" s="24"/>
      <c r="P64" s="24"/>
    </row>
    <row r="65" spans="2:16" hidden="1" x14ac:dyDescent="0.3">
      <c r="B65" s="21" t="s">
        <v>41</v>
      </c>
    </row>
    <row r="66" spans="2:16" ht="12.75" hidden="1" customHeight="1" x14ac:dyDescent="0.3">
      <c r="B66" s="21" t="s">
        <v>278</v>
      </c>
      <c r="C66" s="24"/>
      <c r="D66" s="24"/>
      <c r="E66" s="24"/>
      <c r="F66" s="24"/>
      <c r="G66" s="24"/>
      <c r="H66" s="24"/>
      <c r="I66" s="24"/>
      <c r="J66" s="24"/>
      <c r="K66" s="24"/>
      <c r="L66" s="24"/>
      <c r="M66" s="24"/>
      <c r="N66" s="24"/>
      <c r="O66" s="24"/>
      <c r="P66" s="24"/>
    </row>
    <row r="67" spans="2:16" ht="12.75" hidden="1" customHeight="1" x14ac:dyDescent="0.3">
      <c r="B67" s="21" t="s">
        <v>42</v>
      </c>
      <c r="C67" s="24"/>
      <c r="D67" s="24"/>
      <c r="E67" s="24"/>
      <c r="F67" s="24"/>
      <c r="G67" s="24"/>
      <c r="H67" s="24"/>
      <c r="I67" s="24"/>
      <c r="J67" s="24"/>
      <c r="K67" s="24"/>
      <c r="L67" s="24"/>
      <c r="M67" s="24"/>
      <c r="N67" s="24"/>
      <c r="O67" s="24"/>
      <c r="P67" s="24"/>
    </row>
    <row r="68" spans="2:16" hidden="1" x14ac:dyDescent="0.3">
      <c r="B68" s="21" t="s">
        <v>43</v>
      </c>
    </row>
    <row r="69" spans="2:16" ht="12.75" hidden="1" customHeight="1" x14ac:dyDescent="0.3">
      <c r="B69" s="21" t="s">
        <v>44</v>
      </c>
    </row>
    <row r="70" spans="2:16" ht="12.75" hidden="1" customHeight="1" x14ac:dyDescent="0.3">
      <c r="B70" s="21" t="s">
        <v>279</v>
      </c>
      <c r="C70" s="24"/>
      <c r="D70" s="24"/>
      <c r="E70" s="24"/>
      <c r="F70" s="24"/>
      <c r="G70" s="24"/>
      <c r="H70" s="24"/>
      <c r="I70" s="24"/>
      <c r="J70" s="24"/>
      <c r="K70" s="24"/>
      <c r="L70" s="24"/>
      <c r="M70" s="24"/>
      <c r="N70" s="24"/>
      <c r="O70" s="24"/>
      <c r="P70" s="24"/>
    </row>
    <row r="71" spans="2:16" ht="12.75" hidden="1" customHeight="1" x14ac:dyDescent="0.3">
      <c r="B71" s="21" t="s">
        <v>45</v>
      </c>
    </row>
    <row r="72" spans="2:16" ht="12.75" hidden="1" customHeight="1" x14ac:dyDescent="0.3">
      <c r="B72" s="21" t="s">
        <v>46</v>
      </c>
    </row>
    <row r="73" spans="2:16" hidden="1" x14ac:dyDescent="0.3">
      <c r="B73" s="21" t="s">
        <v>47</v>
      </c>
    </row>
    <row r="74" spans="2:16" ht="12.75" hidden="1" customHeight="1" x14ac:dyDescent="0.3">
      <c r="B74" s="21" t="s">
        <v>48</v>
      </c>
    </row>
    <row r="75" spans="2:16" ht="12.75" hidden="1" customHeight="1" x14ac:dyDescent="0.3">
      <c r="B75" s="21" t="s">
        <v>280</v>
      </c>
      <c r="C75" s="24"/>
      <c r="D75" s="24"/>
      <c r="E75" s="24"/>
      <c r="F75" s="24"/>
      <c r="G75" s="24"/>
      <c r="H75" s="24"/>
      <c r="I75" s="24"/>
      <c r="J75" s="24"/>
      <c r="K75" s="24"/>
      <c r="L75" s="24"/>
      <c r="M75" s="24"/>
      <c r="N75" s="24"/>
      <c r="O75" s="24"/>
      <c r="P75" s="24"/>
    </row>
    <row r="76" spans="2:16" ht="12.75" hidden="1" customHeight="1" x14ac:dyDescent="0.3">
      <c r="B76" s="21" t="s">
        <v>49</v>
      </c>
    </row>
    <row r="77" spans="2:16" ht="12.75" hidden="1" customHeight="1" x14ac:dyDescent="0.3">
      <c r="C77" s="24"/>
      <c r="D77" s="24"/>
      <c r="E77" s="24"/>
      <c r="F77" s="24"/>
      <c r="G77" s="24"/>
      <c r="H77" s="24"/>
      <c r="I77" s="24"/>
      <c r="J77" s="24"/>
      <c r="K77" s="24"/>
      <c r="L77" s="24"/>
      <c r="M77" s="24"/>
      <c r="N77" s="24"/>
      <c r="O77" s="24"/>
      <c r="P77" s="24"/>
    </row>
    <row r="78" spans="2:16" ht="12.75" hidden="1" customHeight="1" x14ac:dyDescent="0.3">
      <c r="C78" s="24"/>
      <c r="D78" s="24"/>
      <c r="E78" s="24"/>
      <c r="F78" s="24"/>
      <c r="G78" s="24"/>
      <c r="H78" s="24"/>
      <c r="I78" s="24"/>
      <c r="J78" s="24"/>
      <c r="K78" s="24"/>
      <c r="L78" s="24"/>
      <c r="M78" s="24"/>
      <c r="N78" s="24"/>
      <c r="O78" s="24"/>
      <c r="P78" s="24"/>
    </row>
    <row r="79" spans="2:16" ht="12.75" hidden="1" customHeight="1" x14ac:dyDescent="0.3"/>
    <row r="80" spans="2:16" ht="12.75" customHeight="1" x14ac:dyDescent="0.3">
      <c r="C80" s="24"/>
      <c r="D80" s="24"/>
      <c r="E80" s="24"/>
      <c r="F80" s="24"/>
      <c r="G80" s="24"/>
      <c r="H80" s="24"/>
      <c r="I80" s="24"/>
      <c r="J80" s="24"/>
      <c r="K80" s="24"/>
      <c r="L80" s="24"/>
      <c r="M80" s="24"/>
      <c r="N80" s="24"/>
      <c r="O80" s="24"/>
      <c r="P80" s="24"/>
    </row>
  </sheetData>
  <mergeCells count="6">
    <mergeCell ref="B57:D57"/>
    <mergeCell ref="B41:D41"/>
    <mergeCell ref="B3:D3"/>
    <mergeCell ref="C12:D12"/>
    <mergeCell ref="C13:D13"/>
    <mergeCell ref="C11:G11"/>
  </mergeCells>
  <phoneticPr fontId="3" type="noConversion"/>
  <dataValidations count="1">
    <dataValidation type="list" allowBlank="1" showInputMessage="1" showErrorMessage="1" sqref="C12:D12" xr:uid="{D86B2AA2-FFB3-4B38-AD76-B0DED47309BF}">
      <formula1>$B$61:$B$80</formula1>
    </dataValidation>
  </dataValidations>
  <pageMargins left="0.70866141732283472" right="0.70866141732283472" top="0.74803149606299213" bottom="0.74803149606299213" header="0.31496062992125984" footer="0.31496062992125984"/>
  <pageSetup paperSize="9"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E9F54-6AB8-4A43-B01B-01B6093C6BA1}">
  <sheetPr codeName="Hoja2">
    <pageSetUpPr fitToPage="1"/>
  </sheetPr>
  <dimension ref="B2:AA49"/>
  <sheetViews>
    <sheetView showGridLines="0" zoomScale="55" zoomScaleNormal="55" workbookViewId="0">
      <selection activeCell="B16" sqref="B16"/>
    </sheetView>
  </sheetViews>
  <sheetFormatPr baseColWidth="10" defaultColWidth="9.1796875" defaultRowHeight="13.5" x14ac:dyDescent="0.3"/>
  <cols>
    <col min="1" max="1" width="2.1796875" style="21" customWidth="1"/>
    <col min="2" max="2" width="20.453125" style="21" customWidth="1"/>
    <col min="3" max="3" width="22.1796875" style="21" customWidth="1"/>
    <col min="4" max="4" width="20.81640625" style="21" customWidth="1"/>
    <col min="5" max="5" width="65.453125" style="21" customWidth="1"/>
    <col min="6" max="13" width="26.7265625" style="21" customWidth="1"/>
    <col min="14" max="14" width="11.453125" style="21" bestFit="1" customWidth="1"/>
    <col min="15" max="15" width="12.26953125" style="21" bestFit="1" customWidth="1"/>
    <col min="16" max="16" width="23.1796875" style="21" customWidth="1"/>
    <col min="17" max="17" width="5.26953125" style="21" customWidth="1"/>
    <col min="18" max="18" width="41.7265625" style="21" customWidth="1"/>
    <col min="19" max="19" width="9.1796875" style="21"/>
    <col min="20" max="20" width="9.1796875" style="21" hidden="1" customWidth="1"/>
    <col min="21" max="21" width="13" style="21" hidden="1" customWidth="1"/>
    <col min="22" max="22" width="9.1796875" style="21" hidden="1" customWidth="1"/>
    <col min="23" max="23" width="14.26953125" style="21" hidden="1" customWidth="1"/>
    <col min="24" max="24" width="10.7265625" style="21" hidden="1" customWidth="1"/>
    <col min="25" max="26" width="9.1796875" style="21" hidden="1" customWidth="1"/>
    <col min="27" max="27" width="22.453125" style="21" hidden="1" customWidth="1"/>
    <col min="28" max="28" width="0" style="21" hidden="1" customWidth="1"/>
    <col min="29" max="16384" width="9.1796875" style="21"/>
  </cols>
  <sheetData>
    <row r="2" spans="2:27" ht="21" customHeight="1" x14ac:dyDescent="0.3">
      <c r="B2" s="19" t="s">
        <v>5</v>
      </c>
      <c r="C2" s="20" t="str">
        <f>'Project Infor'!C10</f>
        <v>ZEV-ATE0012-1001</v>
      </c>
      <c r="D2" s="19" t="str">
        <f>'Project Infor'!C11</f>
        <v>Lote 2: Núcleo Estructural Java</v>
      </c>
      <c r="E2" s="20"/>
      <c r="F2" s="20"/>
      <c r="G2" s="20"/>
      <c r="H2" s="20"/>
    </row>
    <row r="3" spans="2:27" ht="9" customHeight="1" x14ac:dyDescent="0.3">
      <c r="C3" s="22"/>
      <c r="D3" s="22"/>
      <c r="E3" s="22"/>
      <c r="F3" s="22"/>
    </row>
    <row r="4" spans="2:27" ht="15" customHeight="1" x14ac:dyDescent="0.3">
      <c r="C4" s="23"/>
      <c r="D4" s="24"/>
      <c r="E4" s="24"/>
      <c r="F4" s="24"/>
      <c r="G4" s="24"/>
      <c r="H4" s="24"/>
      <c r="I4" s="24"/>
      <c r="J4" s="24"/>
      <c r="K4" s="24"/>
      <c r="L4" s="24"/>
      <c r="M4" s="24"/>
      <c r="N4" s="24"/>
      <c r="O4" s="24"/>
      <c r="P4" s="24"/>
      <c r="Q4" s="24"/>
      <c r="R4" s="24"/>
      <c r="S4" s="24"/>
    </row>
    <row r="5" spans="2:27" ht="20.149999999999999" customHeight="1" x14ac:dyDescent="0.3">
      <c r="B5" s="320" t="s">
        <v>50</v>
      </c>
      <c r="C5" s="320"/>
      <c r="D5" s="320"/>
      <c r="E5" s="320"/>
      <c r="F5" s="320"/>
      <c r="G5" s="320"/>
      <c r="H5" s="320"/>
      <c r="I5" s="320"/>
      <c r="J5" s="320"/>
      <c r="K5" s="320"/>
      <c r="L5" s="320"/>
      <c r="M5" s="320"/>
      <c r="N5" s="320"/>
      <c r="O5" s="320"/>
      <c r="P5" s="85"/>
      <c r="Q5" s="24"/>
      <c r="R5" s="85"/>
      <c r="S5" s="24"/>
      <c r="U5" s="169" t="s">
        <v>51</v>
      </c>
      <c r="V5" s="169" t="s">
        <v>52</v>
      </c>
      <c r="W5" s="169" t="s">
        <v>53</v>
      </c>
      <c r="X5" s="169" t="s">
        <v>54</v>
      </c>
      <c r="Y5" s="169" t="s">
        <v>55</v>
      </c>
      <c r="Z5" s="169" t="s">
        <v>56</v>
      </c>
      <c r="AA5" s="169" t="s">
        <v>57</v>
      </c>
    </row>
    <row r="6" spans="2:27" s="86" customFormat="1" ht="37" customHeight="1" x14ac:dyDescent="0.3">
      <c r="B6" s="25"/>
      <c r="C6" s="188"/>
      <c r="D6" s="188"/>
      <c r="E6" s="188"/>
      <c r="F6" s="26" t="s">
        <v>58</v>
      </c>
      <c r="G6" s="26" t="s">
        <v>59</v>
      </c>
      <c r="H6" s="27" t="s">
        <v>60</v>
      </c>
      <c r="I6" s="26" t="s">
        <v>61</v>
      </c>
      <c r="J6" s="26" t="s">
        <v>62</v>
      </c>
      <c r="K6" s="26" t="s">
        <v>63</v>
      </c>
      <c r="L6" s="26" t="s">
        <v>64</v>
      </c>
      <c r="M6" s="26" t="s">
        <v>65</v>
      </c>
      <c r="N6" s="27" t="s">
        <v>66</v>
      </c>
      <c r="O6" s="27" t="s">
        <v>67</v>
      </c>
      <c r="P6" s="87"/>
      <c r="Q6" s="88"/>
      <c r="R6" s="87"/>
      <c r="S6" s="88"/>
      <c r="U6" s="169"/>
    </row>
    <row r="7" spans="2:27" s="89" customFormat="1" ht="31.5" customHeight="1" thickBot="1" x14ac:dyDescent="0.35">
      <c r="B7" s="321" t="s">
        <v>68</v>
      </c>
      <c r="C7" s="322"/>
      <c r="D7" s="322"/>
      <c r="E7" s="322"/>
      <c r="F7" s="28">
        <f t="shared" ref="F7" si="0">SUM(F12,F36)</f>
        <v>465000</v>
      </c>
      <c r="G7" s="29">
        <f t="shared" ref="G7:L7" si="1">SUM(G12,G36)</f>
        <v>356584.84</v>
      </c>
      <c r="H7" s="30">
        <f t="shared" si="1"/>
        <v>14256</v>
      </c>
      <c r="I7" s="31">
        <f t="shared" si="1"/>
        <v>3565.85</v>
      </c>
      <c r="J7" s="31">
        <f t="shared" si="1"/>
        <v>0</v>
      </c>
      <c r="K7" s="31">
        <f t="shared" si="1"/>
        <v>0</v>
      </c>
      <c r="L7" s="31">
        <f t="shared" si="1"/>
        <v>0</v>
      </c>
      <c r="M7" s="28">
        <f>SUM(G7,I7,J7,K7,L7)</f>
        <v>360150.69</v>
      </c>
      <c r="N7" s="32">
        <f>IF(F7=0,0,(F7-G7-J7-K7-I7-L7)/F7)</f>
        <v>0.22548238709677412</v>
      </c>
      <c r="O7" s="32">
        <f>IF(F7=0,0,(F7-G7/UTILIZACION-I7/UTILIZACION-J7/UTILIZACION-K7-L7)/F7)</f>
        <v>0.16718536246964966</v>
      </c>
      <c r="P7" s="85"/>
      <c r="Q7" s="22"/>
      <c r="R7" s="85"/>
      <c r="S7" s="22"/>
    </row>
    <row r="8" spans="2:27" s="89" customFormat="1" ht="36.75" customHeight="1" thickBot="1" x14ac:dyDescent="0.35">
      <c r="B8" s="323" t="s">
        <v>69</v>
      </c>
      <c r="C8" s="323"/>
      <c r="D8" s="323"/>
      <c r="E8" s="323"/>
      <c r="F8" s="33">
        <f>F7</f>
        <v>465000</v>
      </c>
      <c r="G8" s="34">
        <f>G7+G37</f>
        <v>356584.84</v>
      </c>
      <c r="H8" s="33">
        <f t="shared" ref="H8:L8" si="2">H7+H37</f>
        <v>14256</v>
      </c>
      <c r="I8" s="35">
        <f t="shared" si="2"/>
        <v>3565.85</v>
      </c>
      <c r="J8" s="35">
        <f t="shared" si="2"/>
        <v>0</v>
      </c>
      <c r="K8" s="33">
        <f t="shared" si="2"/>
        <v>0</v>
      </c>
      <c r="L8" s="35">
        <f t="shared" si="2"/>
        <v>0</v>
      </c>
      <c r="M8" s="35">
        <f>M7+M37</f>
        <v>360150.69</v>
      </c>
      <c r="N8" s="36">
        <f>IF(F8=0,0,(F8-G8-J8-K8-I8-L8)/F8)</f>
        <v>0.22548238709677412</v>
      </c>
      <c r="O8" s="37">
        <f>IF(F8=0,0,(F8-G8/UTILIZACION-I8/UTILIZACION-J8/UTILIZACION-K8-L8)/F8)</f>
        <v>0.16718536246964966</v>
      </c>
      <c r="P8" s="90" cm="1">
        <f t="array" ref="P8">margendirectobaselineactual</f>
        <v>104849.31</v>
      </c>
      <c r="Q8" s="22"/>
      <c r="R8" s="90"/>
      <c r="S8" s="22"/>
    </row>
    <row r="9" spans="2:27" s="89" customFormat="1" ht="22.5" customHeight="1" x14ac:dyDescent="0.3">
      <c r="B9" s="23"/>
      <c r="C9" s="23"/>
      <c r="D9" s="24"/>
      <c r="E9" s="24"/>
      <c r="F9" s="38"/>
      <c r="G9" s="39"/>
      <c r="H9" s="38"/>
      <c r="I9" s="39"/>
      <c r="J9" s="39"/>
      <c r="K9" s="38"/>
      <c r="L9" s="39"/>
      <c r="M9" s="40"/>
      <c r="N9" s="41"/>
      <c r="O9" s="41"/>
      <c r="P9" s="85"/>
      <c r="Q9" s="22"/>
      <c r="R9" s="85"/>
      <c r="S9" s="22"/>
    </row>
    <row r="10" spans="2:27" ht="20.149999999999999" customHeight="1" x14ac:dyDescent="0.3">
      <c r="B10" s="320" t="s">
        <v>70</v>
      </c>
      <c r="C10" s="320"/>
      <c r="D10" s="320"/>
      <c r="E10" s="320"/>
      <c r="F10" s="320"/>
      <c r="G10" s="320"/>
      <c r="H10" s="320"/>
      <c r="I10" s="320"/>
      <c r="J10" s="320"/>
      <c r="K10" s="320"/>
      <c r="L10" s="320"/>
      <c r="M10" s="320"/>
      <c r="N10" s="320"/>
      <c r="O10" s="320"/>
      <c r="P10" s="85"/>
      <c r="Q10" s="24"/>
      <c r="R10" s="85"/>
      <c r="S10" s="24"/>
      <c r="U10" s="169" t="s">
        <v>51</v>
      </c>
      <c r="V10" s="169" t="s">
        <v>52</v>
      </c>
      <c r="W10" s="169" t="s">
        <v>53</v>
      </c>
      <c r="X10" s="169" t="s">
        <v>54</v>
      </c>
      <c r="Y10" s="169" t="s">
        <v>55</v>
      </c>
      <c r="Z10" s="169" t="s">
        <v>56</v>
      </c>
      <c r="AA10" s="169" t="s">
        <v>57</v>
      </c>
    </row>
    <row r="11" spans="2:27" s="86" customFormat="1" ht="31.5" customHeight="1" x14ac:dyDescent="0.3">
      <c r="B11" s="42"/>
      <c r="C11" s="42" t="s">
        <v>71</v>
      </c>
      <c r="D11" s="43" t="s">
        <v>72</v>
      </c>
      <c r="E11" s="42" t="s">
        <v>10</v>
      </c>
      <c r="F11" s="26" t="s">
        <v>73</v>
      </c>
      <c r="G11" s="26" t="s">
        <v>59</v>
      </c>
      <c r="H11" s="27" t="s">
        <v>60</v>
      </c>
      <c r="I11" s="26" t="s">
        <v>61</v>
      </c>
      <c r="J11" s="26" t="s">
        <v>62</v>
      </c>
      <c r="K11" s="26" t="s">
        <v>63</v>
      </c>
      <c r="L11" s="26" t="s">
        <v>64</v>
      </c>
      <c r="M11" s="26" t="s">
        <v>65</v>
      </c>
      <c r="N11" s="27" t="s">
        <v>74</v>
      </c>
      <c r="O11" s="27" t="s">
        <v>67</v>
      </c>
      <c r="P11" s="88"/>
      <c r="Q11" s="88"/>
      <c r="R11" s="88"/>
      <c r="S11" s="88"/>
    </row>
    <row r="12" spans="2:27" ht="20.149999999999999" customHeight="1" x14ac:dyDescent="0.3">
      <c r="B12" s="44"/>
      <c r="C12" s="183"/>
      <c r="D12" s="45">
        <v>10</v>
      </c>
      <c r="E12" s="45" t="s">
        <v>75</v>
      </c>
      <c r="F12" s="46">
        <f>'Project Infor'!C28</f>
        <v>465000</v>
      </c>
      <c r="G12" s="46">
        <f>'Project Infor'!C30</f>
        <v>356584.84</v>
      </c>
      <c r="H12" s="46">
        <f>'Project Infor'!C29</f>
        <v>14256</v>
      </c>
      <c r="I12" s="46">
        <f>'Project Infor'!C31</f>
        <v>3565.85</v>
      </c>
      <c r="J12" s="46">
        <f>'Project Infor'!C32</f>
        <v>0</v>
      </c>
      <c r="K12" s="46">
        <f>'Project Infor'!C33</f>
        <v>0</v>
      </c>
      <c r="L12" s="46">
        <f>'Project Infor'!C34</f>
        <v>0</v>
      </c>
      <c r="M12" s="46">
        <f>SUM(G12,I12,J12,K12,L12)</f>
        <v>360150.69</v>
      </c>
      <c r="N12" s="47">
        <f>IF(F12=0,0,(F12-G12-J12-K12-I12-L12)/F12)</f>
        <v>0.22548238709677412</v>
      </c>
      <c r="O12" s="48">
        <f>IF(F12=0,0,(F12-G12/UTILIZACION-I12/UTILIZACION-J12/UTILIZACION-K12-L12)/F12)</f>
        <v>0.16718536246964966</v>
      </c>
      <c r="P12" s="24"/>
      <c r="Q12" s="24"/>
      <c r="R12" s="24"/>
      <c r="S12" s="24"/>
      <c r="T12" s="21" t="s">
        <v>76</v>
      </c>
    </row>
    <row r="13" spans="2:27" ht="20.149999999999999" customHeight="1" x14ac:dyDescent="0.3">
      <c r="C13" s="23"/>
      <c r="D13" s="24"/>
      <c r="E13" s="24"/>
      <c r="F13" s="24"/>
      <c r="G13" s="24"/>
      <c r="H13" s="24"/>
      <c r="I13" s="24"/>
      <c r="J13" s="24"/>
      <c r="K13" s="24"/>
      <c r="L13" s="24"/>
      <c r="M13" s="24"/>
      <c r="N13" s="24"/>
      <c r="O13" s="24"/>
      <c r="P13" s="24"/>
      <c r="Q13" s="24"/>
      <c r="R13" s="24"/>
      <c r="S13" s="24"/>
    </row>
    <row r="14" spans="2:27" ht="20.149999999999999" customHeight="1" x14ac:dyDescent="0.3">
      <c r="B14" s="320" t="s">
        <v>77</v>
      </c>
      <c r="C14" s="320"/>
      <c r="D14" s="320"/>
      <c r="E14" s="320"/>
      <c r="F14" s="320"/>
      <c r="G14" s="320"/>
      <c r="H14" s="320"/>
      <c r="I14" s="320"/>
      <c r="J14" s="320"/>
      <c r="K14" s="320"/>
      <c r="L14" s="320"/>
      <c r="M14" s="320"/>
      <c r="N14" s="320"/>
      <c r="O14" s="320"/>
      <c r="P14" s="24"/>
      <c r="Q14" s="24"/>
      <c r="R14" s="24"/>
      <c r="S14" s="24"/>
      <c r="U14" s="169" t="s">
        <v>51</v>
      </c>
      <c r="V14" s="169" t="s">
        <v>52</v>
      </c>
      <c r="W14" s="169" t="s">
        <v>53</v>
      </c>
      <c r="X14" s="169" t="s">
        <v>54</v>
      </c>
      <c r="Y14" s="169" t="s">
        <v>55</v>
      </c>
      <c r="Z14" s="169" t="s">
        <v>56</v>
      </c>
      <c r="AA14" s="169" t="s">
        <v>57</v>
      </c>
    </row>
    <row r="15" spans="2:27" s="86" customFormat="1" ht="31.5" customHeight="1" x14ac:dyDescent="0.3">
      <c r="B15" s="236" t="s">
        <v>78</v>
      </c>
      <c r="C15" s="236" t="s">
        <v>71</v>
      </c>
      <c r="D15" s="237" t="s">
        <v>72</v>
      </c>
      <c r="E15" s="236" t="s">
        <v>10</v>
      </c>
      <c r="F15" s="238" t="s">
        <v>58</v>
      </c>
      <c r="G15" s="238" t="s">
        <v>59</v>
      </c>
      <c r="H15" s="239" t="s">
        <v>60</v>
      </c>
      <c r="I15" s="238" t="s">
        <v>61</v>
      </c>
      <c r="J15" s="238" t="s">
        <v>62</v>
      </c>
      <c r="K15" s="238" t="s">
        <v>63</v>
      </c>
      <c r="L15" s="238" t="s">
        <v>64</v>
      </c>
      <c r="M15" s="26" t="s">
        <v>65</v>
      </c>
      <c r="N15" s="49" t="s">
        <v>74</v>
      </c>
      <c r="O15" s="49" t="s">
        <v>67</v>
      </c>
      <c r="P15" s="49" t="s">
        <v>79</v>
      </c>
      <c r="Q15" s="24"/>
      <c r="R15" s="43" t="s">
        <v>80</v>
      </c>
      <c r="S15" s="24"/>
      <c r="W15" s="170"/>
    </row>
    <row r="16" spans="2:27" s="67" customFormat="1" ht="20.149999999999999" customHeight="1" x14ac:dyDescent="0.3">
      <c r="B16" s="189"/>
      <c r="C16" s="3"/>
      <c r="D16" s="1"/>
      <c r="E16" s="4"/>
      <c r="F16" s="91"/>
      <c r="G16" s="91"/>
      <c r="H16" s="91"/>
      <c r="I16" s="91"/>
      <c r="J16" s="91"/>
      <c r="K16" s="91"/>
      <c r="L16" s="91"/>
      <c r="M16" s="17">
        <f>SUM(G16,I16,J16,K16,L16)</f>
        <v>0</v>
      </c>
      <c r="N16" s="18">
        <f>IF(F16=0,0,(F16-G16-J16-K16-I16-L16)/F16)</f>
        <v>0</v>
      </c>
      <c r="O16" s="18">
        <f t="shared" ref="O16:O35" si="3">IF(F16=0,0,(F16-G16/UTILIZACION-I16/UTILIZACION-J16/UTILIZACION-K16-L16)/F16)</f>
        <v>0</v>
      </c>
      <c r="P16" s="16"/>
      <c r="Q16" s="24"/>
      <c r="R16" s="16" t="s">
        <v>81</v>
      </c>
      <c r="S16" s="24"/>
      <c r="T16" s="171" t="str">
        <f t="shared" ref="T16:T35" si="4">IF(C16&lt;&gt;"",IF((YEAR(C16)&amp;MONTH(C16))&lt;(YEAR(Inicio)&amp;MONTH(Inicio)),YEAR(Inicio)&amp;MONTH(Inicio),YEAR(C16)&amp;MONTH(C16)),YEAR(C16)&amp;MONTH(C16))</f>
        <v>19001</v>
      </c>
      <c r="U16" s="170">
        <f t="shared" ref="U16:U35" si="5">AA16-Y16-X16-W16</f>
        <v>104849.31</v>
      </c>
      <c r="V16" s="170"/>
      <c r="W16" s="170">
        <f>$G$12+SUM($G$16:G16)</f>
        <v>356584.84</v>
      </c>
      <c r="X16" s="170">
        <f>$I$12+SUM($I$16:I16)+$J$12+SUM($J$16:J16)</f>
        <v>3565.85</v>
      </c>
      <c r="Y16" s="170">
        <f>$K$12+SUM($K$16:K16)</f>
        <v>0</v>
      </c>
      <c r="Z16" s="170">
        <f>$L$12+SUM($L$16:L16)</f>
        <v>0</v>
      </c>
      <c r="AA16" s="170">
        <f>$F$12+SUM($F$16:F16)</f>
        <v>465000</v>
      </c>
    </row>
    <row r="17" spans="2:27" s="67" customFormat="1" ht="20.149999999999999" customHeight="1" x14ac:dyDescent="0.35">
      <c r="B17" s="189"/>
      <c r="C17" s="3"/>
      <c r="D17" s="1"/>
      <c r="E17" s="92"/>
      <c r="F17" s="91"/>
      <c r="G17"/>
      <c r="H17" s="91"/>
      <c r="I17"/>
      <c r="J17" s="91"/>
      <c r="K17" s="91"/>
      <c r="L17" s="190"/>
      <c r="M17" s="17">
        <f>SUM(G17,I17,J17,K17,L17)</f>
        <v>0</v>
      </c>
      <c r="N17" s="18">
        <f t="shared" ref="N17:N34" si="6">IF(F17=0,0,(F17-G17-J17-K17-I17-L17)/F17)</f>
        <v>0</v>
      </c>
      <c r="O17" s="18">
        <f t="shared" si="3"/>
        <v>0</v>
      </c>
      <c r="P17" s="16"/>
      <c r="Q17" s="24"/>
      <c r="R17" s="16"/>
      <c r="S17" s="24"/>
      <c r="T17" s="171" t="str">
        <f t="shared" si="4"/>
        <v>19001</v>
      </c>
      <c r="U17" s="170">
        <f t="shared" si="5"/>
        <v>104849.31</v>
      </c>
      <c r="V17" s="170"/>
      <c r="W17" s="170">
        <f>$G$12+SUM($G$16:G17)</f>
        <v>356584.84</v>
      </c>
      <c r="X17" s="170">
        <f>$I$12+SUM($I$16:I17)+$J$12+SUM($J$16:J17)</f>
        <v>3565.85</v>
      </c>
      <c r="Y17" s="170">
        <f>$K$12+SUM($K$16:K17)</f>
        <v>0</v>
      </c>
      <c r="Z17" s="170">
        <f>$L$12+SUM($L$16:L17)</f>
        <v>0</v>
      </c>
      <c r="AA17" s="170">
        <f>$F$12+SUM($F$16:F17)</f>
        <v>465000</v>
      </c>
    </row>
    <row r="18" spans="2:27" s="67" customFormat="1" ht="20.149999999999999" customHeight="1" x14ac:dyDescent="0.3">
      <c r="B18" s="189"/>
      <c r="C18" s="3"/>
      <c r="D18" s="1"/>
      <c r="E18" s="4"/>
      <c r="F18" s="91"/>
      <c r="G18" s="91"/>
      <c r="H18" s="91"/>
      <c r="I18" s="91"/>
      <c r="J18" s="91"/>
      <c r="K18" s="91"/>
      <c r="L18" s="91"/>
      <c r="M18" s="17">
        <f t="shared" ref="M18:M36" si="7">SUM(G18,I18,J18,K18,L18)</f>
        <v>0</v>
      </c>
      <c r="N18" s="18">
        <f t="shared" si="6"/>
        <v>0</v>
      </c>
      <c r="O18" s="18">
        <f t="shared" si="3"/>
        <v>0</v>
      </c>
      <c r="P18" s="16"/>
      <c r="Q18" s="24"/>
      <c r="R18" s="16"/>
      <c r="S18" s="24"/>
      <c r="T18" s="171" t="str">
        <f t="shared" si="4"/>
        <v>19001</v>
      </c>
      <c r="U18" s="170">
        <f t="shared" si="5"/>
        <v>104849.31</v>
      </c>
      <c r="V18" s="170"/>
      <c r="W18" s="170">
        <f>$G$12+SUM($G$16:G18)</f>
        <v>356584.84</v>
      </c>
      <c r="X18" s="170">
        <f>$I$12+SUM($I$16:I18)+$J$12+SUM($J$16:J18)</f>
        <v>3565.85</v>
      </c>
      <c r="Y18" s="170">
        <f>$K$12+SUM($K$16:K18)</f>
        <v>0</v>
      </c>
      <c r="Z18" s="170">
        <f>$L$12+SUM($L$16:L18)</f>
        <v>0</v>
      </c>
      <c r="AA18" s="170">
        <f>$F$12+SUM($F$16:F18)</f>
        <v>465000</v>
      </c>
    </row>
    <row r="19" spans="2:27" s="67" customFormat="1" ht="20.149999999999999" customHeight="1" x14ac:dyDescent="0.3">
      <c r="B19" s="189"/>
      <c r="C19" s="3"/>
      <c r="D19" s="1"/>
      <c r="E19" s="4"/>
      <c r="F19" s="91"/>
      <c r="G19" s="91"/>
      <c r="H19" s="91"/>
      <c r="I19" s="91"/>
      <c r="J19" s="91"/>
      <c r="K19" s="91"/>
      <c r="L19" s="91"/>
      <c r="M19" s="17">
        <f t="shared" si="7"/>
        <v>0</v>
      </c>
      <c r="N19" s="18">
        <f t="shared" si="6"/>
        <v>0</v>
      </c>
      <c r="O19" s="18">
        <f t="shared" si="3"/>
        <v>0</v>
      </c>
      <c r="P19" s="16"/>
      <c r="Q19" s="24"/>
      <c r="R19" s="16"/>
      <c r="S19" s="24"/>
      <c r="T19" s="171" t="str">
        <f t="shared" si="4"/>
        <v>19001</v>
      </c>
      <c r="U19" s="170">
        <f t="shared" si="5"/>
        <v>104849.31</v>
      </c>
      <c r="V19" s="170"/>
      <c r="W19" s="170">
        <f>$G$12+SUM($G$16:G19)</f>
        <v>356584.84</v>
      </c>
      <c r="X19" s="170">
        <f>$I$12+SUM($I$16:I19)+$J$12+SUM($J$16:J19)</f>
        <v>3565.85</v>
      </c>
      <c r="Y19" s="170">
        <f>$K$12+SUM($K$16:K19)</f>
        <v>0</v>
      </c>
      <c r="Z19" s="170">
        <f>$L$12+SUM($L$16:L19)</f>
        <v>0</v>
      </c>
      <c r="AA19" s="170">
        <f>$F$12+SUM($F$16:F19)</f>
        <v>465000</v>
      </c>
    </row>
    <row r="20" spans="2:27" s="67" customFormat="1" ht="20.149999999999999" customHeight="1" x14ac:dyDescent="0.3">
      <c r="B20" s="189"/>
      <c r="C20" s="3"/>
      <c r="D20" s="1"/>
      <c r="E20" s="4"/>
      <c r="F20" s="91"/>
      <c r="G20" s="91"/>
      <c r="H20" s="91"/>
      <c r="I20" s="91"/>
      <c r="J20" s="91"/>
      <c r="K20" s="91"/>
      <c r="L20" s="91"/>
      <c r="M20" s="17">
        <f t="shared" ref="M20:M25" si="8">SUM(G20,I20,J20,K20,L20)</f>
        <v>0</v>
      </c>
      <c r="N20" s="18">
        <f t="shared" si="6"/>
        <v>0</v>
      </c>
      <c r="O20" s="18">
        <f t="shared" si="3"/>
        <v>0</v>
      </c>
      <c r="P20" s="16"/>
      <c r="Q20" s="24"/>
      <c r="R20" s="16"/>
      <c r="S20" s="24"/>
      <c r="T20" s="171" t="str">
        <f t="shared" si="4"/>
        <v>19001</v>
      </c>
      <c r="U20" s="170">
        <f t="shared" si="5"/>
        <v>104849.31</v>
      </c>
      <c r="V20" s="170"/>
      <c r="W20" s="170">
        <f>$G$12+SUM($G$16:G20)</f>
        <v>356584.84</v>
      </c>
      <c r="X20" s="170">
        <f>$I$12+SUM($I$16:I20)+$J$12+SUM($J$16:J20)</f>
        <v>3565.85</v>
      </c>
      <c r="Y20" s="170">
        <f>$K$12+SUM($K$16:K20)</f>
        <v>0</v>
      </c>
      <c r="Z20" s="170">
        <f>$L$12+SUM($L$16:L20)</f>
        <v>0</v>
      </c>
      <c r="AA20" s="170">
        <f>$F$12+SUM($F$16:F20)</f>
        <v>465000</v>
      </c>
    </row>
    <row r="21" spans="2:27" s="67" customFormat="1" ht="20.149999999999999" customHeight="1" x14ac:dyDescent="0.3">
      <c r="B21" s="189"/>
      <c r="C21" s="3"/>
      <c r="D21" s="1"/>
      <c r="E21" s="4"/>
      <c r="F21" s="91"/>
      <c r="G21" s="91"/>
      <c r="H21" s="91"/>
      <c r="I21" s="91"/>
      <c r="J21" s="91"/>
      <c r="K21" s="91"/>
      <c r="L21" s="91"/>
      <c r="M21" s="17">
        <f t="shared" si="8"/>
        <v>0</v>
      </c>
      <c r="N21" s="18">
        <f t="shared" si="6"/>
        <v>0</v>
      </c>
      <c r="O21" s="18">
        <f t="shared" si="3"/>
        <v>0</v>
      </c>
      <c r="P21" s="16"/>
      <c r="Q21" s="24"/>
      <c r="R21" s="16"/>
      <c r="S21" s="24"/>
      <c r="T21" s="171" t="str">
        <f t="shared" si="4"/>
        <v>19001</v>
      </c>
      <c r="U21" s="170">
        <f t="shared" si="5"/>
        <v>104849.31</v>
      </c>
      <c r="V21" s="170"/>
      <c r="W21" s="170">
        <f>$G$12+SUM($G$16:G21)</f>
        <v>356584.84</v>
      </c>
      <c r="X21" s="170">
        <f>$I$12+SUM($I$16:I21)+$J$12+SUM($J$16:J21)</f>
        <v>3565.85</v>
      </c>
      <c r="Y21" s="170">
        <f>$K$12+SUM($K$16:K21)</f>
        <v>0</v>
      </c>
      <c r="Z21" s="170">
        <f>$L$12+SUM($L$16:L21)</f>
        <v>0</v>
      </c>
      <c r="AA21" s="170">
        <f>$F$12+SUM($F$16:F21)</f>
        <v>465000</v>
      </c>
    </row>
    <row r="22" spans="2:27" s="67" customFormat="1" ht="20.149999999999999" customHeight="1" x14ac:dyDescent="0.3">
      <c r="B22" s="189"/>
      <c r="C22" s="3"/>
      <c r="D22" s="1"/>
      <c r="E22" s="4"/>
      <c r="F22" s="91"/>
      <c r="G22" s="91"/>
      <c r="H22" s="91"/>
      <c r="I22" s="91"/>
      <c r="J22" s="91"/>
      <c r="K22" s="91"/>
      <c r="L22" s="91"/>
      <c r="M22" s="17">
        <f t="shared" si="8"/>
        <v>0</v>
      </c>
      <c r="N22" s="18">
        <f t="shared" si="6"/>
        <v>0</v>
      </c>
      <c r="O22" s="18">
        <f t="shared" si="3"/>
        <v>0</v>
      </c>
      <c r="P22" s="16"/>
      <c r="Q22" s="24"/>
      <c r="R22" s="16"/>
      <c r="S22" s="24"/>
      <c r="T22" s="171" t="str">
        <f t="shared" si="4"/>
        <v>19001</v>
      </c>
      <c r="U22" s="170">
        <f t="shared" si="5"/>
        <v>104849.31</v>
      </c>
      <c r="V22" s="170"/>
      <c r="W22" s="170">
        <f>$G$12+SUM($G$16:G22)</f>
        <v>356584.84</v>
      </c>
      <c r="X22" s="170">
        <f>$I$12+SUM($I$16:I22)+$J$12+SUM($J$16:J22)</f>
        <v>3565.85</v>
      </c>
      <c r="Y22" s="170">
        <f>$K$12+SUM($K$16:K22)</f>
        <v>0</v>
      </c>
      <c r="Z22" s="170">
        <f>$L$12+SUM($L$16:L22)</f>
        <v>0</v>
      </c>
      <c r="AA22" s="170">
        <f>$F$12+SUM($F$16:F22)</f>
        <v>465000</v>
      </c>
    </row>
    <row r="23" spans="2:27" s="67" customFormat="1" ht="20.149999999999999" customHeight="1" x14ac:dyDescent="0.3">
      <c r="B23" s="189"/>
      <c r="C23" s="3"/>
      <c r="D23" s="1"/>
      <c r="E23" s="4"/>
      <c r="F23" s="91"/>
      <c r="G23" s="91"/>
      <c r="H23" s="91"/>
      <c r="I23" s="91"/>
      <c r="J23" s="91"/>
      <c r="K23" s="91"/>
      <c r="L23" s="91"/>
      <c r="M23" s="17">
        <f t="shared" si="8"/>
        <v>0</v>
      </c>
      <c r="N23" s="18">
        <f t="shared" si="6"/>
        <v>0</v>
      </c>
      <c r="O23" s="18">
        <f t="shared" si="3"/>
        <v>0</v>
      </c>
      <c r="P23" s="16"/>
      <c r="Q23" s="24"/>
      <c r="R23" s="16"/>
      <c r="S23" s="24"/>
      <c r="T23" s="171" t="str">
        <f t="shared" si="4"/>
        <v>19001</v>
      </c>
      <c r="U23" s="170">
        <f t="shared" si="5"/>
        <v>104849.31</v>
      </c>
      <c r="V23" s="170"/>
      <c r="W23" s="170">
        <f>$G$12+SUM($G$16:G23)</f>
        <v>356584.84</v>
      </c>
      <c r="X23" s="170">
        <f>$I$12+SUM($I$16:I23)+$J$12+SUM($J$16:J23)</f>
        <v>3565.85</v>
      </c>
      <c r="Y23" s="170">
        <f>$K$12+SUM($K$16:K23)</f>
        <v>0</v>
      </c>
      <c r="Z23" s="170">
        <f>$L$12+SUM($L$16:L23)</f>
        <v>0</v>
      </c>
      <c r="AA23" s="170">
        <f>$F$12+SUM($F$16:F23)</f>
        <v>465000</v>
      </c>
    </row>
    <row r="24" spans="2:27" s="67" customFormat="1" ht="20.149999999999999" customHeight="1" x14ac:dyDescent="0.3">
      <c r="B24" s="189"/>
      <c r="C24" s="3"/>
      <c r="D24" s="1"/>
      <c r="E24" s="4"/>
      <c r="F24" s="91"/>
      <c r="G24" s="91"/>
      <c r="H24" s="91"/>
      <c r="I24" s="91"/>
      <c r="J24" s="91"/>
      <c r="K24" s="91"/>
      <c r="L24" s="91"/>
      <c r="M24" s="17">
        <f t="shared" si="8"/>
        <v>0</v>
      </c>
      <c r="N24" s="18">
        <f t="shared" si="6"/>
        <v>0</v>
      </c>
      <c r="O24" s="18">
        <f t="shared" si="3"/>
        <v>0</v>
      </c>
      <c r="P24" s="16"/>
      <c r="Q24" s="24"/>
      <c r="R24" s="16"/>
      <c r="S24" s="24"/>
      <c r="T24" s="171" t="str">
        <f t="shared" si="4"/>
        <v>19001</v>
      </c>
      <c r="U24" s="170">
        <f t="shared" si="5"/>
        <v>104849.31</v>
      </c>
      <c r="V24" s="170"/>
      <c r="W24" s="170">
        <f>$G$12+SUM($G$16:G24)</f>
        <v>356584.84</v>
      </c>
      <c r="X24" s="170">
        <f>$I$12+SUM($I$16:I24)+$J$12+SUM($J$16:J24)</f>
        <v>3565.85</v>
      </c>
      <c r="Y24" s="170">
        <f>$K$12+SUM($K$16:K24)</f>
        <v>0</v>
      </c>
      <c r="Z24" s="170">
        <f>$L$12+SUM($L$16:L24)</f>
        <v>0</v>
      </c>
      <c r="AA24" s="170">
        <f>$F$12+SUM($F$16:F24)</f>
        <v>465000</v>
      </c>
    </row>
    <row r="25" spans="2:27" s="67" customFormat="1" ht="20.149999999999999" customHeight="1" x14ac:dyDescent="0.3">
      <c r="B25" s="189"/>
      <c r="C25" s="3"/>
      <c r="D25" s="1"/>
      <c r="E25" s="4"/>
      <c r="F25" s="91"/>
      <c r="G25" s="91"/>
      <c r="H25" s="91"/>
      <c r="I25" s="91"/>
      <c r="J25" s="91"/>
      <c r="K25" s="91"/>
      <c r="L25" s="91"/>
      <c r="M25" s="17">
        <f t="shared" si="8"/>
        <v>0</v>
      </c>
      <c r="N25" s="18">
        <f t="shared" si="6"/>
        <v>0</v>
      </c>
      <c r="O25" s="18">
        <f t="shared" si="3"/>
        <v>0</v>
      </c>
      <c r="P25" s="16"/>
      <c r="Q25" s="24"/>
      <c r="R25" s="16"/>
      <c r="S25" s="24"/>
      <c r="T25" s="171" t="str">
        <f t="shared" si="4"/>
        <v>19001</v>
      </c>
      <c r="U25" s="170">
        <f t="shared" si="5"/>
        <v>104849.31</v>
      </c>
      <c r="V25" s="170"/>
      <c r="W25" s="170">
        <f>$G$12+SUM($G$16:G25)</f>
        <v>356584.84</v>
      </c>
      <c r="X25" s="170">
        <f>$I$12+SUM($I$16:I25)+$J$12+SUM($J$16:J25)</f>
        <v>3565.85</v>
      </c>
      <c r="Y25" s="170">
        <f>$K$12+SUM($K$16:K25)</f>
        <v>0</v>
      </c>
      <c r="Z25" s="170">
        <f>$L$12+SUM($L$16:L25)</f>
        <v>0</v>
      </c>
      <c r="AA25" s="170">
        <f>$F$12+SUM($F$16:F25)</f>
        <v>465000</v>
      </c>
    </row>
    <row r="26" spans="2:27" s="67" customFormat="1" ht="20.149999999999999" customHeight="1" x14ac:dyDescent="0.3">
      <c r="B26" s="189"/>
      <c r="C26" s="3"/>
      <c r="D26" s="1"/>
      <c r="E26" s="4"/>
      <c r="F26" s="91"/>
      <c r="G26" s="91"/>
      <c r="H26" s="91"/>
      <c r="I26" s="91"/>
      <c r="J26" s="91"/>
      <c r="K26" s="91"/>
      <c r="L26" s="91"/>
      <c r="M26" s="17">
        <f t="shared" si="7"/>
        <v>0</v>
      </c>
      <c r="N26" s="18">
        <f t="shared" si="6"/>
        <v>0</v>
      </c>
      <c r="O26" s="18">
        <f t="shared" si="3"/>
        <v>0</v>
      </c>
      <c r="P26" s="16"/>
      <c r="Q26" s="24"/>
      <c r="R26" s="16"/>
      <c r="S26" s="24"/>
      <c r="T26" s="171" t="str">
        <f t="shared" si="4"/>
        <v>19001</v>
      </c>
      <c r="U26" s="170">
        <f t="shared" si="5"/>
        <v>104849.31</v>
      </c>
      <c r="V26" s="170"/>
      <c r="W26" s="170">
        <f>$G$12+SUM($G$16:G26)</f>
        <v>356584.84</v>
      </c>
      <c r="X26" s="170">
        <f>$I$12+SUM($I$16:I26)+$J$12+SUM($J$16:J26)</f>
        <v>3565.85</v>
      </c>
      <c r="Y26" s="170">
        <f>$K$12+SUM($K$16:K26)</f>
        <v>0</v>
      </c>
      <c r="Z26" s="170">
        <f>$L$12+SUM($L$16:L26)</f>
        <v>0</v>
      </c>
      <c r="AA26" s="170">
        <f>$F$12+SUM($F$16:F26)</f>
        <v>465000</v>
      </c>
    </row>
    <row r="27" spans="2:27" s="67" customFormat="1" ht="20.149999999999999" customHeight="1" x14ac:dyDescent="0.3">
      <c r="B27" s="189"/>
      <c r="C27" s="3"/>
      <c r="D27" s="1"/>
      <c r="E27" s="4"/>
      <c r="F27" s="91"/>
      <c r="G27" s="91"/>
      <c r="H27" s="91"/>
      <c r="I27" s="91"/>
      <c r="J27" s="91"/>
      <c r="K27" s="91"/>
      <c r="L27" s="91"/>
      <c r="M27" s="17">
        <f t="shared" si="7"/>
        <v>0</v>
      </c>
      <c r="N27" s="18">
        <f t="shared" si="6"/>
        <v>0</v>
      </c>
      <c r="O27" s="18">
        <f t="shared" si="3"/>
        <v>0</v>
      </c>
      <c r="P27" s="16"/>
      <c r="Q27" s="24"/>
      <c r="R27" s="16"/>
      <c r="S27" s="24"/>
      <c r="T27" s="171" t="str">
        <f t="shared" si="4"/>
        <v>19001</v>
      </c>
      <c r="U27" s="170">
        <f t="shared" si="5"/>
        <v>104849.31</v>
      </c>
      <c r="V27" s="170"/>
      <c r="W27" s="170">
        <f>$G$12+SUM($G$16:G27)</f>
        <v>356584.84</v>
      </c>
      <c r="X27" s="170">
        <f>$I$12+SUM($I$16:I27)+$J$12+SUM($J$16:J27)</f>
        <v>3565.85</v>
      </c>
      <c r="Y27" s="170">
        <f>$K$12+SUM($K$16:K27)</f>
        <v>0</v>
      </c>
      <c r="Z27" s="170">
        <f>$L$12+SUM($L$16:L27)</f>
        <v>0</v>
      </c>
      <c r="AA27" s="170">
        <f>$F$12+SUM($F$16:F27)</f>
        <v>465000</v>
      </c>
    </row>
    <row r="28" spans="2:27" s="67" customFormat="1" ht="20.149999999999999" customHeight="1" x14ac:dyDescent="0.3">
      <c r="B28" s="189"/>
      <c r="C28" s="3"/>
      <c r="D28" s="1"/>
      <c r="E28" s="4"/>
      <c r="F28" s="91"/>
      <c r="G28" s="91"/>
      <c r="H28" s="91"/>
      <c r="I28" s="91"/>
      <c r="J28" s="91"/>
      <c r="K28" s="91"/>
      <c r="L28" s="91"/>
      <c r="M28" s="17">
        <f t="shared" ref="M28:M30" si="9">SUM(G28,I28,J28,K28,L28)</f>
        <v>0</v>
      </c>
      <c r="N28" s="18">
        <f t="shared" si="6"/>
        <v>0</v>
      </c>
      <c r="O28" s="18">
        <f t="shared" si="3"/>
        <v>0</v>
      </c>
      <c r="P28" s="16"/>
      <c r="Q28" s="24"/>
      <c r="R28" s="16"/>
      <c r="S28" s="24"/>
      <c r="T28" s="171" t="str">
        <f t="shared" si="4"/>
        <v>19001</v>
      </c>
      <c r="U28" s="170">
        <f t="shared" si="5"/>
        <v>104849.31</v>
      </c>
      <c r="V28" s="170"/>
      <c r="W28" s="170">
        <f>$G$12+SUM($G$16:G28)</f>
        <v>356584.84</v>
      </c>
      <c r="X28" s="170">
        <f>$I$12+SUM($I$16:I28)+$J$12+SUM($J$16:J28)</f>
        <v>3565.85</v>
      </c>
      <c r="Y28" s="170">
        <f>$K$12+SUM($K$16:K28)</f>
        <v>0</v>
      </c>
      <c r="Z28" s="170">
        <f>$L$12+SUM($L$16:L28)</f>
        <v>0</v>
      </c>
      <c r="AA28" s="170">
        <f>$F$12+SUM($F$16:F28)</f>
        <v>465000</v>
      </c>
    </row>
    <row r="29" spans="2:27" s="67" customFormat="1" ht="20.149999999999999" customHeight="1" x14ac:dyDescent="0.3">
      <c r="B29" s="189"/>
      <c r="C29" s="3"/>
      <c r="D29" s="1"/>
      <c r="E29" s="4"/>
      <c r="F29" s="91"/>
      <c r="G29" s="91"/>
      <c r="H29" s="91"/>
      <c r="I29" s="91"/>
      <c r="J29" s="91"/>
      <c r="K29" s="91"/>
      <c r="L29" s="91"/>
      <c r="M29" s="17">
        <f t="shared" si="9"/>
        <v>0</v>
      </c>
      <c r="N29" s="18">
        <f t="shared" si="6"/>
        <v>0</v>
      </c>
      <c r="O29" s="18">
        <f t="shared" si="3"/>
        <v>0</v>
      </c>
      <c r="P29" s="16"/>
      <c r="Q29" s="24"/>
      <c r="R29" s="16"/>
      <c r="S29" s="24"/>
      <c r="T29" s="171" t="str">
        <f t="shared" si="4"/>
        <v>19001</v>
      </c>
      <c r="U29" s="170">
        <f t="shared" si="5"/>
        <v>104849.31</v>
      </c>
      <c r="V29" s="170"/>
      <c r="W29" s="170">
        <f>$G$12+SUM($G$16:G29)</f>
        <v>356584.84</v>
      </c>
      <c r="X29" s="170">
        <f>$I$12+SUM($I$16:I29)+$J$12+SUM($J$16:J29)</f>
        <v>3565.85</v>
      </c>
      <c r="Y29" s="170">
        <f>$K$12+SUM($K$16:K29)</f>
        <v>0</v>
      </c>
      <c r="Z29" s="170">
        <f>$L$12+SUM($L$16:L29)</f>
        <v>0</v>
      </c>
      <c r="AA29" s="170">
        <f>$F$12+SUM($F$16:F29)</f>
        <v>465000</v>
      </c>
    </row>
    <row r="30" spans="2:27" s="67" customFormat="1" ht="20.149999999999999" customHeight="1" x14ac:dyDescent="0.3">
      <c r="B30" s="189"/>
      <c r="C30" s="3"/>
      <c r="D30" s="1"/>
      <c r="E30" s="4"/>
      <c r="F30" s="91"/>
      <c r="G30" s="91"/>
      <c r="H30" s="91"/>
      <c r="I30" s="91"/>
      <c r="J30" s="91"/>
      <c r="K30" s="91"/>
      <c r="L30" s="91"/>
      <c r="M30" s="17">
        <f t="shared" si="9"/>
        <v>0</v>
      </c>
      <c r="N30" s="18">
        <f t="shared" si="6"/>
        <v>0</v>
      </c>
      <c r="O30" s="18">
        <f t="shared" si="3"/>
        <v>0</v>
      </c>
      <c r="P30" s="16"/>
      <c r="Q30" s="24"/>
      <c r="R30" s="16"/>
      <c r="S30" s="24"/>
      <c r="T30" s="171" t="str">
        <f t="shared" si="4"/>
        <v>19001</v>
      </c>
      <c r="U30" s="170">
        <f t="shared" si="5"/>
        <v>104849.31</v>
      </c>
      <c r="V30" s="170"/>
      <c r="W30" s="170">
        <f>$G$12+SUM($G$16:G30)</f>
        <v>356584.84</v>
      </c>
      <c r="X30" s="170">
        <f>$I$12+SUM($I$16:I30)+$J$12+SUM($J$16:J30)</f>
        <v>3565.85</v>
      </c>
      <c r="Y30" s="170">
        <f>$K$12+SUM($K$16:K30)</f>
        <v>0</v>
      </c>
      <c r="Z30" s="170">
        <f>$L$12+SUM($L$16:L30)</f>
        <v>0</v>
      </c>
      <c r="AA30" s="170">
        <f>$F$12+SUM($F$16:F30)</f>
        <v>465000</v>
      </c>
    </row>
    <row r="31" spans="2:27" s="67" customFormat="1" ht="20.149999999999999" customHeight="1" x14ac:dyDescent="0.3">
      <c r="B31" s="189"/>
      <c r="C31" s="3"/>
      <c r="D31" s="1"/>
      <c r="E31" s="4"/>
      <c r="F31" s="91"/>
      <c r="G31" s="91"/>
      <c r="H31" s="91"/>
      <c r="I31" s="91"/>
      <c r="J31" s="91"/>
      <c r="K31" s="91"/>
      <c r="L31" s="91"/>
      <c r="M31" s="17">
        <f t="shared" si="7"/>
        <v>0</v>
      </c>
      <c r="N31" s="18">
        <f t="shared" si="6"/>
        <v>0</v>
      </c>
      <c r="O31" s="18">
        <f t="shared" si="3"/>
        <v>0</v>
      </c>
      <c r="P31" s="16"/>
      <c r="Q31" s="24"/>
      <c r="R31" s="16"/>
      <c r="S31" s="24"/>
      <c r="T31" s="171" t="str">
        <f t="shared" si="4"/>
        <v>19001</v>
      </c>
      <c r="U31" s="170">
        <f t="shared" si="5"/>
        <v>104849.31</v>
      </c>
      <c r="V31" s="170"/>
      <c r="W31" s="170">
        <f>$G$12+SUM($G$16:G31)</f>
        <v>356584.84</v>
      </c>
      <c r="X31" s="170">
        <f>$I$12+SUM($I$16:I31)+$J$12+SUM($J$16:J31)</f>
        <v>3565.85</v>
      </c>
      <c r="Y31" s="170">
        <f>$K$12+SUM($K$16:K31)</f>
        <v>0</v>
      </c>
      <c r="Z31" s="170">
        <f>$L$12+SUM($L$16:L31)</f>
        <v>0</v>
      </c>
      <c r="AA31" s="170">
        <f>$F$12+SUM($F$16:F31)</f>
        <v>465000</v>
      </c>
    </row>
    <row r="32" spans="2:27" s="67" customFormat="1" ht="20.149999999999999" customHeight="1" x14ac:dyDescent="0.3">
      <c r="B32" s="189"/>
      <c r="C32" s="3"/>
      <c r="D32" s="1"/>
      <c r="E32" s="4"/>
      <c r="F32" s="91"/>
      <c r="G32" s="91"/>
      <c r="H32" s="91"/>
      <c r="I32" s="91"/>
      <c r="J32" s="91"/>
      <c r="K32" s="91"/>
      <c r="L32" s="91"/>
      <c r="M32" s="17">
        <f t="shared" ref="M32" si="10">SUM(G32,I32,J32,K32,L32)</f>
        <v>0</v>
      </c>
      <c r="N32" s="18">
        <f t="shared" si="6"/>
        <v>0</v>
      </c>
      <c r="O32" s="18">
        <f t="shared" si="3"/>
        <v>0</v>
      </c>
      <c r="P32" s="16"/>
      <c r="Q32" s="24"/>
      <c r="R32" s="16"/>
      <c r="S32" s="24"/>
      <c r="T32" s="171" t="str">
        <f t="shared" si="4"/>
        <v>19001</v>
      </c>
      <c r="U32" s="170">
        <f t="shared" si="5"/>
        <v>104849.31</v>
      </c>
      <c r="V32" s="170"/>
      <c r="W32" s="170">
        <f>$G$12+SUM($G$16:G32)</f>
        <v>356584.84</v>
      </c>
      <c r="X32" s="170">
        <f>$I$12+SUM($I$16:I32)+$J$12+SUM($J$16:J32)</f>
        <v>3565.85</v>
      </c>
      <c r="Y32" s="170">
        <f>$K$12+SUM($K$16:K32)</f>
        <v>0</v>
      </c>
      <c r="Z32" s="170">
        <f>$L$12+SUM($L$16:L32)</f>
        <v>0</v>
      </c>
      <c r="AA32" s="170">
        <f>$F$12+SUM($F$16:F32)</f>
        <v>465000</v>
      </c>
    </row>
    <row r="33" spans="2:27" s="67" customFormat="1" ht="20.149999999999999" customHeight="1" x14ac:dyDescent="0.3">
      <c r="B33" s="189"/>
      <c r="C33" s="3"/>
      <c r="D33" s="1"/>
      <c r="E33" s="4"/>
      <c r="F33" s="91"/>
      <c r="G33" s="91"/>
      <c r="H33" s="91"/>
      <c r="I33" s="91"/>
      <c r="J33" s="91"/>
      <c r="K33" s="91"/>
      <c r="L33" s="91"/>
      <c r="M33" s="17">
        <f t="shared" si="7"/>
        <v>0</v>
      </c>
      <c r="N33" s="18">
        <f t="shared" si="6"/>
        <v>0</v>
      </c>
      <c r="O33" s="18">
        <f t="shared" si="3"/>
        <v>0</v>
      </c>
      <c r="P33" s="16"/>
      <c r="Q33" s="24"/>
      <c r="R33" s="16"/>
      <c r="S33" s="24"/>
      <c r="T33" s="171" t="str">
        <f t="shared" si="4"/>
        <v>19001</v>
      </c>
      <c r="U33" s="170">
        <f t="shared" si="5"/>
        <v>104849.31</v>
      </c>
      <c r="V33" s="170"/>
      <c r="W33" s="170">
        <f>$G$12+SUM($G$16:G33)</f>
        <v>356584.84</v>
      </c>
      <c r="X33" s="170">
        <f>$I$12+SUM($I$16:I33)+$J$12+SUM($J$16:J33)</f>
        <v>3565.85</v>
      </c>
      <c r="Y33" s="170">
        <f>$K$12+SUM($K$16:K33)</f>
        <v>0</v>
      </c>
      <c r="Z33" s="170">
        <f>$L$12+SUM($L$16:L33)</f>
        <v>0</v>
      </c>
      <c r="AA33" s="170">
        <f>$F$12+SUM($F$16:F33)</f>
        <v>465000</v>
      </c>
    </row>
    <row r="34" spans="2:27" s="67" customFormat="1" ht="20.149999999999999" customHeight="1" x14ac:dyDescent="0.3">
      <c r="B34" s="189"/>
      <c r="C34" s="3"/>
      <c r="D34" s="1"/>
      <c r="E34" s="4"/>
      <c r="F34" s="91"/>
      <c r="G34" s="91"/>
      <c r="H34" s="91"/>
      <c r="I34" s="91"/>
      <c r="J34" s="91"/>
      <c r="K34" s="91"/>
      <c r="L34" s="91"/>
      <c r="M34" s="17">
        <f t="shared" si="7"/>
        <v>0</v>
      </c>
      <c r="N34" s="18">
        <f t="shared" si="6"/>
        <v>0</v>
      </c>
      <c r="O34" s="18">
        <f t="shared" si="3"/>
        <v>0</v>
      </c>
      <c r="P34" s="16"/>
      <c r="Q34" s="24"/>
      <c r="R34" s="16"/>
      <c r="S34" s="24"/>
      <c r="T34" s="171" t="str">
        <f t="shared" si="4"/>
        <v>19001</v>
      </c>
      <c r="U34" s="170">
        <f t="shared" si="5"/>
        <v>104849.31</v>
      </c>
      <c r="V34" s="170"/>
      <c r="W34" s="170">
        <f>$G$12+SUM($G$16:G34)</f>
        <v>356584.84</v>
      </c>
      <c r="X34" s="170">
        <f>$I$12+SUM($I$16:I34)+$J$12+SUM($J$16:J34)</f>
        <v>3565.85</v>
      </c>
      <c r="Y34" s="170">
        <f>$K$12+SUM($K$16:K34)</f>
        <v>0</v>
      </c>
      <c r="Z34" s="170">
        <f>$L$12+SUM($L$16:L34)</f>
        <v>0</v>
      </c>
      <c r="AA34" s="170">
        <f>$F$12+SUM($F$16:F34)</f>
        <v>465000</v>
      </c>
    </row>
    <row r="35" spans="2:27" s="67" customFormat="1" ht="20.149999999999999" customHeight="1" x14ac:dyDescent="0.3">
      <c r="B35" s="189"/>
      <c r="C35" s="3"/>
      <c r="D35" s="1"/>
      <c r="E35" s="4"/>
      <c r="F35" s="91"/>
      <c r="G35" s="91"/>
      <c r="H35" s="91"/>
      <c r="I35" s="91"/>
      <c r="J35" s="91"/>
      <c r="K35" s="91"/>
      <c r="L35" s="91"/>
      <c r="M35" s="17">
        <f t="shared" si="7"/>
        <v>0</v>
      </c>
      <c r="N35" s="18">
        <f>IF(F35=0,0,(F35-G35-J35-K35-I35-L35)/F35)</f>
        <v>0</v>
      </c>
      <c r="O35" s="18">
        <f t="shared" si="3"/>
        <v>0</v>
      </c>
      <c r="P35" s="16"/>
      <c r="Q35" s="24"/>
      <c r="R35" s="16"/>
      <c r="S35" s="24"/>
      <c r="T35" s="171" t="str">
        <f t="shared" si="4"/>
        <v>19001</v>
      </c>
      <c r="U35" s="170">
        <f t="shared" si="5"/>
        <v>104849.31</v>
      </c>
      <c r="V35" s="170"/>
      <c r="W35" s="170">
        <f>$G$12+SUM($G$16:G35)</f>
        <v>356584.84</v>
      </c>
      <c r="X35" s="170">
        <f>$I$12+SUM($I$16:I35)+$J$12+SUM($J$16:J35)</f>
        <v>3565.85</v>
      </c>
      <c r="Y35" s="170">
        <f>$K$12+SUM($K$16:K35)</f>
        <v>0</v>
      </c>
      <c r="Z35" s="170">
        <f>$L$12+SUM($L$16:L35)</f>
        <v>0</v>
      </c>
      <c r="AA35" s="170">
        <f>$F$12+SUM($F$16:F35)</f>
        <v>465000</v>
      </c>
    </row>
    <row r="36" spans="2:27" s="89" customFormat="1" ht="20.149999999999999" customHeight="1" x14ac:dyDescent="0.3">
      <c r="B36" s="319" t="s">
        <v>82</v>
      </c>
      <c r="C36" s="319"/>
      <c r="D36" s="319"/>
      <c r="E36" s="319"/>
      <c r="F36" s="50">
        <f>SUMIF(B16:B35,"AMPLIACION",F16:F35)</f>
        <v>0</v>
      </c>
      <c r="G36" s="50">
        <f>SUMIF(B16:B35,"AMPLIACION",G16:G35)</f>
        <v>0</v>
      </c>
      <c r="H36" s="50">
        <f>SUMIF(B16:B35,"AMPLIACION",H16:H35)</f>
        <v>0</v>
      </c>
      <c r="I36" s="50">
        <f>SUMIF(B16:B35,"AMPLIACION",I16:I35)</f>
        <v>0</v>
      </c>
      <c r="J36" s="50">
        <f>SUMIF(B16:B35,"AMPLIACION",J16:J35)</f>
        <v>0</v>
      </c>
      <c r="K36" s="50">
        <f>SUMIF(B16:B35,"AMPLIACION",K16:K35)</f>
        <v>0</v>
      </c>
      <c r="L36" s="50">
        <f>SUMIF(B16:B35,"AMPLIACION",L16:L35)</f>
        <v>0</v>
      </c>
      <c r="M36" s="50">
        <f t="shared" si="7"/>
        <v>0</v>
      </c>
      <c r="N36" s="51">
        <f>IF(F36=0,0,(F36-G36-J36-K36-I36-L36)/F36)</f>
        <v>0</v>
      </c>
      <c r="O36" s="51">
        <f t="shared" ref="O36" si="11">IF(F36=0,0,(F36-G36/0.93-I36/0.93-J36/0.93-K36-L36)/F36)</f>
        <v>0</v>
      </c>
      <c r="P36" s="24"/>
      <c r="Q36" s="24"/>
      <c r="R36" s="24"/>
      <c r="S36" s="24"/>
      <c r="T36" s="172"/>
      <c r="U36" s="170"/>
      <c r="V36" s="170"/>
      <c r="W36" s="170"/>
      <c r="X36" s="170"/>
      <c r="Y36" s="170"/>
      <c r="Z36" s="170"/>
      <c r="AA36" s="170"/>
    </row>
    <row r="37" spans="2:27" s="89" customFormat="1" ht="20.149999999999999" customHeight="1" x14ac:dyDescent="0.3">
      <c r="B37" s="319" t="s">
        <v>83</v>
      </c>
      <c r="C37" s="319"/>
      <c r="D37" s="319"/>
      <c r="E37" s="319"/>
      <c r="F37" s="50">
        <f>SUMIF(B16:B35,"REESTIMACION",F16:F35)</f>
        <v>0</v>
      </c>
      <c r="G37" s="50">
        <f>SUMIF(B16:B35,"REESTIMACION",G16:G35)</f>
        <v>0</v>
      </c>
      <c r="H37" s="50">
        <f>SUMIF(B16:B35,"REESTIMACION",H16:H35)</f>
        <v>0</v>
      </c>
      <c r="I37" s="50">
        <f>SUMIF(B16:B35,"REESTIMACION",I16:I35)</f>
        <v>0</v>
      </c>
      <c r="J37" s="50">
        <f>SUMIF(B16:B35,"REESTIMACION",J16:J35)</f>
        <v>0</v>
      </c>
      <c r="K37" s="50">
        <f>SUMIF(B16:B35,"REESTIMACION",K16:K35)</f>
        <v>0</v>
      </c>
      <c r="L37" s="50">
        <f>SUMIF(B16:B35,"REESTIMACION",L16:L35)</f>
        <v>0</v>
      </c>
      <c r="M37" s="50">
        <f t="shared" ref="M37" si="12">SUM(G37,I37,J37,K37,L37)</f>
        <v>0</v>
      </c>
      <c r="N37" s="51">
        <f>IF(F37=0,0,(F37-G37-J37-K37-I37-L37)/F37)</f>
        <v>0</v>
      </c>
      <c r="O37" s="51">
        <f t="shared" ref="O37" si="13">IF(F37=0,0,(F37-G37/0.93-I37/0.93-J37/0.93-K37-L37)/F37)</f>
        <v>0</v>
      </c>
      <c r="P37" s="24"/>
      <c r="Q37" s="22"/>
      <c r="R37" s="24"/>
      <c r="S37" s="22"/>
      <c r="T37" s="172"/>
      <c r="U37" s="170"/>
      <c r="V37" s="170"/>
      <c r="W37" s="170"/>
      <c r="X37" s="170"/>
      <c r="Y37" s="170"/>
      <c r="Z37" s="170"/>
      <c r="AA37" s="170"/>
    </row>
    <row r="38" spans="2:27" ht="20.149999999999999" customHeight="1" x14ac:dyDescent="0.3">
      <c r="C38" s="23"/>
      <c r="D38" s="24"/>
      <c r="E38" s="24"/>
      <c r="F38" s="24"/>
      <c r="G38" s="24"/>
      <c r="H38" s="24"/>
      <c r="I38" s="24"/>
      <c r="J38" s="24"/>
      <c r="K38" s="24"/>
      <c r="L38" s="24"/>
      <c r="M38" s="24"/>
      <c r="N38" s="24"/>
      <c r="O38" s="24"/>
      <c r="P38" s="24"/>
      <c r="Q38" s="24"/>
      <c r="R38" s="24"/>
      <c r="S38" s="24"/>
      <c r="T38" s="172"/>
      <c r="U38" s="170"/>
      <c r="V38" s="170"/>
      <c r="W38" s="170"/>
      <c r="X38" s="170"/>
      <c r="Y38" s="170"/>
      <c r="Z38" s="170"/>
      <c r="AA38" s="170"/>
    </row>
    <row r="39" spans="2:27" s="52" customFormat="1" ht="20.149999999999999" customHeight="1" x14ac:dyDescent="0.35">
      <c r="C39" s="53"/>
      <c r="D39" s="53"/>
      <c r="E39" s="53"/>
      <c r="F39" s="53"/>
      <c r="G39" s="53"/>
      <c r="H39" s="53"/>
      <c r="I39" s="53"/>
      <c r="J39" s="53"/>
      <c r="K39" s="53"/>
      <c r="L39" s="53"/>
      <c r="M39" s="53"/>
      <c r="N39" s="53"/>
      <c r="O39" s="53"/>
      <c r="P39" s="53"/>
      <c r="Q39" s="53"/>
      <c r="R39" s="53"/>
      <c r="S39" s="53"/>
    </row>
    <row r="40" spans="2:27" s="52" customFormat="1" ht="20.149999999999999" customHeight="1" x14ac:dyDescent="0.35">
      <c r="C40" s="53"/>
      <c r="D40" s="53"/>
      <c r="E40" s="53"/>
      <c r="F40" s="53"/>
      <c r="G40" s="53"/>
      <c r="H40" s="53"/>
      <c r="I40" s="53"/>
      <c r="J40" s="53"/>
      <c r="K40" s="53"/>
      <c r="L40" s="53"/>
      <c r="M40" s="53"/>
      <c r="N40" s="53"/>
      <c r="O40" s="53"/>
      <c r="P40" s="53"/>
      <c r="Q40" s="53"/>
      <c r="R40" s="53"/>
      <c r="S40" s="53"/>
    </row>
    <row r="41" spans="2:27" s="52" customFormat="1" ht="20.149999999999999" customHeight="1" x14ac:dyDescent="0.35">
      <c r="C41" s="53"/>
      <c r="D41" s="53"/>
      <c r="E41" s="53"/>
      <c r="F41" s="53"/>
      <c r="G41" s="53"/>
      <c r="H41" s="53"/>
      <c r="I41" s="53"/>
      <c r="J41" s="53"/>
      <c r="K41" s="53"/>
      <c r="L41" s="53"/>
      <c r="M41" s="53"/>
      <c r="N41" s="53"/>
      <c r="O41" s="53"/>
      <c r="P41" s="53"/>
      <c r="Q41" s="53"/>
      <c r="R41" s="53"/>
      <c r="S41" s="53"/>
    </row>
    <row r="42" spans="2:27" ht="20.149999999999999" customHeight="1" x14ac:dyDescent="0.3">
      <c r="C42" s="24"/>
      <c r="D42" s="24"/>
      <c r="E42" s="24"/>
      <c r="F42" s="24"/>
      <c r="G42" s="24"/>
      <c r="H42" s="24"/>
      <c r="I42" s="24"/>
      <c r="J42" s="24"/>
      <c r="K42" s="24"/>
      <c r="L42" s="24"/>
      <c r="M42" s="24"/>
      <c r="N42" s="24"/>
      <c r="O42" s="24"/>
      <c r="P42" s="24"/>
      <c r="Q42" s="24"/>
      <c r="R42" s="24"/>
      <c r="S42" s="24"/>
    </row>
    <row r="43" spans="2:27" ht="20.149999999999999" customHeight="1" x14ac:dyDescent="0.3"/>
    <row r="48" spans="2:27" ht="20.149999999999999" customHeight="1" x14ac:dyDescent="0.3">
      <c r="B48" s="65" t="s">
        <v>84</v>
      </c>
      <c r="C48" s="65"/>
      <c r="D48" s="65"/>
      <c r="E48" s="24"/>
      <c r="F48" s="24"/>
      <c r="G48" s="24"/>
      <c r="H48" s="24"/>
      <c r="I48" s="24"/>
      <c r="J48" s="24"/>
      <c r="K48" s="24"/>
      <c r="L48" s="24"/>
      <c r="M48" s="24"/>
      <c r="N48" s="24"/>
      <c r="O48" s="24"/>
      <c r="P48" s="24"/>
      <c r="R48" s="24"/>
    </row>
    <row r="49" spans="2:18" ht="285.75" customHeight="1" x14ac:dyDescent="0.3">
      <c r="B49" s="302" t="s">
        <v>85</v>
      </c>
      <c r="C49" s="303"/>
      <c r="D49" s="303"/>
      <c r="E49" s="303"/>
      <c r="F49" s="303"/>
      <c r="G49" s="303"/>
      <c r="H49" s="303"/>
      <c r="I49" s="303"/>
      <c r="J49" s="304"/>
      <c r="K49" s="24"/>
      <c r="L49" s="24"/>
      <c r="M49" s="24"/>
      <c r="N49" s="24"/>
      <c r="O49" s="24"/>
      <c r="P49" s="24"/>
      <c r="R49" s="24"/>
    </row>
  </sheetData>
  <mergeCells count="8">
    <mergeCell ref="B49:J49"/>
    <mergeCell ref="B36:E36"/>
    <mergeCell ref="B37:E37"/>
    <mergeCell ref="B5:O5"/>
    <mergeCell ref="B10:O10"/>
    <mergeCell ref="B14:O14"/>
    <mergeCell ref="B7:E7"/>
    <mergeCell ref="B8:E8"/>
  </mergeCells>
  <dataValidations count="1">
    <dataValidation type="list" allowBlank="1" showInputMessage="1" showErrorMessage="1" sqref="B16:B35" xr:uid="{1F7123C3-32D3-42A2-B28C-89D4A193FF70}">
      <formula1>"AMPLIACION,REESTIMACION,"</formula1>
    </dataValidation>
  </dataValidations>
  <pageMargins left="0.70866141732283472" right="0.70866141732283472" top="0.74803149606299213" bottom="0.74803149606299213" header="0.31496062992125984" footer="0.31496062992125984"/>
  <pageSetup paperSize="9" scale="21" orientation="portrait" r:id="rId1"/>
  <drawing r:id="rId2"/>
  <extLst>
    <ext xmlns:x14="http://schemas.microsoft.com/office/spreadsheetml/2009/9/main" uri="{CCE6A557-97BC-4b89-ADB6-D9C93CAAB3DF}">
      <x14:dataValidations xmlns:xm="http://schemas.microsoft.com/office/excel/2006/main" count="1">
        <x14:dataValidation type="date" operator="lessThan" allowBlank="1" showErrorMessage="1" error="La fecha debe ser menor que la fecha fin del proyecto y debe tener formato dd/mm/aaaa" xr:uid="{46B3A478-7CB1-46D4-A7B3-62030056887F}">
          <x14:formula1>
            <xm:f>'Project Infor'!C9</xm:f>
          </x14:formula1>
          <xm:sqref>C16:C35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3045C-5C9E-4F0F-B286-B522E46056CB}">
  <sheetPr>
    <pageSetUpPr fitToPage="1"/>
  </sheetPr>
  <dimension ref="B2:CA69"/>
  <sheetViews>
    <sheetView showGridLines="0" topLeftCell="W1" zoomScale="70" zoomScaleNormal="70" workbookViewId="0">
      <selection activeCell="AE1" sqref="AE1:BM1048576"/>
    </sheetView>
  </sheetViews>
  <sheetFormatPr baseColWidth="10" defaultColWidth="9.1796875" defaultRowHeight="13.5" x14ac:dyDescent="0.25"/>
  <cols>
    <col min="1" max="1" width="2.1796875" style="93" customWidth="1"/>
    <col min="2" max="2" width="25.7265625" style="93" customWidth="1"/>
    <col min="3" max="3" width="40.7265625" style="93" customWidth="1"/>
    <col min="4" max="4" width="15.7265625" style="93" customWidth="1"/>
    <col min="5" max="5" width="25.7265625" style="94" customWidth="1"/>
    <col min="6" max="6" width="33.54296875" style="94" bestFit="1" customWidth="1"/>
    <col min="7" max="66" width="14.7265625" style="93" customWidth="1"/>
    <col min="67" max="67" width="11.26953125" style="93" customWidth="1"/>
    <col min="68" max="16384" width="9.1796875" style="93"/>
  </cols>
  <sheetData>
    <row r="2" spans="2:79" ht="21" customHeight="1" x14ac:dyDescent="0.25">
      <c r="B2" s="19" t="s">
        <v>5</v>
      </c>
      <c r="C2" s="20" t="str">
        <f>'Project Infor'!C10</f>
        <v>ZEV-ATE0012-1001</v>
      </c>
      <c r="D2" s="95" t="str">
        <f>'Project Infor'!C11</f>
        <v>Lote 2: Núcleo Estructural Java</v>
      </c>
      <c r="E2" s="96"/>
      <c r="F2" s="96"/>
      <c r="G2" s="96"/>
      <c r="H2" s="96"/>
      <c r="I2" s="96"/>
      <c r="J2" s="96"/>
    </row>
    <row r="3" spans="2:79" ht="9" customHeight="1" x14ac:dyDescent="0.25">
      <c r="B3" s="64"/>
      <c r="C3" s="64"/>
      <c r="D3" s="97"/>
      <c r="E3" s="97"/>
      <c r="F3" s="97"/>
      <c r="G3" s="64"/>
      <c r="H3" s="64"/>
    </row>
    <row r="4" spans="2:79" ht="15" customHeight="1" x14ac:dyDescent="0.25">
      <c r="B4" s="98"/>
      <c r="C4" s="99"/>
      <c r="D4" s="99"/>
      <c r="E4" s="99"/>
      <c r="F4" s="99"/>
      <c r="G4" s="99"/>
      <c r="H4" s="99"/>
      <c r="I4" s="99"/>
      <c r="J4" s="99"/>
      <c r="K4" s="99"/>
      <c r="L4" s="99"/>
      <c r="M4" s="99"/>
      <c r="N4" s="99"/>
      <c r="O4" s="99"/>
      <c r="P4" s="99"/>
    </row>
    <row r="5" spans="2:79" ht="20.149999999999999" customHeight="1" x14ac:dyDescent="0.25">
      <c r="B5" s="74" t="s">
        <v>86</v>
      </c>
      <c r="C5" s="100"/>
      <c r="D5" s="99"/>
      <c r="E5" s="294" t="s">
        <v>87</v>
      </c>
      <c r="F5" s="294"/>
      <c r="G5" s="294"/>
      <c r="H5" s="294"/>
      <c r="I5" s="294"/>
      <c r="J5" s="168"/>
      <c r="K5" s="99"/>
      <c r="L5" s="99"/>
      <c r="M5" s="99"/>
      <c r="N5" s="99"/>
      <c r="O5" s="99"/>
      <c r="P5" s="99"/>
      <c r="Q5" s="99"/>
      <c r="R5" s="99"/>
      <c r="S5" s="99"/>
      <c r="T5" s="99"/>
      <c r="U5" s="99"/>
    </row>
    <row r="6" spans="2:79" s="103" customFormat="1" ht="35.15" customHeight="1" x14ac:dyDescent="0.25">
      <c r="B6" s="291" t="s">
        <v>14</v>
      </c>
      <c r="C6" s="101" t="s">
        <v>88</v>
      </c>
      <c r="D6" s="101" t="s">
        <v>89</v>
      </c>
      <c r="E6" s="101" t="s">
        <v>90</v>
      </c>
      <c r="F6" s="101"/>
      <c r="G6" s="102">
        <v>46023</v>
      </c>
      <c r="H6" s="102">
        <v>46054</v>
      </c>
      <c r="I6" s="102">
        <v>46082</v>
      </c>
      <c r="J6" s="102">
        <v>46113</v>
      </c>
      <c r="K6" s="102">
        <v>46143</v>
      </c>
      <c r="L6" s="102">
        <v>46174</v>
      </c>
      <c r="M6" s="102">
        <v>46204</v>
      </c>
      <c r="N6" s="102">
        <v>46235</v>
      </c>
      <c r="O6" s="102">
        <v>46266</v>
      </c>
      <c r="P6" s="102">
        <v>46296</v>
      </c>
      <c r="Q6" s="102">
        <v>46327</v>
      </c>
      <c r="R6" s="102">
        <v>46357</v>
      </c>
      <c r="S6" s="102">
        <v>46388</v>
      </c>
      <c r="T6" s="102">
        <v>46419</v>
      </c>
      <c r="U6" s="102">
        <v>46447</v>
      </c>
      <c r="V6" s="102">
        <v>46478</v>
      </c>
      <c r="W6" s="102">
        <v>46508</v>
      </c>
      <c r="X6" s="102">
        <v>46539</v>
      </c>
      <c r="Y6" s="102">
        <v>46569</v>
      </c>
      <c r="Z6" s="102">
        <v>46600</v>
      </c>
      <c r="AA6" s="102">
        <v>46631</v>
      </c>
      <c r="AB6" s="102">
        <v>46661</v>
      </c>
      <c r="AC6" s="102">
        <v>46692</v>
      </c>
      <c r="AD6" s="102">
        <v>46722</v>
      </c>
      <c r="AE6" s="102">
        <v>46753</v>
      </c>
      <c r="AF6" s="102">
        <v>46784</v>
      </c>
      <c r="AG6" s="102">
        <v>46813</v>
      </c>
      <c r="AH6" s="102">
        <v>46844</v>
      </c>
      <c r="AI6" s="102">
        <v>46874</v>
      </c>
      <c r="AJ6" s="102">
        <v>46905</v>
      </c>
      <c r="AK6" s="102">
        <v>46935</v>
      </c>
      <c r="AL6" s="102">
        <v>46966</v>
      </c>
      <c r="AM6" s="102">
        <v>46997</v>
      </c>
      <c r="AN6" s="102">
        <v>47027</v>
      </c>
      <c r="AO6" s="102">
        <v>47058</v>
      </c>
      <c r="AP6" s="102">
        <v>47088</v>
      </c>
      <c r="AQ6" s="102">
        <v>47119</v>
      </c>
      <c r="AR6" s="102">
        <v>47150</v>
      </c>
      <c r="AS6" s="102">
        <v>47178</v>
      </c>
      <c r="AT6" s="102">
        <v>47209</v>
      </c>
      <c r="AU6" s="102">
        <v>47239</v>
      </c>
      <c r="AV6" s="102">
        <v>47270</v>
      </c>
      <c r="AW6" s="102">
        <v>47300</v>
      </c>
      <c r="AX6" s="102">
        <v>47331</v>
      </c>
      <c r="AY6" s="102">
        <v>47362</v>
      </c>
      <c r="AZ6" s="102">
        <v>47392</v>
      </c>
      <c r="BA6" s="102">
        <v>47423</v>
      </c>
      <c r="BB6" s="102">
        <v>47453</v>
      </c>
      <c r="BC6" s="102">
        <f t="shared" ref="BC6" si="0">EOMONTH(BB6,1)</f>
        <v>47514</v>
      </c>
      <c r="BD6" s="102">
        <f t="shared" ref="BD6" si="1">EOMONTH(BC6,1)</f>
        <v>47542</v>
      </c>
      <c r="BE6" s="102">
        <f t="shared" ref="BE6" si="2">EOMONTH(BD6,1)</f>
        <v>47573</v>
      </c>
      <c r="BF6" s="102">
        <f t="shared" ref="BF6" si="3">EOMONTH(BE6,1)</f>
        <v>47603</v>
      </c>
      <c r="BG6" s="102">
        <f t="shared" ref="BG6" si="4">EOMONTH(BF6,1)</f>
        <v>47634</v>
      </c>
      <c r="BH6" s="102">
        <f t="shared" ref="BH6" si="5">EOMONTH(BG6,1)</f>
        <v>47664</v>
      </c>
      <c r="BI6" s="102">
        <f t="shared" ref="BI6" si="6">EOMONTH(BH6,1)</f>
        <v>47695</v>
      </c>
      <c r="BJ6" s="102">
        <f t="shared" ref="BJ6" si="7">EOMONTH(BI6,1)</f>
        <v>47726</v>
      </c>
      <c r="BK6" s="102">
        <f t="shared" ref="BK6" si="8">EOMONTH(BJ6,1)</f>
        <v>47756</v>
      </c>
      <c r="BL6" s="102">
        <f t="shared" ref="BL6" si="9">EOMONTH(BK6,1)</f>
        <v>47787</v>
      </c>
      <c r="BM6" s="102">
        <f t="shared" ref="BM6" si="10">EOMONTH(BL6,1)</f>
        <v>47817</v>
      </c>
      <c r="BN6" s="102">
        <f t="shared" ref="BN6" si="11">EOMONTH(BM6,1)</f>
        <v>47848</v>
      </c>
      <c r="BP6" s="93"/>
      <c r="BQ6" s="93"/>
      <c r="BR6" s="93"/>
      <c r="BS6" s="93"/>
      <c r="BT6" s="93"/>
      <c r="BU6" s="93"/>
      <c r="BV6" s="93"/>
      <c r="BW6" s="93"/>
      <c r="BX6" s="93"/>
      <c r="BY6" s="93"/>
      <c r="BZ6" s="93"/>
      <c r="CA6" s="93"/>
    </row>
    <row r="7" spans="2:79" s="104" customFormat="1" ht="20.149999999999999" customHeight="1" x14ac:dyDescent="0.35">
      <c r="B7" t="s">
        <v>294</v>
      </c>
      <c r="C7" t="s">
        <v>101</v>
      </c>
      <c r="D7" t="s">
        <v>156</v>
      </c>
      <c r="E7" t="s">
        <v>295</v>
      </c>
      <c r="F7" s="283" t="s">
        <v>91</v>
      </c>
      <c r="G7">
        <v>32.840000000000003</v>
      </c>
      <c r="H7">
        <v>32.840000000000003</v>
      </c>
      <c r="I7">
        <v>32.840000000000003</v>
      </c>
      <c r="J7">
        <v>32.840000000000003</v>
      </c>
      <c r="K7">
        <v>32.840000000000003</v>
      </c>
      <c r="L7">
        <v>32.840000000000003</v>
      </c>
      <c r="M7">
        <v>32.840000000000003</v>
      </c>
      <c r="N7">
        <v>32.840000000000003</v>
      </c>
      <c r="O7">
        <v>32.840000000000003</v>
      </c>
      <c r="P7">
        <v>32.840000000000003</v>
      </c>
      <c r="Q7">
        <v>32.840000000000003</v>
      </c>
      <c r="R7">
        <v>32.840000000000003</v>
      </c>
      <c r="S7">
        <v>32.840000000000003</v>
      </c>
      <c r="T7">
        <v>32.840000000000003</v>
      </c>
      <c r="U7">
        <v>32.840000000000003</v>
      </c>
      <c r="V7">
        <v>32.840000000000003</v>
      </c>
      <c r="W7">
        <v>32.840000000000003</v>
      </c>
      <c r="X7">
        <v>32.840000000000003</v>
      </c>
      <c r="Y7">
        <v>32.840000000000003</v>
      </c>
      <c r="Z7">
        <v>32.840000000000003</v>
      </c>
      <c r="AA7">
        <v>32.840000000000003</v>
      </c>
      <c r="AB7">
        <v>32.840000000000003</v>
      </c>
      <c r="AC7">
        <v>32.840000000000003</v>
      </c>
      <c r="AD7">
        <v>32.840000000000003</v>
      </c>
      <c r="AE7">
        <v>32.840000000000003</v>
      </c>
      <c r="AF7">
        <v>32.840000000000003</v>
      </c>
      <c r="AG7">
        <v>32.840000000000003</v>
      </c>
      <c r="AH7">
        <v>32.840000000000003</v>
      </c>
      <c r="AI7">
        <v>32.840000000000003</v>
      </c>
      <c r="AJ7">
        <v>32.840000000000003</v>
      </c>
      <c r="AK7">
        <v>32.840000000000003</v>
      </c>
      <c r="AL7">
        <v>32.840000000000003</v>
      </c>
      <c r="AM7">
        <v>32.840000000000003</v>
      </c>
      <c r="AN7">
        <v>32.840000000000003</v>
      </c>
      <c r="AO7">
        <v>32.840000000000003</v>
      </c>
      <c r="AP7">
        <v>32.840000000000003</v>
      </c>
      <c r="AQ7">
        <v>32.840000000000003</v>
      </c>
      <c r="AR7">
        <v>32.840000000000003</v>
      </c>
      <c r="AS7">
        <v>32.840000000000003</v>
      </c>
      <c r="AT7">
        <v>32.840000000000003</v>
      </c>
      <c r="AU7">
        <v>32.840000000000003</v>
      </c>
      <c r="AV7">
        <v>32.840000000000003</v>
      </c>
      <c r="AW7">
        <v>32.840000000000003</v>
      </c>
      <c r="AX7">
        <v>32.840000000000003</v>
      </c>
      <c r="AY7">
        <v>32.840000000000003</v>
      </c>
      <c r="AZ7">
        <v>32.840000000000003</v>
      </c>
      <c r="BA7">
        <v>32.840000000000003</v>
      </c>
      <c r="BB7">
        <v>32.840000000000003</v>
      </c>
      <c r="BC7" s="265"/>
      <c r="BD7" s="265"/>
      <c r="BE7" s="265"/>
      <c r="BF7" s="265"/>
      <c r="BG7" s="265"/>
      <c r="BH7" s="265"/>
      <c r="BI7" s="265"/>
      <c r="BJ7" s="265"/>
      <c r="BK7" s="265"/>
      <c r="BL7" s="265"/>
      <c r="BM7" s="265"/>
      <c r="BN7" s="265"/>
      <c r="BP7" s="93"/>
      <c r="BQ7" s="93"/>
      <c r="BR7" s="93"/>
      <c r="BS7" s="93"/>
      <c r="BT7" s="93"/>
      <c r="BU7" s="93"/>
      <c r="BV7" s="93"/>
      <c r="BW7" s="93"/>
      <c r="BX7" s="93"/>
      <c r="BY7" s="93"/>
      <c r="BZ7" s="93"/>
      <c r="CA7" s="93"/>
    </row>
    <row r="8" spans="2:79" s="104" customFormat="1" ht="20.149999999999999" customHeight="1" x14ac:dyDescent="0.35">
      <c r="B8" t="s">
        <v>294</v>
      </c>
      <c r="C8" t="s">
        <v>101</v>
      </c>
      <c r="D8" t="s">
        <v>156</v>
      </c>
      <c r="E8" t="s">
        <v>295</v>
      </c>
      <c r="F8" s="284" t="s">
        <v>92</v>
      </c>
      <c r="G8">
        <v>44.347014925373138</v>
      </c>
      <c r="H8">
        <v>44.347014925373138</v>
      </c>
      <c r="I8">
        <v>44.347014925373138</v>
      </c>
      <c r="J8">
        <v>44.347014925373138</v>
      </c>
      <c r="K8">
        <v>44.347014925373138</v>
      </c>
      <c r="L8">
        <v>44.347014925373138</v>
      </c>
      <c r="M8">
        <v>44.347014925373138</v>
      </c>
      <c r="N8">
        <v>44.347014925373138</v>
      </c>
      <c r="O8">
        <v>44.347014925373138</v>
      </c>
      <c r="P8">
        <v>44.347014925373138</v>
      </c>
      <c r="Q8">
        <v>44.347014925373138</v>
      </c>
      <c r="R8">
        <v>44.347014925373138</v>
      </c>
      <c r="S8">
        <v>44.347014925373138</v>
      </c>
      <c r="T8">
        <v>44.347014925373138</v>
      </c>
      <c r="U8">
        <v>44.347014925373138</v>
      </c>
      <c r="V8">
        <v>44.347014925373138</v>
      </c>
      <c r="W8">
        <v>44.347014925373138</v>
      </c>
      <c r="X8">
        <v>44.347014925373138</v>
      </c>
      <c r="Y8">
        <v>44.347014925373138</v>
      </c>
      <c r="Z8">
        <v>44.347014925373138</v>
      </c>
      <c r="AA8">
        <v>44.347014925373138</v>
      </c>
      <c r="AB8">
        <v>44.347014925373138</v>
      </c>
      <c r="AC8">
        <v>44.347014925373138</v>
      </c>
      <c r="AD8">
        <v>44.347014925373138</v>
      </c>
      <c r="AE8">
        <v>44.347014925373138</v>
      </c>
      <c r="AF8">
        <v>44.347014925373138</v>
      </c>
      <c r="AG8">
        <v>44.347014925373138</v>
      </c>
      <c r="AH8">
        <v>44.347014925373138</v>
      </c>
      <c r="AI8">
        <v>44.347014925373138</v>
      </c>
      <c r="AJ8">
        <v>44.347014925373138</v>
      </c>
      <c r="AK8">
        <v>44.347014925373138</v>
      </c>
      <c r="AL8">
        <v>44.347014925373138</v>
      </c>
      <c r="AM8">
        <v>44.347014925373138</v>
      </c>
      <c r="AN8">
        <v>44.347014925373138</v>
      </c>
      <c r="AO8">
        <v>44.347014925373138</v>
      </c>
      <c r="AP8">
        <v>44.347014925373138</v>
      </c>
      <c r="AQ8">
        <v>44.347014925373138</v>
      </c>
      <c r="AR8">
        <v>44.347014925373138</v>
      </c>
      <c r="AS8">
        <v>44.347014925373138</v>
      </c>
      <c r="AT8">
        <v>44.347014925373138</v>
      </c>
      <c r="AU8">
        <v>44.347014925373138</v>
      </c>
      <c r="AV8">
        <v>44.347014925373138</v>
      </c>
      <c r="AW8">
        <v>44.347014925373138</v>
      </c>
      <c r="AX8">
        <v>44.347014925373138</v>
      </c>
      <c r="AY8">
        <v>44.347014925373138</v>
      </c>
      <c r="AZ8">
        <v>44.347014925373138</v>
      </c>
      <c r="BA8">
        <v>44.347014925373138</v>
      </c>
      <c r="BB8">
        <v>44.347014925373138</v>
      </c>
      <c r="BC8" s="266"/>
      <c r="BD8" s="266"/>
      <c r="BE8" s="266"/>
      <c r="BF8" s="266"/>
      <c r="BG8" s="266"/>
      <c r="BH8" s="266"/>
      <c r="BI8" s="266"/>
      <c r="BJ8" s="266"/>
      <c r="BK8" s="266"/>
      <c r="BL8" s="266"/>
      <c r="BM8" s="266"/>
      <c r="BN8" s="266"/>
      <c r="BP8" s="93"/>
      <c r="BQ8" s="93"/>
      <c r="BR8" s="93"/>
      <c r="BS8" s="93"/>
      <c r="BT8" s="93"/>
      <c r="BU8" s="93"/>
      <c r="BV8" s="93"/>
      <c r="BW8" s="93"/>
      <c r="BX8" s="93"/>
      <c r="BY8" s="93"/>
      <c r="BZ8" s="93"/>
      <c r="CA8" s="93"/>
    </row>
    <row r="9" spans="2:79" s="104" customFormat="1" ht="20.149999999999999" customHeight="1" x14ac:dyDescent="0.35">
      <c r="B9" t="s">
        <v>296</v>
      </c>
      <c r="C9" t="s">
        <v>103</v>
      </c>
      <c r="D9" t="s">
        <v>156</v>
      </c>
      <c r="E9" t="s">
        <v>297</v>
      </c>
      <c r="F9" s="283" t="s">
        <v>91</v>
      </c>
      <c r="G9">
        <v>15.17</v>
      </c>
      <c r="H9">
        <v>15.17</v>
      </c>
      <c r="I9">
        <v>15.17</v>
      </c>
      <c r="J9">
        <v>15.17</v>
      </c>
      <c r="K9">
        <v>15.17</v>
      </c>
      <c r="L9">
        <v>15.17</v>
      </c>
      <c r="M9">
        <v>15.17</v>
      </c>
      <c r="N9">
        <v>15.17</v>
      </c>
      <c r="O9">
        <v>15.17</v>
      </c>
      <c r="P9">
        <v>15.17</v>
      </c>
      <c r="Q9">
        <v>15.17</v>
      </c>
      <c r="R9">
        <v>15.17</v>
      </c>
      <c r="S9">
        <v>15.17</v>
      </c>
      <c r="T9">
        <v>15.17</v>
      </c>
      <c r="U9">
        <v>15.17</v>
      </c>
      <c r="V9">
        <v>15.17</v>
      </c>
      <c r="W9">
        <v>15.17</v>
      </c>
      <c r="X9">
        <v>15.17</v>
      </c>
      <c r="Y9">
        <v>15.17</v>
      </c>
      <c r="Z9">
        <v>15.17</v>
      </c>
      <c r="AA9">
        <v>15.17</v>
      </c>
      <c r="AB9">
        <v>15.17</v>
      </c>
      <c r="AC9">
        <v>15.17</v>
      </c>
      <c r="AD9">
        <v>15.17</v>
      </c>
      <c r="AE9">
        <v>15.17</v>
      </c>
      <c r="AF9">
        <v>15.17</v>
      </c>
      <c r="AG9">
        <v>15.17</v>
      </c>
      <c r="AH9">
        <v>15.17</v>
      </c>
      <c r="AI9">
        <v>15.17</v>
      </c>
      <c r="AJ9">
        <v>15.17</v>
      </c>
      <c r="AK9">
        <v>15.17</v>
      </c>
      <c r="AL9">
        <v>15.17</v>
      </c>
      <c r="AM9">
        <v>15.17</v>
      </c>
      <c r="AN9">
        <v>15.17</v>
      </c>
      <c r="AO9">
        <v>15.17</v>
      </c>
      <c r="AP9">
        <v>15.17</v>
      </c>
      <c r="AQ9">
        <v>15.17</v>
      </c>
      <c r="AR9">
        <v>15.17</v>
      </c>
      <c r="AS9">
        <v>15.17</v>
      </c>
      <c r="AT9">
        <v>15.17</v>
      </c>
      <c r="AU9">
        <v>15.17</v>
      </c>
      <c r="AV9">
        <v>15.17</v>
      </c>
      <c r="AW9">
        <v>15.17</v>
      </c>
      <c r="AX9">
        <v>15.17</v>
      </c>
      <c r="AY9">
        <v>15.17</v>
      </c>
      <c r="AZ9">
        <v>15.17</v>
      </c>
      <c r="BA9">
        <v>15.17</v>
      </c>
      <c r="BB9">
        <v>15.17</v>
      </c>
      <c r="BC9" s="265"/>
      <c r="BD9" s="265"/>
      <c r="BE9" s="265"/>
      <c r="BF9" s="265"/>
      <c r="BG9" s="265"/>
      <c r="BH9" s="265"/>
      <c r="BI9" s="265"/>
      <c r="BJ9" s="265"/>
      <c r="BK9" s="265"/>
      <c r="BL9" s="265"/>
      <c r="BM9" s="265"/>
      <c r="BN9" s="265"/>
      <c r="BP9" s="93"/>
      <c r="BQ9" s="93"/>
      <c r="BR9" s="93"/>
      <c r="BS9" s="93"/>
      <c r="BT9" s="93"/>
      <c r="BU9" s="93"/>
      <c r="BV9" s="93"/>
      <c r="BW9" s="93"/>
      <c r="BX9" s="93"/>
      <c r="BY9" s="93"/>
      <c r="BZ9" s="93"/>
      <c r="CA9" s="93"/>
    </row>
    <row r="10" spans="2:79" s="104" customFormat="1" ht="20.149999999999999" customHeight="1" x14ac:dyDescent="0.35">
      <c r="B10" t="s">
        <v>296</v>
      </c>
      <c r="C10" t="s">
        <v>103</v>
      </c>
      <c r="D10" t="s">
        <v>156</v>
      </c>
      <c r="E10" t="s">
        <v>297</v>
      </c>
      <c r="F10" s="284" t="s">
        <v>92</v>
      </c>
      <c r="G10">
        <v>20.485505166475317</v>
      </c>
      <c r="H10">
        <v>20.485505166475317</v>
      </c>
      <c r="I10">
        <v>20.485505166475317</v>
      </c>
      <c r="J10">
        <v>20.485505166475317</v>
      </c>
      <c r="K10">
        <v>20.485505166475317</v>
      </c>
      <c r="L10">
        <v>20.485505166475317</v>
      </c>
      <c r="M10">
        <v>20.485505166475317</v>
      </c>
      <c r="N10">
        <v>20.485505166475317</v>
      </c>
      <c r="O10">
        <v>20.485505166475317</v>
      </c>
      <c r="P10">
        <v>20.485505166475317</v>
      </c>
      <c r="Q10">
        <v>20.485505166475317</v>
      </c>
      <c r="R10">
        <v>20.485505166475317</v>
      </c>
      <c r="S10">
        <v>20.485505166475317</v>
      </c>
      <c r="T10">
        <v>20.485505166475317</v>
      </c>
      <c r="U10">
        <v>20.485505166475317</v>
      </c>
      <c r="V10">
        <v>20.485505166475317</v>
      </c>
      <c r="W10">
        <v>20.485505166475317</v>
      </c>
      <c r="X10">
        <v>20.485505166475317</v>
      </c>
      <c r="Y10">
        <v>20.485505166475317</v>
      </c>
      <c r="Z10">
        <v>20.485505166475317</v>
      </c>
      <c r="AA10">
        <v>20.485505166475317</v>
      </c>
      <c r="AB10">
        <v>20.485505166475317</v>
      </c>
      <c r="AC10">
        <v>20.485505166475317</v>
      </c>
      <c r="AD10">
        <v>20.485505166475317</v>
      </c>
      <c r="AE10">
        <v>20.485505166475317</v>
      </c>
      <c r="AF10">
        <v>20.485505166475317</v>
      </c>
      <c r="AG10">
        <v>20.485505166475317</v>
      </c>
      <c r="AH10">
        <v>20.485505166475317</v>
      </c>
      <c r="AI10">
        <v>20.485505166475317</v>
      </c>
      <c r="AJ10">
        <v>20.485505166475317</v>
      </c>
      <c r="AK10">
        <v>20.485505166475317</v>
      </c>
      <c r="AL10">
        <v>20.485505166475317</v>
      </c>
      <c r="AM10">
        <v>20.485505166475317</v>
      </c>
      <c r="AN10">
        <v>20.485505166475317</v>
      </c>
      <c r="AO10">
        <v>20.485505166475317</v>
      </c>
      <c r="AP10">
        <v>20.485505166475317</v>
      </c>
      <c r="AQ10">
        <v>20.485505166475317</v>
      </c>
      <c r="AR10">
        <v>20.485505166475317</v>
      </c>
      <c r="AS10">
        <v>20.485505166475317</v>
      </c>
      <c r="AT10">
        <v>20.485505166475317</v>
      </c>
      <c r="AU10">
        <v>20.485505166475317</v>
      </c>
      <c r="AV10">
        <v>20.485505166475317</v>
      </c>
      <c r="AW10">
        <v>20.485505166475317</v>
      </c>
      <c r="AX10">
        <v>20.485505166475317</v>
      </c>
      <c r="AY10">
        <v>20.485505166475317</v>
      </c>
      <c r="AZ10">
        <v>20.485505166475317</v>
      </c>
      <c r="BA10">
        <v>20.485505166475317</v>
      </c>
      <c r="BB10">
        <v>20.485505166475317</v>
      </c>
      <c r="BC10" s="266"/>
      <c r="BD10" s="266"/>
      <c r="BE10" s="266"/>
      <c r="BF10" s="266"/>
      <c r="BG10" s="266"/>
      <c r="BH10" s="266"/>
      <c r="BI10" s="266"/>
      <c r="BJ10" s="266"/>
      <c r="BK10" s="266"/>
      <c r="BL10" s="266"/>
      <c r="BM10" s="266"/>
      <c r="BN10" s="266"/>
      <c r="BP10" s="93"/>
      <c r="BQ10" s="93"/>
      <c r="BR10" s="93"/>
      <c r="BS10" s="93"/>
      <c r="BT10" s="93"/>
      <c r="BU10" s="93"/>
      <c r="BV10" s="93"/>
      <c r="BW10" s="93"/>
      <c r="BX10" s="93"/>
      <c r="BY10" s="93"/>
      <c r="BZ10" s="93"/>
      <c r="CA10" s="93"/>
    </row>
    <row r="11" spans="2:79" s="104" customFormat="1" ht="20.149999999999999" customHeight="1" x14ac:dyDescent="0.35">
      <c r="B11" t="s">
        <v>298</v>
      </c>
      <c r="C11" t="s">
        <v>101</v>
      </c>
      <c r="D11" t="s">
        <v>156</v>
      </c>
      <c r="E11" t="s">
        <v>299</v>
      </c>
      <c r="F11" s="283" t="s">
        <v>91</v>
      </c>
      <c r="G11">
        <v>20</v>
      </c>
      <c r="H11">
        <v>20</v>
      </c>
      <c r="I11">
        <v>20</v>
      </c>
      <c r="J11">
        <v>20</v>
      </c>
      <c r="K11">
        <v>20</v>
      </c>
      <c r="L11">
        <v>20</v>
      </c>
      <c r="M11">
        <v>20</v>
      </c>
      <c r="N11">
        <v>20</v>
      </c>
      <c r="O11">
        <v>20</v>
      </c>
      <c r="P11">
        <v>20</v>
      </c>
      <c r="Q11">
        <v>20</v>
      </c>
      <c r="R11">
        <v>20</v>
      </c>
      <c r="S11">
        <v>20</v>
      </c>
      <c r="T11">
        <v>20</v>
      </c>
      <c r="U11">
        <v>20</v>
      </c>
      <c r="V11">
        <v>20</v>
      </c>
      <c r="W11">
        <v>20</v>
      </c>
      <c r="X11">
        <v>20</v>
      </c>
      <c r="Y11">
        <v>20</v>
      </c>
      <c r="Z11">
        <v>20</v>
      </c>
      <c r="AA11">
        <v>20</v>
      </c>
      <c r="AB11">
        <v>20</v>
      </c>
      <c r="AC11">
        <v>20</v>
      </c>
      <c r="AD11">
        <v>20</v>
      </c>
      <c r="AE11">
        <v>20</v>
      </c>
      <c r="AF11">
        <v>20</v>
      </c>
      <c r="AG11">
        <v>20</v>
      </c>
      <c r="AH11">
        <v>20</v>
      </c>
      <c r="AI11">
        <v>20</v>
      </c>
      <c r="AJ11">
        <v>20</v>
      </c>
      <c r="AK11">
        <v>20</v>
      </c>
      <c r="AL11">
        <v>20</v>
      </c>
      <c r="AM11">
        <v>20</v>
      </c>
      <c r="AN11">
        <v>20</v>
      </c>
      <c r="AO11">
        <v>20</v>
      </c>
      <c r="AP11">
        <v>20</v>
      </c>
      <c r="AQ11">
        <v>20</v>
      </c>
      <c r="AR11">
        <v>20</v>
      </c>
      <c r="AS11">
        <v>20</v>
      </c>
      <c r="AT11">
        <v>20</v>
      </c>
      <c r="AU11">
        <v>20</v>
      </c>
      <c r="AV11">
        <v>20</v>
      </c>
      <c r="AW11">
        <v>20</v>
      </c>
      <c r="AX11">
        <v>20</v>
      </c>
      <c r="AY11">
        <v>20</v>
      </c>
      <c r="AZ11">
        <v>20</v>
      </c>
      <c r="BA11">
        <v>20</v>
      </c>
      <c r="BB11">
        <v>20</v>
      </c>
      <c r="BC11" s="265"/>
      <c r="BD11" s="265"/>
      <c r="BE11" s="265"/>
      <c r="BF11" s="265"/>
      <c r="BG11" s="265"/>
      <c r="BH11" s="265"/>
      <c r="BI11" s="265"/>
      <c r="BJ11" s="265"/>
      <c r="BK11" s="265"/>
      <c r="BL11" s="265"/>
      <c r="BM11" s="265"/>
      <c r="BN11" s="265"/>
      <c r="BP11" s="93"/>
      <c r="BQ11" s="93"/>
      <c r="BR11" s="93"/>
      <c r="BS11" s="93"/>
      <c r="BT11" s="93"/>
      <c r="BU11" s="93"/>
      <c r="BV11" s="93"/>
      <c r="BW11" s="93"/>
      <c r="BX11" s="93"/>
      <c r="BY11" s="93"/>
      <c r="BZ11" s="93"/>
      <c r="CA11" s="93"/>
    </row>
    <row r="12" spans="2:79" s="104" customFormat="1" ht="20.149999999999999" customHeight="1" x14ac:dyDescent="0.35">
      <c r="B12" t="s">
        <v>298</v>
      </c>
      <c r="C12" t="s">
        <v>101</v>
      </c>
      <c r="D12" t="s">
        <v>156</v>
      </c>
      <c r="E12" t="s">
        <v>299</v>
      </c>
      <c r="F12" s="284" t="s">
        <v>92</v>
      </c>
      <c r="G12">
        <v>27.009374999999999</v>
      </c>
      <c r="H12">
        <v>27.009374999999999</v>
      </c>
      <c r="I12">
        <v>27.009374999999999</v>
      </c>
      <c r="J12">
        <v>27.009374999999999</v>
      </c>
      <c r="K12">
        <v>27.009374999999999</v>
      </c>
      <c r="L12">
        <v>27.009374999999999</v>
      </c>
      <c r="M12">
        <v>27.009374999999999</v>
      </c>
      <c r="N12">
        <v>27.009374999999999</v>
      </c>
      <c r="O12">
        <v>27.009374999999999</v>
      </c>
      <c r="P12">
        <v>27.009374999999999</v>
      </c>
      <c r="Q12">
        <v>27.009374999999999</v>
      </c>
      <c r="R12">
        <v>27.009374999999999</v>
      </c>
      <c r="S12">
        <v>27.009374999999999</v>
      </c>
      <c r="T12">
        <v>27.009374999999999</v>
      </c>
      <c r="U12">
        <v>27.009374999999999</v>
      </c>
      <c r="V12">
        <v>27.009374999999999</v>
      </c>
      <c r="W12">
        <v>27.009374999999999</v>
      </c>
      <c r="X12">
        <v>27.009374999999999</v>
      </c>
      <c r="Y12">
        <v>27.009374999999999</v>
      </c>
      <c r="Z12">
        <v>27.009374999999999</v>
      </c>
      <c r="AA12">
        <v>27.009374999999999</v>
      </c>
      <c r="AB12">
        <v>27.009374999999999</v>
      </c>
      <c r="AC12">
        <v>27.009374999999999</v>
      </c>
      <c r="AD12">
        <v>27.009374999999999</v>
      </c>
      <c r="AE12">
        <v>27.009374999999999</v>
      </c>
      <c r="AF12">
        <v>27.009374999999999</v>
      </c>
      <c r="AG12">
        <v>27.009374999999999</v>
      </c>
      <c r="AH12">
        <v>27.009374999999999</v>
      </c>
      <c r="AI12">
        <v>27.009374999999999</v>
      </c>
      <c r="AJ12">
        <v>27.009374999999999</v>
      </c>
      <c r="AK12">
        <v>27.009374999999999</v>
      </c>
      <c r="AL12">
        <v>27.009374999999999</v>
      </c>
      <c r="AM12">
        <v>27.009374999999999</v>
      </c>
      <c r="AN12">
        <v>27.009374999999999</v>
      </c>
      <c r="AO12">
        <v>27.009374999999999</v>
      </c>
      <c r="AP12">
        <v>27.009374999999999</v>
      </c>
      <c r="AQ12">
        <v>27.009374999999999</v>
      </c>
      <c r="AR12">
        <v>27.009374999999999</v>
      </c>
      <c r="AS12">
        <v>27.009374999999999</v>
      </c>
      <c r="AT12">
        <v>27.009374999999999</v>
      </c>
      <c r="AU12">
        <v>27.009374999999999</v>
      </c>
      <c r="AV12">
        <v>27.009374999999999</v>
      </c>
      <c r="AW12">
        <v>27.009374999999999</v>
      </c>
      <c r="AX12">
        <v>27.009374999999999</v>
      </c>
      <c r="AY12">
        <v>27.009374999999999</v>
      </c>
      <c r="AZ12">
        <v>27.009374999999999</v>
      </c>
      <c r="BA12">
        <v>27.009374999999999</v>
      </c>
      <c r="BB12">
        <v>27.009374999999999</v>
      </c>
      <c r="BC12" s="266"/>
      <c r="BD12" s="266"/>
      <c r="BE12" s="266"/>
      <c r="BF12" s="266"/>
      <c r="BG12" s="266"/>
      <c r="BH12" s="266"/>
      <c r="BI12" s="266"/>
      <c r="BJ12" s="266"/>
      <c r="BK12" s="266"/>
      <c r="BL12" s="266"/>
      <c r="BM12" s="266"/>
      <c r="BN12" s="266"/>
    </row>
    <row r="13" spans="2:79" s="104" customFormat="1" ht="20.149999999999999" customHeight="1" x14ac:dyDescent="0.35">
      <c r="B13"/>
      <c r="C13"/>
      <c r="D13"/>
      <c r="E13"/>
      <c r="F13" s="283" t="s">
        <v>91</v>
      </c>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s="265"/>
      <c r="BD13" s="265"/>
      <c r="BE13" s="265"/>
      <c r="BF13" s="265"/>
      <c r="BG13" s="265"/>
      <c r="BH13" s="265"/>
      <c r="BI13" s="265"/>
      <c r="BJ13" s="265"/>
      <c r="BK13" s="265"/>
      <c r="BL13" s="265"/>
      <c r="BM13" s="265"/>
      <c r="BN13" s="265"/>
    </row>
    <row r="14" spans="2:79" s="104" customFormat="1" ht="20.149999999999999" customHeight="1" x14ac:dyDescent="0.35">
      <c r="B14"/>
      <c r="C14"/>
      <c r="D14"/>
      <c r="E14"/>
      <c r="F14" s="284" t="s">
        <v>92</v>
      </c>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s="266"/>
      <c r="BD14" s="266"/>
      <c r="BE14" s="266"/>
      <c r="BF14" s="266"/>
      <c r="BG14" s="266"/>
      <c r="BH14" s="266"/>
      <c r="BI14" s="266"/>
      <c r="BJ14" s="266"/>
      <c r="BK14" s="266"/>
      <c r="BL14" s="266"/>
      <c r="BM14" s="266"/>
      <c r="BN14" s="266"/>
    </row>
    <row r="15" spans="2:79" s="104" customFormat="1" ht="20.149999999999999" customHeight="1" x14ac:dyDescent="0.35">
      <c r="B15"/>
      <c r="C15"/>
      <c r="D15"/>
      <c r="E15"/>
      <c r="F15" s="283" t="s">
        <v>91</v>
      </c>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s="265"/>
      <c r="BD15" s="265"/>
      <c r="BE15" s="265"/>
      <c r="BF15" s="265"/>
      <c r="BG15" s="265"/>
      <c r="BH15" s="265"/>
      <c r="BI15" s="265"/>
      <c r="BJ15" s="265"/>
      <c r="BK15" s="265"/>
      <c r="BL15" s="265"/>
      <c r="BM15" s="265"/>
      <c r="BN15" s="265"/>
    </row>
    <row r="16" spans="2:79" s="104" customFormat="1" ht="20.149999999999999" customHeight="1" x14ac:dyDescent="0.35">
      <c r="B16"/>
      <c r="C16"/>
      <c r="D16"/>
      <c r="E16"/>
      <c r="F16" s="284" t="s">
        <v>92</v>
      </c>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s="266"/>
      <c r="BD16" s="266"/>
      <c r="BE16" s="266"/>
      <c r="BF16" s="266"/>
      <c r="BG16" s="266"/>
      <c r="BH16" s="266"/>
      <c r="BI16" s="266"/>
      <c r="BJ16" s="266"/>
      <c r="BK16" s="266"/>
      <c r="BL16" s="266"/>
      <c r="BM16" s="266"/>
      <c r="BN16" s="266"/>
    </row>
    <row r="17" spans="2:79" s="104" customFormat="1" ht="20.149999999999999" customHeight="1" x14ac:dyDescent="0.35">
      <c r="B17"/>
      <c r="C17"/>
      <c r="D17"/>
      <c r="E17"/>
      <c r="F17" s="283" t="s">
        <v>91</v>
      </c>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s="265"/>
      <c r="BD17" s="265"/>
      <c r="BE17" s="265"/>
      <c r="BF17" s="265"/>
      <c r="BG17" s="265"/>
      <c r="BH17" s="265"/>
      <c r="BI17" s="265"/>
      <c r="BJ17" s="265"/>
      <c r="BK17" s="265"/>
      <c r="BL17" s="265"/>
      <c r="BM17" s="265"/>
      <c r="BN17" s="265"/>
      <c r="BP17" s="93"/>
      <c r="BQ17" s="93"/>
      <c r="BR17" s="93"/>
      <c r="BS17" s="93"/>
      <c r="BT17" s="93"/>
      <c r="BU17" s="93"/>
      <c r="BV17" s="93"/>
      <c r="BW17" s="93"/>
      <c r="BX17" s="93"/>
      <c r="BY17" s="93"/>
      <c r="BZ17" s="93"/>
      <c r="CA17" s="93"/>
    </row>
    <row r="18" spans="2:79" s="104" customFormat="1" ht="20.149999999999999" customHeight="1" x14ac:dyDescent="0.35">
      <c r="B18"/>
      <c r="C18"/>
      <c r="D18"/>
      <c r="E18"/>
      <c r="F18" s="284" t="s">
        <v>92</v>
      </c>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s="266"/>
      <c r="BD18" s="266"/>
      <c r="BE18" s="266"/>
      <c r="BF18" s="266"/>
      <c r="BG18" s="266"/>
      <c r="BH18" s="266"/>
      <c r="BI18" s="266"/>
      <c r="BJ18" s="266"/>
      <c r="BK18" s="266"/>
      <c r="BL18" s="266"/>
      <c r="BM18" s="266"/>
      <c r="BN18" s="266"/>
      <c r="BP18" s="93"/>
      <c r="BQ18" s="93"/>
      <c r="BR18" s="93"/>
      <c r="BS18" s="93"/>
      <c r="BT18" s="93"/>
      <c r="BU18" s="93"/>
      <c r="BV18" s="93"/>
      <c r="BW18" s="93"/>
      <c r="BX18" s="93"/>
      <c r="BY18" s="93"/>
      <c r="BZ18" s="93"/>
      <c r="CA18" s="93"/>
    </row>
    <row r="19" spans="2:79" s="104" customFormat="1" ht="20.149999999999999" customHeight="1" x14ac:dyDescent="0.35">
      <c r="B19"/>
      <c r="C19"/>
      <c r="D19"/>
      <c r="E19"/>
      <c r="F19" s="283" t="s">
        <v>91</v>
      </c>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s="265"/>
      <c r="BD19" s="265"/>
      <c r="BE19" s="265"/>
      <c r="BF19" s="265"/>
      <c r="BG19" s="265"/>
      <c r="BH19" s="265"/>
      <c r="BI19" s="265"/>
      <c r="BJ19" s="265"/>
      <c r="BK19" s="265"/>
      <c r="BL19" s="265"/>
      <c r="BM19" s="265"/>
      <c r="BN19" s="265"/>
      <c r="BP19" s="93"/>
      <c r="BQ19" s="93"/>
      <c r="BR19" s="93"/>
      <c r="BS19" s="93"/>
      <c r="BT19" s="93"/>
      <c r="BU19" s="93"/>
      <c r="BV19" s="93"/>
      <c r="BW19" s="93"/>
      <c r="BX19" s="93"/>
      <c r="BY19" s="93"/>
      <c r="BZ19" s="93"/>
      <c r="CA19" s="93"/>
    </row>
    <row r="20" spans="2:79" s="104" customFormat="1" ht="20.149999999999999" customHeight="1" x14ac:dyDescent="0.35">
      <c r="B20"/>
      <c r="C20"/>
      <c r="D20"/>
      <c r="E20"/>
      <c r="F20" s="284" t="s">
        <v>92</v>
      </c>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s="266"/>
      <c r="BD20" s="266"/>
      <c r="BE20" s="266"/>
      <c r="BF20" s="266"/>
      <c r="BG20" s="266"/>
      <c r="BH20" s="266"/>
      <c r="BI20" s="266"/>
      <c r="BJ20" s="266"/>
      <c r="BK20" s="266"/>
      <c r="BL20" s="266"/>
      <c r="BM20" s="266"/>
      <c r="BN20" s="266"/>
      <c r="BP20" s="93"/>
      <c r="BQ20" s="93"/>
      <c r="BR20" s="93"/>
      <c r="BS20" s="93"/>
      <c r="BT20" s="93"/>
      <c r="BU20" s="93"/>
      <c r="BV20" s="93"/>
      <c r="BW20" s="93"/>
      <c r="BX20" s="93"/>
      <c r="BY20" s="93"/>
      <c r="BZ20" s="93"/>
      <c r="CA20" s="93"/>
    </row>
    <row r="21" spans="2:79" s="104" customFormat="1" ht="20.149999999999999" customHeight="1" x14ac:dyDescent="0.35">
      <c r="B21"/>
      <c r="C21"/>
      <c r="D21"/>
      <c r="E21"/>
      <c r="F21" s="283" t="s">
        <v>91</v>
      </c>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s="265"/>
      <c r="BD21" s="265"/>
      <c r="BE21" s="265"/>
      <c r="BF21" s="265"/>
      <c r="BG21" s="265"/>
      <c r="BH21" s="265"/>
      <c r="BI21" s="265"/>
      <c r="BJ21" s="265"/>
      <c r="BK21" s="265"/>
      <c r="BL21" s="265"/>
      <c r="BM21" s="265"/>
      <c r="BN21" s="265"/>
      <c r="BP21" s="93"/>
      <c r="BQ21" s="93"/>
      <c r="BR21" s="93"/>
      <c r="BS21" s="93"/>
      <c r="BT21" s="93"/>
      <c r="BU21" s="93"/>
      <c r="BV21" s="93"/>
      <c r="BW21" s="93"/>
      <c r="BX21" s="93"/>
      <c r="BY21" s="93"/>
      <c r="BZ21" s="93"/>
      <c r="CA21" s="93"/>
    </row>
    <row r="22" spans="2:79" s="104" customFormat="1" ht="20.149999999999999" customHeight="1" x14ac:dyDescent="0.35">
      <c r="B22"/>
      <c r="C22"/>
      <c r="D22"/>
      <c r="E22"/>
      <c r="F22" s="284" t="s">
        <v>92</v>
      </c>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s="266"/>
      <c r="BD22" s="266"/>
      <c r="BE22" s="266"/>
      <c r="BF22" s="266"/>
      <c r="BG22" s="266"/>
      <c r="BH22" s="266"/>
      <c r="BI22" s="266"/>
      <c r="BJ22" s="266"/>
      <c r="BK22" s="266"/>
      <c r="BL22" s="266"/>
      <c r="BM22" s="266"/>
      <c r="BN22" s="266"/>
    </row>
    <row r="23" spans="2:79" s="104" customFormat="1" ht="20.149999999999999" customHeight="1" x14ac:dyDescent="0.35">
      <c r="B23"/>
      <c r="C23"/>
      <c r="D23"/>
      <c r="E23"/>
      <c r="F23" s="283" t="s">
        <v>91</v>
      </c>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s="265"/>
      <c r="BD23" s="265"/>
      <c r="BE23" s="265"/>
      <c r="BF23" s="265"/>
      <c r="BG23" s="265"/>
      <c r="BH23" s="265"/>
      <c r="BI23" s="265"/>
      <c r="BJ23" s="265"/>
      <c r="BK23" s="265"/>
      <c r="BL23" s="265"/>
      <c r="BM23" s="265"/>
      <c r="BN23" s="265"/>
    </row>
    <row r="24" spans="2:79" s="104" customFormat="1" ht="20.149999999999999" customHeight="1" x14ac:dyDescent="0.35">
      <c r="B24"/>
      <c r="C24"/>
      <c r="D24"/>
      <c r="E24"/>
      <c r="F24" s="284" t="s">
        <v>92</v>
      </c>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s="266"/>
      <c r="BD24" s="266"/>
      <c r="BE24" s="266"/>
      <c r="BF24" s="266"/>
      <c r="BG24" s="266"/>
      <c r="BH24" s="266"/>
      <c r="BI24" s="266"/>
      <c r="BJ24" s="266"/>
      <c r="BK24" s="266"/>
      <c r="BL24" s="266"/>
      <c r="BM24" s="266"/>
      <c r="BN24" s="266"/>
    </row>
    <row r="25" spans="2:79" s="104" customFormat="1" ht="20.149999999999999" customHeight="1" x14ac:dyDescent="0.35">
      <c r="B25"/>
      <c r="C25"/>
      <c r="D25"/>
      <c r="E25"/>
      <c r="F25" s="283" t="s">
        <v>91</v>
      </c>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s="265"/>
      <c r="BD25" s="265"/>
      <c r="BE25" s="265"/>
      <c r="BF25" s="265"/>
      <c r="BG25" s="265"/>
      <c r="BH25" s="265"/>
      <c r="BI25" s="265"/>
      <c r="BJ25" s="265"/>
      <c r="BK25" s="265"/>
      <c r="BL25" s="265"/>
      <c r="BM25" s="265"/>
      <c r="BN25" s="265"/>
    </row>
    <row r="26" spans="2:79" s="104" customFormat="1" ht="20.149999999999999" customHeight="1" x14ac:dyDescent="0.35">
      <c r="B26"/>
      <c r="C26"/>
      <c r="D26"/>
      <c r="E26"/>
      <c r="F26" s="284" t="s">
        <v>92</v>
      </c>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s="266"/>
      <c r="BD26" s="266"/>
      <c r="BE26" s="266"/>
      <c r="BF26" s="266"/>
      <c r="BG26" s="266"/>
      <c r="BH26" s="266"/>
      <c r="BI26" s="266"/>
      <c r="BJ26" s="266"/>
      <c r="BK26" s="266"/>
      <c r="BL26" s="266"/>
      <c r="BM26" s="266"/>
      <c r="BN26" s="266"/>
    </row>
    <row r="27" spans="2:79" s="104" customFormat="1" ht="20.149999999999999" customHeight="1" x14ac:dyDescent="0.35">
      <c r="B27"/>
      <c r="C27"/>
      <c r="D27"/>
      <c r="E27"/>
      <c r="F27" s="283" t="s">
        <v>91</v>
      </c>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s="265"/>
      <c r="BD27" s="265"/>
      <c r="BE27" s="265"/>
      <c r="BF27" s="265"/>
      <c r="BG27" s="265"/>
      <c r="BH27" s="265"/>
      <c r="BI27" s="265"/>
      <c r="BJ27" s="265"/>
      <c r="BK27" s="265"/>
      <c r="BL27" s="265"/>
      <c r="BM27" s="265"/>
      <c r="BN27" s="265"/>
      <c r="BP27" s="93"/>
      <c r="BQ27" s="93"/>
      <c r="BR27" s="93"/>
      <c r="BS27" s="93"/>
      <c r="BT27" s="93"/>
      <c r="BU27" s="93"/>
      <c r="BV27" s="93"/>
      <c r="BW27" s="93"/>
      <c r="BX27" s="93"/>
      <c r="BY27" s="93"/>
      <c r="BZ27" s="93"/>
      <c r="CA27" s="93"/>
    </row>
    <row r="28" spans="2:79" s="104" customFormat="1" ht="20.149999999999999" customHeight="1" x14ac:dyDescent="0.35">
      <c r="B28"/>
      <c r="C28"/>
      <c r="D28"/>
      <c r="E28"/>
      <c r="F28" s="284" t="s">
        <v>92</v>
      </c>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s="266"/>
      <c r="BD28" s="266"/>
      <c r="BE28" s="266"/>
      <c r="BF28" s="266"/>
      <c r="BG28" s="266"/>
      <c r="BH28" s="266"/>
      <c r="BI28" s="266"/>
      <c r="BJ28" s="266"/>
      <c r="BK28" s="266"/>
      <c r="BL28" s="266"/>
      <c r="BM28" s="266"/>
      <c r="BN28" s="266"/>
      <c r="BP28" s="93"/>
      <c r="BQ28" s="93"/>
      <c r="BR28" s="93"/>
      <c r="BS28" s="93"/>
      <c r="BT28" s="93"/>
      <c r="BU28" s="93"/>
      <c r="BV28" s="93"/>
      <c r="BW28" s="93"/>
      <c r="BX28" s="93"/>
      <c r="BY28" s="93"/>
      <c r="BZ28" s="93"/>
      <c r="CA28" s="93"/>
    </row>
    <row r="29" spans="2:79" s="104" customFormat="1" ht="20.149999999999999" customHeight="1" x14ac:dyDescent="0.35">
      <c r="B29"/>
      <c r="C29"/>
      <c r="D29"/>
      <c r="E29"/>
      <c r="F29" s="283" t="s">
        <v>91</v>
      </c>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s="265"/>
      <c r="BD29" s="265"/>
      <c r="BE29" s="265"/>
      <c r="BF29" s="265"/>
      <c r="BG29" s="265"/>
      <c r="BH29" s="265"/>
      <c r="BI29" s="265"/>
      <c r="BJ29" s="265"/>
      <c r="BK29" s="265"/>
      <c r="BL29" s="265"/>
      <c r="BM29" s="265"/>
      <c r="BN29" s="265"/>
      <c r="BP29" s="93"/>
      <c r="BQ29" s="93"/>
      <c r="BR29" s="93"/>
      <c r="BS29" s="93"/>
      <c r="BT29" s="93"/>
      <c r="BU29" s="93"/>
      <c r="BV29" s="93"/>
      <c r="BW29" s="93"/>
      <c r="BX29" s="93"/>
      <c r="BY29" s="93"/>
      <c r="BZ29" s="93"/>
      <c r="CA29" s="93"/>
    </row>
    <row r="30" spans="2:79" s="104" customFormat="1" ht="20.149999999999999" customHeight="1" x14ac:dyDescent="0.35">
      <c r="B30"/>
      <c r="C30"/>
      <c r="D30"/>
      <c r="E30"/>
      <c r="F30" s="284" t="s">
        <v>92</v>
      </c>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s="266"/>
      <c r="BD30" s="266"/>
      <c r="BE30" s="266"/>
      <c r="BF30" s="266"/>
      <c r="BG30" s="266"/>
      <c r="BH30" s="266"/>
      <c r="BI30" s="266"/>
      <c r="BJ30" s="266"/>
      <c r="BK30" s="266"/>
      <c r="BL30" s="266"/>
      <c r="BM30" s="266"/>
      <c r="BN30" s="266"/>
      <c r="BP30" s="93"/>
      <c r="BQ30" s="93"/>
      <c r="BR30" s="93"/>
      <c r="BS30" s="93"/>
      <c r="BT30" s="93"/>
      <c r="BU30" s="93"/>
      <c r="BV30" s="93"/>
      <c r="BW30" s="93"/>
      <c r="BX30" s="93"/>
      <c r="BY30" s="93"/>
      <c r="BZ30" s="93"/>
      <c r="CA30" s="93"/>
    </row>
    <row r="31" spans="2:79" s="104" customFormat="1" ht="20.149999999999999" customHeight="1" x14ac:dyDescent="0.35">
      <c r="B31"/>
      <c r="C31"/>
      <c r="D31"/>
      <c r="E31"/>
      <c r="F31" s="283" t="s">
        <v>91</v>
      </c>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s="265"/>
      <c r="BD31" s="265"/>
      <c r="BE31" s="265"/>
      <c r="BF31" s="265"/>
      <c r="BG31" s="265"/>
      <c r="BH31" s="265"/>
      <c r="BI31" s="265"/>
      <c r="BJ31" s="265"/>
      <c r="BK31" s="265"/>
      <c r="BL31" s="265"/>
      <c r="BM31" s="265"/>
      <c r="BN31" s="265"/>
      <c r="BP31" s="93"/>
      <c r="BQ31" s="93"/>
      <c r="BR31" s="93"/>
      <c r="BS31" s="93"/>
      <c r="BT31" s="93"/>
      <c r="BU31" s="93"/>
      <c r="BV31" s="93"/>
      <c r="BW31" s="93"/>
      <c r="BX31" s="93"/>
      <c r="BY31" s="93"/>
      <c r="BZ31" s="93"/>
      <c r="CA31" s="93"/>
    </row>
    <row r="32" spans="2:79" s="104" customFormat="1" ht="20.149999999999999" customHeight="1" x14ac:dyDescent="0.35">
      <c r="B32"/>
      <c r="C32"/>
      <c r="D32"/>
      <c r="E32"/>
      <c r="F32" s="284" t="s">
        <v>92</v>
      </c>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s="266"/>
      <c r="BD32" s="266"/>
      <c r="BE32" s="266"/>
      <c r="BF32" s="266"/>
      <c r="BG32" s="266"/>
      <c r="BH32" s="266"/>
      <c r="BI32" s="266"/>
      <c r="BJ32" s="266"/>
      <c r="BK32" s="266"/>
      <c r="BL32" s="266"/>
      <c r="BM32" s="266"/>
      <c r="BN32" s="266"/>
    </row>
    <row r="33" spans="2:79" s="104" customFormat="1" ht="20.149999999999999" customHeight="1" x14ac:dyDescent="0.35">
      <c r="B33"/>
      <c r="C33"/>
      <c r="D33"/>
      <c r="E33"/>
      <c r="F33" s="283" t="s">
        <v>91</v>
      </c>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s="265"/>
      <c r="BD33" s="265"/>
      <c r="BE33" s="265"/>
      <c r="BF33" s="265"/>
      <c r="BG33" s="265"/>
      <c r="BH33" s="265"/>
      <c r="BI33" s="265"/>
      <c r="BJ33" s="265"/>
      <c r="BK33" s="265"/>
      <c r="BL33" s="265"/>
      <c r="BM33" s="265"/>
      <c r="BN33" s="265"/>
    </row>
    <row r="34" spans="2:79" s="104" customFormat="1" ht="20.149999999999999" customHeight="1" x14ac:dyDescent="0.35">
      <c r="B34"/>
      <c r="C34"/>
      <c r="D34"/>
      <c r="E34"/>
      <c r="F34" s="284" t="s">
        <v>92</v>
      </c>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s="266"/>
      <c r="BD34" s="266"/>
      <c r="BE34" s="266"/>
      <c r="BF34" s="266"/>
      <c r="BG34" s="266"/>
      <c r="BH34" s="266"/>
      <c r="BI34" s="266"/>
      <c r="BJ34" s="266"/>
      <c r="BK34" s="266"/>
      <c r="BL34" s="266"/>
      <c r="BM34" s="266"/>
      <c r="BN34" s="266"/>
    </row>
    <row r="35" spans="2:79" s="104" customFormat="1" ht="20.149999999999999" customHeight="1" x14ac:dyDescent="0.35">
      <c r="B35"/>
      <c r="C35"/>
      <c r="D35"/>
      <c r="E35"/>
      <c r="F35" s="283" t="s">
        <v>91</v>
      </c>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s="265"/>
      <c r="BD35" s="265"/>
      <c r="BE35" s="265"/>
      <c r="BF35" s="265"/>
      <c r="BG35" s="265"/>
      <c r="BH35" s="265"/>
      <c r="BI35" s="265"/>
      <c r="BJ35" s="265"/>
      <c r="BK35" s="265"/>
      <c r="BL35" s="265"/>
      <c r="BM35" s="265"/>
      <c r="BN35" s="265"/>
    </row>
    <row r="36" spans="2:79" s="104" customFormat="1" ht="20.149999999999999" customHeight="1" x14ac:dyDescent="0.35">
      <c r="B36"/>
      <c r="C36"/>
      <c r="D36"/>
      <c r="E36"/>
      <c r="F36" s="284" t="s">
        <v>92</v>
      </c>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s="266"/>
      <c r="BD36" s="266"/>
      <c r="BE36" s="266"/>
      <c r="BF36" s="266"/>
      <c r="BG36" s="266"/>
      <c r="BH36" s="266"/>
      <c r="BI36" s="266"/>
      <c r="BJ36" s="266"/>
      <c r="BK36" s="266"/>
      <c r="BL36" s="266"/>
      <c r="BM36" s="266"/>
      <c r="BN36" s="266"/>
    </row>
    <row r="37" spans="2:79" s="104" customFormat="1" ht="20.149999999999999" customHeight="1" x14ac:dyDescent="0.25">
      <c r="B37" s="182"/>
      <c r="C37" s="182"/>
      <c r="D37" s="182"/>
      <c r="E37" s="182"/>
      <c r="F37" s="182"/>
      <c r="G37" s="182"/>
      <c r="H37" s="182"/>
      <c r="I37" s="182"/>
      <c r="J37" s="182"/>
      <c r="K37" s="182"/>
      <c r="L37" s="182"/>
      <c r="M37" s="182"/>
      <c r="N37" s="182"/>
      <c r="O37" s="182"/>
      <c r="P37" s="182"/>
      <c r="Q37" s="182"/>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182"/>
      <c r="AQ37" s="182"/>
      <c r="AR37" s="182"/>
      <c r="AS37" s="182"/>
      <c r="AT37" s="182"/>
      <c r="AU37" s="182"/>
      <c r="AV37" s="182"/>
      <c r="AW37" s="182"/>
      <c r="AX37" s="182"/>
      <c r="AY37" s="182"/>
      <c r="AZ37" s="182"/>
      <c r="BA37" s="182"/>
      <c r="BB37" s="182"/>
      <c r="BC37" s="182"/>
      <c r="BD37" s="182"/>
      <c r="BE37" s="182"/>
      <c r="BF37" s="182"/>
      <c r="BG37" s="182"/>
      <c r="BH37" s="182"/>
      <c r="BI37" s="182"/>
      <c r="BJ37" s="182"/>
      <c r="BK37" s="182"/>
      <c r="BL37" s="182"/>
      <c r="BM37" s="182"/>
      <c r="BN37" s="182"/>
    </row>
    <row r="38" spans="2:79" x14ac:dyDescent="0.25">
      <c r="B38" s="106"/>
    </row>
    <row r="39" spans="2:79" x14ac:dyDescent="0.25">
      <c r="B39" s="106"/>
    </row>
    <row r="40" spans="2:79" x14ac:dyDescent="0.25">
      <c r="B40" s="106"/>
    </row>
    <row r="41" spans="2:79" x14ac:dyDescent="0.25">
      <c r="B41" s="106"/>
    </row>
    <row r="42" spans="2:79" x14ac:dyDescent="0.25">
      <c r="B42" s="106"/>
    </row>
    <row r="43" spans="2:79" x14ac:dyDescent="0.25">
      <c r="B43" s="106"/>
    </row>
    <row r="44" spans="2:79" ht="20.149999999999999" customHeight="1" x14ac:dyDescent="0.25">
      <c r="B44" s="99"/>
      <c r="C44" s="99"/>
      <c r="D44" s="99"/>
      <c r="E44" s="107"/>
      <c r="F44" s="107"/>
      <c r="G44" s="99"/>
      <c r="H44" s="99"/>
      <c r="I44" s="99"/>
      <c r="J44" s="99"/>
      <c r="K44" s="99"/>
      <c r="L44" s="99"/>
      <c r="M44" s="99"/>
      <c r="N44" s="99"/>
      <c r="O44" s="99"/>
      <c r="P44" s="99"/>
      <c r="Q44" s="99"/>
    </row>
    <row r="45" spans="2:79" ht="20.149999999999999" customHeight="1" x14ac:dyDescent="0.25">
      <c r="B45" s="74" t="s">
        <v>93</v>
      </c>
      <c r="C45" s="108"/>
      <c r="D45" s="99"/>
      <c r="E45" s="107"/>
      <c r="F45" s="107"/>
      <c r="G45" s="99"/>
      <c r="H45" s="99"/>
      <c r="I45" s="99"/>
      <c r="J45" s="99"/>
      <c r="K45" s="99"/>
      <c r="L45" s="99"/>
      <c r="M45" s="99"/>
      <c r="N45" s="99"/>
      <c r="O45" s="99"/>
      <c r="P45" s="99"/>
      <c r="Q45" s="99"/>
      <c r="R45" s="99"/>
    </row>
    <row r="46" spans="2:79" s="103" customFormat="1" ht="31.5" customHeight="1" x14ac:dyDescent="0.25">
      <c r="B46" s="291" t="s">
        <v>94</v>
      </c>
      <c r="C46" s="101" t="s">
        <v>95</v>
      </c>
      <c r="D46" s="99"/>
      <c r="E46" s="107"/>
      <c r="F46" s="107"/>
      <c r="G46" s="99"/>
      <c r="H46" s="99"/>
      <c r="I46" s="99"/>
      <c r="J46" s="99"/>
      <c r="K46" s="99"/>
      <c r="L46" s="99"/>
      <c r="M46" s="99"/>
      <c r="N46" s="99"/>
      <c r="O46" s="99"/>
      <c r="P46" s="99"/>
      <c r="Q46" s="93"/>
      <c r="R46" s="93"/>
      <c r="S46" s="93"/>
      <c r="T46" s="93"/>
      <c r="U46" s="93"/>
      <c r="V46" s="93"/>
      <c r="W46" s="93"/>
      <c r="X46" s="93"/>
      <c r="Y46" s="93"/>
      <c r="Z46" s="93"/>
      <c r="AA46" s="93"/>
      <c r="AB46" s="93"/>
      <c r="AC46" s="93"/>
      <c r="AD46" s="93"/>
      <c r="AE46" s="93"/>
      <c r="AF46" s="93"/>
      <c r="AG46" s="93"/>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E46" s="93"/>
      <c r="BF46" s="93"/>
      <c r="BG46" s="93"/>
      <c r="BH46" s="93"/>
      <c r="BI46" s="93"/>
      <c r="BJ46" s="93"/>
      <c r="BK46" s="93"/>
      <c r="BL46" s="93"/>
      <c r="BM46" s="93"/>
      <c r="BN46" s="93"/>
      <c r="BO46" s="93"/>
      <c r="BP46" s="93"/>
      <c r="BQ46" s="93"/>
      <c r="BR46" s="93"/>
      <c r="BS46" s="93"/>
      <c r="BT46" s="93"/>
      <c r="BU46" s="93"/>
      <c r="BV46" s="93"/>
      <c r="BW46" s="93"/>
      <c r="BX46" s="93"/>
      <c r="BY46" s="93"/>
      <c r="BZ46" s="93"/>
      <c r="CA46" s="93"/>
    </row>
    <row r="47" spans="2:79" s="104" customFormat="1" ht="20.149999999999999" customHeight="1" x14ac:dyDescent="0.25">
      <c r="B47" s="1" t="s">
        <v>96</v>
      </c>
      <c r="C47" s="4" t="s">
        <v>16</v>
      </c>
      <c r="E47" s="107"/>
      <c r="F47" s="107"/>
      <c r="G47" s="99"/>
      <c r="H47" s="99"/>
      <c r="I47" s="99"/>
      <c r="J47" s="99"/>
      <c r="K47" s="99"/>
      <c r="L47" s="99"/>
      <c r="M47" s="99"/>
      <c r="N47" s="99"/>
      <c r="O47" s="99"/>
      <c r="P47" s="99"/>
      <c r="Q47" s="93"/>
      <c r="R47" s="93"/>
      <c r="S47" s="93"/>
      <c r="T47" s="93"/>
      <c r="U47" s="93"/>
      <c r="V47" s="93"/>
      <c r="W47" s="93"/>
      <c r="X47" s="93"/>
      <c r="Y47" s="93"/>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c r="BE47" s="93"/>
      <c r="BF47" s="93"/>
      <c r="BG47" s="93"/>
      <c r="BH47" s="93"/>
      <c r="BI47" s="93"/>
      <c r="BJ47" s="93"/>
      <c r="BK47" s="93"/>
      <c r="BL47" s="93"/>
      <c r="BM47" s="93"/>
      <c r="BN47" s="93"/>
      <c r="BO47" s="93"/>
      <c r="BP47" s="93"/>
      <c r="BQ47" s="93"/>
      <c r="BR47" s="93"/>
      <c r="BS47" s="93"/>
      <c r="BT47" s="93"/>
      <c r="BU47" s="93"/>
      <c r="BV47" s="93"/>
      <c r="BW47" s="93"/>
      <c r="BX47" s="93"/>
      <c r="BY47" s="93"/>
      <c r="BZ47" s="93"/>
      <c r="CA47" s="93"/>
    </row>
    <row r="48" spans="2:79" s="104" customFormat="1" ht="20.149999999999999" customHeight="1" x14ac:dyDescent="0.25">
      <c r="B48" s="1" t="s">
        <v>97</v>
      </c>
      <c r="C48" s="4" t="s">
        <v>98</v>
      </c>
      <c r="E48" s="107"/>
      <c r="F48" s="107"/>
      <c r="G48" s="99"/>
      <c r="H48" s="99"/>
      <c r="I48" s="99"/>
      <c r="J48" s="99"/>
      <c r="K48" s="99"/>
      <c r="L48" s="99"/>
      <c r="M48" s="99"/>
      <c r="N48" s="99"/>
      <c r="O48" s="99"/>
      <c r="P48" s="99"/>
      <c r="Q48" s="93"/>
      <c r="R48" s="93"/>
      <c r="S48" s="93"/>
      <c r="T48" s="93"/>
      <c r="U48" s="93"/>
      <c r="V48" s="93"/>
      <c r="W48" s="93"/>
      <c r="X48" s="93"/>
      <c r="Y48" s="93"/>
      <c r="Z48" s="93"/>
      <c r="AA48" s="93"/>
      <c r="AB48" s="93"/>
      <c r="AC48" s="93"/>
      <c r="AD48" s="93"/>
      <c r="AE48" s="93"/>
      <c r="AF48" s="93"/>
      <c r="AG48" s="93"/>
      <c r="AH48" s="93"/>
      <c r="AI48" s="93"/>
      <c r="AJ48" s="93"/>
      <c r="AK48" s="93"/>
      <c r="AL48" s="93"/>
      <c r="AM48" s="93"/>
      <c r="AN48" s="93"/>
      <c r="AO48" s="93"/>
      <c r="AP48" s="93"/>
      <c r="AQ48" s="93"/>
      <c r="AR48" s="93"/>
      <c r="AS48" s="93"/>
      <c r="AT48" s="93"/>
      <c r="AU48" s="93"/>
      <c r="AV48" s="93"/>
      <c r="AW48" s="93"/>
      <c r="AX48" s="93"/>
      <c r="AY48" s="93"/>
      <c r="AZ48" s="93"/>
      <c r="BA48" s="93"/>
      <c r="BB48" s="93"/>
      <c r="BC48" s="93"/>
      <c r="BD48" s="93"/>
      <c r="BE48" s="93"/>
      <c r="BF48" s="93"/>
      <c r="BG48" s="93"/>
      <c r="BH48" s="93"/>
      <c r="BI48" s="93"/>
      <c r="BJ48" s="93"/>
      <c r="BK48" s="93"/>
      <c r="BL48" s="93"/>
      <c r="BM48" s="93"/>
      <c r="BN48" s="93"/>
      <c r="BO48" s="93"/>
      <c r="BP48" s="93"/>
      <c r="BQ48" s="93"/>
      <c r="BR48" s="93"/>
      <c r="BS48" s="93"/>
      <c r="BT48" s="93"/>
      <c r="BU48" s="93"/>
      <c r="BV48" s="93"/>
      <c r="BW48" s="93"/>
      <c r="BX48" s="93"/>
      <c r="BY48" s="93"/>
      <c r="BZ48" s="93"/>
      <c r="CA48" s="93"/>
    </row>
    <row r="49" spans="2:79" s="104" customFormat="1" ht="20.149999999999999" customHeight="1" x14ac:dyDescent="0.25">
      <c r="B49" s="1" t="s">
        <v>99</v>
      </c>
      <c r="C49" s="4" t="s">
        <v>100</v>
      </c>
      <c r="E49" s="107"/>
      <c r="F49" s="107"/>
      <c r="G49" s="99"/>
      <c r="H49" s="99"/>
      <c r="I49" s="99"/>
      <c r="J49" s="99"/>
      <c r="K49" s="99"/>
      <c r="L49" s="99"/>
      <c r="M49" s="99"/>
      <c r="N49" s="99"/>
      <c r="O49" s="99"/>
      <c r="P49" s="99"/>
      <c r="Q49" s="93"/>
      <c r="R49" s="93"/>
      <c r="S49" s="93"/>
      <c r="T49" s="93"/>
      <c r="U49" s="93"/>
      <c r="V49" s="93"/>
      <c r="W49" s="93"/>
      <c r="X49" s="93"/>
      <c r="Y49" s="93"/>
      <c r="Z49" s="93"/>
      <c r="AA49" s="93"/>
      <c r="AB49" s="93"/>
      <c r="AC49" s="93"/>
      <c r="AD49" s="93"/>
      <c r="AE49" s="93"/>
      <c r="AF49" s="93"/>
      <c r="AG49" s="93"/>
      <c r="AH49" s="93"/>
      <c r="AI49" s="93"/>
      <c r="AJ49" s="93"/>
      <c r="AK49" s="93"/>
      <c r="AL49" s="93"/>
      <c r="AM49" s="93"/>
      <c r="AN49" s="93"/>
      <c r="AO49" s="93"/>
      <c r="AP49" s="93"/>
      <c r="AQ49" s="93"/>
      <c r="AR49" s="93"/>
      <c r="AS49" s="93"/>
      <c r="AT49" s="93"/>
      <c r="AU49" s="93"/>
      <c r="AV49" s="93"/>
      <c r="AW49" s="93"/>
      <c r="AX49" s="93"/>
      <c r="AY49" s="93"/>
      <c r="AZ49" s="93"/>
      <c r="BA49" s="93"/>
      <c r="BB49" s="93"/>
      <c r="BC49" s="93"/>
      <c r="BD49" s="93"/>
      <c r="BE49" s="93"/>
      <c r="BF49" s="93"/>
      <c r="BG49" s="93"/>
      <c r="BH49" s="93"/>
      <c r="BI49" s="93"/>
      <c r="BJ49" s="93"/>
      <c r="BK49" s="93"/>
      <c r="BL49" s="93"/>
      <c r="BM49" s="93"/>
      <c r="BN49" s="93"/>
      <c r="BO49" s="93"/>
      <c r="BP49" s="93"/>
      <c r="BQ49" s="93"/>
      <c r="BR49" s="93"/>
      <c r="BS49" s="93"/>
      <c r="BT49" s="93"/>
      <c r="BU49" s="93"/>
      <c r="BV49" s="93"/>
      <c r="BW49" s="93"/>
      <c r="BX49" s="93"/>
      <c r="BY49" s="93"/>
      <c r="BZ49" s="93"/>
      <c r="CA49" s="93"/>
    </row>
    <row r="50" spans="2:79" s="104" customFormat="1" ht="20.149999999999999" customHeight="1" x14ac:dyDescent="0.25">
      <c r="B50" s="1" t="s">
        <v>101</v>
      </c>
      <c r="C50" s="4" t="s">
        <v>102</v>
      </c>
      <c r="E50" s="107"/>
      <c r="F50" s="107"/>
      <c r="G50" s="99"/>
      <c r="H50" s="99"/>
      <c r="I50" s="99"/>
      <c r="J50" s="99"/>
      <c r="K50" s="99"/>
      <c r="L50" s="99"/>
      <c r="M50" s="99"/>
      <c r="N50" s="99"/>
      <c r="O50" s="99"/>
      <c r="P50" s="99"/>
      <c r="Q50" s="93"/>
      <c r="R50" s="93"/>
      <c r="S50" s="93"/>
      <c r="T50" s="93"/>
      <c r="U50" s="93"/>
      <c r="V50" s="93"/>
      <c r="W50" s="93"/>
      <c r="X50" s="93"/>
      <c r="Y50" s="93"/>
      <c r="Z50" s="93"/>
      <c r="AA50" s="93"/>
      <c r="AB50" s="93"/>
      <c r="AC50" s="93"/>
      <c r="AD50" s="93"/>
      <c r="AE50" s="93"/>
      <c r="AF50" s="93"/>
      <c r="AG50" s="93"/>
      <c r="AH50" s="93"/>
      <c r="AI50" s="93"/>
      <c r="AJ50" s="93"/>
      <c r="AK50" s="93"/>
      <c r="AL50" s="93"/>
      <c r="AM50" s="93"/>
      <c r="AN50" s="93"/>
      <c r="AO50" s="93"/>
      <c r="AP50" s="93"/>
      <c r="AQ50" s="93"/>
      <c r="AR50" s="93"/>
      <c r="AS50" s="93"/>
      <c r="AT50" s="93"/>
      <c r="AU50" s="93"/>
      <c r="AV50" s="93"/>
      <c r="AW50" s="93"/>
      <c r="AX50" s="93"/>
      <c r="AY50" s="93"/>
      <c r="AZ50" s="93"/>
      <c r="BA50" s="93"/>
      <c r="BB50" s="93"/>
      <c r="BC50" s="93"/>
      <c r="BD50" s="93"/>
      <c r="BE50" s="93"/>
      <c r="BF50" s="93"/>
      <c r="BG50" s="93"/>
      <c r="BH50" s="93"/>
      <c r="BI50" s="93"/>
      <c r="BJ50" s="93"/>
      <c r="BK50" s="93"/>
      <c r="BL50" s="93"/>
      <c r="BM50" s="93"/>
      <c r="BN50" s="93"/>
      <c r="BO50" s="93"/>
      <c r="BP50" s="93"/>
      <c r="BQ50" s="93"/>
      <c r="BR50" s="93"/>
      <c r="BS50" s="93"/>
      <c r="BT50" s="93"/>
      <c r="BU50" s="93"/>
      <c r="BV50" s="93"/>
      <c r="BW50" s="93"/>
      <c r="BX50" s="93"/>
      <c r="BY50" s="93"/>
      <c r="BZ50" s="93"/>
      <c r="CA50" s="93"/>
    </row>
    <row r="51" spans="2:79" s="104" customFormat="1" ht="20.149999999999999" customHeight="1" x14ac:dyDescent="0.25">
      <c r="B51" s="1" t="s">
        <v>103</v>
      </c>
      <c r="C51" s="4" t="s">
        <v>104</v>
      </c>
      <c r="E51" s="94"/>
      <c r="F51" s="94"/>
      <c r="G51" s="99"/>
      <c r="H51" s="99"/>
      <c r="I51" s="99"/>
      <c r="J51" s="99"/>
      <c r="K51" s="99"/>
      <c r="L51" s="99"/>
      <c r="M51" s="99"/>
      <c r="N51" s="99"/>
      <c r="O51" s="99"/>
      <c r="P51" s="99"/>
      <c r="Q51" s="93"/>
      <c r="R51" s="93"/>
      <c r="S51" s="93"/>
      <c r="T51" s="93"/>
      <c r="U51" s="93"/>
      <c r="V51" s="93"/>
      <c r="W51" s="93"/>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c r="BE51" s="93"/>
      <c r="BF51" s="93"/>
      <c r="BG51" s="93"/>
      <c r="BH51" s="93"/>
      <c r="BI51" s="93"/>
      <c r="BJ51" s="93"/>
      <c r="BK51" s="93"/>
      <c r="BL51" s="93"/>
      <c r="BM51" s="93"/>
      <c r="BN51" s="93"/>
      <c r="BO51" s="93"/>
      <c r="BP51" s="93"/>
      <c r="BQ51" s="93"/>
      <c r="BR51" s="93"/>
      <c r="BS51" s="93"/>
      <c r="BT51" s="93"/>
      <c r="BU51" s="93"/>
      <c r="BV51" s="93"/>
      <c r="BW51" s="93"/>
      <c r="BX51" s="93"/>
      <c r="BY51" s="93"/>
      <c r="BZ51" s="93"/>
      <c r="CA51" s="93"/>
    </row>
    <row r="52" spans="2:79" s="104" customFormat="1" ht="20.149999999999999" customHeight="1" x14ac:dyDescent="0.25">
      <c r="B52" s="1" t="s">
        <v>105</v>
      </c>
      <c r="C52" s="4" t="s">
        <v>106</v>
      </c>
      <c r="E52" s="94"/>
      <c r="F52" s="94"/>
      <c r="G52" s="99"/>
      <c r="H52" s="99"/>
      <c r="I52" s="99"/>
      <c r="J52" s="99"/>
      <c r="K52" s="99"/>
      <c r="L52" s="99"/>
      <c r="M52" s="99"/>
      <c r="N52" s="99"/>
      <c r="O52" s="99"/>
      <c r="P52" s="99"/>
      <c r="Q52" s="93"/>
      <c r="R52" s="93"/>
      <c r="S52" s="93"/>
      <c r="T52" s="93"/>
      <c r="U52" s="93"/>
      <c r="V52" s="93"/>
      <c r="W52" s="93"/>
      <c r="X52" s="93"/>
      <c r="Y52" s="93"/>
      <c r="Z52" s="93"/>
      <c r="AA52" s="93"/>
      <c r="AB52" s="93"/>
      <c r="AC52" s="93"/>
      <c r="AD52" s="93"/>
      <c r="AE52" s="93"/>
      <c r="AF52" s="93"/>
      <c r="AG52" s="93"/>
      <c r="AH52" s="93"/>
      <c r="AI52" s="93"/>
      <c r="AJ52" s="93"/>
      <c r="AK52" s="93"/>
      <c r="AL52" s="93"/>
      <c r="AM52" s="93"/>
      <c r="AN52" s="93"/>
      <c r="AO52" s="93"/>
      <c r="AP52" s="93"/>
      <c r="AQ52" s="93"/>
      <c r="AR52" s="93"/>
      <c r="AS52" s="93"/>
      <c r="AT52" s="93"/>
      <c r="AU52" s="93"/>
      <c r="AV52" s="93"/>
      <c r="AW52" s="93"/>
      <c r="AX52" s="93"/>
      <c r="AY52" s="93"/>
      <c r="AZ52" s="93"/>
      <c r="BA52" s="93"/>
      <c r="BB52" s="93"/>
      <c r="BC52" s="93"/>
      <c r="BD52" s="93"/>
      <c r="BE52" s="93"/>
      <c r="BF52" s="93"/>
      <c r="BG52" s="93"/>
      <c r="BH52" s="93"/>
      <c r="BI52" s="93"/>
      <c r="BJ52" s="93"/>
      <c r="BK52" s="93"/>
      <c r="BL52" s="93"/>
      <c r="BM52" s="93"/>
      <c r="BN52" s="93"/>
      <c r="BO52" s="93"/>
      <c r="BP52" s="93"/>
    </row>
    <row r="53" spans="2:79" s="104" customFormat="1" ht="20.149999999999999" customHeight="1" x14ac:dyDescent="0.25">
      <c r="B53" s="1" t="s">
        <v>107</v>
      </c>
      <c r="C53" s="4" t="s">
        <v>108</v>
      </c>
      <c r="E53" s="94"/>
      <c r="F53" s="94"/>
      <c r="G53" s="99"/>
      <c r="H53" s="99"/>
      <c r="I53" s="99"/>
      <c r="J53" s="99"/>
      <c r="K53" s="99"/>
      <c r="L53" s="99"/>
      <c r="M53" s="99"/>
      <c r="N53" s="99"/>
      <c r="O53" s="99"/>
      <c r="P53" s="99"/>
      <c r="Q53" s="93"/>
      <c r="R53" s="93"/>
      <c r="S53" s="93"/>
      <c r="T53" s="93"/>
      <c r="U53" s="93"/>
      <c r="V53" s="93"/>
      <c r="W53" s="93"/>
      <c r="X53" s="93"/>
      <c r="Y53" s="93"/>
      <c r="Z53" s="93"/>
      <c r="AA53" s="93"/>
      <c r="AB53" s="93"/>
      <c r="AC53" s="93"/>
      <c r="AD53" s="93"/>
      <c r="AE53" s="93"/>
      <c r="AF53" s="93"/>
      <c r="AG53" s="93"/>
      <c r="AH53" s="93"/>
      <c r="AI53" s="93"/>
      <c r="AJ53" s="93"/>
      <c r="AK53" s="93"/>
      <c r="AL53" s="93"/>
      <c r="AM53" s="93"/>
      <c r="AN53" s="93"/>
      <c r="AO53" s="93"/>
      <c r="AP53" s="93"/>
      <c r="AQ53" s="93"/>
      <c r="AR53" s="93"/>
      <c r="AS53" s="93"/>
      <c r="AT53" s="93"/>
      <c r="AU53" s="93"/>
      <c r="AV53" s="93"/>
      <c r="AW53" s="93"/>
      <c r="AX53" s="93"/>
      <c r="AY53" s="93"/>
      <c r="AZ53" s="93"/>
      <c r="BA53" s="93"/>
      <c r="BB53" s="93"/>
      <c r="BC53" s="93"/>
      <c r="BD53" s="93"/>
      <c r="BE53" s="93"/>
      <c r="BF53" s="93"/>
      <c r="BG53" s="93"/>
      <c r="BH53" s="93"/>
      <c r="BI53" s="93"/>
      <c r="BJ53" s="93"/>
      <c r="BK53" s="93"/>
      <c r="BL53" s="93"/>
      <c r="BM53" s="93"/>
      <c r="BN53" s="93"/>
      <c r="BO53" s="93"/>
      <c r="BP53" s="93"/>
    </row>
    <row r="54" spans="2:79" s="104" customFormat="1" ht="20.149999999999999" customHeight="1" x14ac:dyDescent="0.25">
      <c r="B54" s="1" t="s">
        <v>109</v>
      </c>
      <c r="C54" s="4" t="s">
        <v>110</v>
      </c>
      <c r="E54" s="94"/>
      <c r="F54" s="94"/>
      <c r="G54" s="99"/>
      <c r="H54" s="99"/>
      <c r="I54" s="99"/>
      <c r="J54" s="99"/>
      <c r="K54" s="99"/>
      <c r="L54" s="99"/>
      <c r="M54" s="99"/>
      <c r="N54" s="99"/>
      <c r="O54" s="99"/>
      <c r="P54" s="99"/>
      <c r="Q54" s="93"/>
      <c r="R54" s="93"/>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c r="BC54" s="93"/>
      <c r="BD54" s="93"/>
      <c r="BE54" s="93"/>
      <c r="BF54" s="93"/>
      <c r="BG54" s="93"/>
      <c r="BH54" s="93"/>
      <c r="BI54" s="93"/>
      <c r="BJ54" s="93"/>
      <c r="BK54" s="93"/>
      <c r="BL54" s="93"/>
      <c r="BM54" s="93"/>
      <c r="BN54" s="93"/>
      <c r="BO54" s="93"/>
      <c r="BP54" s="93"/>
    </row>
    <row r="55" spans="2:79" s="104" customFormat="1" ht="20.149999999999999" customHeight="1" x14ac:dyDescent="0.25">
      <c r="B55" s="1" t="s">
        <v>111</v>
      </c>
      <c r="C55" s="4" t="s">
        <v>112</v>
      </c>
      <c r="E55" s="94"/>
      <c r="F55" s="94"/>
      <c r="G55" s="99"/>
      <c r="H55" s="99"/>
      <c r="I55" s="99"/>
      <c r="J55" s="99"/>
      <c r="K55" s="99"/>
      <c r="L55" s="99"/>
      <c r="M55" s="99"/>
      <c r="N55" s="99"/>
      <c r="O55" s="99"/>
      <c r="P55" s="99"/>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3"/>
      <c r="BG55" s="93"/>
      <c r="BH55" s="93"/>
      <c r="BI55" s="93"/>
      <c r="BJ55" s="93"/>
      <c r="BK55" s="93"/>
      <c r="BL55" s="93"/>
      <c r="BM55" s="93"/>
      <c r="BN55" s="93"/>
      <c r="BO55" s="93"/>
      <c r="BP55" s="93"/>
    </row>
    <row r="56" spans="2:79" s="104" customFormat="1" ht="20.149999999999999" customHeight="1" x14ac:dyDescent="0.25">
      <c r="B56" s="1" t="s">
        <v>113</v>
      </c>
      <c r="C56" s="4" t="s">
        <v>114</v>
      </c>
      <c r="E56" s="94"/>
      <c r="F56" s="94"/>
      <c r="G56" s="99"/>
      <c r="H56" s="99"/>
      <c r="I56" s="99"/>
      <c r="J56" s="99"/>
      <c r="K56" s="99"/>
      <c r="L56" s="99"/>
      <c r="M56" s="99"/>
      <c r="N56" s="99"/>
      <c r="O56" s="99"/>
      <c r="P56" s="99"/>
      <c r="Q56" s="93"/>
      <c r="R56" s="93"/>
      <c r="S56" s="93"/>
      <c r="T56" s="93"/>
      <c r="U56" s="93"/>
      <c r="V56" s="93"/>
      <c r="W56" s="93"/>
      <c r="X56" s="93"/>
      <c r="Y56" s="93"/>
      <c r="Z56" s="93"/>
      <c r="AA56" s="93"/>
      <c r="AB56" s="93"/>
      <c r="AC56" s="93"/>
      <c r="AD56" s="93"/>
      <c r="AE56" s="93"/>
      <c r="AF56" s="93"/>
      <c r="AG56" s="93"/>
      <c r="AH56" s="93"/>
      <c r="AI56" s="93"/>
      <c r="AJ56" s="93"/>
      <c r="AK56" s="93"/>
      <c r="AL56" s="93"/>
      <c r="AM56" s="93"/>
      <c r="AN56" s="93"/>
      <c r="AO56" s="93"/>
      <c r="AP56" s="93"/>
      <c r="AQ56" s="93"/>
      <c r="AR56" s="93"/>
      <c r="AS56" s="93"/>
      <c r="AT56" s="93"/>
      <c r="AU56" s="93"/>
      <c r="AV56" s="93"/>
      <c r="AW56" s="93"/>
      <c r="AX56" s="93"/>
      <c r="AY56" s="93"/>
      <c r="AZ56" s="93"/>
      <c r="BA56" s="93"/>
      <c r="BB56" s="93"/>
      <c r="BC56" s="93"/>
      <c r="BD56" s="93"/>
      <c r="BE56" s="93"/>
      <c r="BF56" s="93"/>
      <c r="BG56" s="93"/>
      <c r="BH56" s="93"/>
      <c r="BI56" s="93"/>
      <c r="BJ56" s="93"/>
      <c r="BK56" s="93"/>
      <c r="BL56" s="93"/>
      <c r="BM56" s="93"/>
      <c r="BN56" s="93"/>
      <c r="BO56" s="93"/>
      <c r="BP56" s="93"/>
    </row>
    <row r="57" spans="2:79" s="104" customFormat="1" ht="20.149999999999999" customHeight="1" x14ac:dyDescent="0.25">
      <c r="B57" s="1" t="s">
        <v>41</v>
      </c>
      <c r="C57" s="4" t="s">
        <v>115</v>
      </c>
      <c r="E57" s="94"/>
      <c r="F57" s="94"/>
      <c r="G57" s="99"/>
      <c r="H57" s="99"/>
      <c r="I57" s="99"/>
      <c r="J57" s="99"/>
      <c r="K57" s="99"/>
      <c r="L57" s="99"/>
      <c r="M57" s="99"/>
      <c r="N57" s="99"/>
      <c r="O57" s="99"/>
      <c r="P57" s="99"/>
      <c r="Q57" s="93"/>
      <c r="R57" s="93"/>
      <c r="S57" s="93"/>
      <c r="T57" s="93"/>
      <c r="U57" s="93"/>
      <c r="V57" s="93"/>
      <c r="W57" s="93"/>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3"/>
      <c r="AY57" s="93"/>
      <c r="AZ57" s="93"/>
      <c r="BA57" s="93"/>
      <c r="BB57" s="93"/>
      <c r="BC57" s="93"/>
      <c r="BD57" s="93"/>
      <c r="BE57" s="93"/>
      <c r="BF57" s="93"/>
      <c r="BG57" s="93"/>
      <c r="BH57" s="93"/>
      <c r="BI57" s="93"/>
      <c r="BJ57" s="93"/>
      <c r="BK57" s="93"/>
      <c r="BL57" s="93"/>
      <c r="BM57" s="93"/>
      <c r="BN57" s="93"/>
      <c r="BO57" s="93"/>
      <c r="BP57" s="93"/>
    </row>
    <row r="58" spans="2:79" s="104" customFormat="1" ht="20.149999999999999" customHeight="1" x14ac:dyDescent="0.25">
      <c r="B58" s="1" t="s">
        <v>116</v>
      </c>
      <c r="C58" s="4" t="s">
        <v>117</v>
      </c>
      <c r="E58" s="94"/>
      <c r="F58" s="94"/>
      <c r="G58" s="99"/>
      <c r="H58" s="99"/>
      <c r="I58" s="99"/>
      <c r="J58" s="99"/>
      <c r="K58" s="99"/>
      <c r="L58" s="99"/>
      <c r="M58" s="99"/>
      <c r="N58" s="99"/>
      <c r="O58" s="99"/>
      <c r="P58" s="99"/>
      <c r="Q58" s="93"/>
      <c r="R58" s="93"/>
      <c r="S58" s="93"/>
      <c r="T58" s="93"/>
      <c r="U58" s="93"/>
      <c r="V58" s="93"/>
      <c r="W58" s="93"/>
      <c r="X58" s="93"/>
      <c r="Y58" s="93"/>
      <c r="Z58" s="93"/>
      <c r="AA58" s="93"/>
      <c r="AB58" s="93"/>
      <c r="AC58" s="93"/>
      <c r="AD58" s="93"/>
      <c r="AE58" s="93"/>
      <c r="AF58" s="93"/>
      <c r="AG58" s="93"/>
      <c r="AH58" s="93"/>
      <c r="AI58" s="93"/>
      <c r="AJ58" s="93"/>
      <c r="AK58" s="93"/>
      <c r="AL58" s="93"/>
      <c r="AM58" s="93"/>
      <c r="AN58" s="93"/>
      <c r="AO58" s="93"/>
      <c r="AP58" s="93"/>
      <c r="AQ58" s="93"/>
      <c r="AR58" s="93"/>
      <c r="AS58" s="93"/>
      <c r="AT58" s="93"/>
      <c r="AU58" s="93"/>
      <c r="AV58" s="93"/>
      <c r="AW58" s="93"/>
      <c r="AX58" s="93"/>
      <c r="AY58" s="93"/>
      <c r="AZ58" s="93"/>
      <c r="BA58" s="93"/>
      <c r="BB58" s="93"/>
      <c r="BC58" s="93"/>
      <c r="BD58" s="93"/>
      <c r="BE58" s="93"/>
      <c r="BF58" s="93"/>
      <c r="BG58" s="93"/>
      <c r="BH58" s="93"/>
      <c r="BI58" s="93"/>
      <c r="BJ58" s="93"/>
      <c r="BK58" s="93"/>
      <c r="BL58" s="93"/>
      <c r="BM58" s="93"/>
      <c r="BN58" s="93"/>
      <c r="BO58" s="93"/>
      <c r="BP58" s="93"/>
    </row>
    <row r="59" spans="2:79" s="104" customFormat="1" ht="20.149999999999999" customHeight="1" x14ac:dyDescent="0.25">
      <c r="B59" s="1" t="s">
        <v>118</v>
      </c>
      <c r="C59" s="4" t="s">
        <v>119</v>
      </c>
      <c r="E59" s="94"/>
      <c r="F59" s="94"/>
      <c r="G59" s="99"/>
      <c r="H59" s="99"/>
      <c r="I59" s="99"/>
      <c r="J59" s="99"/>
      <c r="K59" s="99"/>
      <c r="L59" s="99"/>
      <c r="M59" s="99"/>
      <c r="N59" s="99"/>
      <c r="O59" s="99"/>
      <c r="P59" s="99"/>
      <c r="Q59" s="93"/>
      <c r="R59" s="93"/>
      <c r="S59" s="93"/>
      <c r="T59" s="93"/>
      <c r="U59" s="93"/>
      <c r="V59" s="93"/>
      <c r="W59" s="93"/>
      <c r="X59" s="93"/>
      <c r="Y59" s="93"/>
      <c r="Z59" s="93"/>
      <c r="AA59" s="93"/>
      <c r="AB59" s="93"/>
      <c r="AC59" s="93"/>
      <c r="AD59" s="93"/>
      <c r="AE59" s="93"/>
      <c r="AF59" s="93"/>
      <c r="AG59" s="93"/>
      <c r="AH59" s="93"/>
      <c r="AI59" s="93"/>
      <c r="AJ59" s="93"/>
      <c r="AK59" s="93"/>
      <c r="AL59" s="93"/>
      <c r="AM59" s="93"/>
      <c r="AN59" s="93"/>
      <c r="AO59" s="93"/>
      <c r="AP59" s="93"/>
      <c r="AQ59" s="93"/>
      <c r="AR59" s="93"/>
      <c r="AS59" s="93"/>
      <c r="AT59" s="93"/>
      <c r="AU59" s="93"/>
      <c r="AV59" s="93"/>
      <c r="AW59" s="93"/>
      <c r="AX59" s="93"/>
      <c r="AY59" s="93"/>
      <c r="AZ59" s="93"/>
      <c r="BA59" s="93"/>
      <c r="BB59" s="93"/>
      <c r="BC59" s="93"/>
      <c r="BD59" s="93"/>
      <c r="BE59" s="93"/>
      <c r="BF59" s="93"/>
      <c r="BG59" s="93"/>
      <c r="BH59" s="93"/>
      <c r="BI59" s="93"/>
      <c r="BJ59" s="93"/>
      <c r="BK59" s="93"/>
      <c r="BL59" s="93"/>
      <c r="BM59" s="93"/>
      <c r="BN59" s="93"/>
      <c r="BO59" s="93"/>
      <c r="BP59" s="93"/>
    </row>
    <row r="60" spans="2:79" s="104" customFormat="1" ht="20.149999999999999" customHeight="1" x14ac:dyDescent="0.25">
      <c r="B60" s="1" t="s">
        <v>120</v>
      </c>
      <c r="C60" s="4" t="s">
        <v>121</v>
      </c>
      <c r="E60" s="94"/>
      <c r="F60" s="94"/>
      <c r="G60" s="99"/>
      <c r="H60" s="99"/>
      <c r="I60" s="99"/>
      <c r="J60" s="99"/>
      <c r="K60" s="99"/>
      <c r="L60" s="99"/>
      <c r="M60" s="99"/>
      <c r="N60" s="99"/>
      <c r="O60" s="99"/>
      <c r="P60" s="99"/>
      <c r="Q60" s="93"/>
      <c r="R60" s="93"/>
      <c r="S60" s="93"/>
      <c r="T60" s="93"/>
      <c r="U60" s="93"/>
      <c r="V60" s="93"/>
      <c r="W60" s="93"/>
      <c r="X60" s="93"/>
      <c r="Y60" s="93"/>
      <c r="Z60" s="93"/>
      <c r="AA60" s="93"/>
      <c r="AB60" s="93"/>
      <c r="AC60" s="93"/>
      <c r="AD60" s="93"/>
      <c r="AE60" s="93"/>
      <c r="AF60" s="93"/>
      <c r="AG60" s="93"/>
      <c r="AH60" s="93"/>
      <c r="AI60" s="93"/>
      <c r="AJ60" s="93"/>
      <c r="AK60" s="93"/>
      <c r="AL60" s="93"/>
      <c r="AM60" s="93"/>
      <c r="AN60" s="93"/>
      <c r="AO60" s="93"/>
      <c r="AP60" s="93"/>
      <c r="AQ60" s="93"/>
      <c r="AR60" s="93"/>
      <c r="AS60" s="93"/>
      <c r="AT60" s="93"/>
      <c r="AU60" s="93"/>
      <c r="AV60" s="93"/>
      <c r="AW60" s="93"/>
      <c r="AX60" s="93"/>
      <c r="AY60" s="93"/>
      <c r="AZ60" s="93"/>
      <c r="BA60" s="93"/>
      <c r="BB60" s="93"/>
      <c r="BC60" s="93"/>
      <c r="BD60" s="93"/>
      <c r="BE60" s="93"/>
      <c r="BF60" s="93"/>
      <c r="BG60" s="93"/>
      <c r="BH60" s="93"/>
      <c r="BI60" s="93"/>
      <c r="BJ60" s="93"/>
      <c r="BK60" s="93"/>
      <c r="BL60" s="93"/>
      <c r="BM60" s="93"/>
      <c r="BN60" s="93"/>
      <c r="BO60" s="93"/>
      <c r="BP60" s="93"/>
    </row>
    <row r="61" spans="2:79" s="104" customFormat="1" ht="20.149999999999999" customHeight="1" x14ac:dyDescent="0.25">
      <c r="B61" s="1" t="s">
        <v>122</v>
      </c>
      <c r="C61" s="4" t="s">
        <v>123</v>
      </c>
      <c r="E61" s="94"/>
      <c r="F61" s="94"/>
      <c r="G61" s="99"/>
      <c r="H61" s="99"/>
      <c r="I61" s="99"/>
      <c r="J61" s="99"/>
      <c r="K61" s="99"/>
      <c r="L61" s="99"/>
      <c r="M61" s="99"/>
      <c r="N61" s="99"/>
      <c r="O61" s="99"/>
      <c r="P61" s="99"/>
      <c r="Q61" s="93"/>
      <c r="R61" s="93"/>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c r="BC61" s="93"/>
      <c r="BD61" s="93"/>
      <c r="BE61" s="93"/>
      <c r="BF61" s="93"/>
      <c r="BG61" s="93"/>
      <c r="BH61" s="93"/>
      <c r="BI61" s="93"/>
      <c r="BJ61" s="93"/>
      <c r="BK61" s="93"/>
      <c r="BL61" s="93"/>
      <c r="BM61" s="93"/>
      <c r="BN61" s="93"/>
      <c r="BO61" s="93"/>
      <c r="BP61" s="93"/>
    </row>
    <row r="62" spans="2:79" s="104" customFormat="1" ht="20.149999999999999" customHeight="1" x14ac:dyDescent="0.25">
      <c r="B62" s="1"/>
      <c r="C62" s="4"/>
      <c r="E62" s="94"/>
      <c r="F62" s="94"/>
      <c r="G62" s="99"/>
      <c r="H62" s="99"/>
      <c r="I62" s="99"/>
      <c r="J62" s="99"/>
      <c r="K62" s="99"/>
      <c r="L62" s="99"/>
      <c r="M62" s="99"/>
      <c r="N62" s="99"/>
      <c r="O62" s="99"/>
      <c r="P62" s="99"/>
      <c r="Q62" s="93"/>
      <c r="R62" s="93"/>
      <c r="S62" s="93"/>
      <c r="T62" s="93"/>
      <c r="U62" s="93"/>
      <c r="V62" s="93"/>
      <c r="W62" s="93"/>
      <c r="X62" s="93"/>
      <c r="Y62" s="93"/>
      <c r="Z62" s="93"/>
      <c r="AA62" s="93"/>
      <c r="AB62" s="93"/>
      <c r="AC62" s="93"/>
      <c r="AD62" s="93"/>
      <c r="AE62" s="93"/>
      <c r="AF62" s="93"/>
      <c r="AG62" s="93"/>
      <c r="AH62" s="93"/>
      <c r="AI62" s="93"/>
      <c r="AJ62" s="93"/>
      <c r="AK62" s="93"/>
      <c r="AL62" s="93"/>
      <c r="AM62" s="93"/>
      <c r="AN62" s="93"/>
      <c r="AO62" s="93"/>
      <c r="AP62" s="93"/>
      <c r="AQ62" s="93"/>
      <c r="AR62" s="93"/>
      <c r="AS62" s="93"/>
      <c r="AT62" s="93"/>
      <c r="AU62" s="93"/>
      <c r="AV62" s="93"/>
      <c r="AW62" s="93"/>
      <c r="AX62" s="93"/>
      <c r="AY62" s="93"/>
      <c r="AZ62" s="93"/>
      <c r="BA62" s="93"/>
      <c r="BB62" s="93"/>
      <c r="BC62" s="93"/>
      <c r="BD62" s="93"/>
      <c r="BE62" s="93"/>
      <c r="BF62" s="93"/>
      <c r="BG62" s="93"/>
      <c r="BH62" s="93"/>
      <c r="BI62" s="93"/>
      <c r="BJ62" s="93"/>
      <c r="BK62" s="93"/>
      <c r="BL62" s="93"/>
      <c r="BM62" s="93"/>
      <c r="BN62" s="93"/>
      <c r="BO62" s="93"/>
      <c r="BP62" s="93"/>
    </row>
    <row r="63" spans="2:79" s="104" customFormat="1" ht="20.149999999999999" customHeight="1" x14ac:dyDescent="0.25">
      <c r="B63" s="1"/>
      <c r="C63" s="4"/>
      <c r="E63" s="94"/>
      <c r="F63" s="94"/>
      <c r="G63" s="99"/>
      <c r="H63" s="99"/>
      <c r="I63" s="99"/>
      <c r="J63" s="99"/>
      <c r="K63" s="99"/>
      <c r="L63" s="99"/>
      <c r="M63" s="99"/>
      <c r="N63" s="99"/>
      <c r="O63" s="99"/>
      <c r="P63" s="99"/>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3"/>
      <c r="BG63" s="93"/>
      <c r="BH63" s="93"/>
      <c r="BI63" s="93"/>
      <c r="BJ63" s="93"/>
      <c r="BK63" s="93"/>
      <c r="BL63" s="93"/>
      <c r="BM63" s="93"/>
      <c r="BN63" s="93"/>
      <c r="BO63" s="93"/>
      <c r="BP63" s="93"/>
    </row>
    <row r="64" spans="2:79" s="104" customFormat="1" ht="20.149999999999999" customHeight="1" x14ac:dyDescent="0.25">
      <c r="B64" s="1"/>
      <c r="C64" s="4"/>
      <c r="E64" s="94"/>
      <c r="F64" s="94"/>
      <c r="G64" s="99"/>
      <c r="H64" s="99"/>
      <c r="I64" s="99"/>
      <c r="J64" s="99"/>
      <c r="K64" s="99"/>
      <c r="L64" s="99"/>
      <c r="M64" s="99"/>
      <c r="N64" s="99"/>
      <c r="O64" s="99"/>
      <c r="P64" s="99"/>
      <c r="Q64" s="93"/>
      <c r="R64" s="93"/>
      <c r="S64" s="93"/>
      <c r="T64" s="93"/>
      <c r="U64" s="93"/>
      <c r="V64" s="93"/>
      <c r="W64" s="93"/>
      <c r="X64" s="93"/>
      <c r="Y64" s="93"/>
      <c r="Z64" s="93"/>
      <c r="AA64" s="93"/>
      <c r="AB64" s="93"/>
      <c r="AC64" s="93"/>
      <c r="AD64" s="93"/>
      <c r="AE64" s="93"/>
      <c r="AF64" s="93"/>
      <c r="AG64" s="93"/>
      <c r="AH64" s="93"/>
      <c r="AI64" s="93"/>
      <c r="AJ64" s="93"/>
      <c r="AK64" s="93"/>
      <c r="AL64" s="93"/>
      <c r="AM64" s="93"/>
      <c r="AN64" s="93"/>
      <c r="AO64" s="93"/>
      <c r="AP64" s="93"/>
      <c r="AQ64" s="93"/>
      <c r="AR64" s="93"/>
      <c r="AS64" s="93"/>
      <c r="AT64" s="93"/>
      <c r="AU64" s="93"/>
      <c r="AV64" s="93"/>
      <c r="AW64" s="93"/>
      <c r="AX64" s="93"/>
      <c r="AY64" s="93"/>
      <c r="AZ64" s="93"/>
      <c r="BA64" s="93"/>
      <c r="BB64" s="93"/>
      <c r="BC64" s="93"/>
      <c r="BD64" s="93"/>
      <c r="BE64" s="93"/>
      <c r="BF64" s="93"/>
      <c r="BG64" s="93"/>
      <c r="BH64" s="93"/>
      <c r="BI64" s="93"/>
      <c r="BJ64" s="93"/>
      <c r="BK64" s="93"/>
      <c r="BL64" s="93"/>
      <c r="BM64" s="93"/>
      <c r="BN64" s="93"/>
      <c r="BO64" s="93"/>
      <c r="BP64" s="93"/>
    </row>
    <row r="65" spans="2:68" s="104" customFormat="1" ht="20.149999999999999" customHeight="1" x14ac:dyDescent="0.25">
      <c r="B65" s="1"/>
      <c r="C65" s="4"/>
      <c r="E65" s="94"/>
      <c r="F65" s="94"/>
      <c r="G65" s="99"/>
      <c r="H65" s="99"/>
      <c r="I65" s="99"/>
      <c r="J65" s="99"/>
      <c r="K65" s="99"/>
      <c r="L65" s="99"/>
      <c r="M65" s="99"/>
      <c r="N65" s="99"/>
      <c r="O65" s="99"/>
      <c r="P65" s="99"/>
      <c r="Q65" s="93"/>
      <c r="R65" s="93"/>
      <c r="S65" s="93"/>
      <c r="T65" s="93"/>
      <c r="U65" s="93"/>
      <c r="V65" s="93"/>
      <c r="W65" s="93"/>
      <c r="X65" s="93"/>
      <c r="Y65" s="93"/>
      <c r="Z65" s="93"/>
      <c r="AA65" s="93"/>
      <c r="AB65" s="93"/>
      <c r="AC65" s="93"/>
      <c r="AD65" s="93"/>
      <c r="AE65" s="93"/>
      <c r="AF65" s="93"/>
      <c r="AG65" s="93"/>
      <c r="AH65" s="93"/>
      <c r="AI65" s="93"/>
      <c r="AJ65" s="93"/>
      <c r="AK65" s="93"/>
      <c r="AL65" s="93"/>
      <c r="AM65" s="93"/>
      <c r="AN65" s="93"/>
      <c r="AO65" s="93"/>
      <c r="AP65" s="93"/>
      <c r="AQ65" s="93"/>
      <c r="AR65" s="93"/>
      <c r="AS65" s="93"/>
      <c r="AT65" s="93"/>
      <c r="AU65" s="93"/>
      <c r="AV65" s="93"/>
      <c r="AW65" s="93"/>
      <c r="AX65" s="93"/>
      <c r="AY65" s="93"/>
      <c r="AZ65" s="93"/>
      <c r="BA65" s="93"/>
      <c r="BB65" s="93"/>
      <c r="BC65" s="93"/>
      <c r="BD65" s="93"/>
      <c r="BE65" s="93"/>
      <c r="BF65" s="93"/>
      <c r="BG65" s="93"/>
      <c r="BH65" s="93"/>
      <c r="BI65" s="93"/>
      <c r="BJ65" s="93"/>
      <c r="BK65" s="93"/>
      <c r="BL65" s="93"/>
      <c r="BM65" s="93"/>
      <c r="BN65" s="93"/>
      <c r="BO65" s="93"/>
      <c r="BP65" s="93"/>
    </row>
    <row r="66" spans="2:68" x14ac:dyDescent="0.25">
      <c r="G66" s="99"/>
      <c r="H66" s="99"/>
      <c r="I66" s="99"/>
      <c r="J66" s="99"/>
      <c r="K66" s="99"/>
      <c r="L66" s="99"/>
      <c r="M66" s="99"/>
      <c r="N66" s="99"/>
      <c r="O66" s="99"/>
      <c r="P66" s="99"/>
    </row>
    <row r="67" spans="2:68" x14ac:dyDescent="0.25">
      <c r="G67" s="99"/>
      <c r="H67" s="99"/>
      <c r="I67" s="99"/>
      <c r="J67" s="99"/>
      <c r="K67" s="99"/>
      <c r="L67" s="99"/>
      <c r="M67" s="99"/>
      <c r="N67" s="99"/>
      <c r="O67" s="99"/>
      <c r="P67" s="99"/>
    </row>
    <row r="68" spans="2:68" x14ac:dyDescent="0.25">
      <c r="G68" s="99"/>
      <c r="H68" s="99"/>
      <c r="I68" s="99"/>
      <c r="J68" s="99"/>
      <c r="K68" s="99"/>
      <c r="L68" s="99"/>
      <c r="M68" s="99"/>
      <c r="N68" s="99"/>
      <c r="O68" s="99"/>
      <c r="P68" s="99"/>
    </row>
    <row r="69" spans="2:68" x14ac:dyDescent="0.25">
      <c r="G69" s="99"/>
      <c r="H69" s="99"/>
      <c r="I69" s="99"/>
      <c r="J69" s="99"/>
      <c r="K69" s="99"/>
      <c r="L69" s="99"/>
      <c r="M69" s="99"/>
      <c r="N69" s="99"/>
      <c r="O69" s="99"/>
      <c r="P69" s="99"/>
    </row>
  </sheetData>
  <phoneticPr fontId="3" type="noConversion"/>
  <conditionalFormatting sqref="E5:G5 J5">
    <cfRule type="expression" dxfId="387" priority="1">
      <formula>$E$5=$G$41</formula>
    </cfRule>
  </conditionalFormatting>
  <pageMargins left="0.70866141732283472" right="0.70866141732283472" top="0.74803149606299213" bottom="0.74803149606299213" header="0.31496062992125984" footer="0.31496062992125984"/>
  <pageSetup paperSize="9" scale="18"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DE246-7F0B-4996-90E6-BE250A163158}">
  <sheetPr>
    <pageSetUpPr fitToPage="1"/>
  </sheetPr>
  <dimension ref="B1:CB99"/>
  <sheetViews>
    <sheetView showGridLines="0" zoomScale="55" zoomScaleNormal="55" workbookViewId="0">
      <pane xSplit="5" ySplit="8" topLeftCell="AA9" activePane="bottomRight" state="frozen"/>
      <selection pane="topRight" activeCell="F1" sqref="F1"/>
      <selection pane="bottomLeft" activeCell="A9" sqref="A9"/>
      <selection pane="bottomRight" activeCell="AF1" sqref="AF1:BN1048576"/>
    </sheetView>
  </sheetViews>
  <sheetFormatPr baseColWidth="10" defaultColWidth="9.1796875" defaultRowHeight="13.5" x14ac:dyDescent="0.25"/>
  <cols>
    <col min="1" max="1" width="2.1796875" style="93" customWidth="1"/>
    <col min="2" max="2" width="30.7265625" style="93" customWidth="1"/>
    <col min="3" max="3" width="55.1796875" style="93" customWidth="1"/>
    <col min="4" max="4" width="20.81640625" style="93" customWidth="1"/>
    <col min="5" max="6" width="25.7265625" style="94" customWidth="1"/>
    <col min="7" max="7" width="32.453125" style="94" customWidth="1"/>
    <col min="8" max="8" width="14.7265625" style="93" customWidth="1"/>
    <col min="9" max="9" width="15.26953125" style="93" customWidth="1"/>
    <col min="10" max="10" width="15.7265625" style="93" customWidth="1"/>
    <col min="11" max="67" width="14.7265625" style="93" customWidth="1"/>
    <col min="68" max="68" width="11.26953125" style="93" customWidth="1"/>
    <col min="69" max="69" width="13.26953125" style="93" bestFit="1" customWidth="1"/>
    <col min="70" max="16384" width="9.1796875" style="93"/>
  </cols>
  <sheetData>
    <row r="1" spans="2:80" ht="14.5" x14ac:dyDescent="0.35">
      <c r="H1"/>
    </row>
    <row r="2" spans="2:80" ht="21" customHeight="1" x14ac:dyDescent="0.25">
      <c r="B2" s="19" t="s">
        <v>5</v>
      </c>
      <c r="C2" s="20" t="str">
        <f>'Project Infor'!C10</f>
        <v>ZEV-ATE0012-1001</v>
      </c>
      <c r="D2" s="95" t="str">
        <f>'Project Infor'!C11</f>
        <v>Lote 2: Núcleo Estructural Java</v>
      </c>
      <c r="E2" s="96"/>
      <c r="F2" s="96"/>
      <c r="G2" s="96"/>
      <c r="H2" s="96"/>
      <c r="I2" s="96"/>
      <c r="J2" s="96"/>
    </row>
    <row r="3" spans="2:80" ht="9" customHeight="1" x14ac:dyDescent="0.35">
      <c r="B3" s="64"/>
      <c r="C3" s="64"/>
      <c r="H3"/>
    </row>
    <row r="4" spans="2:80" ht="15" customHeight="1" thickBot="1" x14ac:dyDescent="0.3">
      <c r="B4" s="98"/>
      <c r="C4" s="99"/>
      <c r="D4" s="109"/>
      <c r="E4" s="99"/>
      <c r="F4" s="99"/>
      <c r="G4" s="99"/>
      <c r="H4" s="110"/>
      <c r="I4" s="110"/>
      <c r="J4" s="110"/>
      <c r="K4" s="99"/>
      <c r="L4" s="99"/>
      <c r="M4" s="99"/>
      <c r="N4" s="99"/>
      <c r="O4" s="99"/>
      <c r="P4" s="99"/>
      <c r="Q4" s="99"/>
    </row>
    <row r="5" spans="2:80" ht="20.149999999999999" customHeight="1" thickBot="1" x14ac:dyDescent="0.35">
      <c r="B5" s="74" t="s">
        <v>124</v>
      </c>
      <c r="C5" s="99"/>
      <c r="D5" s="111" t="s">
        <v>125</v>
      </c>
      <c r="E5" s="111"/>
      <c r="F5" s="278">
        <f>costerecursosbaselineactual</f>
        <v>356584.84</v>
      </c>
      <c r="G5" s="112"/>
      <c r="H5" s="275" t="s">
        <v>126</v>
      </c>
      <c r="I5" s="113"/>
      <c r="J5" s="114">
        <f>F5-SUM(F40:BO41)</f>
        <v>15651.160000000207</v>
      </c>
      <c r="K5" s="99"/>
      <c r="L5" s="275" t="s">
        <v>127</v>
      </c>
      <c r="M5" s="113"/>
      <c r="N5" s="114">
        <f>-(pedidobaselineactual-SUM(H44:BO44)-SUM(H62:BO62)-SUM(H78:BO78))</f>
        <v>-4604.000000000291</v>
      </c>
      <c r="O5" s="229"/>
      <c r="P5" s="229"/>
      <c r="Q5" s="229"/>
      <c r="S5" s="99"/>
    </row>
    <row r="6" spans="2:80" ht="12" customHeight="1" x14ac:dyDescent="0.25">
      <c r="B6" s="98"/>
      <c r="C6" s="99"/>
      <c r="D6" s="109"/>
      <c r="E6" s="109"/>
      <c r="F6" s="109"/>
      <c r="G6" s="109"/>
      <c r="H6" s="99"/>
      <c r="I6" s="99"/>
      <c r="J6" s="99"/>
      <c r="K6" s="99"/>
      <c r="L6" s="115"/>
      <c r="M6" s="99"/>
      <c r="N6" s="99"/>
      <c r="O6" s="99"/>
      <c r="P6" s="99"/>
      <c r="Q6" s="99"/>
    </row>
    <row r="7" spans="2:80" ht="20.149999999999999" customHeight="1" x14ac:dyDescent="0.25">
      <c r="B7" s="99"/>
      <c r="C7" s="99"/>
      <c r="D7" s="99"/>
      <c r="E7" s="109"/>
      <c r="F7" s="109"/>
      <c r="G7" s="109"/>
      <c r="H7" s="116" t="str">
        <f>IF(H8&gt;EOMONTH(FIN,0),"Fin",IF(H8&gt;FECHA,"Prev","Real"))</f>
        <v>Real</v>
      </c>
      <c r="I7" s="116" t="str">
        <f t="shared" ref="I7:BO7" si="0">IF(I8&gt;EOMONTH(FIN,0),"Fin",IF(I8&gt;FECHA,"Prev","Real"))</f>
        <v>Real</v>
      </c>
      <c r="J7" s="116" t="str">
        <f t="shared" si="0"/>
        <v>Real</v>
      </c>
      <c r="K7" s="116" t="str">
        <f t="shared" si="0"/>
        <v>Real</v>
      </c>
      <c r="L7" s="116" t="str">
        <f t="shared" si="0"/>
        <v>Real</v>
      </c>
      <c r="M7" s="116" t="str">
        <f t="shared" si="0"/>
        <v>Real</v>
      </c>
      <c r="N7" s="116" t="str">
        <f t="shared" si="0"/>
        <v>Prev</v>
      </c>
      <c r="O7" s="116" t="str">
        <f t="shared" si="0"/>
        <v>Prev</v>
      </c>
      <c r="P7" s="116" t="str">
        <f t="shared" si="0"/>
        <v>Prev</v>
      </c>
      <c r="Q7" s="116" t="str">
        <f t="shared" si="0"/>
        <v>Prev</v>
      </c>
      <c r="R7" s="116" t="str">
        <f t="shared" si="0"/>
        <v>Prev</v>
      </c>
      <c r="S7" s="116" t="str">
        <f t="shared" si="0"/>
        <v>Prev</v>
      </c>
      <c r="T7" s="116" t="str">
        <f t="shared" si="0"/>
        <v>Prev</v>
      </c>
      <c r="U7" s="116" t="str">
        <f t="shared" si="0"/>
        <v>Prev</v>
      </c>
      <c r="V7" s="116" t="str">
        <f t="shared" si="0"/>
        <v>Prev</v>
      </c>
      <c r="W7" s="116" t="str">
        <f t="shared" si="0"/>
        <v>Prev</v>
      </c>
      <c r="X7" s="116" t="str">
        <f t="shared" si="0"/>
        <v>Prev</v>
      </c>
      <c r="Y7" s="116" t="str">
        <f t="shared" si="0"/>
        <v>Prev</v>
      </c>
      <c r="Z7" s="116" t="str">
        <f t="shared" si="0"/>
        <v>Prev</v>
      </c>
      <c r="AA7" s="116" t="str">
        <f t="shared" si="0"/>
        <v>Prev</v>
      </c>
      <c r="AB7" s="116" t="str">
        <f t="shared" si="0"/>
        <v>Prev</v>
      </c>
      <c r="AC7" s="116" t="str">
        <f t="shared" si="0"/>
        <v>Prev</v>
      </c>
      <c r="AD7" s="116" t="str">
        <f t="shared" si="0"/>
        <v>Prev</v>
      </c>
      <c r="AE7" s="116" t="str">
        <f t="shared" si="0"/>
        <v>Prev</v>
      </c>
      <c r="AF7" s="116" t="str">
        <f t="shared" si="0"/>
        <v>Prev</v>
      </c>
      <c r="AG7" s="116" t="str">
        <f t="shared" si="0"/>
        <v>Prev</v>
      </c>
      <c r="AH7" s="116" t="str">
        <f t="shared" si="0"/>
        <v>Prev</v>
      </c>
      <c r="AI7" s="116" t="str">
        <f t="shared" si="0"/>
        <v>Prev</v>
      </c>
      <c r="AJ7" s="116" t="str">
        <f t="shared" si="0"/>
        <v>Prev</v>
      </c>
      <c r="AK7" s="116" t="str">
        <f t="shared" si="0"/>
        <v>Prev</v>
      </c>
      <c r="AL7" s="116" t="str">
        <f t="shared" si="0"/>
        <v>Prev</v>
      </c>
      <c r="AM7" s="116" t="str">
        <f t="shared" si="0"/>
        <v>Prev</v>
      </c>
      <c r="AN7" s="116" t="str">
        <f t="shared" si="0"/>
        <v>Prev</v>
      </c>
      <c r="AO7" s="116" t="str">
        <f t="shared" si="0"/>
        <v>Prev</v>
      </c>
      <c r="AP7" s="116" t="str">
        <f t="shared" si="0"/>
        <v>Prev</v>
      </c>
      <c r="AQ7" s="116" t="str">
        <f t="shared" si="0"/>
        <v>Prev</v>
      </c>
      <c r="AR7" s="116" t="str">
        <f t="shared" si="0"/>
        <v>Prev</v>
      </c>
      <c r="AS7" s="116" t="str">
        <f t="shared" si="0"/>
        <v>Prev</v>
      </c>
      <c r="AT7" s="116" t="str">
        <f t="shared" si="0"/>
        <v>Prev</v>
      </c>
      <c r="AU7" s="116" t="str">
        <f t="shared" si="0"/>
        <v>Prev</v>
      </c>
      <c r="AV7" s="116" t="str">
        <f t="shared" si="0"/>
        <v>Prev</v>
      </c>
      <c r="AW7" s="116" t="str">
        <f t="shared" si="0"/>
        <v>Prev</v>
      </c>
      <c r="AX7" s="116" t="str">
        <f t="shared" si="0"/>
        <v>Prev</v>
      </c>
      <c r="AY7" s="116" t="str">
        <f t="shared" si="0"/>
        <v>Prev</v>
      </c>
      <c r="AZ7" s="116" t="str">
        <f t="shared" si="0"/>
        <v>Prev</v>
      </c>
      <c r="BA7" s="116" t="str">
        <f t="shared" si="0"/>
        <v>Prev</v>
      </c>
      <c r="BB7" s="116" t="str">
        <f t="shared" si="0"/>
        <v>Prev</v>
      </c>
      <c r="BC7" s="116" t="str">
        <f t="shared" si="0"/>
        <v>Prev</v>
      </c>
      <c r="BD7" s="116" t="str">
        <f t="shared" si="0"/>
        <v>Fin</v>
      </c>
      <c r="BE7" s="116" t="str">
        <f t="shared" si="0"/>
        <v>Fin</v>
      </c>
      <c r="BF7" s="116" t="str">
        <f t="shared" si="0"/>
        <v>Fin</v>
      </c>
      <c r="BG7" s="116" t="str">
        <f t="shared" si="0"/>
        <v>Fin</v>
      </c>
      <c r="BH7" s="116" t="str">
        <f t="shared" si="0"/>
        <v>Fin</v>
      </c>
      <c r="BI7" s="116" t="str">
        <f t="shared" si="0"/>
        <v>Fin</v>
      </c>
      <c r="BJ7" s="116" t="str">
        <f t="shared" si="0"/>
        <v>Fin</v>
      </c>
      <c r="BK7" s="116" t="str">
        <f t="shared" si="0"/>
        <v>Fin</v>
      </c>
      <c r="BL7" s="116" t="str">
        <f t="shared" si="0"/>
        <v>Fin</v>
      </c>
      <c r="BM7" s="116" t="str">
        <f t="shared" si="0"/>
        <v>Fin</v>
      </c>
      <c r="BN7" s="116" t="str">
        <f t="shared" si="0"/>
        <v>Fin</v>
      </c>
      <c r="BO7" s="116" t="str">
        <f t="shared" si="0"/>
        <v>Fin</v>
      </c>
    </row>
    <row r="8" spans="2:80" s="103" customFormat="1" ht="35.15" customHeight="1" x14ac:dyDescent="0.25">
      <c r="B8" s="291" t="s">
        <v>14</v>
      </c>
      <c r="C8" s="101" t="s">
        <v>88</v>
      </c>
      <c r="D8" s="101" t="s">
        <v>89</v>
      </c>
      <c r="E8" s="101" t="s">
        <v>90</v>
      </c>
      <c r="F8" s="101" t="s">
        <v>128</v>
      </c>
      <c r="G8" s="101"/>
      <c r="H8" s="102">
        <v>46023</v>
      </c>
      <c r="I8" s="102">
        <v>46054</v>
      </c>
      <c r="J8" s="102">
        <v>46082</v>
      </c>
      <c r="K8" s="102">
        <v>46113</v>
      </c>
      <c r="L8" s="102">
        <v>46143</v>
      </c>
      <c r="M8" s="102">
        <v>46174</v>
      </c>
      <c r="N8" s="102">
        <v>46204</v>
      </c>
      <c r="O8" s="102">
        <v>46235</v>
      </c>
      <c r="P8" s="102">
        <v>46266</v>
      </c>
      <c r="Q8" s="102">
        <v>46296</v>
      </c>
      <c r="R8" s="102">
        <v>46327</v>
      </c>
      <c r="S8" s="102">
        <v>46357</v>
      </c>
      <c r="T8" s="102">
        <v>46388</v>
      </c>
      <c r="U8" s="102">
        <v>46419</v>
      </c>
      <c r="V8" s="102">
        <v>46447</v>
      </c>
      <c r="W8" s="102">
        <v>46478</v>
      </c>
      <c r="X8" s="102">
        <v>46508</v>
      </c>
      <c r="Y8" s="102">
        <v>46539</v>
      </c>
      <c r="Z8" s="102">
        <v>46569</v>
      </c>
      <c r="AA8" s="102">
        <v>46600</v>
      </c>
      <c r="AB8" s="102">
        <v>46631</v>
      </c>
      <c r="AC8" s="102">
        <v>46661</v>
      </c>
      <c r="AD8" s="102">
        <v>46692</v>
      </c>
      <c r="AE8" s="102">
        <v>46722</v>
      </c>
      <c r="AF8" s="102">
        <v>46753</v>
      </c>
      <c r="AG8" s="102">
        <v>46784</v>
      </c>
      <c r="AH8" s="102">
        <v>46813</v>
      </c>
      <c r="AI8" s="102">
        <v>46844</v>
      </c>
      <c r="AJ8" s="102">
        <v>46874</v>
      </c>
      <c r="AK8" s="102">
        <v>46905</v>
      </c>
      <c r="AL8" s="102">
        <v>46935</v>
      </c>
      <c r="AM8" s="102">
        <v>46966</v>
      </c>
      <c r="AN8" s="102">
        <v>46997</v>
      </c>
      <c r="AO8" s="102">
        <v>47027</v>
      </c>
      <c r="AP8" s="102">
        <v>47058</v>
      </c>
      <c r="AQ8" s="102">
        <v>47088</v>
      </c>
      <c r="AR8" s="102">
        <v>47119</v>
      </c>
      <c r="AS8" s="102">
        <v>47150</v>
      </c>
      <c r="AT8" s="102">
        <v>47178</v>
      </c>
      <c r="AU8" s="102">
        <v>47209</v>
      </c>
      <c r="AV8" s="102">
        <v>47239</v>
      </c>
      <c r="AW8" s="102">
        <v>47270</v>
      </c>
      <c r="AX8" s="102">
        <v>47300</v>
      </c>
      <c r="AY8" s="102">
        <v>47331</v>
      </c>
      <c r="AZ8" s="102">
        <v>47362</v>
      </c>
      <c r="BA8" s="102">
        <v>47392</v>
      </c>
      <c r="BB8" s="102">
        <v>47423</v>
      </c>
      <c r="BC8" s="102">
        <v>47453</v>
      </c>
      <c r="BD8" s="102">
        <f t="shared" ref="BD8" si="1">EOMONTH(BC8,1)</f>
        <v>47514</v>
      </c>
      <c r="BE8" s="102">
        <f t="shared" ref="BE8" si="2">EOMONTH(BD8,1)</f>
        <v>47542</v>
      </c>
      <c r="BF8" s="102">
        <f t="shared" ref="BF8" si="3">EOMONTH(BE8,1)</f>
        <v>47573</v>
      </c>
      <c r="BG8" s="102">
        <f t="shared" ref="BG8" si="4">EOMONTH(BF8,1)</f>
        <v>47603</v>
      </c>
      <c r="BH8" s="102">
        <f t="shared" ref="BH8" si="5">EOMONTH(BG8,1)</f>
        <v>47634</v>
      </c>
      <c r="BI8" s="102">
        <f t="shared" ref="BI8" si="6">EOMONTH(BH8,1)</f>
        <v>47664</v>
      </c>
      <c r="BJ8" s="102">
        <f t="shared" ref="BJ8" si="7">EOMONTH(BI8,1)</f>
        <v>47695</v>
      </c>
      <c r="BK8" s="102">
        <f t="shared" ref="BK8" si="8">EOMONTH(BJ8,1)</f>
        <v>47726</v>
      </c>
      <c r="BL8" s="102">
        <f t="shared" ref="BL8" si="9">EOMONTH(BK8,1)</f>
        <v>47756</v>
      </c>
      <c r="BM8" s="102">
        <f t="shared" ref="BM8" si="10">EOMONTH(BL8,1)</f>
        <v>47787</v>
      </c>
      <c r="BN8" s="102">
        <f t="shared" ref="BN8" si="11">EOMONTH(BM8,1)</f>
        <v>47817</v>
      </c>
      <c r="BO8" s="102">
        <f t="shared" ref="BO8" si="12">EOMONTH(BN8,1)</f>
        <v>47848</v>
      </c>
      <c r="BP8" s="93"/>
      <c r="BQ8" s="93"/>
      <c r="BR8" s="93"/>
      <c r="BS8" s="93"/>
      <c r="BT8" s="93"/>
      <c r="BU8" s="93"/>
      <c r="BV8" s="93"/>
      <c r="BW8" s="93"/>
      <c r="BX8" s="93"/>
      <c r="BY8" s="93"/>
      <c r="BZ8" s="93"/>
      <c r="CA8" s="93"/>
      <c r="CB8" s="93"/>
    </row>
    <row r="9" spans="2:80" ht="20.149999999999999" customHeight="1" x14ac:dyDescent="0.25">
      <c r="B9" s="117" t="s">
        <v>129</v>
      </c>
      <c r="C9" s="118"/>
      <c r="D9" s="119"/>
      <c r="E9" s="119"/>
      <c r="F9" s="180">
        <f>'Project Infor'!C46</f>
        <v>0</v>
      </c>
      <c r="G9" s="180"/>
      <c r="H9" s="120">
        <f>SUMIF($G$10:$G$39,"Horas Reales",H$10:H$39)</f>
        <v>297</v>
      </c>
      <c r="I9" s="120">
        <f t="shared" ref="I9:AD9" si="13">SUMIF($G$10:$G$39,"Horas Reales",I$10:I$39)</f>
        <v>297</v>
      </c>
      <c r="J9" s="120">
        <f t="shared" si="13"/>
        <v>297</v>
      </c>
      <c r="K9" s="120">
        <f t="shared" si="13"/>
        <v>297</v>
      </c>
      <c r="L9" s="120">
        <f t="shared" si="13"/>
        <v>297</v>
      </c>
      <c r="M9" s="120">
        <f t="shared" si="13"/>
        <v>297</v>
      </c>
      <c r="N9" s="120">
        <f t="shared" si="13"/>
        <v>297</v>
      </c>
      <c r="O9" s="120">
        <f t="shared" si="13"/>
        <v>297</v>
      </c>
      <c r="P9" s="120">
        <f t="shared" si="13"/>
        <v>297</v>
      </c>
      <c r="Q9" s="120">
        <f t="shared" si="13"/>
        <v>297</v>
      </c>
      <c r="R9" s="120">
        <f t="shared" si="13"/>
        <v>297</v>
      </c>
      <c r="S9" s="120">
        <f>SUMIF($G$10:$G$39,"Horas Reales",S$10:S$39)</f>
        <v>297</v>
      </c>
      <c r="T9" s="120">
        <f t="shared" si="13"/>
        <v>297</v>
      </c>
      <c r="U9" s="120">
        <f t="shared" si="13"/>
        <v>297</v>
      </c>
      <c r="V9" s="120">
        <f t="shared" si="13"/>
        <v>297</v>
      </c>
      <c r="W9" s="120">
        <f t="shared" si="13"/>
        <v>297</v>
      </c>
      <c r="X9" s="120">
        <f t="shared" si="13"/>
        <v>297</v>
      </c>
      <c r="Y9" s="120">
        <f t="shared" si="13"/>
        <v>297</v>
      </c>
      <c r="Z9" s="120">
        <f t="shared" si="13"/>
        <v>297</v>
      </c>
      <c r="AA9" s="120">
        <f t="shared" si="13"/>
        <v>297</v>
      </c>
      <c r="AB9" s="120">
        <f t="shared" si="13"/>
        <v>297</v>
      </c>
      <c r="AC9" s="120">
        <f t="shared" si="13"/>
        <v>297</v>
      </c>
      <c r="AD9" s="120">
        <f t="shared" si="13"/>
        <v>297</v>
      </c>
      <c r="AE9" s="120">
        <f>SUMIF($G$10:$G$39,"Horas Reales",AE$10:AE$39)</f>
        <v>297</v>
      </c>
      <c r="AF9" s="120">
        <f t="shared" ref="AF9:BO9" si="14">SUMIF($G$10:$G$39,"Horas Reales",AF$10:AF$39)</f>
        <v>297</v>
      </c>
      <c r="AG9" s="120">
        <f t="shared" si="14"/>
        <v>297</v>
      </c>
      <c r="AH9" s="120">
        <f t="shared" si="14"/>
        <v>297</v>
      </c>
      <c r="AI9" s="120">
        <f t="shared" si="14"/>
        <v>297</v>
      </c>
      <c r="AJ9" s="120">
        <f t="shared" si="14"/>
        <v>297</v>
      </c>
      <c r="AK9" s="120">
        <f t="shared" si="14"/>
        <v>297</v>
      </c>
      <c r="AL9" s="120">
        <f t="shared" si="14"/>
        <v>297</v>
      </c>
      <c r="AM9" s="120">
        <f t="shared" si="14"/>
        <v>297</v>
      </c>
      <c r="AN9" s="120">
        <f t="shared" si="14"/>
        <v>297</v>
      </c>
      <c r="AO9" s="120">
        <f t="shared" si="14"/>
        <v>297</v>
      </c>
      <c r="AP9" s="120">
        <f t="shared" si="14"/>
        <v>297</v>
      </c>
      <c r="AQ9" s="120">
        <f t="shared" si="14"/>
        <v>297</v>
      </c>
      <c r="AR9" s="120">
        <f t="shared" si="14"/>
        <v>297</v>
      </c>
      <c r="AS9" s="120">
        <f t="shared" si="14"/>
        <v>297</v>
      </c>
      <c r="AT9" s="120">
        <f t="shared" si="14"/>
        <v>297</v>
      </c>
      <c r="AU9" s="120">
        <f t="shared" si="14"/>
        <v>297</v>
      </c>
      <c r="AV9" s="120">
        <f t="shared" si="14"/>
        <v>297</v>
      </c>
      <c r="AW9" s="120">
        <f t="shared" si="14"/>
        <v>297</v>
      </c>
      <c r="AX9" s="120">
        <f t="shared" si="14"/>
        <v>297</v>
      </c>
      <c r="AY9" s="120">
        <f t="shared" si="14"/>
        <v>297</v>
      </c>
      <c r="AZ9" s="120">
        <f t="shared" si="14"/>
        <v>297</v>
      </c>
      <c r="BA9" s="120">
        <f t="shared" si="14"/>
        <v>297</v>
      </c>
      <c r="BB9" s="120">
        <f t="shared" si="14"/>
        <v>297</v>
      </c>
      <c r="BC9" s="120">
        <f t="shared" si="14"/>
        <v>297</v>
      </c>
      <c r="BD9" s="120">
        <f t="shared" si="14"/>
        <v>0</v>
      </c>
      <c r="BE9" s="120">
        <f t="shared" si="14"/>
        <v>0</v>
      </c>
      <c r="BF9" s="120">
        <f t="shared" si="14"/>
        <v>0</v>
      </c>
      <c r="BG9" s="120">
        <f t="shared" si="14"/>
        <v>0</v>
      </c>
      <c r="BH9" s="120">
        <f t="shared" si="14"/>
        <v>0</v>
      </c>
      <c r="BI9" s="120">
        <f t="shared" si="14"/>
        <v>0</v>
      </c>
      <c r="BJ9" s="120">
        <f t="shared" si="14"/>
        <v>0</v>
      </c>
      <c r="BK9" s="120">
        <f t="shared" si="14"/>
        <v>0</v>
      </c>
      <c r="BL9" s="120">
        <f t="shared" si="14"/>
        <v>0</v>
      </c>
      <c r="BM9" s="120">
        <f t="shared" si="14"/>
        <v>0</v>
      </c>
      <c r="BN9" s="120">
        <f t="shared" si="14"/>
        <v>0</v>
      </c>
      <c r="BO9" s="120">
        <f t="shared" si="14"/>
        <v>0</v>
      </c>
    </row>
    <row r="10" spans="2:80" s="104" customFormat="1" ht="19.5" customHeight="1" x14ac:dyDescent="0.35">
      <c r="B10" t="s">
        <v>294</v>
      </c>
      <c r="C10" t="s">
        <v>101</v>
      </c>
      <c r="D10" t="s">
        <v>156</v>
      </c>
      <c r="E10" t="s">
        <v>295</v>
      </c>
      <c r="F10"/>
      <c r="G10" s="285" t="s">
        <v>130</v>
      </c>
      <c r="H10">
        <v>145.16666666666666</v>
      </c>
      <c r="I10">
        <v>145.16666666666666</v>
      </c>
      <c r="J10">
        <v>145.16666666666666</v>
      </c>
      <c r="K10">
        <v>145.16666666666666</v>
      </c>
      <c r="L10">
        <v>145.16666666666666</v>
      </c>
      <c r="M10">
        <v>145.16666666666666</v>
      </c>
      <c r="N10">
        <v>145.16666666666666</v>
      </c>
      <c r="O10">
        <v>145.16666666666666</v>
      </c>
      <c r="P10">
        <v>145.16666666666666</v>
      </c>
      <c r="Q10">
        <v>145.16666666666666</v>
      </c>
      <c r="R10">
        <v>145.16666666666666</v>
      </c>
      <c r="S10">
        <v>145.16666666666666</v>
      </c>
      <c r="T10">
        <v>145.16666666666666</v>
      </c>
      <c r="U10">
        <v>145.16666666666666</v>
      </c>
      <c r="V10">
        <v>145.16666666666666</v>
      </c>
      <c r="W10">
        <v>145.16666666666666</v>
      </c>
      <c r="X10">
        <v>145.16666666666666</v>
      </c>
      <c r="Y10">
        <v>145.16666666666666</v>
      </c>
      <c r="Z10">
        <v>145.16666666666666</v>
      </c>
      <c r="AA10">
        <v>145.16666666666666</v>
      </c>
      <c r="AB10">
        <v>145.16666666666666</v>
      </c>
      <c r="AC10">
        <v>145.16666666666666</v>
      </c>
      <c r="AD10">
        <v>145.16666666666666</v>
      </c>
      <c r="AE10">
        <v>145.16666666666666</v>
      </c>
      <c r="AF10">
        <v>145.16666666666666</v>
      </c>
      <c r="AG10">
        <v>145.16666666666666</v>
      </c>
      <c r="AH10">
        <v>145.16666666666666</v>
      </c>
      <c r="AI10">
        <v>145.16666666666666</v>
      </c>
      <c r="AJ10">
        <v>145.16666666666666</v>
      </c>
      <c r="AK10">
        <v>145.16666666666666</v>
      </c>
      <c r="AL10">
        <v>145.16666666666666</v>
      </c>
      <c r="AM10">
        <v>145.16666666666666</v>
      </c>
      <c r="AN10">
        <v>145.16666666666666</v>
      </c>
      <c r="AO10">
        <v>145.16666666666666</v>
      </c>
      <c r="AP10">
        <v>145.16666666666666</v>
      </c>
      <c r="AQ10">
        <v>145.16666666666666</v>
      </c>
      <c r="AR10">
        <v>145.16666666666666</v>
      </c>
      <c r="AS10">
        <v>145.16666666666666</v>
      </c>
      <c r="AT10">
        <v>145.16666666666666</v>
      </c>
      <c r="AU10">
        <v>145.16666666666666</v>
      </c>
      <c r="AV10">
        <v>145.16666666666666</v>
      </c>
      <c r="AW10">
        <v>145.16666666666666</v>
      </c>
      <c r="AX10">
        <v>145.16666666666666</v>
      </c>
      <c r="AY10">
        <v>145.16666666666666</v>
      </c>
      <c r="AZ10">
        <v>145.16666666666666</v>
      </c>
      <c r="BA10">
        <v>145.16666666666666</v>
      </c>
      <c r="BB10">
        <v>145.16666666666666</v>
      </c>
      <c r="BC10">
        <v>145.16666666666666</v>
      </c>
      <c r="BD10" s="268"/>
      <c r="BE10" s="268"/>
      <c r="BF10" s="268"/>
      <c r="BG10" s="268"/>
      <c r="BH10" s="268"/>
      <c r="BI10" s="268"/>
      <c r="BJ10" s="268"/>
      <c r="BK10" s="268"/>
      <c r="BL10" s="268"/>
      <c r="BM10" s="268"/>
      <c r="BN10" s="268"/>
      <c r="BO10" s="268"/>
      <c r="BQ10" s="93"/>
      <c r="BR10" s="93"/>
      <c r="BS10" s="93"/>
      <c r="BT10" s="93"/>
      <c r="BU10" s="93"/>
      <c r="BV10" s="93"/>
      <c r="BW10" s="93"/>
      <c r="BX10" s="93"/>
      <c r="BY10" s="93"/>
      <c r="BZ10" s="93"/>
      <c r="CA10" s="93"/>
      <c r="CB10" s="93"/>
    </row>
    <row r="11" spans="2:80" s="104" customFormat="1" ht="20.149999999999999" customHeight="1" x14ac:dyDescent="0.35">
      <c r="B11" t="s">
        <v>294</v>
      </c>
      <c r="C11" t="s">
        <v>101</v>
      </c>
      <c r="D11" t="s">
        <v>156</v>
      </c>
      <c r="E11" t="s">
        <v>295</v>
      </c>
      <c r="F11"/>
      <c r="G11" s="286" t="s">
        <v>131</v>
      </c>
      <c r="H11">
        <v>145.16666666666666</v>
      </c>
      <c r="I11">
        <v>145.16666666666666</v>
      </c>
      <c r="J11">
        <v>145.16666666666666</v>
      </c>
      <c r="K11">
        <v>145.16666666666666</v>
      </c>
      <c r="L11">
        <v>145.16666666666666</v>
      </c>
      <c r="M11">
        <v>145.16666666666666</v>
      </c>
      <c r="N11">
        <v>145.16666666666666</v>
      </c>
      <c r="O11">
        <v>145.16666666666666</v>
      </c>
      <c r="P11">
        <v>145.16666666666666</v>
      </c>
      <c r="Q11">
        <v>145.16666666666666</v>
      </c>
      <c r="R11">
        <v>145.16666666666666</v>
      </c>
      <c r="S11">
        <v>145.16666666666666</v>
      </c>
      <c r="T11">
        <v>145.16666666666666</v>
      </c>
      <c r="U11">
        <v>145.16666666666666</v>
      </c>
      <c r="V11">
        <v>145.16666666666666</v>
      </c>
      <c r="W11">
        <v>145.16666666666666</v>
      </c>
      <c r="X11">
        <v>145.16666666666666</v>
      </c>
      <c r="Y11">
        <v>145.16666666666666</v>
      </c>
      <c r="Z11">
        <v>145.16666666666666</v>
      </c>
      <c r="AA11">
        <v>145.16666666666666</v>
      </c>
      <c r="AB11">
        <v>145.16666666666666</v>
      </c>
      <c r="AC11">
        <v>145.16666666666666</v>
      </c>
      <c r="AD11">
        <v>145.16666666666666</v>
      </c>
      <c r="AE11">
        <v>145.16666666666666</v>
      </c>
      <c r="AF11">
        <v>145.16666666666666</v>
      </c>
      <c r="AG11">
        <v>145.16666666666666</v>
      </c>
      <c r="AH11">
        <v>145.16666666666666</v>
      </c>
      <c r="AI11">
        <v>145.16666666666666</v>
      </c>
      <c r="AJ11">
        <v>145.16666666666666</v>
      </c>
      <c r="AK11">
        <v>145.16666666666666</v>
      </c>
      <c r="AL11">
        <v>145.16666666666666</v>
      </c>
      <c r="AM11">
        <v>145.16666666666666</v>
      </c>
      <c r="AN11">
        <v>145.16666666666666</v>
      </c>
      <c r="AO11">
        <v>145.16666666666666</v>
      </c>
      <c r="AP11">
        <v>145.16666666666666</v>
      </c>
      <c r="AQ11">
        <v>145.16666666666666</v>
      </c>
      <c r="AR11">
        <v>145.16666666666666</v>
      </c>
      <c r="AS11">
        <v>145.16666666666666</v>
      </c>
      <c r="AT11">
        <v>145.16666666666666</v>
      </c>
      <c r="AU11">
        <v>145.16666666666666</v>
      </c>
      <c r="AV11">
        <v>145.16666666666666</v>
      </c>
      <c r="AW11">
        <v>145.16666666666666</v>
      </c>
      <c r="AX11">
        <v>145.16666666666666</v>
      </c>
      <c r="AY11">
        <v>145.16666666666666</v>
      </c>
      <c r="AZ11">
        <v>145.16666666666666</v>
      </c>
      <c r="BA11">
        <v>145.16666666666666</v>
      </c>
      <c r="BB11">
        <v>145.16666666666666</v>
      </c>
      <c r="BC11">
        <v>145.16666666666666</v>
      </c>
      <c r="BD11" s="266"/>
      <c r="BE11" s="266"/>
      <c r="BF11" s="266"/>
      <c r="BG11" s="266"/>
      <c r="BH11" s="266"/>
      <c r="BI11" s="266"/>
      <c r="BJ11" s="266"/>
      <c r="BK11" s="266"/>
      <c r="BL11" s="266"/>
      <c r="BM11" s="266"/>
      <c r="BN11" s="266"/>
      <c r="BO11" s="266"/>
      <c r="BQ11" s="93"/>
      <c r="BR11" s="93"/>
      <c r="BS11" s="93"/>
      <c r="BT11" s="93"/>
      <c r="BU11" s="93"/>
      <c r="BV11" s="93"/>
      <c r="BW11" s="93"/>
      <c r="BX11" s="93"/>
      <c r="BY11" s="93"/>
      <c r="BZ11" s="93"/>
      <c r="CA11" s="93"/>
      <c r="CB11" s="93"/>
    </row>
    <row r="12" spans="2:80" s="104" customFormat="1" ht="20.149999999999999" customHeight="1" x14ac:dyDescent="0.35">
      <c r="B12" t="s">
        <v>296</v>
      </c>
      <c r="C12" t="s">
        <v>103</v>
      </c>
      <c r="D12" t="s">
        <v>156</v>
      </c>
      <c r="E12" t="s">
        <v>297</v>
      </c>
      <c r="F12"/>
      <c r="G12" s="285" t="s">
        <v>130</v>
      </c>
      <c r="H12">
        <v>145.16666666666666</v>
      </c>
      <c r="I12">
        <v>145.16666666666666</v>
      </c>
      <c r="J12">
        <v>145.16666666666666</v>
      </c>
      <c r="K12">
        <v>145.16666666666666</v>
      </c>
      <c r="L12">
        <v>145.16666666666666</v>
      </c>
      <c r="M12">
        <v>145.16666666666666</v>
      </c>
      <c r="N12">
        <v>145.16666666666666</v>
      </c>
      <c r="O12">
        <v>145.16666666666666</v>
      </c>
      <c r="P12">
        <v>145.16666666666666</v>
      </c>
      <c r="Q12">
        <v>145.16666666666666</v>
      </c>
      <c r="R12">
        <v>145.16666666666666</v>
      </c>
      <c r="S12">
        <v>145.16666666666666</v>
      </c>
      <c r="T12">
        <v>145.16666666666666</v>
      </c>
      <c r="U12">
        <v>145.16666666666666</v>
      </c>
      <c r="V12">
        <v>145.16666666666666</v>
      </c>
      <c r="W12">
        <v>145.16666666666666</v>
      </c>
      <c r="X12">
        <v>145.16666666666666</v>
      </c>
      <c r="Y12">
        <v>145.16666666666666</v>
      </c>
      <c r="Z12">
        <v>145.16666666666666</v>
      </c>
      <c r="AA12">
        <v>145.16666666666666</v>
      </c>
      <c r="AB12">
        <v>145.16666666666666</v>
      </c>
      <c r="AC12">
        <v>145.16666666666666</v>
      </c>
      <c r="AD12">
        <v>145.16666666666666</v>
      </c>
      <c r="AE12">
        <v>145.16666666666666</v>
      </c>
      <c r="AF12">
        <v>145.16666666666666</v>
      </c>
      <c r="AG12">
        <v>145.16666666666666</v>
      </c>
      <c r="AH12">
        <v>145.16666666666666</v>
      </c>
      <c r="AI12">
        <v>145.16666666666666</v>
      </c>
      <c r="AJ12">
        <v>145.16666666666666</v>
      </c>
      <c r="AK12">
        <v>145.16666666666666</v>
      </c>
      <c r="AL12">
        <v>145.16666666666666</v>
      </c>
      <c r="AM12">
        <v>145.16666666666666</v>
      </c>
      <c r="AN12">
        <v>145.16666666666666</v>
      </c>
      <c r="AO12">
        <v>145.16666666666666</v>
      </c>
      <c r="AP12">
        <v>145.16666666666666</v>
      </c>
      <c r="AQ12">
        <v>145.16666666666666</v>
      </c>
      <c r="AR12">
        <v>145.16666666666666</v>
      </c>
      <c r="AS12">
        <v>145.16666666666666</v>
      </c>
      <c r="AT12">
        <v>145.16666666666666</v>
      </c>
      <c r="AU12">
        <v>145.16666666666666</v>
      </c>
      <c r="AV12">
        <v>145.16666666666666</v>
      </c>
      <c r="AW12">
        <v>145.16666666666666</v>
      </c>
      <c r="AX12">
        <v>145.16666666666666</v>
      </c>
      <c r="AY12">
        <v>145.16666666666666</v>
      </c>
      <c r="AZ12">
        <v>145.16666666666666</v>
      </c>
      <c r="BA12">
        <v>145.16666666666666</v>
      </c>
      <c r="BB12">
        <v>145.16666666666666</v>
      </c>
      <c r="BC12">
        <v>145.16666666666666</v>
      </c>
      <c r="BD12" s="269"/>
      <c r="BE12" s="269"/>
      <c r="BF12" s="269"/>
      <c r="BG12" s="269"/>
      <c r="BH12" s="269"/>
      <c r="BI12" s="269"/>
      <c r="BJ12" s="269"/>
      <c r="BK12" s="269"/>
      <c r="BL12" s="269"/>
      <c r="BM12" s="269"/>
      <c r="BN12" s="269"/>
      <c r="BO12" s="269"/>
      <c r="BQ12" s="93"/>
      <c r="BR12" s="93"/>
      <c r="BS12" s="93"/>
      <c r="BT12" s="93"/>
      <c r="BU12" s="93"/>
      <c r="BV12" s="93"/>
      <c r="BW12" s="93"/>
      <c r="BX12" s="93"/>
      <c r="BY12" s="93"/>
      <c r="BZ12" s="93"/>
      <c r="CA12" s="93"/>
      <c r="CB12" s="93"/>
    </row>
    <row r="13" spans="2:80" s="104" customFormat="1" ht="20.149999999999999" customHeight="1" x14ac:dyDescent="0.35">
      <c r="B13" t="s">
        <v>296</v>
      </c>
      <c r="C13" t="s">
        <v>103</v>
      </c>
      <c r="D13" t="s">
        <v>156</v>
      </c>
      <c r="E13" t="s">
        <v>297</v>
      </c>
      <c r="F13"/>
      <c r="G13" s="286" t="s">
        <v>131</v>
      </c>
      <c r="H13">
        <v>145.16666666666666</v>
      </c>
      <c r="I13">
        <v>145.16666666666666</v>
      </c>
      <c r="J13">
        <v>145.16666666666666</v>
      </c>
      <c r="K13">
        <v>145.16666666666666</v>
      </c>
      <c r="L13">
        <v>145.16666666666666</v>
      </c>
      <c r="M13">
        <v>145.16666666666666</v>
      </c>
      <c r="N13">
        <v>145.16666666666666</v>
      </c>
      <c r="O13">
        <v>145.16666666666666</v>
      </c>
      <c r="P13">
        <v>145.16666666666666</v>
      </c>
      <c r="Q13">
        <v>145.16666666666666</v>
      </c>
      <c r="R13">
        <v>145.16666666666666</v>
      </c>
      <c r="S13">
        <v>145.16666666666666</v>
      </c>
      <c r="T13">
        <v>145.16666666666666</v>
      </c>
      <c r="U13">
        <v>145.16666666666666</v>
      </c>
      <c r="V13">
        <v>145.16666666666666</v>
      </c>
      <c r="W13">
        <v>145.16666666666666</v>
      </c>
      <c r="X13">
        <v>145.16666666666666</v>
      </c>
      <c r="Y13">
        <v>145.16666666666666</v>
      </c>
      <c r="Z13">
        <v>145.16666666666666</v>
      </c>
      <c r="AA13">
        <v>145.16666666666666</v>
      </c>
      <c r="AB13">
        <v>145.16666666666666</v>
      </c>
      <c r="AC13">
        <v>145.16666666666666</v>
      </c>
      <c r="AD13">
        <v>145.16666666666666</v>
      </c>
      <c r="AE13">
        <v>145.16666666666666</v>
      </c>
      <c r="AF13">
        <v>145.16666666666666</v>
      </c>
      <c r="AG13">
        <v>145.16666666666666</v>
      </c>
      <c r="AH13">
        <v>145.16666666666666</v>
      </c>
      <c r="AI13">
        <v>145.16666666666666</v>
      </c>
      <c r="AJ13">
        <v>145.16666666666666</v>
      </c>
      <c r="AK13">
        <v>145.16666666666666</v>
      </c>
      <c r="AL13">
        <v>145.16666666666666</v>
      </c>
      <c r="AM13">
        <v>145.16666666666666</v>
      </c>
      <c r="AN13">
        <v>145.16666666666666</v>
      </c>
      <c r="AO13">
        <v>145.16666666666666</v>
      </c>
      <c r="AP13">
        <v>145.16666666666666</v>
      </c>
      <c r="AQ13">
        <v>145.16666666666666</v>
      </c>
      <c r="AR13">
        <v>145.16666666666666</v>
      </c>
      <c r="AS13">
        <v>145.16666666666666</v>
      </c>
      <c r="AT13">
        <v>145.16666666666666</v>
      </c>
      <c r="AU13">
        <v>145.16666666666666</v>
      </c>
      <c r="AV13">
        <v>145.16666666666666</v>
      </c>
      <c r="AW13">
        <v>145.16666666666666</v>
      </c>
      <c r="AX13">
        <v>145.16666666666666</v>
      </c>
      <c r="AY13">
        <v>145.16666666666666</v>
      </c>
      <c r="AZ13">
        <v>145.16666666666666</v>
      </c>
      <c r="BA13">
        <v>145.16666666666666</v>
      </c>
      <c r="BB13">
        <v>145.16666666666666</v>
      </c>
      <c r="BC13">
        <v>145.16666666666666</v>
      </c>
      <c r="BD13" s="266"/>
      <c r="BE13" s="266"/>
      <c r="BF13" s="266"/>
      <c r="BG13" s="266"/>
      <c r="BH13" s="266"/>
      <c r="BI13" s="266"/>
      <c r="BJ13" s="266"/>
      <c r="BK13" s="266"/>
      <c r="BL13" s="266"/>
      <c r="BM13" s="266"/>
      <c r="BN13" s="266"/>
      <c r="BO13" s="266"/>
      <c r="BQ13" s="93"/>
      <c r="BR13" s="93"/>
      <c r="BS13" s="93"/>
      <c r="BT13" s="93"/>
      <c r="BU13" s="93"/>
      <c r="BV13" s="93"/>
      <c r="BW13" s="93"/>
      <c r="BX13" s="93"/>
      <c r="BY13" s="93"/>
      <c r="BZ13" s="93"/>
      <c r="CA13" s="93"/>
      <c r="CB13" s="93"/>
    </row>
    <row r="14" spans="2:80" s="104" customFormat="1" ht="20.149999999999999" customHeight="1" x14ac:dyDescent="0.35">
      <c r="B14" t="s">
        <v>298</v>
      </c>
      <c r="C14" t="s">
        <v>101</v>
      </c>
      <c r="D14" t="s">
        <v>156</v>
      </c>
      <c r="E14" t="s">
        <v>299</v>
      </c>
      <c r="F14"/>
      <c r="G14" s="285" t="s">
        <v>130</v>
      </c>
      <c r="H14">
        <v>6.666666666666667</v>
      </c>
      <c r="I14">
        <v>6.666666666666667</v>
      </c>
      <c r="J14">
        <v>6.666666666666667</v>
      </c>
      <c r="K14">
        <v>6.666666666666667</v>
      </c>
      <c r="L14">
        <v>6.666666666666667</v>
      </c>
      <c r="M14">
        <v>6.666666666666667</v>
      </c>
      <c r="N14">
        <v>6.666666666666667</v>
      </c>
      <c r="O14">
        <v>6.666666666666667</v>
      </c>
      <c r="P14">
        <v>6.666666666666667</v>
      </c>
      <c r="Q14">
        <v>6.666666666666667</v>
      </c>
      <c r="R14">
        <v>6.666666666666667</v>
      </c>
      <c r="S14">
        <v>6.666666666666667</v>
      </c>
      <c r="T14">
        <v>6.666666666666667</v>
      </c>
      <c r="U14">
        <v>6.666666666666667</v>
      </c>
      <c r="V14">
        <v>6.666666666666667</v>
      </c>
      <c r="W14">
        <v>6.666666666666667</v>
      </c>
      <c r="X14">
        <v>6.666666666666667</v>
      </c>
      <c r="Y14">
        <v>6.666666666666667</v>
      </c>
      <c r="Z14">
        <v>6.666666666666667</v>
      </c>
      <c r="AA14">
        <v>6.666666666666667</v>
      </c>
      <c r="AB14">
        <v>6.666666666666667</v>
      </c>
      <c r="AC14">
        <v>6.666666666666667</v>
      </c>
      <c r="AD14">
        <v>6.666666666666667</v>
      </c>
      <c r="AE14">
        <v>6.666666666666667</v>
      </c>
      <c r="AF14">
        <v>6.666666666666667</v>
      </c>
      <c r="AG14">
        <v>6.666666666666667</v>
      </c>
      <c r="AH14">
        <v>6.666666666666667</v>
      </c>
      <c r="AI14">
        <v>6.666666666666667</v>
      </c>
      <c r="AJ14">
        <v>6.666666666666667</v>
      </c>
      <c r="AK14">
        <v>6.666666666666667</v>
      </c>
      <c r="AL14">
        <v>6.666666666666667</v>
      </c>
      <c r="AM14">
        <v>6.666666666666667</v>
      </c>
      <c r="AN14">
        <v>6.666666666666667</v>
      </c>
      <c r="AO14">
        <v>6.666666666666667</v>
      </c>
      <c r="AP14">
        <v>6.666666666666667</v>
      </c>
      <c r="AQ14">
        <v>6.666666666666667</v>
      </c>
      <c r="AR14">
        <v>6.666666666666667</v>
      </c>
      <c r="AS14">
        <v>6.666666666666667</v>
      </c>
      <c r="AT14">
        <v>6.666666666666667</v>
      </c>
      <c r="AU14">
        <v>6.666666666666667</v>
      </c>
      <c r="AV14">
        <v>6.666666666666667</v>
      </c>
      <c r="AW14">
        <v>6.666666666666667</v>
      </c>
      <c r="AX14">
        <v>6.666666666666667</v>
      </c>
      <c r="AY14">
        <v>6.666666666666667</v>
      </c>
      <c r="AZ14">
        <v>6.666666666666667</v>
      </c>
      <c r="BA14">
        <v>6.666666666666667</v>
      </c>
      <c r="BB14">
        <v>6.666666666666667</v>
      </c>
      <c r="BC14">
        <v>6.666666666666667</v>
      </c>
      <c r="BD14" s="269"/>
      <c r="BE14" s="269"/>
      <c r="BF14" s="269"/>
      <c r="BG14" s="269"/>
      <c r="BH14" s="269"/>
      <c r="BI14" s="269"/>
      <c r="BJ14" s="269"/>
      <c r="BK14" s="269"/>
      <c r="BL14" s="269"/>
      <c r="BM14" s="269"/>
      <c r="BN14" s="269"/>
      <c r="BO14" s="269"/>
      <c r="BQ14" s="93"/>
      <c r="BR14" s="93"/>
      <c r="BS14" s="93"/>
      <c r="BT14" s="93"/>
      <c r="BU14" s="93"/>
      <c r="BV14" s="93"/>
      <c r="BW14" s="93"/>
      <c r="BX14" s="93"/>
      <c r="BY14" s="93"/>
      <c r="BZ14" s="93"/>
      <c r="CA14" s="93"/>
      <c r="CB14" s="93"/>
    </row>
    <row r="15" spans="2:80" s="104" customFormat="1" ht="20.149999999999999" customHeight="1" x14ac:dyDescent="0.35">
      <c r="B15" t="s">
        <v>298</v>
      </c>
      <c r="C15" t="s">
        <v>101</v>
      </c>
      <c r="D15" t="s">
        <v>156</v>
      </c>
      <c r="E15" t="s">
        <v>299</v>
      </c>
      <c r="F15"/>
      <c r="G15" s="286" t="s">
        <v>131</v>
      </c>
      <c r="H15">
        <v>6.666666666666667</v>
      </c>
      <c r="I15">
        <v>6.666666666666667</v>
      </c>
      <c r="J15">
        <v>6.666666666666667</v>
      </c>
      <c r="K15">
        <v>6.666666666666667</v>
      </c>
      <c r="L15">
        <v>6.666666666666667</v>
      </c>
      <c r="M15">
        <v>6.666666666666667</v>
      </c>
      <c r="N15">
        <v>6.666666666666667</v>
      </c>
      <c r="O15">
        <v>6.666666666666667</v>
      </c>
      <c r="P15">
        <v>6.666666666666667</v>
      </c>
      <c r="Q15">
        <v>6.666666666666667</v>
      </c>
      <c r="R15">
        <v>6.666666666666667</v>
      </c>
      <c r="S15">
        <v>6.666666666666667</v>
      </c>
      <c r="T15">
        <v>6.666666666666667</v>
      </c>
      <c r="U15">
        <v>6.666666666666667</v>
      </c>
      <c r="V15">
        <v>6.666666666666667</v>
      </c>
      <c r="W15">
        <v>6.666666666666667</v>
      </c>
      <c r="X15">
        <v>6.666666666666667</v>
      </c>
      <c r="Y15">
        <v>6.666666666666667</v>
      </c>
      <c r="Z15">
        <v>6.666666666666667</v>
      </c>
      <c r="AA15">
        <v>6.666666666666667</v>
      </c>
      <c r="AB15">
        <v>6.666666666666667</v>
      </c>
      <c r="AC15">
        <v>6.666666666666667</v>
      </c>
      <c r="AD15">
        <v>6.666666666666667</v>
      </c>
      <c r="AE15">
        <v>6.666666666666667</v>
      </c>
      <c r="AF15">
        <v>6.666666666666667</v>
      </c>
      <c r="AG15">
        <v>6.666666666666667</v>
      </c>
      <c r="AH15">
        <v>6.666666666666667</v>
      </c>
      <c r="AI15">
        <v>6.666666666666667</v>
      </c>
      <c r="AJ15">
        <v>6.666666666666667</v>
      </c>
      <c r="AK15">
        <v>6.666666666666667</v>
      </c>
      <c r="AL15">
        <v>6.666666666666667</v>
      </c>
      <c r="AM15">
        <v>6.666666666666667</v>
      </c>
      <c r="AN15">
        <v>6.666666666666667</v>
      </c>
      <c r="AO15">
        <v>6.666666666666667</v>
      </c>
      <c r="AP15">
        <v>6.666666666666667</v>
      </c>
      <c r="AQ15">
        <v>6.666666666666667</v>
      </c>
      <c r="AR15">
        <v>6.666666666666667</v>
      </c>
      <c r="AS15">
        <v>6.666666666666667</v>
      </c>
      <c r="AT15">
        <v>6.666666666666667</v>
      </c>
      <c r="AU15">
        <v>6.666666666666667</v>
      </c>
      <c r="AV15">
        <v>6.666666666666667</v>
      </c>
      <c r="AW15">
        <v>6.666666666666667</v>
      </c>
      <c r="AX15">
        <v>6.666666666666667</v>
      </c>
      <c r="AY15">
        <v>6.666666666666667</v>
      </c>
      <c r="AZ15">
        <v>6.666666666666667</v>
      </c>
      <c r="BA15">
        <v>6.666666666666667</v>
      </c>
      <c r="BB15">
        <v>6.666666666666667</v>
      </c>
      <c r="BC15">
        <v>6.666666666666667</v>
      </c>
      <c r="BD15" s="266"/>
      <c r="BE15" s="266"/>
      <c r="BF15" s="266"/>
      <c r="BG15" s="266"/>
      <c r="BH15" s="266"/>
      <c r="BI15" s="266"/>
      <c r="BJ15" s="266"/>
      <c r="BK15" s="266"/>
      <c r="BL15" s="266"/>
      <c r="BM15" s="266"/>
      <c r="BN15" s="266"/>
      <c r="BO15" s="266"/>
    </row>
    <row r="16" spans="2:80" s="104" customFormat="1" ht="20.149999999999999" customHeight="1" x14ac:dyDescent="0.35">
      <c r="B16"/>
      <c r="C16"/>
      <c r="D16"/>
      <c r="E16"/>
      <c r="F16"/>
      <c r="G16" s="285" t="s">
        <v>130</v>
      </c>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s="270"/>
      <c r="BE16" s="270"/>
      <c r="BF16" s="270"/>
      <c r="BG16" s="270"/>
      <c r="BH16" s="270"/>
      <c r="BI16" s="270"/>
      <c r="BJ16" s="270"/>
      <c r="BK16" s="270"/>
      <c r="BL16" s="270"/>
      <c r="BM16" s="270"/>
      <c r="BN16" s="270"/>
      <c r="BO16" s="270"/>
    </row>
    <row r="17" spans="2:80" s="104" customFormat="1" ht="20.149999999999999" customHeight="1" x14ac:dyDescent="0.35">
      <c r="B17"/>
      <c r="C17"/>
      <c r="D17"/>
      <c r="E17"/>
      <c r="F17"/>
      <c r="G17" s="286" t="s">
        <v>131</v>
      </c>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s="266"/>
      <c r="BE17" s="266"/>
      <c r="BF17" s="266"/>
      <c r="BG17" s="266"/>
      <c r="BH17" s="266"/>
      <c r="BI17" s="266"/>
      <c r="BJ17" s="266"/>
      <c r="BK17" s="266"/>
      <c r="BL17" s="266"/>
      <c r="BM17" s="266"/>
      <c r="BN17" s="266"/>
      <c r="BO17" s="266"/>
    </row>
    <row r="18" spans="2:80" s="104" customFormat="1" ht="19.5" customHeight="1" x14ac:dyDescent="0.35">
      <c r="B18"/>
      <c r="C18"/>
      <c r="D18"/>
      <c r="E18"/>
      <c r="F18"/>
      <c r="G18" s="285" t="s">
        <v>130</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s="270"/>
      <c r="BE18" s="270"/>
      <c r="BF18" s="270"/>
      <c r="BG18" s="270"/>
      <c r="BH18" s="270"/>
      <c r="BI18" s="270"/>
      <c r="BJ18" s="270"/>
      <c r="BK18" s="270"/>
      <c r="BL18" s="270"/>
      <c r="BM18" s="270"/>
      <c r="BN18" s="270"/>
      <c r="BO18" s="270"/>
    </row>
    <row r="19" spans="2:80" s="104" customFormat="1" ht="20.149999999999999" customHeight="1" x14ac:dyDescent="0.35">
      <c r="B19"/>
      <c r="C19"/>
      <c r="D19"/>
      <c r="E19"/>
      <c r="F19"/>
      <c r="G19" s="286" t="s">
        <v>131</v>
      </c>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s="266"/>
      <c r="BE19" s="266"/>
      <c r="BF19" s="266"/>
      <c r="BG19" s="266"/>
      <c r="BH19" s="266"/>
      <c r="BI19" s="266"/>
      <c r="BJ19" s="266"/>
      <c r="BK19" s="266"/>
      <c r="BL19" s="266"/>
      <c r="BM19" s="266"/>
      <c r="BN19" s="266"/>
      <c r="BO19" s="266"/>
    </row>
    <row r="20" spans="2:80" s="104" customFormat="1" ht="19.5" customHeight="1" x14ac:dyDescent="0.35">
      <c r="B20"/>
      <c r="C20"/>
      <c r="D20"/>
      <c r="E20"/>
      <c r="F20"/>
      <c r="G20" s="285" t="s">
        <v>130</v>
      </c>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s="270"/>
      <c r="BE20" s="270"/>
      <c r="BF20" s="270"/>
      <c r="BG20" s="270"/>
      <c r="BH20" s="270"/>
      <c r="BI20" s="270"/>
      <c r="BJ20" s="270"/>
      <c r="BK20" s="270"/>
      <c r="BL20" s="270"/>
      <c r="BM20" s="270"/>
      <c r="BN20" s="270"/>
      <c r="BO20" s="270"/>
      <c r="BQ20" s="93"/>
      <c r="BR20" s="93"/>
      <c r="BS20" s="93"/>
      <c r="BT20" s="93"/>
      <c r="BU20" s="93"/>
      <c r="BV20" s="93"/>
      <c r="BW20" s="93"/>
      <c r="BX20" s="93"/>
      <c r="BY20" s="93"/>
      <c r="BZ20" s="93"/>
      <c r="CA20" s="93"/>
      <c r="CB20" s="93"/>
    </row>
    <row r="21" spans="2:80" s="104" customFormat="1" ht="20.149999999999999" customHeight="1" x14ac:dyDescent="0.35">
      <c r="B21"/>
      <c r="C21"/>
      <c r="D21"/>
      <c r="E21"/>
      <c r="F21"/>
      <c r="G21" s="286" t="s">
        <v>131</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s="266"/>
      <c r="BE21" s="266"/>
      <c r="BF21" s="266"/>
      <c r="BG21" s="266"/>
      <c r="BH21" s="266"/>
      <c r="BI21" s="266"/>
      <c r="BJ21" s="266"/>
      <c r="BK21" s="266"/>
      <c r="BL21" s="266"/>
      <c r="BM21" s="266"/>
      <c r="BN21" s="266"/>
      <c r="BO21" s="266"/>
      <c r="BQ21" s="93"/>
      <c r="BR21" s="93"/>
      <c r="BS21" s="93"/>
      <c r="BT21" s="93"/>
      <c r="BU21" s="93"/>
      <c r="BV21" s="93"/>
      <c r="BW21" s="93"/>
      <c r="BX21" s="93"/>
      <c r="BY21" s="93"/>
      <c r="BZ21" s="93"/>
      <c r="CA21" s="93"/>
      <c r="CB21" s="93"/>
    </row>
    <row r="22" spans="2:80" s="104" customFormat="1" ht="20.149999999999999" customHeight="1" x14ac:dyDescent="0.35">
      <c r="B22"/>
      <c r="C22"/>
      <c r="D22"/>
      <c r="E22"/>
      <c r="F22"/>
      <c r="G22" s="285" t="s">
        <v>130</v>
      </c>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s="270"/>
      <c r="BE22" s="270"/>
      <c r="BF22" s="270"/>
      <c r="BG22" s="270"/>
      <c r="BH22" s="270"/>
      <c r="BI22" s="270"/>
      <c r="BJ22" s="270"/>
      <c r="BK22" s="270"/>
      <c r="BL22" s="270"/>
      <c r="BM22" s="270"/>
      <c r="BN22" s="270"/>
      <c r="BO22" s="270"/>
      <c r="BQ22" s="93"/>
      <c r="BR22" s="93"/>
      <c r="BS22" s="93"/>
      <c r="BT22" s="93"/>
      <c r="BU22" s="93"/>
      <c r="BV22" s="93"/>
      <c r="BW22" s="93"/>
      <c r="BX22" s="93"/>
      <c r="BY22" s="93"/>
      <c r="BZ22" s="93"/>
      <c r="CA22" s="93"/>
      <c r="CB22" s="93"/>
    </row>
    <row r="23" spans="2:80" s="104" customFormat="1" ht="20.149999999999999" customHeight="1" x14ac:dyDescent="0.35">
      <c r="B23"/>
      <c r="C23"/>
      <c r="D23"/>
      <c r="E23"/>
      <c r="F23"/>
      <c r="G23" s="286" t="s">
        <v>131</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s="266"/>
      <c r="BE23" s="266"/>
      <c r="BF23" s="266"/>
      <c r="BG23" s="266"/>
      <c r="BH23" s="266"/>
      <c r="BI23" s="266"/>
      <c r="BJ23" s="266"/>
      <c r="BK23" s="266"/>
      <c r="BL23" s="266"/>
      <c r="BM23" s="266"/>
      <c r="BN23" s="266"/>
      <c r="BO23" s="266"/>
      <c r="BQ23" s="93"/>
      <c r="BR23" s="93"/>
      <c r="BS23" s="93"/>
      <c r="BT23" s="93"/>
      <c r="BU23" s="93"/>
      <c r="BV23" s="93"/>
      <c r="BW23" s="93"/>
      <c r="BX23" s="93"/>
      <c r="BY23" s="93"/>
      <c r="BZ23" s="93"/>
      <c r="CA23" s="93"/>
      <c r="CB23" s="93"/>
    </row>
    <row r="24" spans="2:80" s="104" customFormat="1" ht="20.149999999999999" customHeight="1" x14ac:dyDescent="0.35">
      <c r="B24"/>
      <c r="C24"/>
      <c r="D24"/>
      <c r="E24"/>
      <c r="F24"/>
      <c r="G24" s="285" t="s">
        <v>130</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s="270"/>
      <c r="BE24" s="270"/>
      <c r="BF24" s="270"/>
      <c r="BG24" s="270"/>
      <c r="BH24" s="270"/>
      <c r="BI24" s="270"/>
      <c r="BJ24" s="270"/>
      <c r="BK24" s="270"/>
      <c r="BL24" s="270"/>
      <c r="BM24" s="270"/>
      <c r="BN24" s="270"/>
      <c r="BO24" s="270"/>
      <c r="BQ24" s="93"/>
      <c r="BR24" s="93"/>
      <c r="BS24" s="93"/>
      <c r="BT24" s="93"/>
      <c r="BU24" s="93"/>
      <c r="BV24" s="93"/>
      <c r="BW24" s="93"/>
      <c r="BX24" s="93"/>
      <c r="BY24" s="93"/>
      <c r="BZ24" s="93"/>
      <c r="CA24" s="93"/>
      <c r="CB24" s="93"/>
    </row>
    <row r="25" spans="2:80" s="104" customFormat="1" ht="20.149999999999999" customHeight="1" x14ac:dyDescent="0.35">
      <c r="B25"/>
      <c r="C25"/>
      <c r="D25"/>
      <c r="E25"/>
      <c r="F25"/>
      <c r="G25" s="286" t="s">
        <v>131</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s="266"/>
      <c r="BE25" s="266"/>
      <c r="BF25" s="266"/>
      <c r="BG25" s="266"/>
      <c r="BH25" s="266"/>
      <c r="BI25" s="266"/>
      <c r="BJ25" s="266"/>
      <c r="BK25" s="266"/>
      <c r="BL25" s="266"/>
      <c r="BM25" s="266"/>
      <c r="BN25" s="266"/>
      <c r="BO25" s="266"/>
    </row>
    <row r="26" spans="2:80" s="104" customFormat="1" ht="20.149999999999999" customHeight="1" x14ac:dyDescent="0.35">
      <c r="B26"/>
      <c r="C26"/>
      <c r="D26"/>
      <c r="E26"/>
      <c r="F26"/>
      <c r="G26" s="285" t="s">
        <v>130</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s="270"/>
      <c r="BE26" s="270"/>
      <c r="BF26" s="270"/>
      <c r="BG26" s="270"/>
      <c r="BH26" s="270"/>
      <c r="BI26" s="270"/>
      <c r="BJ26" s="270"/>
      <c r="BK26" s="270"/>
      <c r="BL26" s="270"/>
      <c r="BM26" s="270"/>
      <c r="BN26" s="270"/>
      <c r="BO26" s="270"/>
    </row>
    <row r="27" spans="2:80" s="104" customFormat="1" ht="20.149999999999999" customHeight="1" x14ac:dyDescent="0.35">
      <c r="B27"/>
      <c r="C27"/>
      <c r="D27"/>
      <c r="E27"/>
      <c r="F27"/>
      <c r="G27" s="286" t="s">
        <v>131</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s="266"/>
      <c r="BE27" s="266"/>
      <c r="BF27" s="266"/>
      <c r="BG27" s="266"/>
      <c r="BH27" s="266"/>
      <c r="BI27" s="266"/>
      <c r="BJ27" s="266"/>
      <c r="BK27" s="266"/>
      <c r="BL27" s="266"/>
      <c r="BM27" s="266"/>
      <c r="BN27" s="266"/>
      <c r="BO27" s="266"/>
    </row>
    <row r="28" spans="2:80" s="104" customFormat="1" ht="19.5" customHeight="1" x14ac:dyDescent="0.35">
      <c r="B28"/>
      <c r="C28"/>
      <c r="D28"/>
      <c r="E28"/>
      <c r="F28"/>
      <c r="G28" s="285" t="s">
        <v>130</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s="270"/>
      <c r="BE28" s="270"/>
      <c r="BF28" s="270"/>
      <c r="BG28" s="270"/>
      <c r="BH28" s="270"/>
      <c r="BI28" s="270"/>
      <c r="BJ28" s="270"/>
      <c r="BK28" s="270"/>
      <c r="BL28" s="270"/>
      <c r="BM28" s="270"/>
      <c r="BN28" s="270"/>
      <c r="BO28" s="270"/>
    </row>
    <row r="29" spans="2:80" s="104" customFormat="1" ht="20.149999999999999" customHeight="1" x14ac:dyDescent="0.35">
      <c r="B29"/>
      <c r="C29"/>
      <c r="D29"/>
      <c r="E29"/>
      <c r="F29"/>
      <c r="G29" s="286" t="s">
        <v>131</v>
      </c>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s="266"/>
      <c r="BE29" s="266"/>
      <c r="BF29" s="266"/>
      <c r="BG29" s="266"/>
      <c r="BH29" s="266"/>
      <c r="BI29" s="266"/>
      <c r="BJ29" s="266"/>
      <c r="BK29" s="266"/>
      <c r="BL29" s="266"/>
      <c r="BM29" s="266"/>
      <c r="BN29" s="266"/>
      <c r="BO29" s="266"/>
    </row>
    <row r="30" spans="2:80" s="104" customFormat="1" ht="19.5" customHeight="1" x14ac:dyDescent="0.35">
      <c r="B30"/>
      <c r="C30"/>
      <c r="D30"/>
      <c r="E30"/>
      <c r="F30"/>
      <c r="G30" s="285" t="s">
        <v>130</v>
      </c>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s="270"/>
      <c r="BE30" s="270"/>
      <c r="BF30" s="270"/>
      <c r="BG30" s="270"/>
      <c r="BH30" s="270"/>
      <c r="BI30" s="270"/>
      <c r="BJ30" s="270"/>
      <c r="BK30" s="270"/>
      <c r="BL30" s="270"/>
      <c r="BM30" s="270"/>
      <c r="BN30" s="270"/>
      <c r="BO30" s="270"/>
      <c r="BQ30" s="93"/>
      <c r="BR30" s="93"/>
      <c r="BS30" s="93"/>
      <c r="BT30" s="93"/>
      <c r="BU30" s="93"/>
      <c r="BV30" s="93"/>
      <c r="BW30" s="93"/>
      <c r="BX30" s="93"/>
      <c r="BY30" s="93"/>
      <c r="BZ30" s="93"/>
      <c r="CA30" s="93"/>
      <c r="CB30" s="93"/>
    </row>
    <row r="31" spans="2:80" s="104" customFormat="1" ht="20.149999999999999" customHeight="1" x14ac:dyDescent="0.35">
      <c r="B31"/>
      <c r="C31"/>
      <c r="D31"/>
      <c r="E31"/>
      <c r="F31"/>
      <c r="G31" s="286" t="s">
        <v>131</v>
      </c>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s="266"/>
      <c r="BE31" s="266"/>
      <c r="BF31" s="266"/>
      <c r="BG31" s="266"/>
      <c r="BH31" s="266"/>
      <c r="BI31" s="266"/>
      <c r="BJ31" s="266"/>
      <c r="BK31" s="266"/>
      <c r="BL31" s="266"/>
      <c r="BM31" s="266"/>
      <c r="BN31" s="266"/>
      <c r="BO31" s="266"/>
      <c r="BQ31" s="93"/>
      <c r="BR31" s="93"/>
      <c r="BS31" s="93"/>
      <c r="BT31" s="93"/>
      <c r="BU31" s="93"/>
      <c r="BV31" s="93"/>
      <c r="BW31" s="93"/>
      <c r="BX31" s="93"/>
      <c r="BY31" s="93"/>
      <c r="BZ31" s="93"/>
      <c r="CA31" s="93"/>
      <c r="CB31" s="93"/>
    </row>
    <row r="32" spans="2:80" s="104" customFormat="1" ht="20.149999999999999" customHeight="1" x14ac:dyDescent="0.35">
      <c r="B32"/>
      <c r="C32"/>
      <c r="D32"/>
      <c r="E32"/>
      <c r="F32"/>
      <c r="G32" s="285" t="s">
        <v>130</v>
      </c>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s="271"/>
      <c r="BE32" s="271"/>
      <c r="BF32" s="271"/>
      <c r="BG32" s="271"/>
      <c r="BH32" s="271"/>
      <c r="BI32" s="271"/>
      <c r="BJ32" s="271"/>
      <c r="BK32" s="271"/>
      <c r="BL32" s="271"/>
      <c r="BM32" s="271"/>
      <c r="BN32" s="271"/>
      <c r="BO32" s="271"/>
      <c r="BQ32" s="93"/>
      <c r="BR32" s="93"/>
      <c r="BS32" s="93"/>
      <c r="BT32" s="93"/>
      <c r="BU32" s="93"/>
      <c r="BV32" s="93"/>
      <c r="BW32" s="93"/>
      <c r="BX32" s="93"/>
      <c r="BY32" s="93"/>
      <c r="BZ32" s="93"/>
      <c r="CA32" s="93"/>
      <c r="CB32" s="93"/>
    </row>
    <row r="33" spans="2:80" s="104" customFormat="1" ht="20.149999999999999" customHeight="1" x14ac:dyDescent="0.35">
      <c r="B33"/>
      <c r="C33"/>
      <c r="D33"/>
      <c r="E33"/>
      <c r="F33"/>
      <c r="G33" s="286" t="s">
        <v>131</v>
      </c>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s="274"/>
      <c r="BE33" s="274"/>
      <c r="BF33" s="274"/>
      <c r="BG33" s="274"/>
      <c r="BH33" s="274"/>
      <c r="BI33" s="274"/>
      <c r="BJ33" s="274"/>
      <c r="BK33" s="274"/>
      <c r="BL33" s="274"/>
      <c r="BM33" s="274"/>
      <c r="BN33" s="274"/>
      <c r="BO33" s="274"/>
      <c r="BQ33" s="93"/>
      <c r="BR33" s="93"/>
      <c r="BS33" s="93"/>
      <c r="BT33" s="93"/>
      <c r="BU33" s="93"/>
      <c r="BV33" s="93"/>
      <c r="BW33" s="93"/>
      <c r="BX33" s="93"/>
      <c r="BY33" s="93"/>
      <c r="BZ33" s="93"/>
      <c r="CA33" s="93"/>
      <c r="CB33" s="93"/>
    </row>
    <row r="34" spans="2:80" s="104" customFormat="1" ht="20.149999999999999" customHeight="1" x14ac:dyDescent="0.35">
      <c r="B34"/>
      <c r="C34"/>
      <c r="D34"/>
      <c r="E34"/>
      <c r="F34"/>
      <c r="G34" s="285" t="s">
        <v>130</v>
      </c>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s="7"/>
      <c r="BE34" s="7"/>
      <c r="BF34" s="7"/>
      <c r="BG34" s="7"/>
      <c r="BH34" s="7"/>
      <c r="BI34" s="7"/>
      <c r="BJ34" s="7"/>
      <c r="BK34" s="7"/>
      <c r="BL34" s="7"/>
      <c r="BM34" s="7"/>
      <c r="BN34" s="7"/>
      <c r="BO34" s="7"/>
      <c r="BQ34" s="93"/>
      <c r="BR34" s="93"/>
      <c r="BS34" s="93"/>
      <c r="BT34" s="93"/>
      <c r="BU34" s="93"/>
      <c r="BV34" s="93"/>
      <c r="BW34" s="93"/>
      <c r="BX34" s="93"/>
      <c r="BY34" s="93"/>
      <c r="BZ34" s="93"/>
      <c r="CA34" s="93"/>
      <c r="CB34" s="93"/>
    </row>
    <row r="35" spans="2:80" s="104" customFormat="1" ht="20.149999999999999" customHeight="1" x14ac:dyDescent="0.35">
      <c r="B35"/>
      <c r="C35"/>
      <c r="D35"/>
      <c r="E35"/>
      <c r="F35"/>
      <c r="G35" s="286" t="s">
        <v>131</v>
      </c>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s="274"/>
      <c r="BE35" s="274"/>
      <c r="BF35" s="274"/>
      <c r="BG35" s="274"/>
      <c r="BH35" s="274"/>
      <c r="BI35" s="274"/>
      <c r="BJ35" s="274"/>
      <c r="BK35" s="274"/>
      <c r="BL35" s="274"/>
      <c r="BM35" s="274"/>
      <c r="BN35" s="274"/>
      <c r="BO35" s="274"/>
    </row>
    <row r="36" spans="2:80" s="104" customFormat="1" ht="20.149999999999999" customHeight="1" x14ac:dyDescent="0.35">
      <c r="B36"/>
      <c r="C36"/>
      <c r="D36"/>
      <c r="E36"/>
      <c r="F36"/>
      <c r="G36" s="285" t="s">
        <v>130</v>
      </c>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s="7"/>
      <c r="BE36" s="7"/>
      <c r="BF36" s="7"/>
      <c r="BG36" s="7"/>
      <c r="BH36" s="7"/>
      <c r="BI36" s="7"/>
      <c r="BJ36" s="7"/>
      <c r="BK36" s="7"/>
      <c r="BL36" s="7"/>
      <c r="BM36" s="7"/>
      <c r="BN36" s="7"/>
      <c r="BO36" s="7"/>
    </row>
    <row r="37" spans="2:80" s="104" customFormat="1" ht="20.149999999999999" customHeight="1" x14ac:dyDescent="0.35">
      <c r="B37"/>
      <c r="C37"/>
      <c r="D37"/>
      <c r="E37"/>
      <c r="F37"/>
      <c r="G37" s="286" t="s">
        <v>131</v>
      </c>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s="274"/>
      <c r="BE37" s="274"/>
      <c r="BF37" s="274"/>
      <c r="BG37" s="274"/>
      <c r="BH37" s="274"/>
      <c r="BI37" s="274"/>
      <c r="BJ37" s="274"/>
      <c r="BK37" s="274"/>
      <c r="BL37" s="274"/>
      <c r="BM37" s="274"/>
      <c r="BN37" s="274"/>
      <c r="BO37" s="274"/>
    </row>
    <row r="38" spans="2:80" s="104" customFormat="1" ht="19.5" customHeight="1" x14ac:dyDescent="0.35">
      <c r="B38"/>
      <c r="C38"/>
      <c r="D38"/>
      <c r="E38"/>
      <c r="F38"/>
      <c r="G38" s="285" t="s">
        <v>130</v>
      </c>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s="272"/>
      <c r="BE38" s="272"/>
      <c r="BF38" s="272"/>
      <c r="BG38" s="272"/>
      <c r="BH38" s="272"/>
      <c r="BI38" s="272"/>
      <c r="BJ38" s="272"/>
      <c r="BK38" s="272"/>
      <c r="BL38" s="272"/>
      <c r="BM38" s="272"/>
      <c r="BN38" s="272"/>
      <c r="BO38" s="272"/>
    </row>
    <row r="39" spans="2:80" s="104" customFormat="1" ht="19.5" customHeight="1" x14ac:dyDescent="0.35">
      <c r="B39"/>
      <c r="C39"/>
      <c r="D39"/>
      <c r="E39"/>
      <c r="F39"/>
      <c r="G39" s="286" t="s">
        <v>131</v>
      </c>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s="273"/>
      <c r="BE39" s="273"/>
      <c r="BF39" s="273"/>
      <c r="BG39" s="273"/>
      <c r="BH39" s="273"/>
      <c r="BI39" s="273"/>
      <c r="BJ39" s="273"/>
      <c r="BK39" s="273"/>
      <c r="BL39" s="273"/>
      <c r="BM39" s="273"/>
      <c r="BN39" s="273"/>
      <c r="BO39" s="273"/>
    </row>
    <row r="40" spans="2:80" ht="20.149999999999999" customHeight="1" x14ac:dyDescent="0.25">
      <c r="B40" s="117" t="s">
        <v>132</v>
      </c>
      <c r="C40" s="118"/>
      <c r="D40" s="119"/>
      <c r="E40" s="119"/>
      <c r="F40" s="180">
        <f>'Project Infor'!C47</f>
        <v>0</v>
      </c>
      <c r="G40" s="180"/>
      <c r="H40" s="120" cm="1">
        <f t="array" ref="H40">SUMPRODUCT(($D$10:$D$39="NO")*1,($G$10:$G$39="Horas Reales")*1,H$10:H$39,Resources!G7:G36)+H42</f>
        <v>7102.7849999999999</v>
      </c>
      <c r="I40" s="120" cm="1">
        <f t="array" ref="I40">SUMPRODUCT(($D$10:$D$39="NO")*1,($G$10:$G$39="Horas Reales")*1,I$10:I$39,Resources!H7:H36)+I42</f>
        <v>7102.7849999999999</v>
      </c>
      <c r="J40" s="120" cm="1">
        <f t="array" ref="J40">SUMPRODUCT(($D$10:$D$39="NO")*1,($G$10:$G$39="Horas Reales")*1,J$10:J$39,Resources!I7:I36)+J42</f>
        <v>7102.7849999999999</v>
      </c>
      <c r="K40" s="120" cm="1">
        <f t="array" ref="K40">SUMPRODUCT(($D$10:$D$39="NO")*1,($G$10:$G$39="Horas Reales")*1,K$10:K$39,Resources!J7:J36)+K42</f>
        <v>7102.7849999999999</v>
      </c>
      <c r="L40" s="120" cm="1">
        <f t="array" ref="L40">SUMPRODUCT(($D$10:$D$39="NO")*1,($G$10:$G$39="Horas Reales")*1,L$10:L$39,Resources!K7:K36)+L42</f>
        <v>7102.7849999999999</v>
      </c>
      <c r="M40" s="120" cm="1">
        <f t="array" ref="M40">SUMPRODUCT(($D$10:$D$39="NO")*1,($G$10:$G$39="Horas Reales")*1,M$10:M$39,Resources!L7:L36)+M42</f>
        <v>7102.7849999999999</v>
      </c>
      <c r="N40" s="120" cm="1">
        <f t="array" ref="N40">SUMPRODUCT(($D$10:$D$39="NO")*1,($G$10:$G$39="Horas Reales")*1,N$10:N$39,Resources!M7:M36)+N42</f>
        <v>7102.7849999999999</v>
      </c>
      <c r="O40" s="120" cm="1">
        <f t="array" ref="O40">SUMPRODUCT(($D$10:$D$39="NO")*1,($G$10:$G$39="Horas Reales")*1,O$10:O$39,Resources!N7:N36)+O42</f>
        <v>7102.7849999999999</v>
      </c>
      <c r="P40" s="120" cm="1">
        <f t="array" ref="P40">SUMPRODUCT(($D$10:$D$39="NO")*1,($G$10:$G$39="Horas Reales")*1,P$10:P$39,Resources!O7:O36)+P42</f>
        <v>7102.7849999999999</v>
      </c>
      <c r="Q40" s="120" cm="1">
        <f t="array" ref="Q40">SUMPRODUCT(($D$10:$D$39="NO")*1,($G$10:$G$39="Horas Reales")*1,Q$10:Q$39,Resources!P7:P36)+Q42</f>
        <v>7102.7849999999999</v>
      </c>
      <c r="R40" s="120" cm="1">
        <f t="array" ref="R40">SUMPRODUCT(($D$10:$D$39="NO")*1,($G$10:$G$39="Horas Reales")*1,R$10:R$39,Resources!Q7:Q36)+R42</f>
        <v>7102.7849999999999</v>
      </c>
      <c r="S40" s="120" cm="1">
        <f t="array" ref="S40">SUMPRODUCT(($D$10:$D$39="NO")*1,($G$10:$G$39="Horas Reales")*1,S$10:S$39,Resources!R7:R36)+S42</f>
        <v>7102.7849999999999</v>
      </c>
      <c r="T40" s="120" cm="1">
        <f t="array" ref="T40">SUMPRODUCT(($D$10:$D$39="NO")*1,($G$10:$G$39="Horas Reales")*1,T$10:T$39,Resources!S7:S36)+T42</f>
        <v>7102.7849999999999</v>
      </c>
      <c r="U40" s="120" cm="1">
        <f t="array" ref="U40">SUMPRODUCT(($D$10:$D$39="NO")*1,($G$10:$G$39="Horas Reales")*1,U$10:U$39,Resources!T7:T36)+U42</f>
        <v>7102.7849999999999</v>
      </c>
      <c r="V40" s="120" cm="1">
        <f t="array" ref="V40">SUMPRODUCT(($D$10:$D$39="NO")*1,($G$10:$G$39="Horas Reales")*1,V$10:V$39,Resources!U7:U36)+V42</f>
        <v>7102.7849999999999</v>
      </c>
      <c r="W40" s="120" cm="1">
        <f t="array" ref="W40">SUMPRODUCT(($D$10:$D$39="NO")*1,($G$10:$G$39="Horas Reales")*1,W$10:W$39,Resources!V7:V36)+W42</f>
        <v>7102.7849999999999</v>
      </c>
      <c r="X40" s="120" cm="1">
        <f t="array" ref="X40">SUMPRODUCT(($D$10:$D$39="NO")*1,($G$10:$G$39="Horas Reales")*1,X$10:X$39,Resources!W7:W36)+X42</f>
        <v>7102.7849999999999</v>
      </c>
      <c r="Y40" s="120" cm="1">
        <f t="array" ref="Y40">SUMPRODUCT(($D$10:$D$39="NO")*1,($G$10:$G$39="Horas Reales")*1,Y$10:Y$39,Resources!X7:X36)+Y42</f>
        <v>7102.7849999999999</v>
      </c>
      <c r="Z40" s="120" cm="1">
        <f t="array" ref="Z40">SUMPRODUCT(($D$10:$D$39="NO")*1,($G$10:$G$39="Horas Reales")*1,Z$10:Z$39,Resources!Y7:Y36)+Z42</f>
        <v>7102.7849999999999</v>
      </c>
      <c r="AA40" s="120" cm="1">
        <f t="array" ref="AA40">SUMPRODUCT(($D$10:$D$39="NO")*1,($G$10:$G$39="Horas Reales")*1,AA$10:AA$39,Resources!Z7:Z36)+AA42</f>
        <v>7102.7849999999999</v>
      </c>
      <c r="AB40" s="120" cm="1">
        <f t="array" ref="AB40">SUMPRODUCT(($D$10:$D$39="NO")*1,($G$10:$G$39="Horas Reales")*1,AB$10:AB$39,Resources!AA7:AA36)+AB42</f>
        <v>7102.7849999999999</v>
      </c>
      <c r="AC40" s="120" cm="1">
        <f t="array" ref="AC40">SUMPRODUCT(($D$10:$D$39="NO")*1,($G$10:$G$39="Horas Reales")*1,AC$10:AC$39,Resources!AB7:AB36)+AC42</f>
        <v>7102.7849999999999</v>
      </c>
      <c r="AD40" s="120" cm="1">
        <f t="array" ref="AD40">SUMPRODUCT(($D$10:$D$39="NO")*1,($G$10:$G$39="Horas Reales")*1,AD$10:AD$39,Resources!AC7:AC36)+AD42</f>
        <v>7102.7849999999999</v>
      </c>
      <c r="AE40" s="120" cm="1">
        <f t="array" ref="AE40">SUMPRODUCT(($D$10:$D$39="NO")*1,($G$10:$G$39="Horas Reales")*1,AE$10:AE$39,Resources!AD7:AD36)+AE42</f>
        <v>7102.7849999999999</v>
      </c>
      <c r="AF40" s="120" cm="1">
        <f t="array" ref="AF40">SUMPRODUCT(($D$10:$D$39="NO")*1,($G$10:$G$39="Horas Reales")*1,AF$10:AF$39,Resources!AE7:AE36)+AF42</f>
        <v>7102.7849999999999</v>
      </c>
      <c r="AG40" s="120" cm="1">
        <f t="array" ref="AG40">SUMPRODUCT(($D$10:$D$39="NO")*1,($G$10:$G$39="Horas Reales")*1,AG$10:AG$39,Resources!AF7:AF36)+AG42</f>
        <v>7102.7849999999999</v>
      </c>
      <c r="AH40" s="120" cm="1">
        <f t="array" ref="AH40">SUMPRODUCT(($D$10:$D$39="NO")*1,($G$10:$G$39="Horas Reales")*1,AH$10:AH$39,Resources!AG7:AG36)+AH42</f>
        <v>7102.7849999999999</v>
      </c>
      <c r="AI40" s="120" cm="1">
        <f t="array" ref="AI40">SUMPRODUCT(($D$10:$D$39="NO")*1,($G$10:$G$39="Horas Reales")*1,AI$10:AI$39,Resources!AH7:AH36)+AI42</f>
        <v>7102.7849999999999</v>
      </c>
      <c r="AJ40" s="120" cm="1">
        <f t="array" ref="AJ40">SUMPRODUCT(($D$10:$D$39="NO")*1,($G$10:$G$39="Horas Reales")*1,AJ$10:AJ$39,Resources!AI7:AI36)+AJ42</f>
        <v>7102.7849999999999</v>
      </c>
      <c r="AK40" s="120" cm="1">
        <f t="array" ref="AK40">SUMPRODUCT(($D$10:$D$39="NO")*1,($G$10:$G$39="Horas Reales")*1,AK$10:AK$39,Resources!AJ7:AJ36)+AK42</f>
        <v>7102.7849999999999</v>
      </c>
      <c r="AL40" s="120" cm="1">
        <f t="array" ref="AL40">SUMPRODUCT(($D$10:$D$39="NO")*1,($G$10:$G$39="Horas Reales")*1,AL$10:AL$39,Resources!AK7:AK36)+AL42</f>
        <v>7102.7849999999999</v>
      </c>
      <c r="AM40" s="120" cm="1">
        <f t="array" ref="AM40">SUMPRODUCT(($D$10:$D$39="NO")*1,($G$10:$G$39="Horas Reales")*1,AM$10:AM$39,Resources!AL7:AL36)+AM42</f>
        <v>7102.7849999999999</v>
      </c>
      <c r="AN40" s="120" cm="1">
        <f t="array" ref="AN40">SUMPRODUCT(($D$10:$D$39="NO")*1,($G$10:$G$39="Horas Reales")*1,AN$10:AN$39,Resources!AM7:AM36)+AN42</f>
        <v>7102.7849999999999</v>
      </c>
      <c r="AO40" s="120" cm="1">
        <f t="array" ref="AO40">SUMPRODUCT(($D$10:$D$39="NO")*1,($G$10:$G$39="Horas Reales")*1,AO$10:AO$39,Resources!AN7:AN36)+AO42</f>
        <v>7102.7849999999999</v>
      </c>
      <c r="AP40" s="120" cm="1">
        <f t="array" ref="AP40">SUMPRODUCT(($D$10:$D$39="NO")*1,($G$10:$G$39="Horas Reales")*1,AP$10:AP$39,Resources!AO7:AO36)+AP42</f>
        <v>7102.7849999999999</v>
      </c>
      <c r="AQ40" s="120" cm="1">
        <f t="array" ref="AQ40">SUMPRODUCT(($D$10:$D$39="NO")*1,($G$10:$G$39="Horas Reales")*1,AQ$10:AQ$39,Resources!AP7:AP36)+AQ42</f>
        <v>7102.7849999999999</v>
      </c>
      <c r="AR40" s="120" cm="1">
        <f t="array" ref="AR40">SUMPRODUCT(($D$10:$D$39="NO")*1,($G$10:$G$39="Horas Reales")*1,AR$10:AR$39,Resources!AQ7:AQ36)+AR42</f>
        <v>7102.7849999999999</v>
      </c>
      <c r="AS40" s="120" cm="1">
        <f t="array" ref="AS40">SUMPRODUCT(($D$10:$D$39="NO")*1,($G$10:$G$39="Horas Reales")*1,AS$10:AS$39,Resources!AR7:AR36)+AS42</f>
        <v>7102.7849999999999</v>
      </c>
      <c r="AT40" s="120" cm="1">
        <f t="array" ref="AT40">SUMPRODUCT(($D$10:$D$39="NO")*1,($G$10:$G$39="Horas Reales")*1,AT$10:AT$39,Resources!AS7:AS36)+AT42</f>
        <v>7102.7849999999999</v>
      </c>
      <c r="AU40" s="120" cm="1">
        <f t="array" ref="AU40">SUMPRODUCT(($D$10:$D$39="NO")*1,($G$10:$G$39="Horas Reales")*1,AU$10:AU$39,Resources!AT7:AT36)+AU42</f>
        <v>7102.7849999999999</v>
      </c>
      <c r="AV40" s="120" cm="1">
        <f t="array" ref="AV40">SUMPRODUCT(($D$10:$D$39="NO")*1,($G$10:$G$39="Horas Reales")*1,AV$10:AV$39,Resources!AU7:AU36)+AV42</f>
        <v>7102.7849999999999</v>
      </c>
      <c r="AW40" s="120" cm="1">
        <f t="array" ref="AW40">SUMPRODUCT(($D$10:$D$39="NO")*1,($G$10:$G$39="Horas Reales")*1,AW$10:AW$39,Resources!AV7:AV36)+AW42</f>
        <v>7102.7849999999999</v>
      </c>
      <c r="AX40" s="120" cm="1">
        <f t="array" ref="AX40">SUMPRODUCT(($D$10:$D$39="NO")*1,($G$10:$G$39="Horas Reales")*1,AX$10:AX$39,Resources!AW7:AW36)+AX42</f>
        <v>7102.7849999999999</v>
      </c>
      <c r="AY40" s="120" cm="1">
        <f t="array" ref="AY40">SUMPRODUCT(($D$10:$D$39="NO")*1,($G$10:$G$39="Horas Reales")*1,AY$10:AY$39,Resources!AX7:AX36)+AY42</f>
        <v>7102.7849999999999</v>
      </c>
      <c r="AZ40" s="120" cm="1">
        <f t="array" ref="AZ40">SUMPRODUCT(($D$10:$D$39="NO")*1,($G$10:$G$39="Horas Reales")*1,AZ$10:AZ$39,Resources!AY7:AY36)+AZ42</f>
        <v>7102.7849999999999</v>
      </c>
      <c r="BA40" s="120" cm="1">
        <f t="array" ref="BA40">SUMPRODUCT(($D$10:$D$39="NO")*1,($G$10:$G$39="Horas Reales")*1,BA$10:BA$39,Resources!AZ7:AZ36)+BA42</f>
        <v>7102.7849999999999</v>
      </c>
      <c r="BB40" s="120" cm="1">
        <f t="array" ref="BB40">SUMPRODUCT(($D$10:$D$39="NO")*1,($G$10:$G$39="Horas Reales")*1,BB$10:BB$39,Resources!BA7:BA36)+BB42</f>
        <v>7102.7849999999999</v>
      </c>
      <c r="BC40" s="120" cm="1">
        <f t="array" ref="BC40">SUMPRODUCT(($D$10:$D$39="NO")*1,($G$10:$G$39="Horas Reales")*1,BC$10:BC$39,Resources!BB7:BB36)+BC42</f>
        <v>7102.7849999999999</v>
      </c>
      <c r="BD40" s="120" cm="1">
        <f t="array" ref="BD40">SUMPRODUCT(($D$10:$D$39="NO")*1,($G$10:$G$39="Horas Reales")*1,BD$10:BD$39,Resources!BC7:BC36)+BD42</f>
        <v>0</v>
      </c>
      <c r="BE40" s="120" cm="1">
        <f t="array" ref="BE40">SUMPRODUCT(($D$10:$D$39="NO")*1,($G$10:$G$39="Horas Reales")*1,BE$10:BE$39,Resources!BD7:BD36)+BE42</f>
        <v>0</v>
      </c>
      <c r="BF40" s="120" cm="1">
        <f t="array" ref="BF40">SUMPRODUCT(($D$10:$D$39="NO")*1,($G$10:$G$39="Horas Reales")*1,BF$10:BF$39,Resources!BE7:BE36)+BF42</f>
        <v>0</v>
      </c>
      <c r="BG40" s="120" cm="1">
        <f t="array" ref="BG40">SUMPRODUCT(($D$10:$D$39="NO")*1,($G$10:$G$39="Horas Reales")*1,BG$10:BG$39,Resources!BF7:BF36)+BG42</f>
        <v>0</v>
      </c>
      <c r="BH40" s="120" cm="1">
        <f t="array" ref="BH40">SUMPRODUCT(($D$10:$D$39="NO")*1,($G$10:$G$39="Horas Reales")*1,BH$10:BH$39,Resources!BG7:BG36)+BH42</f>
        <v>0</v>
      </c>
      <c r="BI40" s="120" cm="1">
        <f t="array" ref="BI40">SUMPRODUCT(($D$10:$D$39="NO")*1,($G$10:$G$39="Horas Reales")*1,BI$10:BI$39,Resources!BH7:BH36)+BI42</f>
        <v>0</v>
      </c>
      <c r="BJ40" s="120" cm="1">
        <f t="array" ref="BJ40">SUMPRODUCT(($D$10:$D$39="NO")*1,($G$10:$G$39="Horas Reales")*1,BJ$10:BJ$39,Resources!BI7:BI36)+BJ42</f>
        <v>0</v>
      </c>
      <c r="BK40" s="120" cm="1">
        <f t="array" ref="BK40">SUMPRODUCT(($D$10:$D$39="NO")*1,($G$10:$G$39="Horas Reales")*1,BK$10:BK$39,Resources!BJ7:BJ36)+BK42</f>
        <v>0</v>
      </c>
      <c r="BL40" s="120" cm="1">
        <f t="array" ref="BL40">SUMPRODUCT(($D$10:$D$39="NO")*1,($G$10:$G$39="Horas Reales")*1,BL$10:BL$39,Resources!BK7:BK36)+BL42</f>
        <v>0</v>
      </c>
      <c r="BM40" s="120" cm="1">
        <f t="array" ref="BM40">SUMPRODUCT(($D$10:$D$39="NO")*1,($G$10:$G$39="Horas Reales")*1,BM$10:BM$39,Resources!BL7:BL36)+BM42</f>
        <v>0</v>
      </c>
      <c r="BN40" s="120" cm="1">
        <f t="array" ref="BN40">SUMPRODUCT(($D$10:$D$39="NO")*1,($G$10:$G$39="Horas Reales")*1,BN$10:BN$39,Resources!BM7:BM36)+BN42</f>
        <v>0</v>
      </c>
      <c r="BO40" s="120" cm="1">
        <f t="array" ref="BO40">SUMPRODUCT(($D$10:$D$39="NO")*1,($G$10:$G$39="Horas Reales")*1,BO$10:BO$39,Resources!BN7:BN36)+BO42</f>
        <v>0</v>
      </c>
    </row>
    <row r="41" spans="2:80" ht="20.149999999999999" customHeight="1" x14ac:dyDescent="0.25">
      <c r="B41" s="121" t="s">
        <v>133</v>
      </c>
      <c r="C41" s="122"/>
      <c r="D41" s="123"/>
      <c r="E41" s="123"/>
      <c r="F41" s="120"/>
      <c r="G41" s="120"/>
      <c r="H41" s="120" cm="1">
        <f t="array" ref="H41">SUMPRODUCT(($D$10:$D$39="INTERCO")*1,($G$10:$G$39="Horas Reales")*1,H$10:H$39,Resources!G7:G36)+H43</f>
        <v>0</v>
      </c>
      <c r="I41" s="120" cm="1">
        <f t="array" ref="I41">SUMPRODUCT(($D$10:$D$39="INTERCO")*1,($G$10:$G$39="Horas Reales")*1,I$10:I$39,Resources!H7:H36)+I43</f>
        <v>0</v>
      </c>
      <c r="J41" s="120" cm="1">
        <f t="array" ref="J41">SUMPRODUCT(($D$10:$D$39="INTERCO")*1,($G$10:$G$39="Horas Reales")*1,J$10:J$39,Resources!I7:I36)+J43</f>
        <v>0</v>
      </c>
      <c r="K41" s="120" cm="1">
        <f t="array" ref="K41">SUMPRODUCT(($D$10:$D$39="INTERCO")*1,($G$10:$G$39="Horas Reales")*1,K$10:K$39,Resources!J7:J36)+K43</f>
        <v>0</v>
      </c>
      <c r="L41" s="120" cm="1">
        <f t="array" ref="L41">SUMPRODUCT(($D$10:$D$39="INTERCO")*1,($G$10:$G$39="Horas Reales")*1,L$10:L$39,Resources!K7:K36)+L43</f>
        <v>0</v>
      </c>
      <c r="M41" s="120" cm="1">
        <f t="array" ref="M41">SUMPRODUCT(($D$10:$D$39="INTERCO")*1,($G$10:$G$39="Horas Reales")*1,M$10:M$39,Resources!L7:L36)+M43</f>
        <v>0</v>
      </c>
      <c r="N41" s="120" cm="1">
        <f t="array" ref="N41">SUMPRODUCT(($D$10:$D$39="INTERCO")*1,($G$10:$G$39="Horas Reales")*1,N$10:N$39,Resources!M7:M36)+N43</f>
        <v>0</v>
      </c>
      <c r="O41" s="120" cm="1">
        <f t="array" ref="O41">SUMPRODUCT(($D$10:$D$39="INTERCO")*1,($G$10:$G$39="Horas Reales")*1,O$10:O$39,Resources!N7:N36)+O43</f>
        <v>0</v>
      </c>
      <c r="P41" s="120" cm="1">
        <f t="array" ref="P41">SUMPRODUCT(($D$10:$D$39="INTERCO")*1,($G$10:$G$39="Horas Reales")*1,P$10:P$39,Resources!O7:O36)+P43</f>
        <v>0</v>
      </c>
      <c r="Q41" s="120" cm="1">
        <f t="array" ref="Q41">SUMPRODUCT(($D$10:$D$39="INTERCO")*1,($G$10:$G$39="Horas Reales")*1,Q$10:Q$39,Resources!P7:P36)+Q43</f>
        <v>0</v>
      </c>
      <c r="R41" s="120" cm="1">
        <f t="array" ref="R41">SUMPRODUCT(($D$10:$D$39="INTERCO")*1,($G$10:$G$39="Horas Reales")*1,R$10:R$39,Resources!Q7:Q36)+R43</f>
        <v>0</v>
      </c>
      <c r="S41" s="120" cm="1">
        <f t="array" ref="S41">SUMPRODUCT(($D$10:$D$39="INTERCO")*1,($G$10:$G$39="Horas Reales")*1,S$10:S$39,Resources!R7:R36)+S43</f>
        <v>0</v>
      </c>
      <c r="T41" s="120" cm="1">
        <f t="array" ref="T41">SUMPRODUCT(($D$10:$D$39="INTERCO")*1,($G$10:$G$39="Horas Reales")*1,T$10:T$39,Resources!S7:S36)+T43</f>
        <v>0</v>
      </c>
      <c r="U41" s="120" cm="1">
        <f t="array" ref="U41">SUMPRODUCT(($D$10:$D$39="INTERCO")*1,($G$10:$G$39="Horas Reales")*1,U$10:U$39,Resources!T7:T36)+U43</f>
        <v>0</v>
      </c>
      <c r="V41" s="120" cm="1">
        <f t="array" ref="V41">SUMPRODUCT(($D$10:$D$39="INTERCO")*1,($G$10:$G$39="Horas Reales")*1,V$10:V$39,Resources!U7:U36)+V43</f>
        <v>0</v>
      </c>
      <c r="W41" s="120" cm="1">
        <f t="array" ref="W41">SUMPRODUCT(($D$10:$D$39="INTERCO")*1,($G$10:$G$39="Horas Reales")*1,W$10:W$39,Resources!V7:V36)+W43</f>
        <v>0</v>
      </c>
      <c r="X41" s="120" cm="1">
        <f t="array" ref="X41">SUMPRODUCT(($D$10:$D$39="INTERCO")*1,($G$10:$G$39="Horas Reales")*1,X$10:X$39,Resources!W7:W36)+X43</f>
        <v>0</v>
      </c>
      <c r="Y41" s="120" cm="1">
        <f t="array" ref="Y41">SUMPRODUCT(($D$10:$D$39="INTERCO")*1,($G$10:$G$39="Horas Reales")*1,Y$10:Y$39,Resources!X7:X36)+Y43</f>
        <v>0</v>
      </c>
      <c r="Z41" s="120" cm="1">
        <f t="array" ref="Z41">SUMPRODUCT(($D$10:$D$39="INTERCO")*1,($G$10:$G$39="Horas Reales")*1,Z$10:Z$39,Resources!Y7:Y36)+Z43</f>
        <v>0</v>
      </c>
      <c r="AA41" s="120" cm="1">
        <f t="array" ref="AA41">SUMPRODUCT(($D$10:$D$39="INTERCO")*1,($G$10:$G$39="Horas Reales")*1,AA$10:AA$39,Resources!Z7:Z36)+AA43</f>
        <v>0</v>
      </c>
      <c r="AB41" s="120" cm="1">
        <f t="array" ref="AB41">SUMPRODUCT(($D$10:$D$39="INTERCO")*1,($G$10:$G$39="Horas Reales")*1,AB$10:AB$39,Resources!AA7:AA36)+AB43</f>
        <v>0</v>
      </c>
      <c r="AC41" s="120" cm="1">
        <f t="array" ref="AC41">SUMPRODUCT(($D$10:$D$39="INTERCO")*1,($G$10:$G$39="Horas Reales")*1,AC$10:AC$39,Resources!AB7:AB36)+AC43</f>
        <v>0</v>
      </c>
      <c r="AD41" s="120" cm="1">
        <f t="array" ref="AD41">SUMPRODUCT(($D$10:$D$39="INTERCO")*1,($G$10:$G$39="Horas Reales")*1,AD$10:AD$39,Resources!AC7:AC36)+AD43</f>
        <v>0</v>
      </c>
      <c r="AE41" s="120" cm="1">
        <f t="array" ref="AE41">SUMPRODUCT(($D$10:$D$39="INTERCO")*1,($G$10:$G$39="Horas Reales")*1,AE$10:AE$39,Resources!AD7:AD36)+AE43</f>
        <v>0</v>
      </c>
      <c r="AF41" s="120" cm="1">
        <f t="array" ref="AF41">SUMPRODUCT(($D$10:$D$39="INTERCO")*1,($G$10:$G$39="Horas Reales")*1,AF$10:AF$39,Resources!AE7:AE36)+AF43</f>
        <v>0</v>
      </c>
      <c r="AG41" s="120" cm="1">
        <f t="array" ref="AG41">SUMPRODUCT(($D$10:$D$39="INTERCO")*1,($G$10:$G$39="Horas Reales")*1,AG$10:AG$39,Resources!AF7:AF36)+AG43</f>
        <v>0</v>
      </c>
      <c r="AH41" s="120" cm="1">
        <f t="array" ref="AH41">SUMPRODUCT(($D$10:$D$39="INTERCO")*1,($G$10:$G$39="Horas Reales")*1,AH$10:AH$39,Resources!AG7:AG36)+AH43</f>
        <v>0</v>
      </c>
      <c r="AI41" s="120" cm="1">
        <f t="array" ref="AI41">SUMPRODUCT(($D$10:$D$39="INTERCO")*1,($G$10:$G$39="Horas Reales")*1,AI$10:AI$39,Resources!AH7:AH36)+AI43</f>
        <v>0</v>
      </c>
      <c r="AJ41" s="120" cm="1">
        <f t="array" ref="AJ41">SUMPRODUCT(($D$10:$D$39="INTERCO")*1,($G$10:$G$39="Horas Reales")*1,AJ$10:AJ$39,Resources!AI7:AI36)+AJ43</f>
        <v>0</v>
      </c>
      <c r="AK41" s="120" cm="1">
        <f t="array" ref="AK41">SUMPRODUCT(($D$10:$D$39="INTERCO")*1,($G$10:$G$39="Horas Reales")*1,AK$10:AK$39,Resources!AJ7:AJ36)+AK43</f>
        <v>0</v>
      </c>
      <c r="AL41" s="120" cm="1">
        <f t="array" ref="AL41">SUMPRODUCT(($D$10:$D$39="INTERCO")*1,($G$10:$G$39="Horas Reales")*1,AL$10:AL$39,Resources!AK7:AK36)+AL43</f>
        <v>0</v>
      </c>
      <c r="AM41" s="120" cm="1">
        <f t="array" ref="AM41">SUMPRODUCT(($D$10:$D$39="INTERCO")*1,($G$10:$G$39="Horas Reales")*1,AM$10:AM$39,Resources!AL7:AL36)+AM43</f>
        <v>0</v>
      </c>
      <c r="AN41" s="120" cm="1">
        <f t="array" ref="AN41">SUMPRODUCT(($D$10:$D$39="INTERCO")*1,($G$10:$G$39="Horas Reales")*1,AN$10:AN$39,Resources!AM7:AM36)+AN43</f>
        <v>0</v>
      </c>
      <c r="AO41" s="120" cm="1">
        <f t="array" ref="AO41">SUMPRODUCT(($D$10:$D$39="INTERCO")*1,($G$10:$G$39="Horas Reales")*1,AO$10:AO$39,Resources!AN7:AN36)+AO43</f>
        <v>0</v>
      </c>
      <c r="AP41" s="120" cm="1">
        <f t="array" ref="AP41">SUMPRODUCT(($D$10:$D$39="INTERCO")*1,($G$10:$G$39="Horas Reales")*1,AP$10:AP$39,Resources!AO7:AO36)+AP43</f>
        <v>0</v>
      </c>
      <c r="AQ41" s="120" cm="1">
        <f t="array" ref="AQ41">SUMPRODUCT(($D$10:$D$39="INTERCO")*1,($G$10:$G$39="Horas Reales")*1,AQ$10:AQ$39,Resources!AP7:AP36)+AQ43</f>
        <v>0</v>
      </c>
      <c r="AR41" s="120" cm="1">
        <f t="array" ref="AR41">SUMPRODUCT(($D$10:$D$39="INTERCO")*1,($G$10:$G$39="Horas Reales")*1,AR$10:AR$39,Resources!AQ7:AQ36)+AR43</f>
        <v>0</v>
      </c>
      <c r="AS41" s="120" cm="1">
        <f t="array" ref="AS41">SUMPRODUCT(($D$10:$D$39="INTERCO")*1,($G$10:$G$39="Horas Reales")*1,AS$10:AS$39,Resources!AR7:AR36)+AS43</f>
        <v>0</v>
      </c>
      <c r="AT41" s="120" cm="1">
        <f t="array" ref="AT41">SUMPRODUCT(($D$10:$D$39="INTERCO")*1,($G$10:$G$39="Horas Reales")*1,AT$10:AT$39,Resources!AS7:AS36)+AT43</f>
        <v>0</v>
      </c>
      <c r="AU41" s="120" cm="1">
        <f t="array" ref="AU41">SUMPRODUCT(($D$10:$D$39="INTERCO")*1,($G$10:$G$39="Horas Reales")*1,AU$10:AU$39,Resources!AT7:AT36)+AU43</f>
        <v>0</v>
      </c>
      <c r="AV41" s="120" cm="1">
        <f t="array" ref="AV41">SUMPRODUCT(($D$10:$D$39="INTERCO")*1,($G$10:$G$39="Horas Reales")*1,AV$10:AV$39,Resources!AU7:AU36)+AV43</f>
        <v>0</v>
      </c>
      <c r="AW41" s="120" cm="1">
        <f t="array" ref="AW41">SUMPRODUCT(($D$10:$D$39="INTERCO")*1,($G$10:$G$39="Horas Reales")*1,AW$10:AW$39,Resources!AV7:AV36)+AW43</f>
        <v>0</v>
      </c>
      <c r="AX41" s="120" cm="1">
        <f t="array" ref="AX41">SUMPRODUCT(($D$10:$D$39="INTERCO")*1,($G$10:$G$39="Horas Reales")*1,AX$10:AX$39,Resources!AW7:AW36)+AX43</f>
        <v>0</v>
      </c>
      <c r="AY41" s="120" cm="1">
        <f t="array" ref="AY41">SUMPRODUCT(($D$10:$D$39="INTERCO")*1,($G$10:$G$39="Horas Reales")*1,AY$10:AY$39,Resources!AX7:AX36)+AY43</f>
        <v>0</v>
      </c>
      <c r="AZ41" s="120" cm="1">
        <f t="array" ref="AZ41">SUMPRODUCT(($D$10:$D$39="INTERCO")*1,($G$10:$G$39="Horas Reales")*1,AZ$10:AZ$39,Resources!AY7:AY36)+AZ43</f>
        <v>0</v>
      </c>
      <c r="BA41" s="120" cm="1">
        <f t="array" ref="BA41">SUMPRODUCT(($D$10:$D$39="INTERCO")*1,($G$10:$G$39="Horas Reales")*1,BA$10:BA$39,Resources!AZ7:AZ36)+BA43</f>
        <v>0</v>
      </c>
      <c r="BB41" s="120" cm="1">
        <f t="array" ref="BB41">SUMPRODUCT(($D$10:$D$39="INTERCO")*1,($G$10:$G$39="Horas Reales")*1,BB$10:BB$39,Resources!BA7:BA36)+BB43</f>
        <v>0</v>
      </c>
      <c r="BC41" s="120" cm="1">
        <f t="array" ref="BC41">SUMPRODUCT(($D$10:$D$39="INTERCO")*1,($G$10:$G$39="Horas Reales")*1,BC$10:BC$39,Resources!BB7:BB36)+BC43</f>
        <v>0</v>
      </c>
      <c r="BD41" s="120" cm="1">
        <f t="array" ref="BD41">SUMPRODUCT(($D$10:$D$39="INTERCO")*1,($G$10:$G$39="Horas Reales")*1,BD$10:BD$39,Resources!BC7:BC36)+BD43</f>
        <v>0</v>
      </c>
      <c r="BE41" s="120" cm="1">
        <f t="array" ref="BE41">SUMPRODUCT(($D$10:$D$39="INTERCO")*1,($G$10:$G$39="Horas Reales")*1,BE$10:BE$39,Resources!BD7:BD36)+BE43</f>
        <v>0</v>
      </c>
      <c r="BF41" s="120" cm="1">
        <f t="array" ref="BF41">SUMPRODUCT(($D$10:$D$39="INTERCO")*1,($G$10:$G$39="Horas Reales")*1,BF$10:BF$39,Resources!BE7:BE36)+BF43</f>
        <v>0</v>
      </c>
      <c r="BG41" s="120" cm="1">
        <f t="array" ref="BG41">SUMPRODUCT(($D$10:$D$39="INTERCO")*1,($G$10:$G$39="Horas Reales")*1,BG$10:BG$39,Resources!BF7:BF36)+BG43</f>
        <v>0</v>
      </c>
      <c r="BH41" s="120" cm="1">
        <f t="array" ref="BH41">SUMPRODUCT(($D$10:$D$39="INTERCO")*1,($G$10:$G$39="Horas Reales")*1,BH$10:BH$39,Resources!BG7:BG36)+BH43</f>
        <v>0</v>
      </c>
      <c r="BI41" s="120" cm="1">
        <f t="array" ref="BI41">SUMPRODUCT(($D$10:$D$39="INTERCO")*1,($G$10:$G$39="Horas Reales")*1,BI$10:BI$39,Resources!BH7:BH36)+BI43</f>
        <v>0</v>
      </c>
      <c r="BJ41" s="120" cm="1">
        <f t="array" ref="BJ41">SUMPRODUCT(($D$10:$D$39="INTERCO")*1,($G$10:$G$39="Horas Reales")*1,BJ$10:BJ$39,Resources!BI7:BI36)+BJ43</f>
        <v>0</v>
      </c>
      <c r="BK41" s="120" cm="1">
        <f t="array" ref="BK41">SUMPRODUCT(($D$10:$D$39="INTERCO")*1,($G$10:$G$39="Horas Reales")*1,BK$10:BK$39,Resources!BJ7:BJ36)+BK43</f>
        <v>0</v>
      </c>
      <c r="BL41" s="120" cm="1">
        <f t="array" ref="BL41">SUMPRODUCT(($D$10:$D$39="INTERCO")*1,($G$10:$G$39="Horas Reales")*1,BL$10:BL$39,Resources!BK7:BK36)+BL43</f>
        <v>0</v>
      </c>
      <c r="BM41" s="120" cm="1">
        <f t="array" ref="BM41">SUMPRODUCT(($D$10:$D$39="INTERCO")*1,($G$10:$G$39="Horas Reales")*1,BM$10:BM$39,Resources!BL7:BL36)+BM43</f>
        <v>0</v>
      </c>
      <c r="BN41" s="120" cm="1">
        <f t="array" ref="BN41">SUMPRODUCT(($D$10:$D$39="INTERCO")*1,($G$10:$G$39="Horas Reales")*1,BN$10:BN$39,Resources!BM7:BM36)+BN43</f>
        <v>0</v>
      </c>
      <c r="BO41" s="120" cm="1">
        <f t="array" ref="BO41">SUMPRODUCT(($D$10:$D$39="INTERCO")*1,($G$10:$G$39="Horas Reales")*1,BO$10:BO$39,Resources!BN7:BN36)+BO43</f>
        <v>0</v>
      </c>
    </row>
    <row r="42" spans="2:80" s="104" customFormat="1" ht="19.5" customHeight="1" x14ac:dyDescent="0.25">
      <c r="B42" s="292"/>
      <c r="C42" s="295" t="s">
        <v>134</v>
      </c>
      <c r="D42" s="295"/>
      <c r="E42" s="295"/>
      <c r="F42" s="105"/>
      <c r="G42" s="105"/>
      <c r="H42" s="227"/>
      <c r="I42" s="227"/>
      <c r="J42" s="227"/>
      <c r="K42" s="227"/>
      <c r="L42" s="227"/>
      <c r="M42" s="227"/>
      <c r="N42" s="227"/>
      <c r="O42" s="227"/>
      <c r="P42" s="227"/>
      <c r="Q42" s="227"/>
      <c r="R42" s="227"/>
      <c r="S42" s="227"/>
      <c r="T42" s="227"/>
      <c r="U42" s="227"/>
      <c r="V42" s="227"/>
      <c r="W42" s="227"/>
      <c r="X42" s="227"/>
      <c r="Y42" s="227"/>
      <c r="Z42" s="227"/>
      <c r="AA42" s="227"/>
      <c r="AB42" s="227"/>
      <c r="AC42" s="227"/>
      <c r="AD42" s="227"/>
      <c r="AE42" s="227"/>
      <c r="AF42" s="227"/>
      <c r="AG42" s="227"/>
      <c r="AH42" s="227"/>
      <c r="AI42" s="227"/>
      <c r="AJ42" s="227"/>
      <c r="AK42" s="227"/>
      <c r="AL42" s="227"/>
      <c r="AM42" s="227"/>
      <c r="AN42" s="227"/>
      <c r="AO42" s="227"/>
      <c r="AP42" s="227"/>
      <c r="AQ42" s="227"/>
      <c r="AR42" s="227"/>
      <c r="AS42" s="227"/>
      <c r="AT42" s="227"/>
      <c r="AU42" s="227"/>
      <c r="AV42" s="227"/>
      <c r="AW42" s="227"/>
      <c r="AX42" s="227"/>
      <c r="AY42" s="227"/>
      <c r="AZ42" s="227"/>
      <c r="BA42" s="227"/>
      <c r="BB42" s="227"/>
      <c r="BC42" s="227"/>
      <c r="BD42" s="227"/>
      <c r="BE42" s="227"/>
      <c r="BF42" s="227"/>
      <c r="BG42" s="227"/>
      <c r="BH42" s="227"/>
      <c r="BI42" s="227"/>
      <c r="BJ42" s="227"/>
      <c r="BK42" s="227"/>
      <c r="BL42" s="227"/>
      <c r="BM42" s="227"/>
      <c r="BN42" s="227"/>
      <c r="BO42" s="227"/>
    </row>
    <row r="43" spans="2:80" s="104" customFormat="1" ht="19.5" customHeight="1" x14ac:dyDescent="0.25">
      <c r="B43" s="292"/>
      <c r="C43" s="292" t="s">
        <v>135</v>
      </c>
      <c r="D43" s="292"/>
      <c r="E43" s="292"/>
      <c r="F43" s="105"/>
      <c r="G43" s="105"/>
      <c r="H43" s="227"/>
      <c r="I43" s="227"/>
      <c r="J43" s="227"/>
      <c r="K43" s="227"/>
      <c r="L43" s="227"/>
      <c r="M43" s="227"/>
      <c r="N43" s="227"/>
      <c r="O43" s="227"/>
      <c r="P43" s="227"/>
      <c r="Q43" s="227"/>
      <c r="R43" s="227"/>
      <c r="S43" s="227"/>
      <c r="T43" s="227"/>
      <c r="U43" s="227"/>
      <c r="V43" s="227"/>
      <c r="W43" s="227"/>
      <c r="X43" s="227"/>
      <c r="Y43" s="227"/>
      <c r="Z43" s="227"/>
      <c r="AA43" s="227"/>
      <c r="AB43" s="227"/>
      <c r="AC43" s="227"/>
      <c r="AD43" s="227"/>
      <c r="AE43" s="227"/>
      <c r="AF43" s="227"/>
      <c r="AG43" s="227"/>
      <c r="AH43" s="227"/>
      <c r="AI43" s="227"/>
      <c r="AJ43" s="227"/>
      <c r="AK43" s="227"/>
      <c r="AL43" s="227"/>
      <c r="AM43" s="227"/>
      <c r="AN43" s="227"/>
      <c r="AO43" s="227"/>
      <c r="AP43" s="227"/>
      <c r="AQ43" s="227"/>
      <c r="AR43" s="227"/>
      <c r="AS43" s="227"/>
      <c r="AT43" s="227"/>
      <c r="AU43" s="227"/>
      <c r="AV43" s="227"/>
      <c r="AW43" s="227"/>
      <c r="AX43" s="227"/>
      <c r="AY43" s="227"/>
      <c r="AZ43" s="227"/>
      <c r="BA43" s="227"/>
      <c r="BB43" s="227"/>
      <c r="BC43" s="227"/>
      <c r="BD43" s="227"/>
      <c r="BE43" s="227"/>
      <c r="BF43" s="227"/>
      <c r="BG43" s="227"/>
      <c r="BH43" s="227"/>
      <c r="BI43" s="227"/>
      <c r="BJ43" s="227"/>
      <c r="BK43" s="227"/>
      <c r="BL43" s="227"/>
      <c r="BM43" s="227"/>
      <c r="BN43" s="227"/>
      <c r="BO43" s="227"/>
    </row>
    <row r="44" spans="2:80" ht="20.149999999999999" customHeight="1" x14ac:dyDescent="0.25">
      <c r="B44" s="121" t="s">
        <v>136</v>
      </c>
      <c r="C44" s="122"/>
      <c r="D44" s="123"/>
      <c r="E44" s="123"/>
      <c r="F44" s="120"/>
      <c r="G44" s="120"/>
      <c r="H44" s="282" cm="1">
        <f t="array" ref="H44">SUMPRODUCT(($G$10:$G$39="Horas/Jornadas Facturables")*1,H$10:H$39,Resources!G7:G36)</f>
        <v>9591.5833333333321</v>
      </c>
      <c r="I44" s="282" cm="1">
        <f t="array" ref="I44">SUMPRODUCT(($G$10:$G$39="Horas/Jornadas Facturables")*1,I$10:I$39,Resources!H7:H36)</f>
        <v>9591.5833333333321</v>
      </c>
      <c r="J44" s="282" cm="1">
        <f t="array" ref="J44">SUMPRODUCT(($G$10:$G$39="Horas/Jornadas Facturables")*1,J$10:J$39,Resources!I7:I36)</f>
        <v>9591.5833333333321</v>
      </c>
      <c r="K44" s="282" cm="1">
        <f t="array" ref="K44">SUMPRODUCT(($G$10:$G$39="Horas/Jornadas Facturables")*1,K$10:K$39,Resources!J7:J36)</f>
        <v>9591.5833333333321</v>
      </c>
      <c r="L44" s="282" cm="1">
        <f t="array" ref="L44">SUMPRODUCT(($G$10:$G$39="Horas/Jornadas Facturables")*1,L$10:L$39,Resources!K7:K36)</f>
        <v>9591.5833333333321</v>
      </c>
      <c r="M44" s="282" cm="1">
        <f t="array" ref="M44">SUMPRODUCT(($G$10:$G$39="Horas/Jornadas Facturables")*1,M$10:M$39,Resources!L7:L36)</f>
        <v>9591.5833333333321</v>
      </c>
      <c r="N44" s="282" cm="1">
        <f t="array" ref="N44">SUMPRODUCT(($G$10:$G$39="Horas/Jornadas Facturables")*1,N$10:N$39,Resources!M7:M36)</f>
        <v>9591.5833333333321</v>
      </c>
      <c r="O44" s="282" cm="1">
        <f t="array" ref="O44">SUMPRODUCT(($G$10:$G$39="Horas/Jornadas Facturables")*1,O$10:O$39,Resources!N7:N36)</f>
        <v>9591.5833333333321</v>
      </c>
      <c r="P44" s="282" cm="1">
        <f t="array" ref="P44">SUMPRODUCT(($G$10:$G$39="Horas/Jornadas Facturables")*1,P$10:P$39,Resources!O7:O36)</f>
        <v>9591.5833333333321</v>
      </c>
      <c r="Q44" s="282" cm="1">
        <f t="array" ref="Q44">SUMPRODUCT(($G$10:$G$39="Horas/Jornadas Facturables")*1,Q$10:Q$39,Resources!P7:P36)</f>
        <v>9591.5833333333321</v>
      </c>
      <c r="R44" s="282" cm="1">
        <f t="array" ref="R44">SUMPRODUCT(($G$10:$G$39="Horas/Jornadas Facturables")*1,R$10:R$39,Resources!Q7:Q36)</f>
        <v>9591.5833333333321</v>
      </c>
      <c r="S44" s="282" cm="1">
        <f t="array" ref="S44">SUMPRODUCT(($G$10:$G$39="Horas/Jornadas Facturables")*1,S$10:S$39,Resources!R7:R36)</f>
        <v>9591.5833333333321</v>
      </c>
      <c r="T44" s="282" cm="1">
        <f t="array" ref="T44">SUMPRODUCT(($G$10:$G$39="Horas/Jornadas Facturables")*1,T$10:T$39,Resources!S7:S36)</f>
        <v>9591.5833333333321</v>
      </c>
      <c r="U44" s="282" cm="1">
        <f t="array" ref="U44">SUMPRODUCT(($G$10:$G$39="Horas/Jornadas Facturables")*1,U$10:U$39,Resources!T7:T36)</f>
        <v>9591.5833333333321</v>
      </c>
      <c r="V44" s="282" cm="1">
        <f t="array" ref="V44">SUMPRODUCT(($G$10:$G$39="Horas/Jornadas Facturables")*1,V$10:V$39,Resources!U7:U36)</f>
        <v>9591.5833333333321</v>
      </c>
      <c r="W44" s="282" cm="1">
        <f t="array" ref="W44">SUMPRODUCT(($G$10:$G$39="Horas/Jornadas Facturables")*1,W$10:W$39,Resources!V7:V36)</f>
        <v>9591.5833333333321</v>
      </c>
      <c r="X44" s="282" cm="1">
        <f t="array" ref="X44">SUMPRODUCT(($G$10:$G$39="Horas/Jornadas Facturables")*1,X$10:X$39,Resources!W7:W36)</f>
        <v>9591.5833333333321</v>
      </c>
      <c r="Y44" s="282" cm="1">
        <f t="array" ref="Y44">SUMPRODUCT(($G$10:$G$39="Horas/Jornadas Facturables")*1,Y$10:Y$39,Resources!X7:X36)</f>
        <v>9591.5833333333321</v>
      </c>
      <c r="Z44" s="282" cm="1">
        <f t="array" ref="Z44">SUMPRODUCT(($G$10:$G$39="Horas/Jornadas Facturables")*1,Z$10:Z$39,Resources!Y7:Y36)</f>
        <v>9591.5833333333321</v>
      </c>
      <c r="AA44" s="282" cm="1">
        <f t="array" ref="AA44">SUMPRODUCT(($G$10:$G$39="Horas/Jornadas Facturables")*1,AA$10:AA$39,Resources!Z7:Z36)</f>
        <v>9591.5833333333321</v>
      </c>
      <c r="AB44" s="282" cm="1">
        <f t="array" ref="AB44">SUMPRODUCT(($G$10:$G$39="Horas/Jornadas Facturables")*1,AB$10:AB$39,Resources!AA7:AA36)</f>
        <v>9591.5833333333321</v>
      </c>
      <c r="AC44" s="282" cm="1">
        <f t="array" ref="AC44">SUMPRODUCT(($G$10:$G$39="Horas/Jornadas Facturables")*1,AC$10:AC$39,Resources!AB7:AB36)</f>
        <v>9591.5833333333321</v>
      </c>
      <c r="AD44" s="282" cm="1">
        <f t="array" ref="AD44">SUMPRODUCT(($G$10:$G$39="Horas/Jornadas Facturables")*1,AD$10:AD$39,Resources!AC7:AC36)</f>
        <v>9591.5833333333321</v>
      </c>
      <c r="AE44" s="282" cm="1">
        <f t="array" ref="AE44">SUMPRODUCT(($G$10:$G$39="Horas/Jornadas Facturables")*1,AE$10:AE$39,Resources!AD7:AD36)</f>
        <v>9591.5833333333321</v>
      </c>
      <c r="AF44" s="282" cm="1">
        <f t="array" ref="AF44">SUMPRODUCT(($G$10:$G$39="Horas/Jornadas Facturables")*1,AF$10:AF$39,Resources!AE7:AE36)</f>
        <v>9591.5833333333321</v>
      </c>
      <c r="AG44" s="282" cm="1">
        <f t="array" ref="AG44">SUMPRODUCT(($G$10:$G$39="Horas/Jornadas Facturables")*1,AG$10:AG$39,Resources!AF7:AF36)</f>
        <v>9591.5833333333321</v>
      </c>
      <c r="AH44" s="282" cm="1">
        <f t="array" ref="AH44">SUMPRODUCT(($G$10:$G$39="Horas/Jornadas Facturables")*1,AH$10:AH$39,Resources!AG7:AG36)</f>
        <v>9591.5833333333321</v>
      </c>
      <c r="AI44" s="282" cm="1">
        <f t="array" ref="AI44">SUMPRODUCT(($G$10:$G$39="Horas/Jornadas Facturables")*1,AI$10:AI$39,Resources!AH7:AH36)</f>
        <v>9591.5833333333321</v>
      </c>
      <c r="AJ44" s="282" cm="1">
        <f t="array" ref="AJ44">SUMPRODUCT(($G$10:$G$39="Horas/Jornadas Facturables")*1,AJ$10:AJ$39,Resources!AI7:AI36)</f>
        <v>9591.5833333333321</v>
      </c>
      <c r="AK44" s="282" cm="1">
        <f t="array" ref="AK44">SUMPRODUCT(($G$10:$G$39="Horas/Jornadas Facturables")*1,AK$10:AK$39,Resources!AJ7:AJ36)</f>
        <v>9591.5833333333321</v>
      </c>
      <c r="AL44" s="282" cm="1">
        <f t="array" ref="AL44">SUMPRODUCT(($G$10:$G$39="Horas/Jornadas Facturables")*1,AL$10:AL$39,Resources!AK7:AK36)</f>
        <v>9591.5833333333321</v>
      </c>
      <c r="AM44" s="282" cm="1">
        <f t="array" ref="AM44">SUMPRODUCT(($G$10:$G$39="Horas/Jornadas Facturables")*1,AM$10:AM$39,Resources!AL7:AL36)</f>
        <v>9591.5833333333321</v>
      </c>
      <c r="AN44" s="282" cm="1">
        <f t="array" ref="AN44">SUMPRODUCT(($G$10:$G$39="Horas/Jornadas Facturables")*1,AN$10:AN$39,Resources!AM7:AM36)</f>
        <v>9591.5833333333321</v>
      </c>
      <c r="AO44" s="282" cm="1">
        <f t="array" ref="AO44">SUMPRODUCT(($G$10:$G$39="Horas/Jornadas Facturables")*1,AO$10:AO$39,Resources!AN7:AN36)</f>
        <v>9591.5833333333321</v>
      </c>
      <c r="AP44" s="282" cm="1">
        <f t="array" ref="AP44">SUMPRODUCT(($G$10:$G$39="Horas/Jornadas Facturables")*1,AP$10:AP$39,Resources!AO7:AO36)</f>
        <v>9591.5833333333321</v>
      </c>
      <c r="AQ44" s="282" cm="1">
        <f t="array" ref="AQ44">SUMPRODUCT(($G$10:$G$39="Horas/Jornadas Facturables")*1,AQ$10:AQ$39,Resources!AP7:AP36)</f>
        <v>9591.5833333333321</v>
      </c>
      <c r="AR44" s="282" cm="1">
        <f t="array" ref="AR44">SUMPRODUCT(($G$10:$G$39="Horas/Jornadas Facturables")*1,AR$10:AR$39,Resources!AQ7:AQ36)</f>
        <v>9591.5833333333321</v>
      </c>
      <c r="AS44" s="282" cm="1">
        <f t="array" ref="AS44">SUMPRODUCT(($G$10:$G$39="Horas/Jornadas Facturables")*1,AS$10:AS$39,Resources!AR7:AR36)</f>
        <v>9591.5833333333321</v>
      </c>
      <c r="AT44" s="282" cm="1">
        <f t="array" ref="AT44">SUMPRODUCT(($G$10:$G$39="Horas/Jornadas Facturables")*1,AT$10:AT$39,Resources!AS7:AS36)</f>
        <v>9591.5833333333321</v>
      </c>
      <c r="AU44" s="282" cm="1">
        <f t="array" ref="AU44">SUMPRODUCT(($G$10:$G$39="Horas/Jornadas Facturables")*1,AU$10:AU$39,Resources!AT7:AT36)</f>
        <v>9591.5833333333321</v>
      </c>
      <c r="AV44" s="282" cm="1">
        <f t="array" ref="AV44">SUMPRODUCT(($G$10:$G$39="Horas/Jornadas Facturables")*1,AV$10:AV$39,Resources!AU7:AU36)</f>
        <v>9591.5833333333321</v>
      </c>
      <c r="AW44" s="282" cm="1">
        <f t="array" ref="AW44">SUMPRODUCT(($G$10:$G$39="Horas/Jornadas Facturables")*1,AW$10:AW$39,Resources!AV7:AV36)</f>
        <v>9591.5833333333321</v>
      </c>
      <c r="AX44" s="282" cm="1">
        <f t="array" ref="AX44">SUMPRODUCT(($G$10:$G$39="Horas/Jornadas Facturables")*1,AX$10:AX$39,Resources!AW7:AW36)</f>
        <v>9591.5833333333321</v>
      </c>
      <c r="AY44" s="282" cm="1">
        <f t="array" ref="AY44">SUMPRODUCT(($G$10:$G$39="Horas/Jornadas Facturables")*1,AY$10:AY$39,Resources!AX7:AX36)</f>
        <v>9591.5833333333321</v>
      </c>
      <c r="AZ44" s="282" cm="1">
        <f t="array" ref="AZ44">SUMPRODUCT(($G$10:$G$39="Horas/Jornadas Facturables")*1,AZ$10:AZ$39,Resources!AY7:AY36)</f>
        <v>9591.5833333333321</v>
      </c>
      <c r="BA44" s="282" cm="1">
        <f t="array" ref="BA44">SUMPRODUCT(($G$10:$G$39="Horas/Jornadas Facturables")*1,BA$10:BA$39,Resources!AZ7:AZ36)</f>
        <v>9591.5833333333321</v>
      </c>
      <c r="BB44" s="282" cm="1">
        <f t="array" ref="BB44">SUMPRODUCT(($G$10:$G$39="Horas/Jornadas Facturables")*1,BB$10:BB$39,Resources!BA7:BA36)</f>
        <v>9591.5833333333321</v>
      </c>
      <c r="BC44" s="282" cm="1">
        <f t="array" ref="BC44">SUMPRODUCT(($G$10:$G$39="Horas/Jornadas Facturables")*1,BC$10:BC$39,Resources!BB7:BB36)</f>
        <v>9591.5833333333321</v>
      </c>
      <c r="BD44" s="282" cm="1">
        <f t="array" ref="BD44">SUMPRODUCT(($G$10:$G$39="Horas/Jornadas Facturables")*1,BD$10:BD$39,Resources!BC7:BC36)</f>
        <v>0</v>
      </c>
      <c r="BE44" s="282" cm="1">
        <f t="array" ref="BE44">SUMPRODUCT(($G$10:$G$39="Horas/Jornadas Facturables")*1,BE$10:BE$39,Resources!BD7:BD36)</f>
        <v>0</v>
      </c>
      <c r="BF44" s="282" cm="1">
        <f t="array" ref="BF44">SUMPRODUCT(($G$10:$G$39="Horas/Jornadas Facturables")*1,BF$10:BF$39,Resources!BE7:BE36)</f>
        <v>0</v>
      </c>
      <c r="BG44" s="282" cm="1">
        <f t="array" ref="BG44">SUMPRODUCT(($G$10:$G$39="Horas/Jornadas Facturables")*1,BG$10:BG$39,Resources!BF7:BF36)</f>
        <v>0</v>
      </c>
      <c r="BH44" s="282" cm="1">
        <f t="array" ref="BH44">SUMPRODUCT(($G$10:$G$39="Horas/Jornadas Facturables")*1,BH$10:BH$39,Resources!BG7:BG36)</f>
        <v>0</v>
      </c>
      <c r="BI44" s="282" cm="1">
        <f t="array" ref="BI44">SUMPRODUCT(($G$10:$G$39="Horas/Jornadas Facturables")*1,BI$10:BI$39,Resources!BH7:BH36)</f>
        <v>0</v>
      </c>
      <c r="BJ44" s="282" cm="1">
        <f t="array" ref="BJ44">SUMPRODUCT(($G$10:$G$39="Horas/Jornadas Facturables")*1,BJ$10:BJ$39,Resources!BI7:BI36)</f>
        <v>0</v>
      </c>
      <c r="BK44" s="282" cm="1">
        <f t="array" ref="BK44">SUMPRODUCT(($G$10:$G$39="Horas/Jornadas Facturables")*1,BK$10:BK$39,Resources!BJ7:BJ36)</f>
        <v>0</v>
      </c>
      <c r="BL44" s="282" cm="1">
        <f t="array" ref="BL44">SUMPRODUCT(($G$10:$G$39="Horas/Jornadas Facturables")*1,BL$10:BL$39,Resources!BK7:BK36)</f>
        <v>0</v>
      </c>
      <c r="BM44" s="282" cm="1">
        <f t="array" ref="BM44">SUMPRODUCT(($G$10:$G$39="Horas/Jornadas Facturables")*1,BM$10:BM$39,Resources!BL7:BL36)</f>
        <v>0</v>
      </c>
      <c r="BN44" s="282" cm="1">
        <f t="array" ref="BN44">SUMPRODUCT(($G$10:$G$39="Horas/Jornadas Facturables")*1,BN$10:BN$39,Resources!BM7:BM36)</f>
        <v>0</v>
      </c>
      <c r="BO44" s="282" cm="1">
        <f t="array" ref="BO44">SUMPRODUCT(($G$10:$G$39="Horas/Jornadas Facturables")*1,BO$10:BO$39,Resources!BN7:BN36)</f>
        <v>0</v>
      </c>
    </row>
    <row r="45" spans="2:80" ht="12" customHeight="1" x14ac:dyDescent="0.25">
      <c r="B45" s="98"/>
      <c r="C45" s="99"/>
      <c r="D45" s="109"/>
      <c r="E45" s="109"/>
      <c r="F45" s="109"/>
      <c r="G45" s="109"/>
      <c r="H45" s="99"/>
      <c r="I45" s="99"/>
      <c r="J45" s="99"/>
      <c r="K45" s="99"/>
      <c r="L45" s="99"/>
      <c r="M45" s="99"/>
      <c r="N45" s="99"/>
      <c r="O45" s="99"/>
      <c r="P45" s="99"/>
      <c r="Q45" s="99"/>
    </row>
    <row r="46" spans="2:80" s="103" customFormat="1" ht="35.15" customHeight="1" thickBot="1" x14ac:dyDescent="0.3">
      <c r="B46" s="98"/>
      <c r="C46" s="126"/>
      <c r="D46" s="126" t="s">
        <v>137</v>
      </c>
      <c r="E46" s="127" t="s">
        <v>126</v>
      </c>
      <c r="F46" s="291"/>
      <c r="G46" s="291"/>
      <c r="H46" s="102">
        <f>'Project Infor'!C8</f>
        <v>46023</v>
      </c>
      <c r="I46" s="102">
        <f t="shared" ref="I46" si="15">EOMONTH(H46,1)</f>
        <v>46081</v>
      </c>
      <c r="J46" s="102">
        <f t="shared" ref="J46" si="16">EOMONTH(I46,1)</f>
        <v>46112</v>
      </c>
      <c r="K46" s="102">
        <f t="shared" ref="K46" si="17">EOMONTH(J46,1)</f>
        <v>46142</v>
      </c>
      <c r="L46" s="102">
        <f t="shared" ref="L46" si="18">EOMONTH(K46,1)</f>
        <v>46173</v>
      </c>
      <c r="M46" s="102">
        <f t="shared" ref="M46" si="19">EOMONTH(L46,1)</f>
        <v>46203</v>
      </c>
      <c r="N46" s="102">
        <f t="shared" ref="N46" si="20">EOMONTH(M46,1)</f>
        <v>46234</v>
      </c>
      <c r="O46" s="102">
        <f t="shared" ref="O46" si="21">EOMONTH(N46,1)</f>
        <v>46265</v>
      </c>
      <c r="P46" s="102">
        <f t="shared" ref="P46" si="22">EOMONTH(O46,1)</f>
        <v>46295</v>
      </c>
      <c r="Q46" s="102">
        <f t="shared" ref="Q46" si="23">EOMONTH(P46,1)</f>
        <v>46326</v>
      </c>
      <c r="R46" s="102">
        <f t="shared" ref="R46" si="24">EOMONTH(Q46,1)</f>
        <v>46356</v>
      </c>
      <c r="S46" s="102">
        <f t="shared" ref="S46" si="25">EOMONTH(R46,1)</f>
        <v>46387</v>
      </c>
      <c r="T46" s="102">
        <f t="shared" ref="T46" si="26">EOMONTH(S46,1)</f>
        <v>46418</v>
      </c>
      <c r="U46" s="102">
        <f t="shared" ref="U46" si="27">EOMONTH(T46,1)</f>
        <v>46446</v>
      </c>
      <c r="V46" s="102">
        <f t="shared" ref="V46" si="28">EOMONTH(U46,1)</f>
        <v>46477</v>
      </c>
      <c r="W46" s="102">
        <f t="shared" ref="W46" si="29">EOMONTH(V46,1)</f>
        <v>46507</v>
      </c>
      <c r="X46" s="102">
        <f t="shared" ref="X46" si="30">EOMONTH(W46,1)</f>
        <v>46538</v>
      </c>
      <c r="Y46" s="102">
        <f t="shared" ref="Y46" si="31">EOMONTH(X46,1)</f>
        <v>46568</v>
      </c>
      <c r="Z46" s="102">
        <f t="shared" ref="Z46" si="32">EOMONTH(Y46,1)</f>
        <v>46599</v>
      </c>
      <c r="AA46" s="102">
        <f t="shared" ref="AA46" si="33">EOMONTH(Z46,1)</f>
        <v>46630</v>
      </c>
      <c r="AB46" s="102">
        <f t="shared" ref="AB46" si="34">EOMONTH(AA46,1)</f>
        <v>46660</v>
      </c>
      <c r="AC46" s="102">
        <f t="shared" ref="AC46" si="35">EOMONTH(AB46,1)</f>
        <v>46691</v>
      </c>
      <c r="AD46" s="102">
        <f t="shared" ref="AD46" si="36">EOMONTH(AC46,1)</f>
        <v>46721</v>
      </c>
      <c r="AE46" s="102">
        <f t="shared" ref="AE46" si="37">EOMONTH(AD46,1)</f>
        <v>46752</v>
      </c>
      <c r="AF46" s="102">
        <f t="shared" ref="AF46" si="38">EOMONTH(AE46,1)</f>
        <v>46783</v>
      </c>
      <c r="AG46" s="102">
        <f t="shared" ref="AG46" si="39">EOMONTH(AF46,1)</f>
        <v>46812</v>
      </c>
      <c r="AH46" s="102">
        <f t="shared" ref="AH46" si="40">EOMONTH(AG46,1)</f>
        <v>46843</v>
      </c>
      <c r="AI46" s="102">
        <f t="shared" ref="AI46" si="41">EOMONTH(AH46,1)</f>
        <v>46873</v>
      </c>
      <c r="AJ46" s="102">
        <f t="shared" ref="AJ46" si="42">EOMONTH(AI46,1)</f>
        <v>46904</v>
      </c>
      <c r="AK46" s="102">
        <f t="shared" ref="AK46" si="43">EOMONTH(AJ46,1)</f>
        <v>46934</v>
      </c>
      <c r="AL46" s="102">
        <f t="shared" ref="AL46" si="44">EOMONTH(AK46,1)</f>
        <v>46965</v>
      </c>
      <c r="AM46" s="102">
        <f t="shared" ref="AM46" si="45">EOMONTH(AL46,1)</f>
        <v>46996</v>
      </c>
      <c r="AN46" s="102">
        <f t="shared" ref="AN46" si="46">EOMONTH(AM46,1)</f>
        <v>47026</v>
      </c>
      <c r="AO46" s="102">
        <f t="shared" ref="AO46" si="47">EOMONTH(AN46,1)</f>
        <v>47057</v>
      </c>
      <c r="AP46" s="102">
        <f t="shared" ref="AP46" si="48">EOMONTH(AO46,1)</f>
        <v>47087</v>
      </c>
      <c r="AQ46" s="102">
        <f t="shared" ref="AQ46" si="49">EOMONTH(AP46,1)</f>
        <v>47118</v>
      </c>
      <c r="AR46" s="102">
        <f t="shared" ref="AR46" si="50">EOMONTH(AQ46,1)</f>
        <v>47149</v>
      </c>
      <c r="AS46" s="102">
        <f t="shared" ref="AS46" si="51">EOMONTH(AR46,1)</f>
        <v>47177</v>
      </c>
      <c r="AT46" s="102">
        <f t="shared" ref="AT46" si="52">EOMONTH(AS46,1)</f>
        <v>47208</v>
      </c>
      <c r="AU46" s="102">
        <f t="shared" ref="AU46" si="53">EOMONTH(AT46,1)</f>
        <v>47238</v>
      </c>
      <c r="AV46" s="102">
        <f t="shared" ref="AV46" si="54">EOMONTH(AU46,1)</f>
        <v>47269</v>
      </c>
      <c r="AW46" s="102">
        <f t="shared" ref="AW46" si="55">EOMONTH(AV46,1)</f>
        <v>47299</v>
      </c>
      <c r="AX46" s="102">
        <f t="shared" ref="AX46" si="56">EOMONTH(AW46,1)</f>
        <v>47330</v>
      </c>
      <c r="AY46" s="102">
        <f t="shared" ref="AY46" si="57">EOMONTH(AX46,1)</f>
        <v>47361</v>
      </c>
      <c r="AZ46" s="102">
        <f t="shared" ref="AZ46" si="58">EOMONTH(AY46,1)</f>
        <v>47391</v>
      </c>
      <c r="BA46" s="102">
        <f t="shared" ref="BA46" si="59">EOMONTH(AZ46,1)</f>
        <v>47422</v>
      </c>
      <c r="BB46" s="102">
        <f t="shared" ref="BB46" si="60">EOMONTH(BA46,1)</f>
        <v>47452</v>
      </c>
      <c r="BC46" s="102">
        <f t="shared" ref="BC46" si="61">EOMONTH(BB46,1)</f>
        <v>47483</v>
      </c>
      <c r="BD46" s="102">
        <f t="shared" ref="BD46" si="62">EOMONTH(BC46,1)</f>
        <v>47514</v>
      </c>
      <c r="BE46" s="102">
        <f t="shared" ref="BE46" si="63">EOMONTH(BD46,1)</f>
        <v>47542</v>
      </c>
      <c r="BF46" s="102">
        <f t="shared" ref="BF46" si="64">EOMONTH(BE46,1)</f>
        <v>47573</v>
      </c>
      <c r="BG46" s="102">
        <f t="shared" ref="BG46" si="65">EOMONTH(BF46,1)</f>
        <v>47603</v>
      </c>
      <c r="BH46" s="102">
        <f t="shared" ref="BH46" si="66">EOMONTH(BG46,1)</f>
        <v>47634</v>
      </c>
      <c r="BI46" s="102">
        <f t="shared" ref="BI46" si="67">EOMONTH(BH46,1)</f>
        <v>47664</v>
      </c>
      <c r="BJ46" s="102">
        <f t="shared" ref="BJ46" si="68">EOMONTH(BI46,1)</f>
        <v>47695</v>
      </c>
      <c r="BK46" s="102">
        <f t="shared" ref="BK46" si="69">EOMONTH(BJ46,1)</f>
        <v>47726</v>
      </c>
      <c r="BL46" s="102">
        <f t="shared" ref="BL46" si="70">EOMONTH(BK46,1)</f>
        <v>47756</v>
      </c>
      <c r="BM46" s="102">
        <f t="shared" ref="BM46" si="71">EOMONTH(BL46,1)</f>
        <v>47787</v>
      </c>
      <c r="BN46" s="102">
        <f t="shared" ref="BN46" si="72">EOMONTH(BM46,1)</f>
        <v>47817</v>
      </c>
      <c r="BO46" s="102">
        <f t="shared" ref="BO46" si="73">EOMONTH(BN46,1)</f>
        <v>47848</v>
      </c>
      <c r="BP46" s="93"/>
      <c r="BQ46" s="93"/>
      <c r="BR46" s="93"/>
      <c r="BS46" s="93"/>
      <c r="BT46" s="93"/>
      <c r="BU46" s="93"/>
      <c r="BV46" s="93"/>
      <c r="BW46" s="93"/>
      <c r="BX46" s="93"/>
      <c r="BY46" s="93"/>
      <c r="BZ46" s="93"/>
      <c r="CA46" s="93"/>
      <c r="CB46" s="93"/>
    </row>
    <row r="47" spans="2:80" s="104" customFormat="1" ht="19.5" customHeight="1" thickBot="1" x14ac:dyDescent="0.4">
      <c r="B47" s="128" t="s">
        <v>61</v>
      </c>
      <c r="C47" s="129" t="s">
        <v>138</v>
      </c>
      <c r="D47" s="130">
        <f>'Cost Overview'!I8</f>
        <v>3565.85</v>
      </c>
      <c r="E47" s="131">
        <f>D47-SUM(H47:BO47)</f>
        <v>0</v>
      </c>
      <c r="F47" s="132"/>
      <c r="G47" s="281"/>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v>3565.85</v>
      </c>
      <c r="BD47" s="5"/>
      <c r="BE47" s="5"/>
      <c r="BF47" s="5"/>
      <c r="BG47" s="5"/>
      <c r="BH47" s="5"/>
      <c r="BI47" s="5"/>
      <c r="BJ47" s="5"/>
      <c r="BK47" s="5"/>
      <c r="BL47" s="5"/>
      <c r="BM47" s="5"/>
      <c r="BN47" s="5"/>
      <c r="BO47" s="5"/>
      <c r="BQ47" s="93"/>
      <c r="BR47" s="93"/>
      <c r="BS47" s="93"/>
      <c r="BT47" s="93"/>
      <c r="BU47" s="93"/>
      <c r="BV47" s="93"/>
      <c r="BW47" s="93"/>
      <c r="BX47" s="93"/>
      <c r="BY47" s="93"/>
      <c r="BZ47" s="93"/>
      <c r="CA47" s="93"/>
      <c r="CB47" s="93"/>
    </row>
    <row r="48" spans="2:80" s="104" customFormat="1" ht="19.5" customHeight="1" thickBot="1" x14ac:dyDescent="0.4">
      <c r="B48" s="133" t="s">
        <v>139</v>
      </c>
      <c r="C48" s="134" t="s">
        <v>140</v>
      </c>
      <c r="D48" s="135">
        <f>'Cost Overview'!J8</f>
        <v>0</v>
      </c>
      <c r="E48" s="131">
        <f>D48-SUM(H48:BO48)</f>
        <v>0</v>
      </c>
      <c r="F48" s="136"/>
      <c r="G48" s="267"/>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v>0</v>
      </c>
      <c r="BD48" s="5"/>
      <c r="BE48" s="5"/>
      <c r="BF48" s="5"/>
      <c r="BG48" s="5"/>
      <c r="BH48" s="5"/>
      <c r="BI48" s="5"/>
      <c r="BJ48" s="5"/>
      <c r="BK48" s="5"/>
      <c r="BL48" s="5"/>
      <c r="BM48" s="5"/>
      <c r="BN48" s="5"/>
      <c r="BO48" s="5"/>
      <c r="BQ48" s="93"/>
      <c r="BR48" s="93"/>
      <c r="BS48" s="93"/>
      <c r="BT48" s="93"/>
      <c r="BU48" s="93"/>
      <c r="BV48" s="93"/>
      <c r="BW48" s="93"/>
      <c r="BX48" s="93"/>
      <c r="BY48" s="93"/>
      <c r="BZ48" s="93"/>
      <c r="CA48" s="93"/>
      <c r="CB48" s="93"/>
    </row>
    <row r="49" spans="2:80" ht="25" customHeight="1" thickBot="1" x14ac:dyDescent="0.3">
      <c r="B49" s="98"/>
      <c r="C49" s="99"/>
      <c r="D49" s="109"/>
      <c r="E49" s="109"/>
      <c r="F49" s="109"/>
      <c r="G49" s="280"/>
      <c r="H49" s="110"/>
      <c r="I49" s="110"/>
      <c r="J49" s="110"/>
      <c r="K49" s="99"/>
      <c r="L49" s="99"/>
      <c r="M49" s="99"/>
      <c r="N49" s="99"/>
      <c r="O49" s="99"/>
      <c r="P49" s="99"/>
      <c r="Q49" s="99"/>
    </row>
    <row r="50" spans="2:80" ht="20.149999999999999" customHeight="1" thickBot="1" x14ac:dyDescent="0.35">
      <c r="B50" s="74" t="s">
        <v>63</v>
      </c>
      <c r="C50" s="99"/>
      <c r="D50" s="111" t="s">
        <v>141</v>
      </c>
      <c r="E50" s="111"/>
      <c r="F50" s="278">
        <f>'Cost Overview'!K8</f>
        <v>0</v>
      </c>
      <c r="G50" s="279"/>
      <c r="H50" s="275" t="s">
        <v>126</v>
      </c>
      <c r="I50" s="113"/>
      <c r="J50" s="114">
        <f>F50-SUM(F61:BO61)</f>
        <v>0</v>
      </c>
      <c r="K50" s="99"/>
      <c r="L50" s="296" t="s">
        <v>142</v>
      </c>
      <c r="M50" s="296"/>
      <c r="N50" s="296"/>
      <c r="O50" s="296"/>
      <c r="P50" s="296"/>
      <c r="Q50" s="296"/>
      <c r="S50" s="99"/>
    </row>
    <row r="51" spans="2:80" ht="12" customHeight="1" x14ac:dyDescent="0.25">
      <c r="B51" s="98"/>
      <c r="C51" s="99"/>
      <c r="D51" s="109"/>
      <c r="E51" s="109"/>
      <c r="F51" s="109"/>
      <c r="G51" s="280"/>
      <c r="H51" s="99"/>
      <c r="I51" s="99"/>
      <c r="J51" s="99"/>
      <c r="K51" s="99"/>
      <c r="L51" s="99"/>
      <c r="M51" s="99"/>
      <c r="N51" s="99"/>
      <c r="O51" s="99"/>
      <c r="P51" s="99"/>
      <c r="Q51" s="99"/>
    </row>
    <row r="52" spans="2:80" s="103" customFormat="1" ht="35.15" customHeight="1" x14ac:dyDescent="0.25">
      <c r="B52" s="291" t="s">
        <v>143</v>
      </c>
      <c r="C52" s="291" t="s">
        <v>144</v>
      </c>
      <c r="D52" s="291" t="s">
        <v>145</v>
      </c>
      <c r="E52" s="291"/>
      <c r="F52" s="101" t="s">
        <v>146</v>
      </c>
      <c r="G52" s="101" t="s">
        <v>147</v>
      </c>
      <c r="H52" s="102">
        <f>'Project Infor'!C8</f>
        <v>46023</v>
      </c>
      <c r="I52" s="102">
        <f t="shared" ref="I52" si="74">EOMONTH(H52,1)</f>
        <v>46081</v>
      </c>
      <c r="J52" s="102">
        <f t="shared" ref="J52" si="75">EOMONTH(I52,1)</f>
        <v>46112</v>
      </c>
      <c r="K52" s="102">
        <f t="shared" ref="K52" si="76">EOMONTH(J52,1)</f>
        <v>46142</v>
      </c>
      <c r="L52" s="102">
        <f t="shared" ref="L52" si="77">EOMONTH(K52,1)</f>
        <v>46173</v>
      </c>
      <c r="M52" s="102">
        <f t="shared" ref="M52" si="78">EOMONTH(L52,1)</f>
        <v>46203</v>
      </c>
      <c r="N52" s="102">
        <f t="shared" ref="N52" si="79">EOMONTH(M52,1)</f>
        <v>46234</v>
      </c>
      <c r="O52" s="102">
        <f t="shared" ref="O52" si="80">EOMONTH(N52,1)</f>
        <v>46265</v>
      </c>
      <c r="P52" s="102">
        <f t="shared" ref="P52" si="81">EOMONTH(O52,1)</f>
        <v>46295</v>
      </c>
      <c r="Q52" s="102">
        <f t="shared" ref="Q52" si="82">EOMONTH(P52,1)</f>
        <v>46326</v>
      </c>
      <c r="R52" s="102">
        <f t="shared" ref="R52" si="83">EOMONTH(Q52,1)</f>
        <v>46356</v>
      </c>
      <c r="S52" s="102">
        <f t="shared" ref="S52" si="84">EOMONTH(R52,1)</f>
        <v>46387</v>
      </c>
      <c r="T52" s="102">
        <f t="shared" ref="T52" si="85">EOMONTH(S52,1)</f>
        <v>46418</v>
      </c>
      <c r="U52" s="102">
        <f t="shared" ref="U52" si="86">EOMONTH(T52,1)</f>
        <v>46446</v>
      </c>
      <c r="V52" s="102">
        <f t="shared" ref="V52" si="87">EOMONTH(U52,1)</f>
        <v>46477</v>
      </c>
      <c r="W52" s="102">
        <f t="shared" ref="W52" si="88">EOMONTH(V52,1)</f>
        <v>46507</v>
      </c>
      <c r="X52" s="102">
        <f t="shared" ref="X52" si="89">EOMONTH(W52,1)</f>
        <v>46538</v>
      </c>
      <c r="Y52" s="102">
        <f t="shared" ref="Y52" si="90">EOMONTH(X52,1)</f>
        <v>46568</v>
      </c>
      <c r="Z52" s="102">
        <f t="shared" ref="Z52" si="91">EOMONTH(Y52,1)</f>
        <v>46599</v>
      </c>
      <c r="AA52" s="102">
        <f t="shared" ref="AA52" si="92">EOMONTH(Z52,1)</f>
        <v>46630</v>
      </c>
      <c r="AB52" s="102">
        <f t="shared" ref="AB52" si="93">EOMONTH(AA52,1)</f>
        <v>46660</v>
      </c>
      <c r="AC52" s="102">
        <f t="shared" ref="AC52" si="94">EOMONTH(AB52,1)</f>
        <v>46691</v>
      </c>
      <c r="AD52" s="102">
        <f t="shared" ref="AD52" si="95">EOMONTH(AC52,1)</f>
        <v>46721</v>
      </c>
      <c r="AE52" s="102">
        <f t="shared" ref="AE52" si="96">EOMONTH(AD52,1)</f>
        <v>46752</v>
      </c>
      <c r="AF52" s="102">
        <f t="shared" ref="AF52" si="97">EOMONTH(AE52,1)</f>
        <v>46783</v>
      </c>
      <c r="AG52" s="102">
        <f t="shared" ref="AG52" si="98">EOMONTH(AF52,1)</f>
        <v>46812</v>
      </c>
      <c r="AH52" s="102">
        <f t="shared" ref="AH52" si="99">EOMONTH(AG52,1)</f>
        <v>46843</v>
      </c>
      <c r="AI52" s="102">
        <f t="shared" ref="AI52" si="100">EOMONTH(AH52,1)</f>
        <v>46873</v>
      </c>
      <c r="AJ52" s="102">
        <f t="shared" ref="AJ52" si="101">EOMONTH(AI52,1)</f>
        <v>46904</v>
      </c>
      <c r="AK52" s="102">
        <f t="shared" ref="AK52" si="102">EOMONTH(AJ52,1)</f>
        <v>46934</v>
      </c>
      <c r="AL52" s="102">
        <f t="shared" ref="AL52" si="103">EOMONTH(AK52,1)</f>
        <v>46965</v>
      </c>
      <c r="AM52" s="102">
        <f t="shared" ref="AM52" si="104">EOMONTH(AL52,1)</f>
        <v>46996</v>
      </c>
      <c r="AN52" s="102">
        <f t="shared" ref="AN52" si="105">EOMONTH(AM52,1)</f>
        <v>47026</v>
      </c>
      <c r="AO52" s="102">
        <f t="shared" ref="AO52" si="106">EOMONTH(AN52,1)</f>
        <v>47057</v>
      </c>
      <c r="AP52" s="102">
        <f t="shared" ref="AP52" si="107">EOMONTH(AO52,1)</f>
        <v>47087</v>
      </c>
      <c r="AQ52" s="102">
        <f t="shared" ref="AQ52" si="108">EOMONTH(AP52,1)</f>
        <v>47118</v>
      </c>
      <c r="AR52" s="102">
        <f t="shared" ref="AR52" si="109">EOMONTH(AQ52,1)</f>
        <v>47149</v>
      </c>
      <c r="AS52" s="102">
        <f t="shared" ref="AS52" si="110">EOMONTH(AR52,1)</f>
        <v>47177</v>
      </c>
      <c r="AT52" s="102">
        <f t="shared" ref="AT52" si="111">EOMONTH(AS52,1)</f>
        <v>47208</v>
      </c>
      <c r="AU52" s="102">
        <f t="shared" ref="AU52" si="112">EOMONTH(AT52,1)</f>
        <v>47238</v>
      </c>
      <c r="AV52" s="102">
        <f t="shared" ref="AV52" si="113">EOMONTH(AU52,1)</f>
        <v>47269</v>
      </c>
      <c r="AW52" s="102">
        <f t="shared" ref="AW52" si="114">EOMONTH(AV52,1)</f>
        <v>47299</v>
      </c>
      <c r="AX52" s="102">
        <f t="shared" ref="AX52" si="115">EOMONTH(AW52,1)</f>
        <v>47330</v>
      </c>
      <c r="AY52" s="102">
        <f t="shared" ref="AY52" si="116">EOMONTH(AX52,1)</f>
        <v>47361</v>
      </c>
      <c r="AZ52" s="102">
        <f t="shared" ref="AZ52" si="117">EOMONTH(AY52,1)</f>
        <v>47391</v>
      </c>
      <c r="BA52" s="102">
        <f t="shared" ref="BA52" si="118">EOMONTH(AZ52,1)</f>
        <v>47422</v>
      </c>
      <c r="BB52" s="102">
        <f t="shared" ref="BB52" si="119">EOMONTH(BA52,1)</f>
        <v>47452</v>
      </c>
      <c r="BC52" s="102">
        <f t="shared" ref="BC52" si="120">EOMONTH(BB52,1)</f>
        <v>47483</v>
      </c>
      <c r="BD52" s="102">
        <f t="shared" ref="BD52" si="121">EOMONTH(BC52,1)</f>
        <v>47514</v>
      </c>
      <c r="BE52" s="102">
        <f t="shared" ref="BE52" si="122">EOMONTH(BD52,1)</f>
        <v>47542</v>
      </c>
      <c r="BF52" s="102">
        <f t="shared" ref="BF52" si="123">EOMONTH(BE52,1)</f>
        <v>47573</v>
      </c>
      <c r="BG52" s="102">
        <f t="shared" ref="BG52" si="124">EOMONTH(BF52,1)</f>
        <v>47603</v>
      </c>
      <c r="BH52" s="102">
        <f t="shared" ref="BH52" si="125">EOMONTH(BG52,1)</f>
        <v>47634</v>
      </c>
      <c r="BI52" s="102">
        <f t="shared" ref="BI52" si="126">EOMONTH(BH52,1)</f>
        <v>47664</v>
      </c>
      <c r="BJ52" s="102">
        <f t="shared" ref="BJ52" si="127">EOMONTH(BI52,1)</f>
        <v>47695</v>
      </c>
      <c r="BK52" s="102">
        <f t="shared" ref="BK52" si="128">EOMONTH(BJ52,1)</f>
        <v>47726</v>
      </c>
      <c r="BL52" s="102">
        <f t="shared" ref="BL52" si="129">EOMONTH(BK52,1)</f>
        <v>47756</v>
      </c>
      <c r="BM52" s="102">
        <f t="shared" ref="BM52" si="130">EOMONTH(BL52,1)</f>
        <v>47787</v>
      </c>
      <c r="BN52" s="102">
        <f t="shared" ref="BN52" si="131">EOMONTH(BM52,1)</f>
        <v>47817</v>
      </c>
      <c r="BO52" s="102">
        <f t="shared" ref="BO52" si="132">EOMONTH(BN52,1)</f>
        <v>47848</v>
      </c>
      <c r="BP52" s="93"/>
      <c r="BQ52" s="93"/>
      <c r="BR52" s="93"/>
      <c r="BS52" s="93"/>
      <c r="BT52" s="93"/>
      <c r="BU52" s="93"/>
      <c r="BV52" s="93"/>
      <c r="BW52" s="93"/>
      <c r="BX52" s="93"/>
      <c r="BY52" s="93"/>
      <c r="BZ52" s="93"/>
      <c r="CA52" s="93"/>
      <c r="CB52" s="93"/>
    </row>
    <row r="53" spans="2:80" s="104" customFormat="1" ht="19.5" customHeight="1" x14ac:dyDescent="0.35">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s="5"/>
      <c r="BE53" s="5"/>
      <c r="BF53" s="5"/>
      <c r="BG53" s="5"/>
      <c r="BH53" s="5"/>
      <c r="BI53" s="5"/>
      <c r="BJ53" s="5"/>
      <c r="BK53" s="5"/>
      <c r="BL53" s="5"/>
      <c r="BM53" s="5"/>
      <c r="BN53" s="5"/>
      <c r="BO53" s="5"/>
      <c r="BP53" s="287">
        <f>1/(1-G53)</f>
        <v>1</v>
      </c>
      <c r="BQ53" s="93"/>
      <c r="BR53" s="93"/>
      <c r="BS53" s="93"/>
      <c r="BT53" s="93"/>
      <c r="BU53" s="93"/>
      <c r="BV53" s="93"/>
      <c r="BW53" s="93"/>
      <c r="BX53" s="93"/>
      <c r="BY53" s="93"/>
      <c r="BZ53" s="93"/>
      <c r="CA53" s="93"/>
      <c r="CB53" s="93"/>
    </row>
    <row r="54" spans="2:80" s="104" customFormat="1" ht="19.5" customHeight="1" x14ac:dyDescent="0.35">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s="5"/>
      <c r="BE54" s="5"/>
      <c r="BF54" s="5"/>
      <c r="BG54" s="5"/>
      <c r="BH54" s="5"/>
      <c r="BI54" s="5"/>
      <c r="BJ54" s="5"/>
      <c r="BK54" s="5"/>
      <c r="BL54" s="5"/>
      <c r="BM54" s="5"/>
      <c r="BN54" s="5"/>
      <c r="BO54" s="5"/>
      <c r="BP54" s="287">
        <f t="shared" ref="BP54:BP60" si="133">1/(1-G54)</f>
        <v>1</v>
      </c>
      <c r="BQ54" s="93"/>
      <c r="BR54" s="93"/>
      <c r="BS54" s="93"/>
      <c r="BT54" s="93"/>
      <c r="BU54" s="93"/>
      <c r="BV54" s="93"/>
      <c r="BW54" s="93"/>
      <c r="BX54" s="93"/>
      <c r="BY54" s="93"/>
      <c r="BZ54" s="93"/>
      <c r="CA54" s="93"/>
      <c r="CB54" s="93"/>
    </row>
    <row r="55" spans="2:80" s="104" customFormat="1" ht="19.5" customHeight="1" x14ac:dyDescent="0.3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s="5"/>
      <c r="BE55" s="5"/>
      <c r="BF55" s="5"/>
      <c r="BG55" s="5"/>
      <c r="BH55" s="5"/>
      <c r="BI55" s="5"/>
      <c r="BJ55" s="5"/>
      <c r="BK55" s="5"/>
      <c r="BL55" s="5"/>
      <c r="BM55" s="5"/>
      <c r="BN55" s="5"/>
      <c r="BO55" s="5"/>
      <c r="BP55" s="287">
        <f t="shared" si="133"/>
        <v>1</v>
      </c>
      <c r="BQ55" s="93"/>
      <c r="BR55" s="93"/>
      <c r="BS55" s="93"/>
      <c r="BT55" s="93"/>
      <c r="BU55" s="93"/>
      <c r="BV55" s="93"/>
      <c r="BW55" s="93"/>
      <c r="BX55" s="93"/>
      <c r="BY55" s="93"/>
      <c r="BZ55" s="93"/>
      <c r="CA55" s="93"/>
      <c r="CB55" s="93"/>
    </row>
    <row r="56" spans="2:80" s="104" customFormat="1" ht="19.5" customHeight="1" x14ac:dyDescent="0.35">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s="5"/>
      <c r="BE56" s="5"/>
      <c r="BF56" s="5"/>
      <c r="BG56" s="5"/>
      <c r="BH56" s="5"/>
      <c r="BI56" s="5"/>
      <c r="BJ56" s="5"/>
      <c r="BK56" s="5"/>
      <c r="BL56" s="5"/>
      <c r="BM56" s="5"/>
      <c r="BN56" s="5"/>
      <c r="BO56" s="5"/>
      <c r="BP56" s="287">
        <f t="shared" si="133"/>
        <v>1</v>
      </c>
      <c r="BQ56" s="93"/>
      <c r="BR56" s="93"/>
      <c r="BS56" s="93"/>
      <c r="BT56" s="93"/>
      <c r="BU56" s="93"/>
      <c r="BV56" s="93"/>
      <c r="BW56" s="93"/>
      <c r="BX56" s="93"/>
      <c r="BY56" s="93"/>
      <c r="BZ56" s="93"/>
      <c r="CA56" s="93"/>
      <c r="CB56" s="93"/>
    </row>
    <row r="57" spans="2:80" s="104" customFormat="1" ht="19.5" customHeight="1" x14ac:dyDescent="0.35">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s="5"/>
      <c r="BE57" s="5"/>
      <c r="BF57" s="5"/>
      <c r="BG57" s="5"/>
      <c r="BH57" s="5"/>
      <c r="BI57" s="5"/>
      <c r="BJ57" s="5"/>
      <c r="BK57" s="5"/>
      <c r="BL57" s="5"/>
      <c r="BM57" s="5"/>
      <c r="BN57" s="5"/>
      <c r="BO57" s="5"/>
      <c r="BP57" s="287">
        <f t="shared" si="133"/>
        <v>1</v>
      </c>
      <c r="BQ57" s="93"/>
      <c r="BR57" s="93"/>
      <c r="BS57" s="93"/>
      <c r="BT57" s="93"/>
      <c r="BU57" s="93"/>
      <c r="BV57" s="93"/>
      <c r="BW57" s="93"/>
      <c r="BX57" s="93"/>
      <c r="BY57" s="93"/>
      <c r="BZ57" s="93"/>
      <c r="CA57" s="93"/>
      <c r="CB57" s="93"/>
    </row>
    <row r="58" spans="2:80" s="104" customFormat="1" ht="19.5" customHeight="1" x14ac:dyDescent="0.35">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s="5"/>
      <c r="BE58" s="5"/>
      <c r="BF58" s="5"/>
      <c r="BG58" s="5"/>
      <c r="BH58" s="5"/>
      <c r="BI58" s="5"/>
      <c r="BJ58" s="5"/>
      <c r="BK58" s="5"/>
      <c r="BL58" s="5"/>
      <c r="BM58" s="5"/>
      <c r="BN58" s="5"/>
      <c r="BO58" s="5"/>
      <c r="BP58" s="287">
        <f t="shared" si="133"/>
        <v>1</v>
      </c>
      <c r="BQ58" s="93"/>
      <c r="BR58" s="93"/>
      <c r="BS58" s="93"/>
      <c r="BT58" s="93"/>
      <c r="BU58" s="93"/>
      <c r="BV58" s="93"/>
      <c r="BW58" s="93"/>
      <c r="BX58" s="93"/>
      <c r="BY58" s="93"/>
      <c r="BZ58" s="93"/>
      <c r="CA58" s="93"/>
      <c r="CB58" s="93"/>
    </row>
    <row r="59" spans="2:80" s="104" customFormat="1" ht="19.5" customHeight="1" x14ac:dyDescent="0.35">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s="5"/>
      <c r="BE59" s="5"/>
      <c r="BF59" s="5"/>
      <c r="BG59" s="5"/>
      <c r="BH59" s="5"/>
      <c r="BI59" s="5"/>
      <c r="BJ59" s="5"/>
      <c r="BK59" s="5"/>
      <c r="BL59" s="5"/>
      <c r="BM59" s="5"/>
      <c r="BN59" s="5"/>
      <c r="BO59" s="5"/>
      <c r="BP59" s="287">
        <f t="shared" si="133"/>
        <v>1</v>
      </c>
      <c r="BQ59" s="288"/>
      <c r="BR59" s="93"/>
      <c r="BS59" s="93"/>
      <c r="BT59" s="93"/>
      <c r="BU59" s="93"/>
      <c r="BV59" s="93"/>
      <c r="BW59" s="93"/>
      <c r="BX59" s="93"/>
      <c r="BY59" s="93"/>
      <c r="BZ59" s="93"/>
      <c r="CA59" s="93"/>
      <c r="CB59" s="93"/>
    </row>
    <row r="60" spans="2:80" s="104" customFormat="1" ht="19.5" customHeight="1" x14ac:dyDescent="0.35">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s="5"/>
      <c r="BE60" s="5"/>
      <c r="BF60" s="5"/>
      <c r="BG60" s="5"/>
      <c r="BH60" s="5"/>
      <c r="BI60" s="5"/>
      <c r="BJ60" s="5"/>
      <c r="BK60" s="5"/>
      <c r="BL60" s="5"/>
      <c r="BM60" s="5"/>
      <c r="BN60" s="5"/>
      <c r="BO60" s="5"/>
      <c r="BP60" s="287">
        <f t="shared" si="133"/>
        <v>1</v>
      </c>
      <c r="BQ60" s="93"/>
      <c r="BR60" s="93"/>
      <c r="BS60" s="93"/>
      <c r="BT60" s="93"/>
      <c r="BU60" s="93"/>
      <c r="BV60" s="93"/>
      <c r="BW60" s="93"/>
      <c r="BX60" s="93"/>
      <c r="BY60" s="93"/>
      <c r="BZ60" s="93"/>
      <c r="CA60" s="93"/>
      <c r="CB60" s="93"/>
    </row>
    <row r="61" spans="2:80" ht="20.149999999999999" customHeight="1" x14ac:dyDescent="0.25">
      <c r="B61" s="117" t="s">
        <v>148</v>
      </c>
      <c r="C61" s="118"/>
      <c r="D61" s="119"/>
      <c r="E61" s="119"/>
      <c r="F61" s="120"/>
      <c r="G61" s="120"/>
      <c r="H61" s="120">
        <f t="shared" ref="H61:AD61" si="134">SUM(H53:H60)</f>
        <v>0</v>
      </c>
      <c r="I61" s="120">
        <f t="shared" si="134"/>
        <v>0</v>
      </c>
      <c r="J61" s="120">
        <f t="shared" si="134"/>
        <v>0</v>
      </c>
      <c r="K61" s="120">
        <f t="shared" si="134"/>
        <v>0</v>
      </c>
      <c r="L61" s="120">
        <f t="shared" si="134"/>
        <v>0</v>
      </c>
      <c r="M61" s="120">
        <f t="shared" si="134"/>
        <v>0</v>
      </c>
      <c r="N61" s="120">
        <f t="shared" si="134"/>
        <v>0</v>
      </c>
      <c r="O61" s="120">
        <f t="shared" si="134"/>
        <v>0</v>
      </c>
      <c r="P61" s="120">
        <f t="shared" si="134"/>
        <v>0</v>
      </c>
      <c r="Q61" s="120">
        <f>SUM(Q53:Q60)</f>
        <v>0</v>
      </c>
      <c r="R61" s="120">
        <f t="shared" si="134"/>
        <v>0</v>
      </c>
      <c r="S61" s="120">
        <f t="shared" si="134"/>
        <v>0</v>
      </c>
      <c r="T61" s="120">
        <f t="shared" si="134"/>
        <v>0</v>
      </c>
      <c r="U61" s="120">
        <f t="shared" si="134"/>
        <v>0</v>
      </c>
      <c r="V61" s="120">
        <f>SUM(V53:V60)</f>
        <v>0</v>
      </c>
      <c r="W61" s="120">
        <f t="shared" si="134"/>
        <v>0</v>
      </c>
      <c r="X61" s="120">
        <f t="shared" si="134"/>
        <v>0</v>
      </c>
      <c r="Y61" s="120">
        <f t="shared" si="134"/>
        <v>0</v>
      </c>
      <c r="Z61" s="120">
        <f t="shared" si="134"/>
        <v>0</v>
      </c>
      <c r="AA61" s="120">
        <f t="shared" si="134"/>
        <v>0</v>
      </c>
      <c r="AB61" s="120">
        <f t="shared" si="134"/>
        <v>0</v>
      </c>
      <c r="AC61" s="120">
        <f t="shared" si="134"/>
        <v>0</v>
      </c>
      <c r="AD61" s="120">
        <f t="shared" si="134"/>
        <v>0</v>
      </c>
      <c r="AE61" s="120">
        <f t="shared" ref="AE61" si="135">SUM(AE53:AE60)</f>
        <v>0</v>
      </c>
      <c r="AF61" s="120">
        <f t="shared" ref="AF61:BO61" si="136">SUM(AF53:AF60)</f>
        <v>0</v>
      </c>
      <c r="AG61" s="120">
        <f t="shared" si="136"/>
        <v>0</v>
      </c>
      <c r="AH61" s="120">
        <f t="shared" si="136"/>
        <v>0</v>
      </c>
      <c r="AI61" s="120">
        <f t="shared" si="136"/>
        <v>0</v>
      </c>
      <c r="AJ61" s="120">
        <f t="shared" si="136"/>
        <v>0</v>
      </c>
      <c r="AK61" s="120">
        <f t="shared" si="136"/>
        <v>0</v>
      </c>
      <c r="AL61" s="120">
        <f t="shared" si="136"/>
        <v>0</v>
      </c>
      <c r="AM61" s="120">
        <f t="shared" si="136"/>
        <v>0</v>
      </c>
      <c r="AN61" s="120">
        <f t="shared" si="136"/>
        <v>0</v>
      </c>
      <c r="AO61" s="120">
        <f t="shared" si="136"/>
        <v>0</v>
      </c>
      <c r="AP61" s="120">
        <f t="shared" si="136"/>
        <v>0</v>
      </c>
      <c r="AQ61" s="120">
        <f t="shared" si="136"/>
        <v>0</v>
      </c>
      <c r="AR61" s="120">
        <f t="shared" si="136"/>
        <v>0</v>
      </c>
      <c r="AS61" s="120">
        <f t="shared" si="136"/>
        <v>0</v>
      </c>
      <c r="AT61" s="120">
        <f t="shared" si="136"/>
        <v>0</v>
      </c>
      <c r="AU61" s="120">
        <f t="shared" si="136"/>
        <v>0</v>
      </c>
      <c r="AV61" s="120">
        <f t="shared" si="136"/>
        <v>0</v>
      </c>
      <c r="AW61" s="120">
        <f t="shared" si="136"/>
        <v>0</v>
      </c>
      <c r="AX61" s="120">
        <f t="shared" si="136"/>
        <v>0</v>
      </c>
      <c r="AY61" s="120">
        <f t="shared" si="136"/>
        <v>0</v>
      </c>
      <c r="AZ61" s="120">
        <f t="shared" si="136"/>
        <v>0</v>
      </c>
      <c r="BA61" s="120">
        <f t="shared" si="136"/>
        <v>0</v>
      </c>
      <c r="BB61" s="120">
        <f t="shared" si="136"/>
        <v>0</v>
      </c>
      <c r="BC61" s="120">
        <f t="shared" si="136"/>
        <v>0</v>
      </c>
      <c r="BD61" s="120">
        <f t="shared" si="136"/>
        <v>0</v>
      </c>
      <c r="BE61" s="120">
        <f t="shared" si="136"/>
        <v>0</v>
      </c>
      <c r="BF61" s="120">
        <f t="shared" si="136"/>
        <v>0</v>
      </c>
      <c r="BG61" s="120">
        <f t="shared" si="136"/>
        <v>0</v>
      </c>
      <c r="BH61" s="120">
        <f t="shared" si="136"/>
        <v>0</v>
      </c>
      <c r="BI61" s="120">
        <f t="shared" si="136"/>
        <v>0</v>
      </c>
      <c r="BJ61" s="120">
        <f t="shared" si="136"/>
        <v>0</v>
      </c>
      <c r="BK61" s="120">
        <f t="shared" si="136"/>
        <v>0</v>
      </c>
      <c r="BL61" s="120">
        <f t="shared" si="136"/>
        <v>0</v>
      </c>
      <c r="BM61" s="120">
        <f t="shared" si="136"/>
        <v>0</v>
      </c>
      <c r="BN61" s="120">
        <f t="shared" si="136"/>
        <v>0</v>
      </c>
      <c r="BO61" s="120">
        <f t="shared" si="136"/>
        <v>0</v>
      </c>
    </row>
    <row r="62" spans="2:80" ht="20.149999999999999" customHeight="1" x14ac:dyDescent="0.25">
      <c r="B62" s="121" t="s">
        <v>149</v>
      </c>
      <c r="C62" s="122"/>
      <c r="D62" s="123"/>
      <c r="E62" s="123"/>
      <c r="F62" s="120"/>
      <c r="G62" s="120"/>
      <c r="H62" s="282" cm="1">
        <f t="array" ref="H62">SUMPRODUCT(($F$53:$F$60="SI")*1,$BP$53:$BP$60,H53:H60)</f>
        <v>0</v>
      </c>
      <c r="I62" s="282" cm="1">
        <f t="array" ref="I62">SUMPRODUCT(($F$53:$F$60="SI")*1,$BP$53:$BP$60,I53:I60)</f>
        <v>0</v>
      </c>
      <c r="J62" s="282" cm="1">
        <f t="array" ref="J62">SUMPRODUCT(($F$53:$F$60="SI")*1,$BP$53:$BP$60,J53:J60)</f>
        <v>0</v>
      </c>
      <c r="K62" s="282" cm="1">
        <f t="array" ref="K62">SUMPRODUCT(($F$53:$F$60="SI")*1,$BP$53:$BP$60,K53:K60)</f>
        <v>0</v>
      </c>
      <c r="L62" s="282" cm="1">
        <f t="array" ref="L62">SUMPRODUCT(($F$53:$F$60="SI")*1,$BP$53:$BP$60,L53:L60)</f>
        <v>0</v>
      </c>
      <c r="M62" s="282" cm="1">
        <f t="array" ref="M62">SUMPRODUCT(($F$53:$F$60="SI")*1,$BP$53:$BP$60,M53:M60)</f>
        <v>0</v>
      </c>
      <c r="N62" s="282" cm="1">
        <f t="array" ref="N62">SUMPRODUCT(($F$53:$F$60="SI")*1,$BP$53:$BP$60,N53:N60)</f>
        <v>0</v>
      </c>
      <c r="O62" s="282" cm="1">
        <f t="array" ref="O62">SUMPRODUCT(($F$53:$F$60="SI")*1,$BP$53:$BP$60,O53:O60)</f>
        <v>0</v>
      </c>
      <c r="P62" s="282" cm="1">
        <f t="array" ref="P62">SUMPRODUCT(($F$53:$F$60="SI")*1,$BP$53:$BP$60,P53:P60)</f>
        <v>0</v>
      </c>
      <c r="Q62" s="282" cm="1">
        <f t="array" ref="Q62">SUMPRODUCT(($F$53:$F$60="SI")*1,$BP$53:$BP$60,Q53:Q60)</f>
        <v>0</v>
      </c>
      <c r="R62" s="282" cm="1">
        <f t="array" ref="R62">SUMPRODUCT(($F$53:$F$60="SI")*1,$BP$53:$BP$60,R53:R60)</f>
        <v>0</v>
      </c>
      <c r="S62" s="282" cm="1">
        <f t="array" ref="S62">SUMPRODUCT(($F$53:$F$60="SI")*1,$BP$53:$BP$60,S53:S60)</f>
        <v>0</v>
      </c>
      <c r="T62" s="282" cm="1">
        <f t="array" ref="T62">SUMPRODUCT(($F$53:$F$60="SI")*1,$BP$53:$BP$60,T53:T60)</f>
        <v>0</v>
      </c>
      <c r="U62" s="282" cm="1">
        <f t="array" ref="U62">SUMPRODUCT(($F$53:$F$60="SI")*1,$BP$53:$BP$60,U53:U60)</f>
        <v>0</v>
      </c>
      <c r="V62" s="282" cm="1">
        <f t="array" ref="V62">SUMPRODUCT(($F$53:$F$60="SI")*1,$BP$53:$BP$60,V53:V60)</f>
        <v>0</v>
      </c>
      <c r="W62" s="282" cm="1">
        <f t="array" ref="W62">SUMPRODUCT(($F$53:$F$60="SI")*1,$BP$53:$BP$60,W53:W60)</f>
        <v>0</v>
      </c>
      <c r="X62" s="282" cm="1">
        <f t="array" ref="X62">SUMPRODUCT(($F$53:$F$60="SI")*1,$BP$53:$BP$60,X53:X60)</f>
        <v>0</v>
      </c>
      <c r="Y62" s="282" cm="1">
        <f t="array" ref="Y62">SUMPRODUCT(($F$53:$F$60="SI")*1,$BP$53:$BP$60,Y53:Y60)</f>
        <v>0</v>
      </c>
      <c r="Z62" s="282" cm="1">
        <f t="array" ref="Z62">SUMPRODUCT(($F$53:$F$60="SI")*1,$BP$53:$BP$60,Z53:Z60)</f>
        <v>0</v>
      </c>
      <c r="AA62" s="282" cm="1">
        <f t="array" ref="AA62">SUMPRODUCT(($F$53:$F$60="SI")*1,$BP$53:$BP$60,AA53:AA60)</f>
        <v>0</v>
      </c>
      <c r="AB62" s="282" cm="1">
        <f t="array" ref="AB62">SUMPRODUCT(($F$53:$F$60="SI")*1,$BP$53:$BP$60,AB53:AB60)</f>
        <v>0</v>
      </c>
      <c r="AC62" s="282" cm="1">
        <f t="array" ref="AC62">SUMPRODUCT(($F$53:$F$60="SI")*1,$BP$53:$BP$60,AC53:AC60)</f>
        <v>0</v>
      </c>
      <c r="AD62" s="282" cm="1">
        <f t="array" ref="AD62">SUMPRODUCT(($F$53:$F$60="SI")*1,$BP$53:$BP$60,AD53:AD60)</f>
        <v>0</v>
      </c>
      <c r="AE62" s="282" cm="1">
        <f t="array" ref="AE62">SUMPRODUCT(($F$53:$F$60="SI")*1,$BP$53:$BP$60,AE53:AE60)</f>
        <v>0</v>
      </c>
      <c r="AF62" s="282" cm="1">
        <f t="array" ref="AF62">SUMPRODUCT(($F$53:$F$60="SI")*1,$BP$53:$BP$60,AF53:AF60)</f>
        <v>0</v>
      </c>
      <c r="AG62" s="282" cm="1">
        <f t="array" ref="AG62">SUMPRODUCT(($F$53:$F$60="SI")*1,$BP$53:$BP$60,AG53:AG60)</f>
        <v>0</v>
      </c>
      <c r="AH62" s="282" cm="1">
        <f t="array" ref="AH62">SUMPRODUCT(($F$53:$F$60="SI")*1,$BP$53:$BP$60,AH53:AH60)</f>
        <v>0</v>
      </c>
      <c r="AI62" s="282" cm="1">
        <f t="array" ref="AI62">SUMPRODUCT(($F$53:$F$60="SI")*1,$BP$53:$BP$60,AI53:AI60)</f>
        <v>0</v>
      </c>
      <c r="AJ62" s="282" cm="1">
        <f t="array" ref="AJ62">SUMPRODUCT(($F$53:$F$60="SI")*1,$BP$53:$BP$60,AJ53:AJ60)</f>
        <v>0</v>
      </c>
      <c r="AK62" s="282" cm="1">
        <f t="array" ref="AK62">SUMPRODUCT(($F$53:$F$60="SI")*1,$BP$53:$BP$60,AK53:AK60)</f>
        <v>0</v>
      </c>
      <c r="AL62" s="282" cm="1">
        <f t="array" ref="AL62">SUMPRODUCT(($F$53:$F$60="SI")*1,$BP$53:$BP$60,AL53:AL60)</f>
        <v>0</v>
      </c>
      <c r="AM62" s="282" cm="1">
        <f t="array" ref="AM62">SUMPRODUCT(($F$53:$F$60="SI")*1,$BP$53:$BP$60,AM53:AM60)</f>
        <v>0</v>
      </c>
      <c r="AN62" s="282" cm="1">
        <f t="array" ref="AN62">SUMPRODUCT(($F$53:$F$60="SI")*1,$BP$53:$BP$60,AN53:AN60)</f>
        <v>0</v>
      </c>
      <c r="AO62" s="282" cm="1">
        <f t="array" ref="AO62">SUMPRODUCT(($F$53:$F$60="SI")*1,$BP$53:$BP$60,AO53:AO60)</f>
        <v>0</v>
      </c>
      <c r="AP62" s="282" cm="1">
        <f t="array" ref="AP62">SUMPRODUCT(($F$53:$F$60="SI")*1,$BP$53:$BP$60,AP53:AP60)</f>
        <v>0</v>
      </c>
      <c r="AQ62" s="282" cm="1">
        <f t="array" ref="AQ62">SUMPRODUCT(($F$53:$F$60="SI")*1,$BP$53:$BP$60,AQ53:AQ60)</f>
        <v>0</v>
      </c>
      <c r="AR62" s="282" cm="1">
        <f t="array" ref="AR62">SUMPRODUCT(($F$53:$F$60="SI")*1,$BP$53:$BP$60,AR53:AR60)</f>
        <v>0</v>
      </c>
      <c r="AS62" s="282" cm="1">
        <f t="array" ref="AS62">SUMPRODUCT(($F$53:$F$60="SI")*1,$BP$53:$BP$60,AS53:AS60)</f>
        <v>0</v>
      </c>
      <c r="AT62" s="282" cm="1">
        <f t="array" ref="AT62">SUMPRODUCT(($F$53:$F$60="SI")*1,$BP$53:$BP$60,AT53:AT60)</f>
        <v>0</v>
      </c>
      <c r="AU62" s="282" cm="1">
        <f t="array" ref="AU62">SUMPRODUCT(($F$53:$F$60="SI")*1,$BP$53:$BP$60,AU53:AU60)</f>
        <v>0</v>
      </c>
      <c r="AV62" s="282" cm="1">
        <f t="array" ref="AV62">SUMPRODUCT(($F$53:$F$60="SI")*1,$BP$53:$BP$60,AV53:AV60)</f>
        <v>0</v>
      </c>
      <c r="AW62" s="282" cm="1">
        <f t="array" ref="AW62">SUMPRODUCT(($F$53:$F$60="SI")*1,$BP$53:$BP$60,AW53:AW60)</f>
        <v>0</v>
      </c>
      <c r="AX62" s="282" cm="1">
        <f t="array" ref="AX62">SUMPRODUCT(($F$53:$F$60="SI")*1,$BP$53:$BP$60,AX53:AX60)</f>
        <v>0</v>
      </c>
      <c r="AY62" s="282" cm="1">
        <f t="array" ref="AY62">SUMPRODUCT(($F$53:$F$60="SI")*1,$BP$53:$BP$60,AY53:AY60)</f>
        <v>0</v>
      </c>
      <c r="AZ62" s="282" cm="1">
        <f t="array" ref="AZ62">SUMPRODUCT(($F$53:$F$60="SI")*1,$BP$53:$BP$60,AZ53:AZ60)</f>
        <v>0</v>
      </c>
      <c r="BA62" s="282" cm="1">
        <f t="array" ref="BA62">SUMPRODUCT(($F$53:$F$60="SI")*1,$BP$53:$BP$60,BA53:BA60)</f>
        <v>0</v>
      </c>
      <c r="BB62" s="282" cm="1">
        <f t="array" ref="BB62">SUMPRODUCT(($F$53:$F$60="SI")*1,$BP$53:$BP$60,BB53:BB60)</f>
        <v>0</v>
      </c>
      <c r="BC62" s="282" cm="1">
        <f t="array" ref="BC62">SUMPRODUCT(($F$53:$F$60="SI")*1,$BP$53:$BP$60,BC53:BC60)</f>
        <v>0</v>
      </c>
      <c r="BD62" s="282" cm="1">
        <f t="array" ref="BD62">SUMPRODUCT(($F$53:$F$60="SI")*1,$BP$53:$BP$60,BD53:BD60)</f>
        <v>0</v>
      </c>
      <c r="BE62" s="282" cm="1">
        <f t="array" ref="BE62">SUMPRODUCT(($F$53:$F$60="SI")*1,$BP$53:$BP$60,BE53:BE60)</f>
        <v>0</v>
      </c>
      <c r="BF62" s="282" cm="1">
        <f t="array" ref="BF62">SUMPRODUCT(($F$53:$F$60="SI")*1,$BP$53:$BP$60,BF53:BF60)</f>
        <v>0</v>
      </c>
      <c r="BG62" s="282" cm="1">
        <f t="array" ref="BG62">SUMPRODUCT(($F$53:$F$60="SI")*1,$BP$53:$BP$60,BG53:BG60)</f>
        <v>0</v>
      </c>
      <c r="BH62" s="282" cm="1">
        <f t="array" ref="BH62">SUMPRODUCT(($F$53:$F$60="SI")*1,$BP$53:$BP$60,BH53:BH60)</f>
        <v>0</v>
      </c>
      <c r="BI62" s="282" cm="1">
        <f t="array" ref="BI62">SUMPRODUCT(($F$53:$F$60="SI")*1,$BP$53:$BP$60,BI53:BI60)</f>
        <v>0</v>
      </c>
      <c r="BJ62" s="282" cm="1">
        <f t="array" ref="BJ62">SUMPRODUCT(($F$53:$F$60="SI")*1,$BP$53:$BP$60,BJ53:BJ60)</f>
        <v>0</v>
      </c>
      <c r="BK62" s="282" cm="1">
        <f t="array" ref="BK62">SUMPRODUCT(($F$53:$F$60="SI")*1,$BP$53:$BP$60,BK53:BK60)</f>
        <v>0</v>
      </c>
      <c r="BL62" s="282" cm="1">
        <f t="array" ref="BL62">SUMPRODUCT(($F$53:$F$60="SI")*1,$BP$53:$BP$60,BL53:BL60)</f>
        <v>0</v>
      </c>
      <c r="BM62" s="282" cm="1">
        <f t="array" ref="BM62">SUMPRODUCT(($F$53:$F$60="SI")*1,$BP$53:$BP$60,BM53:BM60)</f>
        <v>0</v>
      </c>
      <c r="BN62" s="282" cm="1">
        <f t="array" ref="BN62">SUMPRODUCT(($F$53:$F$60="SI")*1,$BP$53:$BP$60,BN53:BN60)</f>
        <v>0</v>
      </c>
      <c r="BO62" s="282" cm="1">
        <f t="array" ref="BO62">SUMPRODUCT(($F$53:$F$60="SI")*1,$BP$53:$BP$60,BO53:BO60)</f>
        <v>0</v>
      </c>
    </row>
    <row r="63" spans="2:80" ht="25" customHeight="1" thickBot="1" x14ac:dyDescent="0.3">
      <c r="B63" s="98"/>
      <c r="C63" s="99"/>
      <c r="D63" s="109"/>
      <c r="E63" s="109"/>
      <c r="F63" s="109"/>
      <c r="G63" s="109"/>
      <c r="H63" s="137"/>
      <c r="I63" s="137"/>
      <c r="J63" s="137"/>
      <c r="K63" s="99"/>
      <c r="L63" s="99"/>
      <c r="M63" s="99"/>
      <c r="N63" s="99"/>
      <c r="O63" s="99"/>
      <c r="P63" s="99"/>
      <c r="Q63" s="99"/>
    </row>
    <row r="64" spans="2:80" ht="20.149999999999999" customHeight="1" thickBot="1" x14ac:dyDescent="0.35">
      <c r="B64" s="74" t="s">
        <v>64</v>
      </c>
      <c r="C64" s="99"/>
      <c r="D64" s="111" t="s">
        <v>150</v>
      </c>
      <c r="E64" s="111"/>
      <c r="F64" s="278">
        <f>'Cost Overview'!L8</f>
        <v>0</v>
      </c>
      <c r="G64" s="279"/>
      <c r="H64" s="277" t="s">
        <v>126</v>
      </c>
      <c r="I64" s="276"/>
      <c r="J64" s="114">
        <f>F64-SUM(F77:BO77)</f>
        <v>0</v>
      </c>
      <c r="K64" s="99"/>
      <c r="L64" s="296" t="s">
        <v>151</v>
      </c>
      <c r="M64" s="296"/>
      <c r="N64" s="296"/>
      <c r="O64" s="296"/>
      <c r="P64" s="296"/>
      <c r="Q64" s="296"/>
      <c r="S64" s="99"/>
    </row>
    <row r="65" spans="2:80" ht="12" customHeight="1" x14ac:dyDescent="0.25">
      <c r="B65" s="98"/>
      <c r="C65" s="99"/>
      <c r="D65" s="109"/>
      <c r="E65" s="109"/>
      <c r="F65" s="109"/>
      <c r="G65" s="280"/>
      <c r="H65" s="99"/>
      <c r="I65" s="99"/>
      <c r="J65" s="99"/>
      <c r="K65" s="99"/>
      <c r="L65" s="99"/>
      <c r="M65" s="99"/>
      <c r="N65" s="99"/>
      <c r="O65" s="99"/>
      <c r="P65" s="99"/>
      <c r="Q65" s="99"/>
    </row>
    <row r="66" spans="2:80" s="103" customFormat="1" ht="35.15" customHeight="1" x14ac:dyDescent="0.25">
      <c r="B66" s="291" t="s">
        <v>152</v>
      </c>
      <c r="C66" s="291" t="s">
        <v>153</v>
      </c>
      <c r="D66" s="291" t="s">
        <v>154</v>
      </c>
      <c r="E66" s="291" t="s">
        <v>155</v>
      </c>
      <c r="F66" s="101" t="s">
        <v>146</v>
      </c>
      <c r="G66" s="101" t="s">
        <v>147</v>
      </c>
      <c r="H66" s="102">
        <f>'Project Infor'!C8</f>
        <v>46023</v>
      </c>
      <c r="I66" s="102">
        <f t="shared" ref="I66" si="137">EOMONTH(H66,1)</f>
        <v>46081</v>
      </c>
      <c r="J66" s="102">
        <f t="shared" ref="J66" si="138">EOMONTH(I66,1)</f>
        <v>46112</v>
      </c>
      <c r="K66" s="102">
        <f t="shared" ref="K66" si="139">EOMONTH(J66,1)</f>
        <v>46142</v>
      </c>
      <c r="L66" s="102">
        <f t="shared" ref="L66" si="140">EOMONTH(K66,1)</f>
        <v>46173</v>
      </c>
      <c r="M66" s="102">
        <f t="shared" ref="M66" si="141">EOMONTH(L66,1)</f>
        <v>46203</v>
      </c>
      <c r="N66" s="102">
        <f t="shared" ref="N66" si="142">EOMONTH(M66,1)</f>
        <v>46234</v>
      </c>
      <c r="O66" s="102">
        <f t="shared" ref="O66" si="143">EOMONTH(N66,1)</f>
        <v>46265</v>
      </c>
      <c r="P66" s="102">
        <f t="shared" ref="P66" si="144">EOMONTH(O66,1)</f>
        <v>46295</v>
      </c>
      <c r="Q66" s="102">
        <f t="shared" ref="Q66" si="145">EOMONTH(P66,1)</f>
        <v>46326</v>
      </c>
      <c r="R66" s="102">
        <f t="shared" ref="R66" si="146">EOMONTH(Q66,1)</f>
        <v>46356</v>
      </c>
      <c r="S66" s="102">
        <f t="shared" ref="S66" si="147">EOMONTH(R66,1)</f>
        <v>46387</v>
      </c>
      <c r="T66" s="102">
        <f t="shared" ref="T66" si="148">EOMONTH(S66,1)</f>
        <v>46418</v>
      </c>
      <c r="U66" s="102">
        <f t="shared" ref="U66" si="149">EOMONTH(T66,1)</f>
        <v>46446</v>
      </c>
      <c r="V66" s="102">
        <f t="shared" ref="V66" si="150">EOMONTH(U66,1)</f>
        <v>46477</v>
      </c>
      <c r="W66" s="102">
        <f t="shared" ref="W66" si="151">EOMONTH(V66,1)</f>
        <v>46507</v>
      </c>
      <c r="X66" s="102">
        <f t="shared" ref="X66" si="152">EOMONTH(W66,1)</f>
        <v>46538</v>
      </c>
      <c r="Y66" s="102">
        <f t="shared" ref="Y66" si="153">EOMONTH(X66,1)</f>
        <v>46568</v>
      </c>
      <c r="Z66" s="102">
        <f t="shared" ref="Z66" si="154">EOMONTH(Y66,1)</f>
        <v>46599</v>
      </c>
      <c r="AA66" s="102">
        <f t="shared" ref="AA66" si="155">EOMONTH(Z66,1)</f>
        <v>46630</v>
      </c>
      <c r="AB66" s="102">
        <f t="shared" ref="AB66" si="156">EOMONTH(AA66,1)</f>
        <v>46660</v>
      </c>
      <c r="AC66" s="102">
        <f t="shared" ref="AC66" si="157">EOMONTH(AB66,1)</f>
        <v>46691</v>
      </c>
      <c r="AD66" s="102">
        <f t="shared" ref="AD66" si="158">EOMONTH(AC66,1)</f>
        <v>46721</v>
      </c>
      <c r="AE66" s="102">
        <f t="shared" ref="AE66" si="159">EOMONTH(AD66,1)</f>
        <v>46752</v>
      </c>
      <c r="AF66" s="102">
        <f t="shared" ref="AF66" si="160">EOMONTH(AE66,1)</f>
        <v>46783</v>
      </c>
      <c r="AG66" s="102">
        <f t="shared" ref="AG66" si="161">EOMONTH(AF66,1)</f>
        <v>46812</v>
      </c>
      <c r="AH66" s="102">
        <f t="shared" ref="AH66" si="162">EOMONTH(AG66,1)</f>
        <v>46843</v>
      </c>
      <c r="AI66" s="102">
        <f t="shared" ref="AI66" si="163">EOMONTH(AH66,1)</f>
        <v>46873</v>
      </c>
      <c r="AJ66" s="102">
        <f t="shared" ref="AJ66" si="164">EOMONTH(AI66,1)</f>
        <v>46904</v>
      </c>
      <c r="AK66" s="102">
        <f t="shared" ref="AK66" si="165">EOMONTH(AJ66,1)</f>
        <v>46934</v>
      </c>
      <c r="AL66" s="102">
        <f t="shared" ref="AL66" si="166">EOMONTH(AK66,1)</f>
        <v>46965</v>
      </c>
      <c r="AM66" s="102">
        <f t="shared" ref="AM66" si="167">EOMONTH(AL66,1)</f>
        <v>46996</v>
      </c>
      <c r="AN66" s="102">
        <f t="shared" ref="AN66" si="168">EOMONTH(AM66,1)</f>
        <v>47026</v>
      </c>
      <c r="AO66" s="102">
        <f t="shared" ref="AO66" si="169">EOMONTH(AN66,1)</f>
        <v>47057</v>
      </c>
      <c r="AP66" s="102">
        <f t="shared" ref="AP66" si="170">EOMONTH(AO66,1)</f>
        <v>47087</v>
      </c>
      <c r="AQ66" s="102">
        <f t="shared" ref="AQ66" si="171">EOMONTH(AP66,1)</f>
        <v>47118</v>
      </c>
      <c r="AR66" s="102">
        <f t="shared" ref="AR66" si="172">EOMONTH(AQ66,1)</f>
        <v>47149</v>
      </c>
      <c r="AS66" s="102">
        <f t="shared" ref="AS66" si="173">EOMONTH(AR66,1)</f>
        <v>47177</v>
      </c>
      <c r="AT66" s="102">
        <f t="shared" ref="AT66" si="174">EOMONTH(AS66,1)</f>
        <v>47208</v>
      </c>
      <c r="AU66" s="102">
        <f t="shared" ref="AU66" si="175">EOMONTH(AT66,1)</f>
        <v>47238</v>
      </c>
      <c r="AV66" s="102">
        <f t="shared" ref="AV66" si="176">EOMONTH(AU66,1)</f>
        <v>47269</v>
      </c>
      <c r="AW66" s="102">
        <f t="shared" ref="AW66" si="177">EOMONTH(AV66,1)</f>
        <v>47299</v>
      </c>
      <c r="AX66" s="102">
        <f t="shared" ref="AX66" si="178">EOMONTH(AW66,1)</f>
        <v>47330</v>
      </c>
      <c r="AY66" s="102">
        <f t="shared" ref="AY66" si="179">EOMONTH(AX66,1)</f>
        <v>47361</v>
      </c>
      <c r="AZ66" s="102">
        <f t="shared" ref="AZ66" si="180">EOMONTH(AY66,1)</f>
        <v>47391</v>
      </c>
      <c r="BA66" s="102">
        <f t="shared" ref="BA66" si="181">EOMONTH(AZ66,1)</f>
        <v>47422</v>
      </c>
      <c r="BB66" s="102">
        <f t="shared" ref="BB66" si="182">EOMONTH(BA66,1)</f>
        <v>47452</v>
      </c>
      <c r="BC66" s="102">
        <f t="shared" ref="BC66" si="183">EOMONTH(BB66,1)</f>
        <v>47483</v>
      </c>
      <c r="BD66" s="102">
        <f t="shared" ref="BD66" si="184">EOMONTH(BC66,1)</f>
        <v>47514</v>
      </c>
      <c r="BE66" s="102">
        <f t="shared" ref="BE66" si="185">EOMONTH(BD66,1)</f>
        <v>47542</v>
      </c>
      <c r="BF66" s="102">
        <f t="shared" ref="BF66" si="186">EOMONTH(BE66,1)</f>
        <v>47573</v>
      </c>
      <c r="BG66" s="102">
        <f t="shared" ref="BG66" si="187">EOMONTH(BF66,1)</f>
        <v>47603</v>
      </c>
      <c r="BH66" s="102">
        <f t="shared" ref="BH66" si="188">EOMONTH(BG66,1)</f>
        <v>47634</v>
      </c>
      <c r="BI66" s="102">
        <f t="shared" ref="BI66" si="189">EOMONTH(BH66,1)</f>
        <v>47664</v>
      </c>
      <c r="BJ66" s="102">
        <f t="shared" ref="BJ66" si="190">EOMONTH(BI66,1)</f>
        <v>47695</v>
      </c>
      <c r="BK66" s="102">
        <f t="shared" ref="BK66" si="191">EOMONTH(BJ66,1)</f>
        <v>47726</v>
      </c>
      <c r="BL66" s="102">
        <f t="shared" ref="BL66" si="192">EOMONTH(BK66,1)</f>
        <v>47756</v>
      </c>
      <c r="BM66" s="102">
        <f t="shared" ref="BM66" si="193">EOMONTH(BL66,1)</f>
        <v>47787</v>
      </c>
      <c r="BN66" s="102">
        <f t="shared" ref="BN66" si="194">EOMONTH(BM66,1)</f>
        <v>47817</v>
      </c>
      <c r="BO66" s="102">
        <f t="shared" ref="BO66" si="195">EOMONTH(BN66,1)</f>
        <v>47848</v>
      </c>
      <c r="BP66" s="93"/>
      <c r="BQ66" s="93"/>
      <c r="BR66" s="93"/>
      <c r="BS66" s="93"/>
      <c r="BT66" s="93"/>
      <c r="BU66" s="93"/>
      <c r="BV66" s="93"/>
      <c r="BW66" s="93"/>
      <c r="BX66" s="93"/>
      <c r="BY66" s="93"/>
      <c r="BZ66" s="93"/>
      <c r="CA66" s="93"/>
      <c r="CB66" s="93"/>
    </row>
    <row r="67" spans="2:80" s="104" customFormat="1" ht="19.5" customHeight="1" x14ac:dyDescent="0.35">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s="6"/>
      <c r="BE67" s="6"/>
      <c r="BF67" s="6"/>
      <c r="BG67" s="6"/>
      <c r="BH67" s="6"/>
      <c r="BI67" s="6"/>
      <c r="BJ67" s="6"/>
      <c r="BK67" s="6"/>
      <c r="BL67" s="6"/>
      <c r="BM67" s="6"/>
      <c r="BN67" s="6"/>
      <c r="BO67" s="6"/>
      <c r="BP67" s="287">
        <f>1/(1-G67)</f>
        <v>1</v>
      </c>
      <c r="BQ67" s="93"/>
      <c r="BR67" s="93"/>
      <c r="BS67" s="93"/>
      <c r="BT67" s="93"/>
      <c r="BU67" s="93"/>
      <c r="BV67" s="93"/>
      <c r="BW67" s="93"/>
      <c r="BX67" s="93"/>
      <c r="BY67" s="93"/>
      <c r="BZ67" s="93"/>
      <c r="CA67" s="93"/>
      <c r="CB67" s="93"/>
    </row>
    <row r="68" spans="2:80" s="104" customFormat="1" ht="19.5" customHeight="1" x14ac:dyDescent="0.35">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s="6"/>
      <c r="BE68" s="6"/>
      <c r="BF68" s="6"/>
      <c r="BG68" s="6"/>
      <c r="BH68" s="6"/>
      <c r="BI68" s="6"/>
      <c r="BJ68" s="6"/>
      <c r="BK68" s="6"/>
      <c r="BL68" s="6"/>
      <c r="BM68" s="6"/>
      <c r="BN68" s="6"/>
      <c r="BO68" s="6"/>
      <c r="BP68" s="287">
        <f t="shared" ref="BP68:BP76" si="196">1/(1-G68)</f>
        <v>1</v>
      </c>
      <c r="BQ68" s="93"/>
      <c r="BR68" s="93"/>
      <c r="BS68" s="93"/>
      <c r="BT68" s="93"/>
      <c r="BU68" s="93"/>
      <c r="BV68" s="93"/>
      <c r="BW68" s="93"/>
      <c r="BX68" s="93"/>
      <c r="BY68" s="93"/>
      <c r="BZ68" s="93"/>
      <c r="CA68" s="93"/>
      <c r="CB68" s="93"/>
    </row>
    <row r="69" spans="2:80" s="104" customFormat="1" ht="19.5" customHeight="1" x14ac:dyDescent="0.35">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s="6"/>
      <c r="BE69" s="6"/>
      <c r="BF69" s="6"/>
      <c r="BG69" s="6"/>
      <c r="BH69" s="6"/>
      <c r="BI69" s="6"/>
      <c r="BJ69" s="6"/>
      <c r="BK69" s="6"/>
      <c r="BL69" s="6"/>
      <c r="BM69" s="6"/>
      <c r="BN69" s="6"/>
      <c r="BO69" s="6"/>
      <c r="BP69" s="287">
        <f t="shared" si="196"/>
        <v>1</v>
      </c>
      <c r="BQ69" s="93"/>
      <c r="BR69" s="93"/>
      <c r="BS69" s="93"/>
      <c r="BT69" s="93"/>
      <c r="BU69" s="93"/>
      <c r="BV69" s="93"/>
      <c r="BW69" s="93"/>
      <c r="BX69" s="93"/>
      <c r="BY69" s="93"/>
      <c r="BZ69" s="93"/>
      <c r="CA69" s="93"/>
      <c r="CB69" s="93"/>
    </row>
    <row r="70" spans="2:80" s="104" customFormat="1" ht="19.5" customHeight="1" x14ac:dyDescent="0.35">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s="6"/>
      <c r="BE70" s="6"/>
      <c r="BF70" s="6"/>
      <c r="BG70" s="6"/>
      <c r="BH70" s="6"/>
      <c r="BI70" s="6"/>
      <c r="BJ70" s="6"/>
      <c r="BK70" s="6"/>
      <c r="BL70" s="6"/>
      <c r="BM70" s="6"/>
      <c r="BN70" s="6"/>
      <c r="BO70" s="6"/>
      <c r="BP70" s="287">
        <f t="shared" si="196"/>
        <v>1</v>
      </c>
      <c r="BQ70" s="93"/>
      <c r="BR70" s="93"/>
      <c r="BS70" s="93"/>
      <c r="BT70" s="93"/>
      <c r="BU70" s="93"/>
      <c r="BV70" s="93"/>
      <c r="BW70" s="93"/>
      <c r="BX70" s="93"/>
      <c r="BY70" s="93"/>
      <c r="BZ70" s="93"/>
      <c r="CA70" s="93"/>
      <c r="CB70" s="93"/>
    </row>
    <row r="71" spans="2:80" s="104" customFormat="1" ht="19.5" customHeight="1" x14ac:dyDescent="0.35">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s="6"/>
      <c r="BE71" s="6"/>
      <c r="BF71" s="6"/>
      <c r="BG71" s="6"/>
      <c r="BH71" s="6"/>
      <c r="BI71" s="6"/>
      <c r="BJ71" s="6"/>
      <c r="BK71" s="6"/>
      <c r="BL71" s="6"/>
      <c r="BM71" s="6"/>
      <c r="BN71" s="6"/>
      <c r="BO71" s="6"/>
      <c r="BP71" s="287">
        <f t="shared" si="196"/>
        <v>1</v>
      </c>
      <c r="BQ71" s="93"/>
      <c r="BR71" s="93"/>
      <c r="BS71" s="93"/>
      <c r="BT71" s="93"/>
      <c r="BU71" s="93"/>
      <c r="BV71" s="93"/>
      <c r="BW71" s="93"/>
      <c r="BX71" s="93"/>
      <c r="BY71" s="93"/>
      <c r="BZ71" s="93"/>
      <c r="CA71" s="93"/>
      <c r="CB71" s="93"/>
    </row>
    <row r="72" spans="2:80" s="104" customFormat="1" ht="19.5" customHeight="1" x14ac:dyDescent="0.35">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s="6"/>
      <c r="BE72" s="6"/>
      <c r="BF72" s="6"/>
      <c r="BG72" s="6"/>
      <c r="BH72" s="6"/>
      <c r="BI72" s="6"/>
      <c r="BJ72" s="6"/>
      <c r="BK72" s="6"/>
      <c r="BL72" s="6"/>
      <c r="BM72" s="6"/>
      <c r="BN72" s="6"/>
      <c r="BO72" s="6"/>
      <c r="BP72" s="287">
        <f t="shared" si="196"/>
        <v>1</v>
      </c>
      <c r="BQ72" s="93"/>
      <c r="BR72" s="93"/>
      <c r="BS72" s="93"/>
      <c r="BT72" s="93"/>
      <c r="BU72" s="93"/>
      <c r="BV72" s="93"/>
      <c r="BW72" s="93"/>
      <c r="BX72" s="93"/>
      <c r="BY72" s="93"/>
      <c r="BZ72" s="93"/>
      <c r="CA72" s="93"/>
      <c r="CB72" s="93"/>
    </row>
    <row r="73" spans="2:80" s="104" customFormat="1" ht="19.5" customHeight="1" x14ac:dyDescent="0.35">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s="6"/>
      <c r="BE73" s="6"/>
      <c r="BF73" s="6"/>
      <c r="BG73" s="6"/>
      <c r="BH73" s="6"/>
      <c r="BI73" s="6"/>
      <c r="BJ73" s="6"/>
      <c r="BK73" s="6"/>
      <c r="BL73" s="6"/>
      <c r="BM73" s="6"/>
      <c r="BN73" s="6"/>
      <c r="BO73" s="6"/>
      <c r="BP73" s="287">
        <f t="shared" si="196"/>
        <v>1</v>
      </c>
      <c r="BQ73" s="93"/>
      <c r="BR73" s="93"/>
      <c r="BS73" s="93"/>
      <c r="BT73" s="93"/>
      <c r="BU73" s="93"/>
      <c r="BV73" s="93"/>
      <c r="BW73" s="93"/>
      <c r="BX73" s="93"/>
      <c r="BY73" s="93"/>
      <c r="BZ73" s="93"/>
      <c r="CA73" s="93"/>
      <c r="CB73" s="93"/>
    </row>
    <row r="74" spans="2:80" s="104" customFormat="1" ht="19.5" customHeight="1" x14ac:dyDescent="0.35">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s="6"/>
      <c r="BE74" s="6"/>
      <c r="BF74" s="6"/>
      <c r="BG74" s="6"/>
      <c r="BH74" s="6"/>
      <c r="BI74" s="6"/>
      <c r="BJ74" s="6"/>
      <c r="BK74" s="6"/>
      <c r="BL74" s="6"/>
      <c r="BM74" s="6"/>
      <c r="BN74" s="6"/>
      <c r="BO74" s="6"/>
      <c r="BP74" s="287">
        <f t="shared" si="196"/>
        <v>1</v>
      </c>
      <c r="BQ74" s="93"/>
      <c r="BR74" s="93"/>
      <c r="BS74" s="93"/>
      <c r="BT74" s="93"/>
      <c r="BU74" s="93"/>
      <c r="BV74" s="93"/>
      <c r="BW74" s="93"/>
      <c r="BX74" s="93"/>
      <c r="BY74" s="93"/>
      <c r="BZ74" s="93"/>
      <c r="CA74" s="93"/>
      <c r="CB74" s="93"/>
    </row>
    <row r="75" spans="2:80" s="104" customFormat="1" ht="19.5" customHeight="1" x14ac:dyDescent="0.3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s="6"/>
      <c r="BE75" s="6"/>
      <c r="BF75" s="6"/>
      <c r="BG75" s="6"/>
      <c r="BH75" s="6"/>
      <c r="BI75" s="6"/>
      <c r="BJ75" s="6"/>
      <c r="BK75" s="6"/>
      <c r="BL75" s="6"/>
      <c r="BM75" s="6"/>
      <c r="BN75" s="6"/>
      <c r="BO75" s="6"/>
      <c r="BP75" s="287">
        <f t="shared" si="196"/>
        <v>1</v>
      </c>
      <c r="BQ75" s="93"/>
      <c r="BR75" s="93"/>
      <c r="BS75" s="93"/>
      <c r="BT75" s="93"/>
      <c r="BU75" s="93"/>
      <c r="BV75" s="93"/>
      <c r="BW75" s="93"/>
      <c r="BX75" s="93"/>
      <c r="BY75" s="93"/>
      <c r="BZ75" s="93"/>
      <c r="CA75" s="93"/>
      <c r="CB75" s="93"/>
    </row>
    <row r="76" spans="2:80" s="104" customFormat="1" ht="19.5" customHeight="1" x14ac:dyDescent="0.35">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s="6"/>
      <c r="BE76" s="6"/>
      <c r="BF76" s="6"/>
      <c r="BG76" s="6"/>
      <c r="BH76" s="6"/>
      <c r="BI76" s="6"/>
      <c r="BJ76" s="6"/>
      <c r="BK76" s="6"/>
      <c r="BL76" s="6"/>
      <c r="BM76" s="6"/>
      <c r="BN76" s="6"/>
      <c r="BO76" s="6"/>
      <c r="BP76" s="287">
        <f t="shared" si="196"/>
        <v>1</v>
      </c>
      <c r="BQ76" s="93"/>
      <c r="BR76" s="93"/>
      <c r="BS76" s="93"/>
      <c r="BT76" s="93"/>
      <c r="BU76" s="93"/>
      <c r="BV76" s="93"/>
      <c r="BW76" s="93"/>
      <c r="BX76" s="93"/>
      <c r="BY76" s="93"/>
      <c r="BZ76" s="93"/>
      <c r="CA76" s="93"/>
      <c r="CB76" s="93"/>
    </row>
    <row r="77" spans="2:80" ht="20.149999999999999" customHeight="1" x14ac:dyDescent="0.25">
      <c r="B77" s="138" t="s">
        <v>157</v>
      </c>
      <c r="C77" s="139"/>
      <c r="D77" s="139"/>
      <c r="E77" s="139"/>
      <c r="F77" s="140"/>
      <c r="G77" s="140"/>
      <c r="H77" s="140">
        <f>SUM(H67:H76)</f>
        <v>0</v>
      </c>
      <c r="I77" s="140">
        <f>SUM(I67:I76)</f>
        <v>0</v>
      </c>
      <c r="J77" s="140">
        <f t="shared" ref="J77:AD77" si="197">SUM(J67:J76)</f>
        <v>0</v>
      </c>
      <c r="K77" s="140">
        <f t="shared" si="197"/>
        <v>0</v>
      </c>
      <c r="L77" s="140">
        <f t="shared" si="197"/>
        <v>0</v>
      </c>
      <c r="M77" s="140">
        <f t="shared" si="197"/>
        <v>0</v>
      </c>
      <c r="N77" s="140">
        <f t="shared" si="197"/>
        <v>0</v>
      </c>
      <c r="O77" s="140">
        <f t="shared" si="197"/>
        <v>0</v>
      </c>
      <c r="P77" s="140">
        <f t="shared" si="197"/>
        <v>0</v>
      </c>
      <c r="Q77" s="140">
        <f t="shared" si="197"/>
        <v>0</v>
      </c>
      <c r="R77" s="140">
        <f t="shared" si="197"/>
        <v>0</v>
      </c>
      <c r="S77" s="140">
        <f t="shared" si="197"/>
        <v>0</v>
      </c>
      <c r="T77" s="140">
        <f t="shared" si="197"/>
        <v>0</v>
      </c>
      <c r="U77" s="140">
        <f t="shared" si="197"/>
        <v>0</v>
      </c>
      <c r="V77" s="140">
        <f t="shared" si="197"/>
        <v>0</v>
      </c>
      <c r="W77" s="140">
        <f t="shared" si="197"/>
        <v>0</v>
      </c>
      <c r="X77" s="140">
        <f t="shared" si="197"/>
        <v>0</v>
      </c>
      <c r="Y77" s="140">
        <f t="shared" si="197"/>
        <v>0</v>
      </c>
      <c r="Z77" s="140">
        <f t="shared" si="197"/>
        <v>0</v>
      </c>
      <c r="AA77" s="140">
        <f t="shared" si="197"/>
        <v>0</v>
      </c>
      <c r="AB77" s="140">
        <f t="shared" si="197"/>
        <v>0</v>
      </c>
      <c r="AC77" s="140">
        <f t="shared" si="197"/>
        <v>0</v>
      </c>
      <c r="AD77" s="140">
        <f t="shared" si="197"/>
        <v>0</v>
      </c>
      <c r="AE77" s="140">
        <f t="shared" ref="AE77" si="198">SUM(AE67:AE76)</f>
        <v>0</v>
      </c>
      <c r="AF77" s="140">
        <f t="shared" ref="AF77:BO77" si="199">SUM(AF67:AF76)</f>
        <v>0</v>
      </c>
      <c r="AG77" s="140">
        <f t="shared" si="199"/>
        <v>0</v>
      </c>
      <c r="AH77" s="140">
        <f t="shared" si="199"/>
        <v>0</v>
      </c>
      <c r="AI77" s="140">
        <f t="shared" si="199"/>
        <v>0</v>
      </c>
      <c r="AJ77" s="140">
        <f t="shared" si="199"/>
        <v>0</v>
      </c>
      <c r="AK77" s="140">
        <f t="shared" si="199"/>
        <v>0</v>
      </c>
      <c r="AL77" s="140">
        <f t="shared" si="199"/>
        <v>0</v>
      </c>
      <c r="AM77" s="140">
        <f t="shared" si="199"/>
        <v>0</v>
      </c>
      <c r="AN77" s="140">
        <f t="shared" si="199"/>
        <v>0</v>
      </c>
      <c r="AO77" s="140">
        <f t="shared" si="199"/>
        <v>0</v>
      </c>
      <c r="AP77" s="140">
        <f t="shared" si="199"/>
        <v>0</v>
      </c>
      <c r="AQ77" s="140">
        <f t="shared" si="199"/>
        <v>0</v>
      </c>
      <c r="AR77" s="140">
        <f t="shared" si="199"/>
        <v>0</v>
      </c>
      <c r="AS77" s="140">
        <f t="shared" si="199"/>
        <v>0</v>
      </c>
      <c r="AT77" s="140">
        <f t="shared" si="199"/>
        <v>0</v>
      </c>
      <c r="AU77" s="140">
        <f t="shared" si="199"/>
        <v>0</v>
      </c>
      <c r="AV77" s="140">
        <f t="shared" si="199"/>
        <v>0</v>
      </c>
      <c r="AW77" s="140">
        <f t="shared" si="199"/>
        <v>0</v>
      </c>
      <c r="AX77" s="140">
        <f t="shared" si="199"/>
        <v>0</v>
      </c>
      <c r="AY77" s="140">
        <f t="shared" si="199"/>
        <v>0</v>
      </c>
      <c r="AZ77" s="140">
        <f t="shared" si="199"/>
        <v>0</v>
      </c>
      <c r="BA77" s="140">
        <f t="shared" si="199"/>
        <v>0</v>
      </c>
      <c r="BB77" s="140">
        <f t="shared" si="199"/>
        <v>0</v>
      </c>
      <c r="BC77" s="140">
        <f t="shared" si="199"/>
        <v>0</v>
      </c>
      <c r="BD77" s="140">
        <f t="shared" si="199"/>
        <v>0</v>
      </c>
      <c r="BE77" s="140">
        <f t="shared" si="199"/>
        <v>0</v>
      </c>
      <c r="BF77" s="140">
        <f t="shared" si="199"/>
        <v>0</v>
      </c>
      <c r="BG77" s="140">
        <f t="shared" si="199"/>
        <v>0</v>
      </c>
      <c r="BH77" s="140">
        <f t="shared" si="199"/>
        <v>0</v>
      </c>
      <c r="BI77" s="140">
        <f t="shared" si="199"/>
        <v>0</v>
      </c>
      <c r="BJ77" s="140">
        <f t="shared" si="199"/>
        <v>0</v>
      </c>
      <c r="BK77" s="140">
        <f t="shared" si="199"/>
        <v>0</v>
      </c>
      <c r="BL77" s="140">
        <f t="shared" si="199"/>
        <v>0</v>
      </c>
      <c r="BM77" s="140">
        <f t="shared" si="199"/>
        <v>0</v>
      </c>
      <c r="BN77" s="140">
        <f t="shared" si="199"/>
        <v>0</v>
      </c>
      <c r="BO77" s="140">
        <f t="shared" si="199"/>
        <v>0</v>
      </c>
    </row>
    <row r="78" spans="2:80" ht="20.149999999999999" customHeight="1" x14ac:dyDescent="0.25">
      <c r="B78" s="121" t="s">
        <v>158</v>
      </c>
      <c r="C78" s="122"/>
      <c r="D78" s="123"/>
      <c r="E78" s="123"/>
      <c r="F78" s="120"/>
      <c r="G78" s="120"/>
      <c r="H78" s="282" cm="1">
        <f t="array" ref="H78">SUMPRODUCT(($F$67:$F$76="SI")*1,$BP$67:$BP$76,H67:H76)</f>
        <v>0</v>
      </c>
      <c r="I78" s="282" cm="1">
        <f t="array" ref="I78">SUMPRODUCT(($F$67:$F$76="SI")*1,$BP$67:$BP$76,I67:I76)</f>
        <v>0</v>
      </c>
      <c r="J78" s="282" cm="1">
        <f t="array" ref="J78">SUMPRODUCT(($F$67:$F$76="SI")*1,$BP$67:$BP$76,J67:J76)</f>
        <v>0</v>
      </c>
      <c r="K78" s="282" cm="1">
        <f t="array" ref="K78">SUMPRODUCT(($F$67:$F$76="SI")*1,$BP$67:$BP$76,K67:K76)</f>
        <v>0</v>
      </c>
      <c r="L78" s="282" cm="1">
        <f t="array" ref="L78">SUMPRODUCT(($F$67:$F$76="SI")*1,$BP$67:$BP$76,L67:L76)</f>
        <v>0</v>
      </c>
      <c r="M78" s="282" cm="1">
        <f t="array" ref="M78">SUMPRODUCT(($F$67:$F$76="SI")*1,$BP$67:$BP$76,M67:M76)</f>
        <v>0</v>
      </c>
      <c r="N78" s="282" cm="1">
        <f t="array" ref="N78">SUMPRODUCT(($F$67:$F$76="SI")*1,$BP$67:$BP$76,N67:N76)</f>
        <v>0</v>
      </c>
      <c r="O78" s="282" cm="1">
        <f t="array" ref="O78">SUMPRODUCT(($F$67:$F$76="SI")*1,$BP$67:$BP$76,O67:O76)</f>
        <v>0</v>
      </c>
      <c r="P78" s="282" cm="1">
        <f t="array" ref="P78">SUMPRODUCT(($F$67:$F$76="SI")*1,$BP$67:$BP$76,P67:P76)</f>
        <v>0</v>
      </c>
      <c r="Q78" s="282" cm="1">
        <f t="array" ref="Q78">SUMPRODUCT(($F$67:$F$76="SI")*1,$BP$67:$BP$76,Q67:Q76)</f>
        <v>0</v>
      </c>
      <c r="R78" s="282" cm="1">
        <f t="array" ref="R78">SUMPRODUCT(($F$67:$F$76="SI")*1,$BP$67:$BP$76,R67:R76)</f>
        <v>0</v>
      </c>
      <c r="S78" s="282" cm="1">
        <f t="array" ref="S78">SUMPRODUCT(($F$67:$F$76="SI")*1,$BP$67:$BP$76,S67:S76)</f>
        <v>0</v>
      </c>
      <c r="T78" s="282" cm="1">
        <f t="array" ref="T78">SUMPRODUCT(($F$67:$F$76="SI")*1,$BP$67:$BP$76,T67:T76)</f>
        <v>0</v>
      </c>
      <c r="U78" s="282" cm="1">
        <f t="array" ref="U78">SUMPRODUCT(($F$67:$F$76="SI")*1,$BP$67:$BP$76,U67:U76)</f>
        <v>0</v>
      </c>
      <c r="V78" s="282" cm="1">
        <f t="array" ref="V78">SUMPRODUCT(($F$67:$F$76="SI")*1,$BP$67:$BP$76,V67:V76)</f>
        <v>0</v>
      </c>
      <c r="W78" s="282" cm="1">
        <f t="array" ref="W78">SUMPRODUCT(($F$67:$F$76="SI")*1,$BP$67:$BP$76,W67:W76)</f>
        <v>0</v>
      </c>
      <c r="X78" s="282" cm="1">
        <f t="array" ref="X78">SUMPRODUCT(($F$67:$F$76="SI")*1,$BP$67:$BP$76,X67:X76)</f>
        <v>0</v>
      </c>
      <c r="Y78" s="282" cm="1">
        <f t="array" ref="Y78">SUMPRODUCT(($F$67:$F$76="SI")*1,$BP$67:$BP$76,Y67:Y76)</f>
        <v>0</v>
      </c>
      <c r="Z78" s="282" cm="1">
        <f t="array" ref="Z78">SUMPRODUCT(($F$67:$F$76="SI")*1,$BP$67:$BP$76,Z67:Z76)</f>
        <v>0</v>
      </c>
      <c r="AA78" s="282" cm="1">
        <f t="array" ref="AA78">SUMPRODUCT(($F$67:$F$76="SI")*1,$BP$67:$BP$76,AA67:AA76)</f>
        <v>0</v>
      </c>
      <c r="AB78" s="282" cm="1">
        <f t="array" ref="AB78">SUMPRODUCT(($F$67:$F$76="SI")*1,$BP$67:$BP$76,AB67:AB76)</f>
        <v>0</v>
      </c>
      <c r="AC78" s="282" cm="1">
        <f t="array" ref="AC78">SUMPRODUCT(($F$67:$F$76="SI")*1,$BP$67:$BP$76,AC67:AC76)</f>
        <v>0</v>
      </c>
      <c r="AD78" s="282" cm="1">
        <f t="array" ref="AD78">SUMPRODUCT(($F$67:$F$76="SI")*1,$BP$67:$BP$76,AD67:AD76)</f>
        <v>0</v>
      </c>
      <c r="AE78" s="282" cm="1">
        <f t="array" ref="AE78">SUMPRODUCT(($F$67:$F$76="SI")*1,$BP$67:$BP$76,AE67:AE76)</f>
        <v>0</v>
      </c>
      <c r="AF78" s="282" cm="1">
        <f t="array" ref="AF78">SUMPRODUCT(($F$67:$F$76="SI")*1,$BP$67:$BP$76,AF67:AF76)</f>
        <v>0</v>
      </c>
      <c r="AG78" s="282" cm="1">
        <f t="array" ref="AG78">SUMPRODUCT(($F$67:$F$76="SI")*1,$BP$67:$BP$76,AG67:AG76)</f>
        <v>0</v>
      </c>
      <c r="AH78" s="282" cm="1">
        <f t="array" ref="AH78">SUMPRODUCT(($F$67:$F$76="SI")*1,$BP$67:$BP$76,AH67:AH76)</f>
        <v>0</v>
      </c>
      <c r="AI78" s="282" cm="1">
        <f t="array" ref="AI78">SUMPRODUCT(($F$67:$F$76="SI")*1,$BP$67:$BP$76,AI67:AI76)</f>
        <v>0</v>
      </c>
      <c r="AJ78" s="282" cm="1">
        <f t="array" ref="AJ78">SUMPRODUCT(($F$67:$F$76="SI")*1,$BP$67:$BP$76,AJ67:AJ76)</f>
        <v>0</v>
      </c>
      <c r="AK78" s="282" cm="1">
        <f t="array" ref="AK78">SUMPRODUCT(($F$67:$F$76="SI")*1,$BP$67:$BP$76,AK67:AK76)</f>
        <v>0</v>
      </c>
      <c r="AL78" s="282" cm="1">
        <f t="array" ref="AL78">SUMPRODUCT(($F$67:$F$76="SI")*1,$BP$67:$BP$76,AL67:AL76)</f>
        <v>0</v>
      </c>
      <c r="AM78" s="282" cm="1">
        <f t="array" ref="AM78">SUMPRODUCT(($F$67:$F$76="SI")*1,$BP$67:$BP$76,AM67:AM76)</f>
        <v>0</v>
      </c>
      <c r="AN78" s="282" cm="1">
        <f t="array" ref="AN78">SUMPRODUCT(($F$67:$F$76="SI")*1,$BP$67:$BP$76,AN67:AN76)</f>
        <v>0</v>
      </c>
      <c r="AO78" s="282" cm="1">
        <f t="array" ref="AO78">SUMPRODUCT(($F$67:$F$76="SI")*1,$BP$67:$BP$76,AO67:AO76)</f>
        <v>0</v>
      </c>
      <c r="AP78" s="282" cm="1">
        <f t="array" ref="AP78">SUMPRODUCT(($F$67:$F$76="SI")*1,$BP$67:$BP$76,AP67:AP76)</f>
        <v>0</v>
      </c>
      <c r="AQ78" s="282" cm="1">
        <f t="array" ref="AQ78">SUMPRODUCT(($F$67:$F$76="SI")*1,$BP$67:$BP$76,AQ67:AQ76)</f>
        <v>0</v>
      </c>
      <c r="AR78" s="282" cm="1">
        <f t="array" ref="AR78">SUMPRODUCT(($F$67:$F$76="SI")*1,$BP$67:$BP$76,AR67:AR76)</f>
        <v>0</v>
      </c>
      <c r="AS78" s="282" cm="1">
        <f t="array" ref="AS78">SUMPRODUCT(($F$67:$F$76="SI")*1,$BP$67:$BP$76,AS67:AS76)</f>
        <v>0</v>
      </c>
      <c r="AT78" s="282" cm="1">
        <f t="array" ref="AT78">SUMPRODUCT(($F$67:$F$76="SI")*1,$BP$67:$BP$76,AT67:AT76)</f>
        <v>0</v>
      </c>
      <c r="AU78" s="282" cm="1">
        <f t="array" ref="AU78">SUMPRODUCT(($F$67:$F$76="SI")*1,$BP$67:$BP$76,AU67:AU76)</f>
        <v>0</v>
      </c>
      <c r="AV78" s="282" cm="1">
        <f t="array" ref="AV78">SUMPRODUCT(($F$67:$F$76="SI")*1,$BP$67:$BP$76,AV67:AV76)</f>
        <v>0</v>
      </c>
      <c r="AW78" s="282" cm="1">
        <f t="array" ref="AW78">SUMPRODUCT(($F$67:$F$76="SI")*1,$BP$67:$BP$76,AW67:AW76)</f>
        <v>0</v>
      </c>
      <c r="AX78" s="282" cm="1">
        <f t="array" ref="AX78">SUMPRODUCT(($F$67:$F$76="SI")*1,$BP$67:$BP$76,AX67:AX76)</f>
        <v>0</v>
      </c>
      <c r="AY78" s="282" cm="1">
        <f t="array" ref="AY78">SUMPRODUCT(($F$67:$F$76="SI")*1,$BP$67:$BP$76,AY67:AY76)</f>
        <v>0</v>
      </c>
      <c r="AZ78" s="282" cm="1">
        <f t="array" ref="AZ78">SUMPRODUCT(($F$67:$F$76="SI")*1,$BP$67:$BP$76,AZ67:AZ76)</f>
        <v>0</v>
      </c>
      <c r="BA78" s="282" cm="1">
        <f t="array" ref="BA78">SUMPRODUCT(($F$67:$F$76="SI")*1,$BP$67:$BP$76,BA67:BA76)</f>
        <v>0</v>
      </c>
      <c r="BB78" s="282" cm="1">
        <f t="array" ref="BB78">SUMPRODUCT(($F$67:$F$76="SI")*1,$BP$67:$BP$76,BB67:BB76)</f>
        <v>0</v>
      </c>
      <c r="BC78" s="282" cm="1">
        <f t="array" ref="BC78">SUMPRODUCT(($F$67:$F$76="SI")*1,$BP$67:$BP$76,BC67:BC76)</f>
        <v>0</v>
      </c>
      <c r="BD78" s="282" cm="1">
        <f t="array" ref="BD78">SUMPRODUCT(($F$67:$F$76="SI")*1,$BP$67:$BP$76,BD67:BD76)</f>
        <v>0</v>
      </c>
      <c r="BE78" s="282" cm="1">
        <f t="array" ref="BE78">SUMPRODUCT(($F$67:$F$76="SI")*1,$BP$67:$BP$76,BE67:BE76)</f>
        <v>0</v>
      </c>
      <c r="BF78" s="282" cm="1">
        <f t="array" ref="BF78">SUMPRODUCT(($F$67:$F$76="SI")*1,$BP$67:$BP$76,BF67:BF76)</f>
        <v>0</v>
      </c>
      <c r="BG78" s="282" cm="1">
        <f t="array" ref="BG78">SUMPRODUCT(($F$67:$F$76="SI")*1,$BP$67:$BP$76,BG67:BG76)</f>
        <v>0</v>
      </c>
      <c r="BH78" s="282" cm="1">
        <f t="array" ref="BH78">SUMPRODUCT(($F$67:$F$76="SI")*1,$BP$67:$BP$76,BH67:BH76)</f>
        <v>0</v>
      </c>
      <c r="BI78" s="282" cm="1">
        <f t="array" ref="BI78">SUMPRODUCT(($F$67:$F$76="SI")*1,$BP$67:$BP$76,BI67:BI76)</f>
        <v>0</v>
      </c>
      <c r="BJ78" s="282" cm="1">
        <f t="array" ref="BJ78">SUMPRODUCT(($F$67:$F$76="SI")*1,$BP$67:$BP$76,BJ67:BJ76)</f>
        <v>0</v>
      </c>
      <c r="BK78" s="282" cm="1">
        <f t="array" ref="BK78">SUMPRODUCT(($F$67:$F$76="SI")*1,$BP$67:$BP$76,BK67:BK76)</f>
        <v>0</v>
      </c>
      <c r="BL78" s="282" cm="1">
        <f t="array" ref="BL78">SUMPRODUCT(($F$67:$F$76="SI")*1,$BP$67:$BP$76,BL67:BL76)</f>
        <v>0</v>
      </c>
      <c r="BM78" s="282" cm="1">
        <f t="array" ref="BM78">SUMPRODUCT(($F$67:$F$76="SI")*1,$BP$67:$BP$76,BM67:BM76)</f>
        <v>0</v>
      </c>
      <c r="BN78" s="282" cm="1">
        <f t="array" ref="BN78">SUMPRODUCT(($F$67:$F$76="SI")*1,$BP$67:$BP$76,BN67:BN76)</f>
        <v>0</v>
      </c>
      <c r="BO78" s="282" cm="1">
        <f t="array" ref="BO78">SUMPRODUCT(($F$67:$F$76="SI")*1,$BP$67:$BP$76,BO67:BO76)</f>
        <v>0</v>
      </c>
    </row>
    <row r="79" spans="2:80" ht="20.149999999999999" customHeight="1" x14ac:dyDescent="0.25">
      <c r="C79" s="99"/>
      <c r="D79" s="99"/>
      <c r="E79" s="109"/>
      <c r="F79" s="124"/>
      <c r="G79" s="124"/>
      <c r="H79" s="124"/>
      <c r="I79" s="124"/>
      <c r="J79" s="124"/>
      <c r="K79" s="124"/>
      <c r="L79" s="124"/>
      <c r="M79" s="124"/>
      <c r="N79" s="124"/>
      <c r="O79" s="124"/>
      <c r="P79" s="124"/>
      <c r="Q79" s="124"/>
      <c r="R79" s="124"/>
      <c r="S79" s="124"/>
      <c r="T79" s="124"/>
      <c r="U79" s="125"/>
      <c r="V79" s="125"/>
      <c r="W79" s="125"/>
      <c r="X79" s="125"/>
      <c r="Y79" s="125"/>
      <c r="Z79" s="125"/>
      <c r="AA79" s="125"/>
      <c r="AB79" s="125"/>
      <c r="AC79" s="125"/>
      <c r="AD79" s="125"/>
      <c r="AE79" s="125"/>
      <c r="AF79" s="125"/>
      <c r="AG79" s="125"/>
      <c r="AH79" s="125"/>
      <c r="AI79" s="125"/>
      <c r="AJ79" s="125"/>
      <c r="AK79" s="125"/>
      <c r="AL79" s="125"/>
      <c r="AM79" s="125"/>
      <c r="AN79" s="125"/>
      <c r="AO79" s="125"/>
      <c r="AP79" s="125"/>
      <c r="AQ79" s="125"/>
      <c r="AR79" s="125"/>
      <c r="AS79" s="125"/>
      <c r="AT79" s="125"/>
      <c r="AU79" s="125"/>
      <c r="AV79" s="125"/>
      <c r="AW79" s="125"/>
      <c r="AX79" s="125"/>
      <c r="AY79" s="125"/>
      <c r="AZ79" s="125"/>
      <c r="BA79" s="125"/>
      <c r="BB79" s="125"/>
      <c r="BC79" s="125"/>
      <c r="BD79" s="125"/>
      <c r="BE79" s="125"/>
      <c r="BF79" s="125"/>
      <c r="BG79" s="125"/>
      <c r="BH79" s="125"/>
      <c r="BI79" s="125"/>
      <c r="BJ79" s="125"/>
      <c r="BK79" s="125"/>
      <c r="BL79" s="125"/>
      <c r="BM79" s="125"/>
      <c r="BN79" s="125"/>
      <c r="BO79" s="125"/>
    </row>
    <row r="80" spans="2:80" ht="20.149999999999999" customHeight="1" x14ac:dyDescent="0.25">
      <c r="B80" s="98"/>
      <c r="C80" s="99"/>
      <c r="D80" s="99"/>
      <c r="E80" s="109"/>
      <c r="F80" s="124"/>
      <c r="G80" s="124"/>
      <c r="H80" s="124"/>
      <c r="I80" s="124"/>
      <c r="J80" s="124"/>
      <c r="K80" s="124"/>
      <c r="L80" s="124"/>
      <c r="M80" s="124"/>
      <c r="N80" s="124"/>
      <c r="O80" s="124"/>
      <c r="P80" s="124"/>
      <c r="Q80" s="124"/>
      <c r="R80" s="124"/>
      <c r="S80" s="124"/>
      <c r="T80" s="124"/>
      <c r="U80" s="125"/>
      <c r="V80" s="125"/>
      <c r="W80" s="125"/>
      <c r="X80" s="125"/>
      <c r="Y80" s="125"/>
      <c r="Z80" s="125"/>
      <c r="AA80" s="125"/>
      <c r="AB80" s="125"/>
      <c r="AC80" s="125"/>
      <c r="AD80" s="125"/>
      <c r="AE80" s="125"/>
      <c r="AF80" s="125"/>
      <c r="AG80" s="125"/>
      <c r="AH80" s="125"/>
      <c r="AI80" s="125"/>
      <c r="AJ80" s="125"/>
      <c r="AK80" s="125"/>
      <c r="AL80" s="125"/>
      <c r="AM80" s="125"/>
      <c r="AN80" s="125"/>
      <c r="AO80" s="125"/>
      <c r="AP80" s="125"/>
      <c r="AQ80" s="125"/>
      <c r="AR80" s="125"/>
      <c r="AS80" s="125"/>
      <c r="AT80" s="125"/>
      <c r="AU80" s="125"/>
      <c r="AV80" s="125"/>
      <c r="AW80" s="125"/>
      <c r="AX80" s="125"/>
      <c r="AY80" s="125"/>
      <c r="AZ80" s="125"/>
      <c r="BA80" s="125"/>
      <c r="BB80" s="125"/>
      <c r="BC80" s="125"/>
      <c r="BD80" s="125"/>
      <c r="BE80" s="125"/>
      <c r="BF80" s="125"/>
      <c r="BG80" s="125"/>
      <c r="BH80" s="125"/>
      <c r="BI80" s="125"/>
      <c r="BJ80" s="125"/>
      <c r="BK80" s="125"/>
      <c r="BL80" s="125"/>
      <c r="BM80" s="125"/>
      <c r="BN80" s="125"/>
      <c r="BO80" s="125"/>
    </row>
    <row r="81" spans="2:67" ht="20.149999999999999" customHeight="1" x14ac:dyDescent="0.25">
      <c r="B81" s="98"/>
      <c r="C81" s="99"/>
      <c r="D81" s="99"/>
      <c r="E81" s="109"/>
      <c r="F81" s="124"/>
      <c r="G81" s="124"/>
      <c r="H81" s="124"/>
      <c r="I81" s="124"/>
      <c r="J81" s="124"/>
      <c r="K81" s="124"/>
      <c r="L81" s="124"/>
      <c r="M81" s="124"/>
      <c r="N81" s="124"/>
      <c r="O81" s="124"/>
      <c r="P81" s="124"/>
      <c r="Q81" s="124"/>
      <c r="R81" s="124"/>
      <c r="S81" s="124"/>
      <c r="T81" s="124"/>
      <c r="U81" s="125"/>
      <c r="V81" s="125"/>
      <c r="W81" s="125"/>
      <c r="X81" s="125"/>
      <c r="Y81" s="125"/>
      <c r="Z81" s="125"/>
      <c r="AA81" s="125"/>
      <c r="AB81" s="125"/>
      <c r="AC81" s="125"/>
      <c r="AD81" s="125"/>
      <c r="AE81" s="125"/>
      <c r="AF81" s="125"/>
      <c r="AG81" s="125"/>
      <c r="AH81" s="125"/>
      <c r="AI81" s="125"/>
      <c r="AJ81" s="125"/>
      <c r="AK81" s="125"/>
      <c r="AL81" s="125"/>
      <c r="AM81" s="125"/>
      <c r="AN81" s="125"/>
      <c r="AO81" s="125"/>
      <c r="AP81" s="125"/>
      <c r="AQ81" s="125"/>
      <c r="AR81" s="125"/>
      <c r="AS81" s="125"/>
      <c r="AT81" s="125"/>
      <c r="AU81" s="125"/>
      <c r="AV81" s="125"/>
      <c r="AW81" s="125"/>
      <c r="AX81" s="125"/>
      <c r="AY81" s="125"/>
      <c r="AZ81" s="125"/>
      <c r="BA81" s="125"/>
      <c r="BB81" s="125"/>
      <c r="BC81" s="125"/>
      <c r="BD81" s="125"/>
      <c r="BE81" s="125"/>
      <c r="BF81" s="125"/>
      <c r="BG81" s="125"/>
      <c r="BH81" s="125"/>
      <c r="BI81" s="125"/>
      <c r="BJ81" s="125"/>
      <c r="BK81" s="125"/>
      <c r="BL81" s="125"/>
      <c r="BM81" s="125"/>
      <c r="BN81" s="125"/>
      <c r="BO81" s="125"/>
    </row>
    <row r="82" spans="2:67" x14ac:dyDescent="0.25">
      <c r="H82" s="99"/>
      <c r="I82" s="99"/>
      <c r="J82" s="99"/>
      <c r="K82" s="99"/>
      <c r="L82" s="99"/>
      <c r="M82" s="99"/>
      <c r="N82" s="99"/>
      <c r="O82" s="99"/>
      <c r="P82" s="99"/>
      <c r="Q82" s="99"/>
    </row>
    <row r="88" spans="2:67" ht="14" x14ac:dyDescent="0.3">
      <c r="B88" s="141" t="s">
        <v>159</v>
      </c>
    </row>
    <row r="89" spans="2:67" ht="14" x14ac:dyDescent="0.3">
      <c r="B89" s="21" t="s">
        <v>160</v>
      </c>
    </row>
    <row r="90" spans="2:67" ht="14" x14ac:dyDescent="0.3">
      <c r="B90" s="21" t="s">
        <v>161</v>
      </c>
    </row>
    <row r="91" spans="2:67" ht="14" x14ac:dyDescent="0.3">
      <c r="B91" s="21" t="s">
        <v>162</v>
      </c>
    </row>
    <row r="92" spans="2:67" ht="14" x14ac:dyDescent="0.3">
      <c r="B92" s="21" t="s">
        <v>163</v>
      </c>
    </row>
    <row r="93" spans="2:67" ht="14" x14ac:dyDescent="0.3">
      <c r="B93" s="21" t="s">
        <v>164</v>
      </c>
    </row>
    <row r="94" spans="2:67" ht="14" x14ac:dyDescent="0.3">
      <c r="B94" s="21" t="s">
        <v>165</v>
      </c>
    </row>
    <row r="95" spans="2:67" ht="14" x14ac:dyDescent="0.3">
      <c r="B95" s="21"/>
    </row>
    <row r="96" spans="2:67" ht="14" x14ac:dyDescent="0.3">
      <c r="B96" s="21"/>
    </row>
    <row r="97" spans="2:2" ht="14" x14ac:dyDescent="0.3">
      <c r="B97" s="21"/>
    </row>
    <row r="98" spans="2:2" ht="14" x14ac:dyDescent="0.3">
      <c r="B98" s="21"/>
    </row>
    <row r="99" spans="2:2" ht="14" x14ac:dyDescent="0.3">
      <c r="B99" s="21"/>
    </row>
  </sheetData>
  <phoneticPr fontId="3" type="noConversion"/>
  <conditionalFormatting sqref="E47">
    <cfRule type="expression" dxfId="386" priority="8">
      <formula>$E$47&lt;0</formula>
    </cfRule>
  </conditionalFormatting>
  <conditionalFormatting sqref="E48">
    <cfRule type="expression" dxfId="385" priority="6">
      <formula>$E$48&lt;0</formula>
    </cfRule>
  </conditionalFormatting>
  <conditionalFormatting sqref="H7">
    <cfRule type="expression" dxfId="384" priority="158">
      <formula>$H$7="Real"</formula>
    </cfRule>
    <cfRule type="expression" dxfId="383" priority="157">
      <formula>$H$7="Prev"</formula>
    </cfRule>
    <cfRule type="expression" dxfId="382" priority="156">
      <formula>$H$7="Fin"</formula>
    </cfRule>
  </conditionalFormatting>
  <conditionalFormatting sqref="I7">
    <cfRule type="expression" dxfId="381" priority="161">
      <formula>$I$7="Real"</formula>
    </cfRule>
    <cfRule type="expression" dxfId="380" priority="159">
      <formula>$I$7="Fin"</formula>
    </cfRule>
    <cfRule type="expression" dxfId="379" priority="160">
      <formula>$I$7="Prev"</formula>
    </cfRule>
  </conditionalFormatting>
  <conditionalFormatting sqref="J5">
    <cfRule type="expression" dxfId="378" priority="10">
      <formula>$J$5&lt;0</formula>
    </cfRule>
  </conditionalFormatting>
  <conditionalFormatting sqref="J7">
    <cfRule type="expression" dxfId="377" priority="164">
      <formula>$J$7="Real"</formula>
    </cfRule>
    <cfRule type="expression" dxfId="376" priority="163">
      <formula>$J$7="Prev"</formula>
    </cfRule>
    <cfRule type="expression" dxfId="375" priority="162">
      <formula>$J$7="Fin"</formula>
    </cfRule>
  </conditionalFormatting>
  <conditionalFormatting sqref="J50">
    <cfRule type="expression" dxfId="374" priority="9">
      <formula>$J$50&lt;0</formula>
    </cfRule>
  </conditionalFormatting>
  <conditionalFormatting sqref="J64">
    <cfRule type="expression" dxfId="373" priority="5">
      <formula>$J$64&lt;0</formula>
    </cfRule>
  </conditionalFormatting>
  <conditionalFormatting sqref="K7">
    <cfRule type="expression" dxfId="372" priority="167">
      <formula>$K$7="Real"</formula>
    </cfRule>
    <cfRule type="expression" dxfId="371" priority="166">
      <formula>$K$7="Prev"</formula>
    </cfRule>
    <cfRule type="expression" dxfId="370" priority="165">
      <formula>$K$7="Fin"</formula>
    </cfRule>
  </conditionalFormatting>
  <conditionalFormatting sqref="L7">
    <cfRule type="expression" dxfId="369" priority="169">
      <formula>$L$7="Prev"</formula>
    </cfRule>
    <cfRule type="expression" dxfId="368" priority="168">
      <formula>$L$7="Fin"</formula>
    </cfRule>
    <cfRule type="expression" dxfId="367" priority="170">
      <formula>$L$7="Real"</formula>
    </cfRule>
  </conditionalFormatting>
  <conditionalFormatting sqref="L50:Q50">
    <cfRule type="expression" dxfId="366" priority="18">
      <formula>$J$50&gt;=0</formula>
    </cfRule>
  </conditionalFormatting>
  <conditionalFormatting sqref="L64:Q64">
    <cfRule type="expression" dxfId="365" priority="17">
      <formula>$J$64&gt;=0</formula>
    </cfRule>
  </conditionalFormatting>
  <conditionalFormatting sqref="M7">
    <cfRule type="expression" dxfId="364" priority="155">
      <formula>$M$7="Real"</formula>
    </cfRule>
    <cfRule type="expression" dxfId="363" priority="154">
      <formula>$M$7="Prev"</formula>
    </cfRule>
    <cfRule type="expression" dxfId="362" priority="153">
      <formula>$M$7="Fin"</formula>
    </cfRule>
  </conditionalFormatting>
  <conditionalFormatting sqref="N5">
    <cfRule type="expression" dxfId="361" priority="4">
      <formula>$J$5&lt;0</formula>
    </cfRule>
  </conditionalFormatting>
  <conditionalFormatting sqref="N7">
    <cfRule type="expression" dxfId="360" priority="150">
      <formula>$N$7="Fin"</formula>
    </cfRule>
    <cfRule type="expression" dxfId="359" priority="152">
      <formula>$N$7="Real"</formula>
    </cfRule>
    <cfRule type="expression" dxfId="358" priority="151">
      <formula>$N$7="Prev"</formula>
    </cfRule>
  </conditionalFormatting>
  <conditionalFormatting sqref="O7">
    <cfRule type="expression" dxfId="357" priority="148">
      <formula>$O$7="Prev"</formula>
    </cfRule>
    <cfRule type="expression" dxfId="356" priority="147">
      <formula>$O$7="Fin"</formula>
    </cfRule>
    <cfRule type="expression" dxfId="355" priority="149">
      <formula>$O$7="Real"</formula>
    </cfRule>
  </conditionalFormatting>
  <conditionalFormatting sqref="O5:Q5">
    <cfRule type="expression" dxfId="354" priority="20">
      <formula>$J$5&gt;=0</formula>
    </cfRule>
  </conditionalFormatting>
  <conditionalFormatting sqref="P7">
    <cfRule type="expression" dxfId="353" priority="146">
      <formula>$P$7="Real"</formula>
    </cfRule>
    <cfRule type="expression" dxfId="352" priority="145">
      <formula>$P$7="Prev"</formula>
    </cfRule>
    <cfRule type="expression" dxfId="351" priority="144">
      <formula>$P$7="Fin"</formula>
    </cfRule>
  </conditionalFormatting>
  <conditionalFormatting sqref="Q7">
    <cfRule type="expression" dxfId="350" priority="141">
      <formula>$Q$7="Fin"</formula>
    </cfRule>
    <cfRule type="expression" dxfId="349" priority="142">
      <formula>$Q$7="Prev"</formula>
    </cfRule>
    <cfRule type="expression" dxfId="348" priority="143">
      <formula>$Q$7="Real"</formula>
    </cfRule>
  </conditionalFormatting>
  <conditionalFormatting sqref="R7">
    <cfRule type="expression" dxfId="347" priority="139">
      <formula>$R$7="Prev"</formula>
    </cfRule>
    <cfRule type="expression" dxfId="346" priority="138">
      <formula>$R$7="Fin"</formula>
    </cfRule>
    <cfRule type="expression" dxfId="345" priority="140">
      <formula>$R$7="Real"</formula>
    </cfRule>
  </conditionalFormatting>
  <conditionalFormatting sqref="S7">
    <cfRule type="expression" dxfId="344" priority="135">
      <formula>$S$7="Fin"</formula>
    </cfRule>
    <cfRule type="expression" dxfId="343" priority="136">
      <formula>$S$7="Prev"</formula>
    </cfRule>
    <cfRule type="expression" dxfId="342" priority="137">
      <formula>$S$7="Real"</formula>
    </cfRule>
  </conditionalFormatting>
  <conditionalFormatting sqref="T7">
    <cfRule type="expression" dxfId="341" priority="132">
      <formula>$T$7="Fin"</formula>
    </cfRule>
    <cfRule type="expression" dxfId="340" priority="133">
      <formula>$T$7="Prev"</formula>
    </cfRule>
    <cfRule type="expression" dxfId="339" priority="134">
      <formula>$T$7="Real"</formula>
    </cfRule>
  </conditionalFormatting>
  <conditionalFormatting sqref="U7">
    <cfRule type="expression" dxfId="338" priority="129">
      <formula>$U$7="Fin"</formula>
    </cfRule>
    <cfRule type="expression" dxfId="337" priority="130">
      <formula>$U$7="Prev"</formula>
    </cfRule>
    <cfRule type="expression" dxfId="336" priority="131">
      <formula>$U$7="Real"</formula>
    </cfRule>
  </conditionalFormatting>
  <conditionalFormatting sqref="V7">
    <cfRule type="expression" dxfId="335" priority="126">
      <formula>$V$7="Fin"</formula>
    </cfRule>
    <cfRule type="expression" dxfId="334" priority="127">
      <formula>$V$7="Prev"</formula>
    </cfRule>
    <cfRule type="expression" dxfId="333" priority="128">
      <formula>$V$7="Real"</formula>
    </cfRule>
  </conditionalFormatting>
  <conditionalFormatting sqref="W7">
    <cfRule type="expression" dxfId="332" priority="123">
      <formula>$W$7="Fin"</formula>
    </cfRule>
    <cfRule type="expression" dxfId="331" priority="124">
      <formula>$W$7="Prev"</formula>
    </cfRule>
    <cfRule type="expression" dxfId="330" priority="125">
      <formula>$W$7="Real"</formula>
    </cfRule>
  </conditionalFormatting>
  <conditionalFormatting sqref="X7">
    <cfRule type="expression" dxfId="329" priority="122">
      <formula>$X$7="Real"</formula>
    </cfRule>
    <cfRule type="expression" dxfId="328" priority="121">
      <formula>$X$7="Prev"</formula>
    </cfRule>
    <cfRule type="expression" dxfId="327" priority="120">
      <formula>$X$7="Fin"</formula>
    </cfRule>
  </conditionalFormatting>
  <conditionalFormatting sqref="Y7">
    <cfRule type="expression" dxfId="326" priority="119">
      <formula>$Y$7="Real"</formula>
    </cfRule>
    <cfRule type="expression" dxfId="325" priority="117">
      <formula>$Y$7="Fin"</formula>
    </cfRule>
    <cfRule type="expression" dxfId="324" priority="118">
      <formula>$Y$7="Prev"</formula>
    </cfRule>
  </conditionalFormatting>
  <conditionalFormatting sqref="Z7">
    <cfRule type="expression" dxfId="323" priority="116">
      <formula>$Z$7="Real"</formula>
    </cfRule>
    <cfRule type="expression" dxfId="322" priority="115">
      <formula>$Z$7="Prev"</formula>
    </cfRule>
    <cfRule type="expression" dxfId="321" priority="114">
      <formula>$Z$7="Fin"</formula>
    </cfRule>
  </conditionalFormatting>
  <conditionalFormatting sqref="AA7">
    <cfRule type="expression" dxfId="320" priority="111">
      <formula>$AA$7="Fin"</formula>
    </cfRule>
    <cfRule type="expression" dxfId="319" priority="113">
      <formula>$AA$7="Real"</formula>
    </cfRule>
    <cfRule type="expression" dxfId="318" priority="112">
      <formula>$AA$7="Prev"</formula>
    </cfRule>
  </conditionalFormatting>
  <conditionalFormatting sqref="AB7">
    <cfRule type="expression" dxfId="317" priority="109">
      <formula>$AB$7="Prev"</formula>
    </cfRule>
    <cfRule type="expression" dxfId="316" priority="110">
      <formula>$AB$7="Real"</formula>
    </cfRule>
    <cfRule type="expression" dxfId="315" priority="108">
      <formula>$AB$7="Fin"</formula>
    </cfRule>
  </conditionalFormatting>
  <conditionalFormatting sqref="AC7">
    <cfRule type="expression" dxfId="314" priority="107">
      <formula>$AC$7="Real"</formula>
    </cfRule>
    <cfRule type="expression" dxfId="313" priority="106">
      <formula>$AC$7="Prev"</formula>
    </cfRule>
    <cfRule type="expression" dxfId="312" priority="105">
      <formula>$AC$7="Fin"</formula>
    </cfRule>
  </conditionalFormatting>
  <conditionalFormatting sqref="AD7">
    <cfRule type="expression" dxfId="311" priority="104">
      <formula>$AD$7="Real"</formula>
    </cfRule>
    <cfRule type="expression" dxfId="310" priority="103">
      <formula>$AD$7="Prev"</formula>
    </cfRule>
    <cfRule type="expression" dxfId="309" priority="102">
      <formula>$AD$7="Fin"</formula>
    </cfRule>
  </conditionalFormatting>
  <conditionalFormatting sqref="AE7:BO7">
    <cfRule type="expression" dxfId="308" priority="11">
      <formula>$AE$7="Fin"</formula>
    </cfRule>
    <cfRule type="expression" dxfId="307" priority="13">
      <formula>$AE$7="Real"</formula>
    </cfRule>
    <cfRule type="expression" dxfId="306" priority="12">
      <formula>$AE$7="Prev"</formula>
    </cfRule>
  </conditionalFormatting>
  <conditionalFormatting sqref="BD10:BO39">
    <cfRule type="expression" dxfId="305" priority="29">
      <formula>$AE$7="Real"</formula>
    </cfRule>
    <cfRule type="expression" dxfId="304" priority="28">
      <formula>$AE$7="Prev"</formula>
    </cfRule>
    <cfRule type="expression" dxfId="303" priority="27">
      <formula>$AE$7="Fin"</formula>
    </cfRule>
  </conditionalFormatting>
  <pageMargins left="0.70866141732283472" right="0.70866141732283472" top="0.74803149606299213" bottom="0.74803149606299213" header="0.31496062992125984" footer="0.31496062992125984"/>
  <pageSetup paperSize="9" scale="1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BEC0-20C3-433E-9E69-967187BD56D3}">
  <sheetPr>
    <pageSetUpPr fitToPage="1"/>
  </sheetPr>
  <dimension ref="B1:BY46"/>
  <sheetViews>
    <sheetView showGridLines="0" topLeftCell="T1" zoomScale="55" zoomScaleNormal="55" workbookViewId="0">
      <selection activeCell="AC1" sqref="AC1:BK1048576"/>
    </sheetView>
  </sheetViews>
  <sheetFormatPr baseColWidth="10" defaultColWidth="9.1796875" defaultRowHeight="13.5" outlineLevelRow="1" x14ac:dyDescent="0.3"/>
  <cols>
    <col min="1" max="1" width="4" style="21" customWidth="1"/>
    <col min="2" max="2" width="21.453125" style="21" customWidth="1"/>
    <col min="3" max="3" width="29" style="21" customWidth="1"/>
    <col min="4" max="4" width="18.1796875" style="56" customWidth="1"/>
    <col min="5" max="64" width="16.7265625" style="21" customWidth="1"/>
    <col min="65" max="65" width="11.26953125" style="21" customWidth="1"/>
    <col min="66" max="16384" width="9.1796875" style="21"/>
  </cols>
  <sheetData>
    <row r="1" spans="2:77" ht="14.5" x14ac:dyDescent="0.35">
      <c r="E1"/>
    </row>
    <row r="2" spans="2:77" ht="21" customHeight="1" x14ac:dyDescent="0.3">
      <c r="B2" s="19" t="s">
        <v>5</v>
      </c>
      <c r="C2" s="20" t="str">
        <f>'Project Infor'!C10</f>
        <v>ZEV-ATE0012-1001</v>
      </c>
      <c r="D2" s="95" t="str">
        <f>'Project Infor'!C11</f>
        <v>Lote 2: Núcleo Estructural Java</v>
      </c>
      <c r="E2" s="96"/>
      <c r="F2" s="96"/>
      <c r="G2" s="96"/>
      <c r="I2" s="294" t="s">
        <v>166</v>
      </c>
      <c r="J2" s="294"/>
      <c r="K2" s="294"/>
      <c r="L2" s="294"/>
      <c r="M2" s="168">
        <f>'Cost Planning'!N5</f>
        <v>-4604.000000000291</v>
      </c>
    </row>
    <row r="3" spans="2:77" ht="6" customHeight="1" x14ac:dyDescent="0.3">
      <c r="B3" s="22"/>
      <c r="C3" s="22"/>
      <c r="D3" s="142"/>
      <c r="E3" s="22"/>
      <c r="F3" s="22"/>
    </row>
    <row r="4" spans="2:77" ht="20.149999999999999" customHeight="1" x14ac:dyDescent="0.3">
      <c r="B4" s="24"/>
      <c r="C4" s="24"/>
      <c r="D4" s="143"/>
      <c r="E4" s="144" t="str">
        <f t="shared" ref="E4:BL4" si="0">IF(E5&gt;EOMONTH(FIN,0),"Fin",IF(E5&gt;FECHA,"Prev","Real"))</f>
        <v>Real</v>
      </c>
      <c r="F4" s="144" t="str">
        <f t="shared" si="0"/>
        <v>Real</v>
      </c>
      <c r="G4" s="144" t="str">
        <f>IF(G5&gt;EOMONTH(FIN,0),"Fin",IF(G5&gt;FECHA,"Prev","Real"))</f>
        <v>Real</v>
      </c>
      <c r="H4" s="144" t="str">
        <f t="shared" si="0"/>
        <v>Real</v>
      </c>
      <c r="I4" s="144" t="str">
        <f>IF(I5&gt;EOMONTH(FIN,0),"Fin",IF(I5&gt;FECHA,"Prev","Real"))</f>
        <v>Real</v>
      </c>
      <c r="J4" s="144" t="str">
        <f t="shared" si="0"/>
        <v>Real</v>
      </c>
      <c r="K4" s="144" t="str">
        <f t="shared" si="0"/>
        <v>Prev</v>
      </c>
      <c r="L4" s="144" t="str">
        <f t="shared" si="0"/>
        <v>Prev</v>
      </c>
      <c r="M4" s="144" t="str">
        <f t="shared" si="0"/>
        <v>Prev</v>
      </c>
      <c r="N4" s="144" t="str">
        <f t="shared" si="0"/>
        <v>Prev</v>
      </c>
      <c r="O4" s="144" t="str">
        <f t="shared" si="0"/>
        <v>Prev</v>
      </c>
      <c r="P4" s="144" t="str">
        <f t="shared" si="0"/>
        <v>Prev</v>
      </c>
      <c r="Q4" s="144" t="str">
        <f t="shared" si="0"/>
        <v>Prev</v>
      </c>
      <c r="R4" s="144" t="str">
        <f t="shared" si="0"/>
        <v>Prev</v>
      </c>
      <c r="S4" s="144" t="str">
        <f t="shared" si="0"/>
        <v>Prev</v>
      </c>
      <c r="T4" s="144" t="str">
        <f t="shared" si="0"/>
        <v>Prev</v>
      </c>
      <c r="U4" s="144" t="str">
        <f t="shared" si="0"/>
        <v>Prev</v>
      </c>
      <c r="V4" s="144" t="str">
        <f t="shared" si="0"/>
        <v>Prev</v>
      </c>
      <c r="W4" s="144" t="str">
        <f t="shared" si="0"/>
        <v>Prev</v>
      </c>
      <c r="X4" s="144" t="str">
        <f>IF(X5&gt;EOMONTH(FIN,0),"Fin",IF(X5&gt;FECHA,"Prev","Real"))</f>
        <v>Prev</v>
      </c>
      <c r="Y4" s="144" t="str">
        <f t="shared" si="0"/>
        <v>Prev</v>
      </c>
      <c r="Z4" s="144" t="str">
        <f t="shared" si="0"/>
        <v>Prev</v>
      </c>
      <c r="AA4" s="144" t="str">
        <f t="shared" si="0"/>
        <v>Prev</v>
      </c>
      <c r="AB4" s="144" t="str">
        <f t="shared" si="0"/>
        <v>Prev</v>
      </c>
      <c r="AC4" s="144" t="str">
        <f t="shared" si="0"/>
        <v>Prev</v>
      </c>
      <c r="AD4" s="144" t="str">
        <f t="shared" si="0"/>
        <v>Prev</v>
      </c>
      <c r="AE4" s="144" t="str">
        <f t="shared" si="0"/>
        <v>Prev</v>
      </c>
      <c r="AF4" s="144" t="str">
        <f t="shared" si="0"/>
        <v>Prev</v>
      </c>
      <c r="AG4" s="144" t="str">
        <f t="shared" si="0"/>
        <v>Prev</v>
      </c>
      <c r="AH4" s="144" t="str">
        <f t="shared" si="0"/>
        <v>Prev</v>
      </c>
      <c r="AI4" s="144" t="str">
        <f t="shared" si="0"/>
        <v>Prev</v>
      </c>
      <c r="AJ4" s="144" t="str">
        <f t="shared" si="0"/>
        <v>Prev</v>
      </c>
      <c r="AK4" s="144" t="str">
        <f t="shared" si="0"/>
        <v>Prev</v>
      </c>
      <c r="AL4" s="144" t="str">
        <f t="shared" si="0"/>
        <v>Prev</v>
      </c>
      <c r="AM4" s="144" t="str">
        <f t="shared" si="0"/>
        <v>Prev</v>
      </c>
      <c r="AN4" s="144" t="str">
        <f t="shared" si="0"/>
        <v>Prev</v>
      </c>
      <c r="AO4" s="144" t="str">
        <f t="shared" si="0"/>
        <v>Prev</v>
      </c>
      <c r="AP4" s="144" t="str">
        <f t="shared" si="0"/>
        <v>Prev</v>
      </c>
      <c r="AQ4" s="144" t="str">
        <f t="shared" si="0"/>
        <v>Prev</v>
      </c>
      <c r="AR4" s="144" t="str">
        <f t="shared" si="0"/>
        <v>Prev</v>
      </c>
      <c r="AS4" s="144" t="str">
        <f t="shared" si="0"/>
        <v>Prev</v>
      </c>
      <c r="AT4" s="144" t="str">
        <f t="shared" si="0"/>
        <v>Prev</v>
      </c>
      <c r="AU4" s="144" t="str">
        <f t="shared" si="0"/>
        <v>Prev</v>
      </c>
      <c r="AV4" s="144" t="str">
        <f t="shared" si="0"/>
        <v>Prev</v>
      </c>
      <c r="AW4" s="144" t="str">
        <f t="shared" si="0"/>
        <v>Prev</v>
      </c>
      <c r="AX4" s="144" t="str">
        <f t="shared" si="0"/>
        <v>Prev</v>
      </c>
      <c r="AY4" s="144" t="str">
        <f t="shared" si="0"/>
        <v>Prev</v>
      </c>
      <c r="AZ4" s="144" t="str">
        <f t="shared" si="0"/>
        <v>Prev</v>
      </c>
      <c r="BA4" s="144" t="str">
        <f t="shared" si="0"/>
        <v>Fin</v>
      </c>
      <c r="BB4" s="144" t="str">
        <f t="shared" si="0"/>
        <v>Fin</v>
      </c>
      <c r="BC4" s="144" t="str">
        <f t="shared" si="0"/>
        <v>Fin</v>
      </c>
      <c r="BD4" s="144" t="str">
        <f t="shared" si="0"/>
        <v>Fin</v>
      </c>
      <c r="BE4" s="144" t="str">
        <f t="shared" si="0"/>
        <v>Fin</v>
      </c>
      <c r="BF4" s="144" t="str">
        <f t="shared" si="0"/>
        <v>Fin</v>
      </c>
      <c r="BG4" s="144" t="str">
        <f t="shared" si="0"/>
        <v>Fin</v>
      </c>
      <c r="BH4" s="144" t="str">
        <f t="shared" si="0"/>
        <v>Fin</v>
      </c>
      <c r="BI4" s="144" t="str">
        <f t="shared" si="0"/>
        <v>Fin</v>
      </c>
      <c r="BJ4" s="144" t="str">
        <f t="shared" si="0"/>
        <v>Fin</v>
      </c>
      <c r="BK4" s="144" t="str">
        <f t="shared" si="0"/>
        <v>Fin</v>
      </c>
      <c r="BL4" s="144" t="str">
        <f t="shared" si="0"/>
        <v>Fin</v>
      </c>
    </row>
    <row r="5" spans="2:77" s="86" customFormat="1" ht="25" customHeight="1" x14ac:dyDescent="0.3">
      <c r="B5" s="291" t="s">
        <v>167</v>
      </c>
      <c r="C5" s="291"/>
      <c r="D5" s="145" t="s">
        <v>168</v>
      </c>
      <c r="E5" s="146">
        <v>46023</v>
      </c>
      <c r="F5" s="146">
        <v>46054</v>
      </c>
      <c r="G5" s="146">
        <v>46082</v>
      </c>
      <c r="H5" s="146">
        <v>46113</v>
      </c>
      <c r="I5" s="146">
        <v>46143</v>
      </c>
      <c r="J5" s="146">
        <v>46174</v>
      </c>
      <c r="K5" s="146">
        <v>46204</v>
      </c>
      <c r="L5" s="147">
        <v>46235</v>
      </c>
      <c r="M5" s="147">
        <v>46266</v>
      </c>
      <c r="N5" s="146">
        <v>46296</v>
      </c>
      <c r="O5" s="148">
        <v>46327</v>
      </c>
      <c r="P5" s="148">
        <v>46357</v>
      </c>
      <c r="Q5" s="148">
        <v>46388</v>
      </c>
      <c r="R5" s="148">
        <v>46419</v>
      </c>
      <c r="S5" s="148">
        <v>46447</v>
      </c>
      <c r="T5" s="148">
        <v>46478</v>
      </c>
      <c r="U5" s="148">
        <v>46508</v>
      </c>
      <c r="V5" s="148">
        <v>46539</v>
      </c>
      <c r="W5" s="148">
        <v>46569</v>
      </c>
      <c r="X5" s="148">
        <v>46600</v>
      </c>
      <c r="Y5" s="148">
        <v>46631</v>
      </c>
      <c r="Z5" s="148">
        <v>46661</v>
      </c>
      <c r="AA5" s="148">
        <v>46692</v>
      </c>
      <c r="AB5" s="148">
        <v>46722</v>
      </c>
      <c r="AC5" s="148">
        <v>46753</v>
      </c>
      <c r="AD5" s="148">
        <v>46784</v>
      </c>
      <c r="AE5" s="148">
        <v>46813</v>
      </c>
      <c r="AF5" s="148">
        <v>46844</v>
      </c>
      <c r="AG5" s="148">
        <v>46874</v>
      </c>
      <c r="AH5" s="148">
        <v>46905</v>
      </c>
      <c r="AI5" s="148">
        <v>46935</v>
      </c>
      <c r="AJ5" s="148">
        <v>46966</v>
      </c>
      <c r="AK5" s="148">
        <v>46997</v>
      </c>
      <c r="AL5" s="148">
        <v>47027</v>
      </c>
      <c r="AM5" s="148">
        <v>47058</v>
      </c>
      <c r="AN5" s="148">
        <v>47088</v>
      </c>
      <c r="AO5" s="148">
        <v>47119</v>
      </c>
      <c r="AP5" s="148">
        <v>47150</v>
      </c>
      <c r="AQ5" s="148">
        <v>47178</v>
      </c>
      <c r="AR5" s="148">
        <v>47209</v>
      </c>
      <c r="AS5" s="148">
        <v>47239</v>
      </c>
      <c r="AT5" s="148">
        <v>47270</v>
      </c>
      <c r="AU5" s="148">
        <v>47300</v>
      </c>
      <c r="AV5" s="148">
        <v>47331</v>
      </c>
      <c r="AW5" s="148">
        <v>47362</v>
      </c>
      <c r="AX5" s="148">
        <v>47392</v>
      </c>
      <c r="AY5" s="148">
        <v>47423</v>
      </c>
      <c r="AZ5" s="148">
        <v>47453</v>
      </c>
      <c r="BA5" s="148">
        <f t="shared" ref="BA5" si="1">EOMONTH(AZ5,1)</f>
        <v>47514</v>
      </c>
      <c r="BB5" s="148">
        <f t="shared" ref="BB5" si="2">EOMONTH(BA5,1)</f>
        <v>47542</v>
      </c>
      <c r="BC5" s="148">
        <f t="shared" ref="BC5" si="3">EOMONTH(BB5,1)</f>
        <v>47573</v>
      </c>
      <c r="BD5" s="148">
        <f t="shared" ref="BD5" si="4">EOMONTH(BC5,1)</f>
        <v>47603</v>
      </c>
      <c r="BE5" s="148">
        <f t="shared" ref="BE5" si="5">EOMONTH(BD5,1)</f>
        <v>47634</v>
      </c>
      <c r="BF5" s="148">
        <f t="shared" ref="BF5" si="6">EOMONTH(BE5,1)</f>
        <v>47664</v>
      </c>
      <c r="BG5" s="148">
        <f t="shared" ref="BG5" si="7">EOMONTH(BF5,1)</f>
        <v>47695</v>
      </c>
      <c r="BH5" s="148">
        <f t="shared" ref="BH5" si="8">EOMONTH(BG5,1)</f>
        <v>47726</v>
      </c>
      <c r="BI5" s="148">
        <f t="shared" ref="BI5" si="9">EOMONTH(BH5,1)</f>
        <v>47756</v>
      </c>
      <c r="BJ5" s="148">
        <f t="shared" ref="BJ5" si="10">EOMONTH(BI5,1)</f>
        <v>47787</v>
      </c>
      <c r="BK5" s="148">
        <f t="shared" ref="BK5" si="11">EOMONTH(BJ5,1)</f>
        <v>47817</v>
      </c>
      <c r="BL5" s="148">
        <f t="shared" ref="BL5" si="12">EOMONTH(BK5,1)</f>
        <v>47848</v>
      </c>
      <c r="BM5" s="21"/>
      <c r="BN5" s="21"/>
      <c r="BO5" s="21"/>
      <c r="BP5" s="21"/>
      <c r="BQ5" s="21"/>
      <c r="BR5" s="21"/>
      <c r="BS5" s="21"/>
      <c r="BT5" s="21"/>
      <c r="BU5" s="21"/>
      <c r="BV5" s="21"/>
      <c r="BW5" s="21"/>
      <c r="BX5" s="21"/>
      <c r="BY5" s="21"/>
    </row>
    <row r="6" spans="2:77" s="67" customFormat="1" ht="25" customHeight="1" x14ac:dyDescent="0.3">
      <c r="B6" s="297" t="s">
        <v>169</v>
      </c>
      <c r="C6" s="297"/>
      <c r="D6" s="149">
        <f>'Project Infor'!C28</f>
        <v>465000</v>
      </c>
      <c r="E6" s="150">
        <f>D6+SUMIF('Cost Overview'!$T$16:$T$35,(YEAR(E$5)&amp;MONTH(E$5)),'Cost Overview'!$F$16:$F$35)</f>
        <v>465000</v>
      </c>
      <c r="F6" s="150">
        <f>E6+SUMIF('Cost Overview'!$T$16:$T$35,(YEAR(F$5)&amp;MONTH(F$5)),'Cost Overview'!$F$16:$F$35)</f>
        <v>465000</v>
      </c>
      <c r="G6" s="150">
        <f>F6+SUMIF('Cost Overview'!$T$16:$T$35,(YEAR(G$5)&amp;MONTH(G$5)),'Cost Overview'!$F$16:$F$35)</f>
        <v>465000</v>
      </c>
      <c r="H6" s="150">
        <f>G6+SUMIF('Cost Overview'!$T$16:$T$35,(YEAR(H$5)&amp;MONTH(H$5)),'Cost Overview'!$F$16:$F$35)</f>
        <v>465000</v>
      </c>
      <c r="I6" s="150">
        <f>H6+SUMIF('Cost Overview'!$T$16:$T$35,(YEAR(I$5)&amp;MONTH(I$5)),'Cost Overview'!$F$16:$F$35)</f>
        <v>465000</v>
      </c>
      <c r="J6" s="150">
        <f>I6+SUMIF('Cost Overview'!$T$16:$T$35,(YEAR(J$5)&amp;MONTH(J$5)),'Cost Overview'!$F$16:$F$35)</f>
        <v>465000</v>
      </c>
      <c r="K6" s="150">
        <f>J6+SUMIF('Cost Overview'!$T$16:$T$35,(YEAR(K$5)&amp;MONTH(K$5)),'Cost Overview'!$F$16:$F$35)</f>
        <v>465000</v>
      </c>
      <c r="L6" s="150">
        <f>K6+SUMIF('Cost Overview'!$T$16:$T$35,(YEAR(L$5)&amp;MONTH(L$5)),'Cost Overview'!$F$16:$F$35)</f>
        <v>465000</v>
      </c>
      <c r="M6" s="150">
        <f>L6+SUMIF('Cost Overview'!$T$16:$T$35,(YEAR(M$5)&amp;MONTH(M$5)),'Cost Overview'!$F$16:$F$35)</f>
        <v>465000</v>
      </c>
      <c r="N6" s="150">
        <f>M6+SUMIF('Cost Overview'!$T$16:$T$35,(YEAR(N$5)&amp;MONTH(N$5)),'Cost Overview'!$F$16:$F$35)</f>
        <v>465000</v>
      </c>
      <c r="O6" s="150">
        <f>N6+SUMIF('Cost Overview'!$T$16:$T$35,(YEAR(O$5)&amp;MONTH(O$5)),'Cost Overview'!$F$16:$F$35)</f>
        <v>465000</v>
      </c>
      <c r="P6" s="150">
        <f>O6+SUMIF('Cost Overview'!$T$16:$T$35,(YEAR(P$5)&amp;MONTH(P$5)),'Cost Overview'!$F$16:$F$35)</f>
        <v>465000</v>
      </c>
      <c r="Q6" s="150">
        <f>P6+SUMIF('Cost Overview'!$T$16:$T$35,(YEAR(Q$5)&amp;MONTH(Q$5)),'Cost Overview'!$F$16:$F$35)</f>
        <v>465000</v>
      </c>
      <c r="R6" s="150">
        <f>Q6+SUMIF('Cost Overview'!$T$16:$T$35,(YEAR(R$5)&amp;MONTH(R$5)),'Cost Overview'!$F$16:$F$35)</f>
        <v>465000</v>
      </c>
      <c r="S6" s="150">
        <f>R6+SUMIF('Cost Overview'!$T$16:$T$35,(YEAR(S$5)&amp;MONTH(S$5)),'Cost Overview'!$F$16:$F$35)</f>
        <v>465000</v>
      </c>
      <c r="T6" s="150">
        <f>S6+SUMIF('Cost Overview'!$T$16:$T$35,(YEAR(T$5)&amp;MONTH(T$5)),'Cost Overview'!$F$16:$F$35)</f>
        <v>465000</v>
      </c>
      <c r="U6" s="150">
        <f>T6+SUMIF('Cost Overview'!$T$16:$T$35,(YEAR(U$5)&amp;MONTH(U$5)),'Cost Overview'!$F$16:$F$35)</f>
        <v>465000</v>
      </c>
      <c r="V6" s="150">
        <f>U6+SUMIF('Cost Overview'!$T$16:$T$35,(YEAR(V$5)&amp;MONTH(V$5)),'Cost Overview'!$F$16:$F$35)</f>
        <v>465000</v>
      </c>
      <c r="W6" s="150">
        <f>V6+SUMIF('Cost Overview'!$T$16:$T$35,(YEAR(W$5)&amp;MONTH(W$5)),'Cost Overview'!$F$16:$F$35)</f>
        <v>465000</v>
      </c>
      <c r="X6" s="150">
        <f>W6+SUMIF('Cost Overview'!$T$16:$T$35,(YEAR(X$5)&amp;MONTH(X$5)),'Cost Overview'!$F$16:$F$35)</f>
        <v>465000</v>
      </c>
      <c r="Y6" s="150">
        <f>X6+SUMIF('Cost Overview'!$T$16:$T$35,(YEAR(Y$5)&amp;MONTH(Y$5)),'Cost Overview'!$F$16:$F$35)</f>
        <v>465000</v>
      </c>
      <c r="Z6" s="150">
        <f>Y6+SUMIF('Cost Overview'!$T$16:$T$35,(YEAR(Z$5)&amp;MONTH(Z$5)),'Cost Overview'!$F$16:$F$35)</f>
        <v>465000</v>
      </c>
      <c r="AA6" s="150">
        <f>Z6+SUMIF('Cost Overview'!$T$16:$T$35,(YEAR(AA$5)&amp;MONTH(AA$5)),'Cost Overview'!$F$16:$F$35)</f>
        <v>465000</v>
      </c>
      <c r="AB6" s="150">
        <f>AA6+SUMIF('Cost Overview'!$T$16:$T$35,(YEAR(AB$5)&amp;MONTH(AB$5)),'Cost Overview'!$F$16:$F$35)</f>
        <v>465000</v>
      </c>
      <c r="AC6" s="150">
        <f>AB6+SUMIF('Cost Overview'!$T$16:$T$35,(YEAR(AC$5)&amp;MONTH(AC$5)),'Cost Overview'!$F$16:$F$35)</f>
        <v>465000</v>
      </c>
      <c r="AD6" s="150">
        <f>AC6+SUMIF('Cost Overview'!$T$16:$T$35,(YEAR(AD$5)&amp;MONTH(AD$5)),'Cost Overview'!$F$16:$F$35)</f>
        <v>465000</v>
      </c>
      <c r="AE6" s="150">
        <f>AD6+SUMIF('Cost Overview'!$T$16:$T$35,(YEAR(AE$5)&amp;MONTH(AE$5)),'Cost Overview'!$F$16:$F$35)</f>
        <v>465000</v>
      </c>
      <c r="AF6" s="150">
        <f>AE6+SUMIF('Cost Overview'!$T$16:$T$35,(YEAR(AF$5)&amp;MONTH(AF$5)),'Cost Overview'!$F$16:$F$35)</f>
        <v>465000</v>
      </c>
      <c r="AG6" s="150">
        <f>AF6+SUMIF('Cost Overview'!$T$16:$T$35,(YEAR(AG$5)&amp;MONTH(AG$5)),'Cost Overview'!$F$16:$F$35)</f>
        <v>465000</v>
      </c>
      <c r="AH6" s="150">
        <f>AG6+SUMIF('Cost Overview'!$T$16:$T$35,(YEAR(AH$5)&amp;MONTH(AH$5)),'Cost Overview'!$F$16:$F$35)</f>
        <v>465000</v>
      </c>
      <c r="AI6" s="150">
        <f>AH6+SUMIF('Cost Overview'!$T$16:$T$35,(YEAR(AI$5)&amp;MONTH(AI$5)),'Cost Overview'!$F$16:$F$35)</f>
        <v>465000</v>
      </c>
      <c r="AJ6" s="150">
        <f>AI6+SUMIF('Cost Overview'!$T$16:$T$35,(YEAR(AJ$5)&amp;MONTH(AJ$5)),'Cost Overview'!$F$16:$F$35)</f>
        <v>465000</v>
      </c>
      <c r="AK6" s="150">
        <f>AJ6+SUMIF('Cost Overview'!$T$16:$T$35,(YEAR(AK$5)&amp;MONTH(AK$5)),'Cost Overview'!$F$16:$F$35)</f>
        <v>465000</v>
      </c>
      <c r="AL6" s="150">
        <f>AK6+SUMIF('Cost Overview'!$T$16:$T$35,(YEAR(AL$5)&amp;MONTH(AL$5)),'Cost Overview'!$F$16:$F$35)</f>
        <v>465000</v>
      </c>
      <c r="AM6" s="150">
        <f>AL6+SUMIF('Cost Overview'!$T$16:$T$35,(YEAR(AM$5)&amp;MONTH(AM$5)),'Cost Overview'!$F$16:$F$35)</f>
        <v>465000</v>
      </c>
      <c r="AN6" s="150">
        <f>AM6+SUMIF('Cost Overview'!$T$16:$T$35,(YEAR(AN$5)&amp;MONTH(AN$5)),'Cost Overview'!$F$16:$F$35)</f>
        <v>465000</v>
      </c>
      <c r="AO6" s="150">
        <f>AN6+SUMIF('Cost Overview'!$T$16:$T$35,(YEAR(AO$5)&amp;MONTH(AO$5)),'Cost Overview'!$F$16:$F$35)</f>
        <v>465000</v>
      </c>
      <c r="AP6" s="150">
        <f>AO6+SUMIF('Cost Overview'!$T$16:$T$35,(YEAR(AP$5)&amp;MONTH(AP$5)),'Cost Overview'!$F$16:$F$35)</f>
        <v>465000</v>
      </c>
      <c r="AQ6" s="150">
        <f>AP6+SUMIF('Cost Overview'!$T$16:$T$35,(YEAR(AQ$5)&amp;MONTH(AQ$5)),'Cost Overview'!$F$16:$F$35)</f>
        <v>465000</v>
      </c>
      <c r="AR6" s="150">
        <f>AQ6+SUMIF('Cost Overview'!$T$16:$T$35,(YEAR(AR$5)&amp;MONTH(AR$5)),'Cost Overview'!$F$16:$F$35)</f>
        <v>465000</v>
      </c>
      <c r="AS6" s="150">
        <f>AR6+SUMIF('Cost Overview'!$T$16:$T$35,(YEAR(AS$5)&amp;MONTH(AS$5)),'Cost Overview'!$F$16:$F$35)</f>
        <v>465000</v>
      </c>
      <c r="AT6" s="150">
        <f>AS6+SUMIF('Cost Overview'!$T$16:$T$35,(YEAR(AT$5)&amp;MONTH(AT$5)),'Cost Overview'!$F$16:$F$35)</f>
        <v>465000</v>
      </c>
      <c r="AU6" s="150">
        <f>AT6+SUMIF('Cost Overview'!$T$16:$T$35,(YEAR(AU$5)&amp;MONTH(AU$5)),'Cost Overview'!$F$16:$F$35)</f>
        <v>465000</v>
      </c>
      <c r="AV6" s="150">
        <f>AU6+SUMIF('Cost Overview'!$T$16:$T$35,(YEAR(AV$5)&amp;MONTH(AV$5)),'Cost Overview'!$F$16:$F$35)</f>
        <v>465000</v>
      </c>
      <c r="AW6" s="150">
        <f>AV6+SUMIF('Cost Overview'!$T$16:$T$35,(YEAR(AW$5)&amp;MONTH(AW$5)),'Cost Overview'!$F$16:$F$35)</f>
        <v>465000</v>
      </c>
      <c r="AX6" s="150">
        <f>AW6+SUMIF('Cost Overview'!$T$16:$T$35,(YEAR(AX$5)&amp;MONTH(AX$5)),'Cost Overview'!$F$16:$F$35)</f>
        <v>465000</v>
      </c>
      <c r="AY6" s="150">
        <f>AX6+SUMIF('Cost Overview'!$T$16:$T$35,(YEAR(AY$5)&amp;MONTH(AY$5)),'Cost Overview'!$F$16:$F$35)</f>
        <v>465000</v>
      </c>
      <c r="AZ6" s="150">
        <f>AY6+SUMIF('Cost Overview'!$T$16:$T$35,(YEAR(AZ$5)&amp;MONTH(AZ$5)),'Cost Overview'!$F$16:$F$35)</f>
        <v>465000</v>
      </c>
      <c r="BA6" s="150">
        <f>AZ6+SUMIF('Cost Overview'!$T$16:$T$35,(YEAR(BA$5)&amp;MONTH(BA$5)),'Cost Overview'!$F$16:$F$35)</f>
        <v>465000</v>
      </c>
      <c r="BB6" s="150">
        <f>BA6+SUMIF('Cost Overview'!$T$16:$T$35,(YEAR(BB$5)&amp;MONTH(BB$5)),'Cost Overview'!$F$16:$F$35)</f>
        <v>465000</v>
      </c>
      <c r="BC6" s="150">
        <f>BB6+SUMIF('Cost Overview'!$T$16:$T$35,(YEAR(BC$5)&amp;MONTH(BC$5)),'Cost Overview'!$F$16:$F$35)</f>
        <v>465000</v>
      </c>
      <c r="BD6" s="150">
        <f>BC6+SUMIF('Cost Overview'!$T$16:$T$35,(YEAR(BD$5)&amp;MONTH(BD$5)),'Cost Overview'!$F$16:$F$35)</f>
        <v>465000</v>
      </c>
      <c r="BE6" s="150">
        <f>BD6+SUMIF('Cost Overview'!$T$16:$T$35,(YEAR(BE$5)&amp;MONTH(BE$5)),'Cost Overview'!$F$16:$F$35)</f>
        <v>465000</v>
      </c>
      <c r="BF6" s="150">
        <f>BE6+SUMIF('Cost Overview'!$T$16:$T$35,(YEAR(BF$5)&amp;MONTH(BF$5)),'Cost Overview'!$F$16:$F$35)</f>
        <v>465000</v>
      </c>
      <c r="BG6" s="150">
        <f>BF6+SUMIF('Cost Overview'!$T$16:$T$35,(YEAR(BG$5)&amp;MONTH(BG$5)),'Cost Overview'!$F$16:$F$35)</f>
        <v>465000</v>
      </c>
      <c r="BH6" s="150">
        <f>BG6+SUMIF('Cost Overview'!$T$16:$T$35,(YEAR(BH$5)&amp;MONTH(BH$5)),'Cost Overview'!$F$16:$F$35)</f>
        <v>465000</v>
      </c>
      <c r="BI6" s="150">
        <f>BH6+SUMIF('Cost Overview'!$T$16:$T$35,(YEAR(BI$5)&amp;MONTH(BI$5)),'Cost Overview'!$F$16:$F$35)</f>
        <v>465000</v>
      </c>
      <c r="BJ6" s="150">
        <f>BI6+SUMIF('Cost Overview'!$T$16:$T$35,(YEAR(BJ$5)&amp;MONTH(BJ$5)),'Cost Overview'!$F$16:$F$35)</f>
        <v>465000</v>
      </c>
      <c r="BK6" s="150">
        <f>BJ6+SUMIF('Cost Overview'!$T$16:$T$35,(YEAR(BK$5)&amp;MONTH(BK$5)),'Cost Overview'!$F$16:$F$35)</f>
        <v>465000</v>
      </c>
      <c r="BL6" s="150">
        <f>BK6+SUMIF('Cost Overview'!$T$16:$T$35,(YEAR(BL$5)&amp;MONTH(BL$5)),'Cost Overview'!$F$16:$F$35)</f>
        <v>465000</v>
      </c>
      <c r="BM6" s="21"/>
      <c r="BN6" s="21"/>
      <c r="BO6" s="21"/>
      <c r="BP6" s="21"/>
      <c r="BQ6" s="21"/>
      <c r="BR6" s="21"/>
      <c r="BS6" s="21"/>
      <c r="BT6" s="21"/>
      <c r="BU6" s="21"/>
      <c r="BV6" s="21"/>
      <c r="BW6" s="21"/>
      <c r="BX6" s="21"/>
      <c r="BY6" s="21"/>
    </row>
    <row r="7" spans="2:77" s="67" customFormat="1" ht="25" customHeight="1" outlineLevel="1" x14ac:dyDescent="0.3">
      <c r="B7" s="298" t="s">
        <v>60</v>
      </c>
      <c r="C7" s="298"/>
      <c r="D7" s="151">
        <f>'Project Infor'!C29</f>
        <v>14256</v>
      </c>
      <c r="E7" s="152">
        <f>D7+SUMIF('Cost Overview'!$T$16:$T$35,(YEAR(E$5)&amp;MONTH(E$5)),'Cost Overview'!$H$16:$H$35)</f>
        <v>14256</v>
      </c>
      <c r="F7" s="152">
        <f>E7+SUMIF('Cost Overview'!$T$16:$T$35,(YEAR(F$5)&amp;MONTH(F$5)),'Cost Overview'!$H$16:$H$35)</f>
        <v>14256</v>
      </c>
      <c r="G7" s="152">
        <f>F7+SUMIF('Cost Overview'!$T$16:$T$35,(YEAR(G$5)&amp;MONTH(G$5)),'Cost Overview'!$H$16:$H$35)</f>
        <v>14256</v>
      </c>
      <c r="H7" s="152">
        <f>G7+SUMIF('Cost Overview'!$T$16:$T$35,(YEAR(H$5)&amp;MONTH(H$5)),'Cost Overview'!$H$16:$H$35)</f>
        <v>14256</v>
      </c>
      <c r="I7" s="152">
        <f>H7+SUMIF('Cost Overview'!$T$16:$T$35,(YEAR(I$5)&amp;MONTH(I$5)),'Cost Overview'!$H$16:$H$35)</f>
        <v>14256</v>
      </c>
      <c r="J7" s="152">
        <f>I7+SUMIF('Cost Overview'!$T$16:$T$35,(YEAR(J$5)&amp;MONTH(J$5)),'Cost Overview'!$H$16:$H$35)</f>
        <v>14256</v>
      </c>
      <c r="K7" s="152">
        <f>J7+SUMIF('Cost Overview'!$T$16:$T$35,(YEAR(K$5)&amp;MONTH(K$5)),'Cost Overview'!$H$16:$H$35)</f>
        <v>14256</v>
      </c>
      <c r="L7" s="152">
        <f>K7+SUMIF('Cost Overview'!$T$16:$T$35,(YEAR(L$5)&amp;MONTH(L$5)),'Cost Overview'!$H$16:$H$35)</f>
        <v>14256</v>
      </c>
      <c r="M7" s="152">
        <f>L7+SUMIF('Cost Overview'!$T$16:$T$35,(YEAR(M$5)&amp;MONTH(M$5)),'Cost Overview'!$H$16:$H$35)</f>
        <v>14256</v>
      </c>
      <c r="N7" s="152">
        <f>M7+SUMIF('Cost Overview'!$T$16:$T$35,(YEAR(N$5)&amp;MONTH(N$5)),'Cost Overview'!$H$16:$H$35)</f>
        <v>14256</v>
      </c>
      <c r="O7" s="152">
        <f>N7+SUMIF('Cost Overview'!$T$16:$T$35,(YEAR(O$5)&amp;MONTH(O$5)),'Cost Overview'!$H$16:$H$35)</f>
        <v>14256</v>
      </c>
      <c r="P7" s="152">
        <f>O7+SUMIF('Cost Overview'!$T$16:$T$35,(YEAR(P$5)&amp;MONTH(P$5)),'Cost Overview'!$H$16:$H$35)</f>
        <v>14256</v>
      </c>
      <c r="Q7" s="152">
        <f>P7+SUMIF('Cost Overview'!$T$16:$T$35,(YEAR(Q$5)&amp;MONTH(Q$5)),'Cost Overview'!$H$16:$H$35)</f>
        <v>14256</v>
      </c>
      <c r="R7" s="152">
        <f>Q7+SUMIF('Cost Overview'!$T$16:$T$35,(YEAR(R$5)&amp;MONTH(R$5)),'Cost Overview'!$H$16:$H$35)</f>
        <v>14256</v>
      </c>
      <c r="S7" s="152">
        <f>R7+SUMIF('Cost Overview'!$T$16:$T$35,(YEAR(S$5)&amp;MONTH(S$5)),'Cost Overview'!$H$16:$H$35)</f>
        <v>14256</v>
      </c>
      <c r="T7" s="152">
        <f>S7+SUMIF('Cost Overview'!$T$16:$T$35,(YEAR(T$5)&amp;MONTH(T$5)),'Cost Overview'!$H$16:$H$35)</f>
        <v>14256</v>
      </c>
      <c r="U7" s="152">
        <f>T7+SUMIF('Cost Overview'!$T$16:$T$35,(YEAR(U$5)&amp;MONTH(U$5)),'Cost Overview'!$H$16:$H$35)</f>
        <v>14256</v>
      </c>
      <c r="V7" s="152">
        <f>U7+SUMIF('Cost Overview'!$T$16:$T$35,(YEAR(V$5)&amp;MONTH(V$5)),'Cost Overview'!$H$16:$H$35)</f>
        <v>14256</v>
      </c>
      <c r="W7" s="152">
        <f>V7+SUMIF('Cost Overview'!$T$16:$T$35,(YEAR(W$5)&amp;MONTH(W$5)),'Cost Overview'!$H$16:$H$35)</f>
        <v>14256</v>
      </c>
      <c r="X7" s="152">
        <f>W7+SUMIF('Cost Overview'!$T$16:$T$35,(YEAR(X$5)&amp;MONTH(X$5)),'Cost Overview'!$H$16:$H$35)</f>
        <v>14256</v>
      </c>
      <c r="Y7" s="152">
        <f>X7+SUMIF('Cost Overview'!$T$16:$T$35,(YEAR(Y$5)&amp;MONTH(Y$5)),'Cost Overview'!$H$16:$H$35)</f>
        <v>14256</v>
      </c>
      <c r="Z7" s="152">
        <f>Y7+SUMIF('Cost Overview'!$T$16:$T$35,(YEAR(Z$5)&amp;MONTH(Z$5)),'Cost Overview'!$H$16:$H$35)</f>
        <v>14256</v>
      </c>
      <c r="AA7" s="152">
        <f>Z7+SUMIF('Cost Overview'!$T$16:$T$35,(YEAR(AA$5)&amp;MONTH(AA$5)),'Cost Overview'!$H$16:$H$35)</f>
        <v>14256</v>
      </c>
      <c r="AB7" s="152">
        <f>AA7+SUMIF('Cost Overview'!$T$16:$T$35,(YEAR(AB$5)&amp;MONTH(AB$5)),'Cost Overview'!$H$16:$H$35)</f>
        <v>14256</v>
      </c>
      <c r="AC7" s="152">
        <f>AB7+SUMIF('Cost Overview'!$T$16:$T$35,(YEAR(AC$5)&amp;MONTH(AC$5)),'Cost Overview'!$H$16:$H$35)</f>
        <v>14256</v>
      </c>
      <c r="AD7" s="152">
        <f>AC7+SUMIF('Cost Overview'!$T$16:$T$35,(YEAR(AD$5)&amp;MONTH(AD$5)),'Cost Overview'!$H$16:$H$35)</f>
        <v>14256</v>
      </c>
      <c r="AE7" s="152">
        <f>AD7+SUMIF('Cost Overview'!$T$16:$T$35,(YEAR(AE$5)&amp;MONTH(AE$5)),'Cost Overview'!$H$16:$H$35)</f>
        <v>14256</v>
      </c>
      <c r="AF7" s="152">
        <f>AE7+SUMIF('Cost Overview'!$T$16:$T$35,(YEAR(AF$5)&amp;MONTH(AF$5)),'Cost Overview'!$H$16:$H$35)</f>
        <v>14256</v>
      </c>
      <c r="AG7" s="152">
        <f>AF7+SUMIF('Cost Overview'!$T$16:$T$35,(YEAR(AG$5)&amp;MONTH(AG$5)),'Cost Overview'!$H$16:$H$35)</f>
        <v>14256</v>
      </c>
      <c r="AH7" s="152">
        <f>AG7+SUMIF('Cost Overview'!$T$16:$T$35,(YEAR(AH$5)&amp;MONTH(AH$5)),'Cost Overview'!$H$16:$H$35)</f>
        <v>14256</v>
      </c>
      <c r="AI7" s="152">
        <f>AH7+SUMIF('Cost Overview'!$T$16:$T$35,(YEAR(AI$5)&amp;MONTH(AI$5)),'Cost Overview'!$H$16:$H$35)</f>
        <v>14256</v>
      </c>
      <c r="AJ7" s="152">
        <f>AI7+SUMIF('Cost Overview'!$T$16:$T$35,(YEAR(AJ$5)&amp;MONTH(AJ$5)),'Cost Overview'!$H$16:$H$35)</f>
        <v>14256</v>
      </c>
      <c r="AK7" s="152">
        <f>AJ7+SUMIF('Cost Overview'!$T$16:$T$35,(YEAR(AK$5)&amp;MONTH(AK$5)),'Cost Overview'!$H$16:$H$35)</f>
        <v>14256</v>
      </c>
      <c r="AL7" s="152">
        <f>AK7+SUMIF('Cost Overview'!$T$16:$T$35,(YEAR(AL$5)&amp;MONTH(AL$5)),'Cost Overview'!$H$16:$H$35)</f>
        <v>14256</v>
      </c>
      <c r="AM7" s="152">
        <f>AL7+SUMIF('Cost Overview'!$T$16:$T$35,(YEAR(AM$5)&amp;MONTH(AM$5)),'Cost Overview'!$H$16:$H$35)</f>
        <v>14256</v>
      </c>
      <c r="AN7" s="152">
        <f>AM7+SUMIF('Cost Overview'!$T$16:$T$35,(YEAR(AN$5)&amp;MONTH(AN$5)),'Cost Overview'!$H$16:$H$35)</f>
        <v>14256</v>
      </c>
      <c r="AO7" s="152">
        <f>AN7+SUMIF('Cost Overview'!$T$16:$T$35,(YEAR(AO$5)&amp;MONTH(AO$5)),'Cost Overview'!$H$16:$H$35)</f>
        <v>14256</v>
      </c>
      <c r="AP7" s="152">
        <f>AO7+SUMIF('Cost Overview'!$T$16:$T$35,(YEAR(AP$5)&amp;MONTH(AP$5)),'Cost Overview'!$H$16:$H$35)</f>
        <v>14256</v>
      </c>
      <c r="AQ7" s="152">
        <f>AP7+SUMIF('Cost Overview'!$T$16:$T$35,(YEAR(AQ$5)&amp;MONTH(AQ$5)),'Cost Overview'!$H$16:$H$35)</f>
        <v>14256</v>
      </c>
      <c r="AR7" s="152">
        <f>AQ7+SUMIF('Cost Overview'!$T$16:$T$35,(YEAR(AR$5)&amp;MONTH(AR$5)),'Cost Overview'!$H$16:$H$35)</f>
        <v>14256</v>
      </c>
      <c r="AS7" s="152">
        <f>AR7+SUMIF('Cost Overview'!$T$16:$T$35,(YEAR(AS$5)&amp;MONTH(AS$5)),'Cost Overview'!$H$16:$H$35)</f>
        <v>14256</v>
      </c>
      <c r="AT7" s="152">
        <f>AS7+SUMIF('Cost Overview'!$T$16:$T$35,(YEAR(AT$5)&amp;MONTH(AT$5)),'Cost Overview'!$H$16:$H$35)</f>
        <v>14256</v>
      </c>
      <c r="AU7" s="152">
        <f>AT7+SUMIF('Cost Overview'!$T$16:$T$35,(YEAR(AU$5)&amp;MONTH(AU$5)),'Cost Overview'!$H$16:$H$35)</f>
        <v>14256</v>
      </c>
      <c r="AV7" s="152">
        <f>AU7+SUMIF('Cost Overview'!$T$16:$T$35,(YEAR(AV$5)&amp;MONTH(AV$5)),'Cost Overview'!$H$16:$H$35)</f>
        <v>14256</v>
      </c>
      <c r="AW7" s="152">
        <f>AV7+SUMIF('Cost Overview'!$T$16:$T$35,(YEAR(AW$5)&amp;MONTH(AW$5)),'Cost Overview'!$H$16:$H$35)</f>
        <v>14256</v>
      </c>
      <c r="AX7" s="152">
        <f>AW7+SUMIF('Cost Overview'!$T$16:$T$35,(YEAR(AX$5)&amp;MONTH(AX$5)),'Cost Overview'!$H$16:$H$35)</f>
        <v>14256</v>
      </c>
      <c r="AY7" s="152">
        <f>AX7+SUMIF('Cost Overview'!$T$16:$T$35,(YEAR(AY$5)&amp;MONTH(AY$5)),'Cost Overview'!$H$16:$H$35)</f>
        <v>14256</v>
      </c>
      <c r="AZ7" s="152">
        <f>AY7+SUMIF('Cost Overview'!$T$16:$T$35,(YEAR(AZ$5)&amp;MONTH(AZ$5)),'Cost Overview'!$H$16:$H$35)</f>
        <v>14256</v>
      </c>
      <c r="BA7" s="152">
        <f>AZ7+SUMIF('Cost Overview'!$T$16:$T$35,(YEAR(BA$5)&amp;MONTH(BA$5)),'Cost Overview'!$H$16:$H$35)</f>
        <v>14256</v>
      </c>
      <c r="BB7" s="152">
        <f>BA7+SUMIF('Cost Overview'!$T$16:$T$35,(YEAR(BB$5)&amp;MONTH(BB$5)),'Cost Overview'!$H$16:$H$35)</f>
        <v>14256</v>
      </c>
      <c r="BC7" s="152">
        <f>BB7+SUMIF('Cost Overview'!$T$16:$T$35,(YEAR(BC$5)&amp;MONTH(BC$5)),'Cost Overview'!$H$16:$H$35)</f>
        <v>14256</v>
      </c>
      <c r="BD7" s="152">
        <f>BC7+SUMIF('Cost Overview'!$T$16:$T$35,(YEAR(BD$5)&amp;MONTH(BD$5)),'Cost Overview'!$H$16:$H$35)</f>
        <v>14256</v>
      </c>
      <c r="BE7" s="152">
        <f>BD7+SUMIF('Cost Overview'!$T$16:$T$35,(YEAR(BE$5)&amp;MONTH(BE$5)),'Cost Overview'!$H$16:$H$35)</f>
        <v>14256</v>
      </c>
      <c r="BF7" s="152">
        <f>BE7+SUMIF('Cost Overview'!$T$16:$T$35,(YEAR(BF$5)&amp;MONTH(BF$5)),'Cost Overview'!$H$16:$H$35)</f>
        <v>14256</v>
      </c>
      <c r="BG7" s="152">
        <f>BF7+SUMIF('Cost Overview'!$T$16:$T$35,(YEAR(BG$5)&amp;MONTH(BG$5)),'Cost Overview'!$H$16:$H$35)</f>
        <v>14256</v>
      </c>
      <c r="BH7" s="152">
        <f>BG7+SUMIF('Cost Overview'!$T$16:$T$35,(YEAR(BH$5)&amp;MONTH(BH$5)),'Cost Overview'!$H$16:$H$35)</f>
        <v>14256</v>
      </c>
      <c r="BI7" s="152">
        <f>BH7+SUMIF('Cost Overview'!$T$16:$T$35,(YEAR(BI$5)&amp;MONTH(BI$5)),'Cost Overview'!$H$16:$H$35)</f>
        <v>14256</v>
      </c>
      <c r="BJ7" s="152">
        <f>BI7+SUMIF('Cost Overview'!$T$16:$T$35,(YEAR(BJ$5)&amp;MONTH(BJ$5)),'Cost Overview'!$H$16:$H$35)</f>
        <v>14256</v>
      </c>
      <c r="BK7" s="152">
        <f>BJ7+SUMIF('Cost Overview'!$T$16:$T$35,(YEAR(BK$5)&amp;MONTH(BK$5)),'Cost Overview'!$H$16:$H$35)</f>
        <v>14256</v>
      </c>
      <c r="BL7" s="152">
        <f>BK7+SUMIF('Cost Overview'!$T$16:$T$35,(YEAR(BL$5)&amp;MONTH(BL$5)),'Cost Overview'!$H$16:$H$35)</f>
        <v>14256</v>
      </c>
      <c r="BN7" s="21"/>
      <c r="BO7" s="21"/>
      <c r="BP7" s="21"/>
      <c r="BQ7" s="21"/>
      <c r="BR7" s="21"/>
      <c r="BS7" s="21"/>
      <c r="BT7" s="21"/>
      <c r="BU7" s="21"/>
      <c r="BV7" s="21"/>
      <c r="BW7" s="21"/>
      <c r="BX7" s="21"/>
      <c r="BY7" s="21"/>
    </row>
    <row r="8" spans="2:77" s="67" customFormat="1" ht="25" customHeight="1" outlineLevel="1" x14ac:dyDescent="0.3">
      <c r="B8" s="298" t="s">
        <v>170</v>
      </c>
      <c r="C8" s="298"/>
      <c r="D8" s="151">
        <f>'Project Infor'!C30</f>
        <v>356584.84</v>
      </c>
      <c r="E8" s="152">
        <f>D8+SUMIF('Cost Overview'!$T$16:$T$35,(YEAR(E$5)&amp;MONTH(E$5)),'Cost Overview'!$G$16:$G$35)</f>
        <v>356584.84</v>
      </c>
      <c r="F8" s="152">
        <f>E8+SUMIF('Cost Overview'!$T$16:$T$35,(YEAR(F$5)&amp;MONTH(F$5)),'Cost Overview'!$G$16:$G$35)</f>
        <v>356584.84</v>
      </c>
      <c r="G8" s="152">
        <f>F8+SUMIF('Cost Overview'!$T$16:$T$35,(YEAR(G$5)&amp;MONTH(G$5)),'Cost Overview'!$G$16:$G$35)</f>
        <v>356584.84</v>
      </c>
      <c r="H8" s="152">
        <f>G8+SUMIF('Cost Overview'!$T$16:$T$35,(YEAR(H$5)&amp;MONTH(H$5)),'Cost Overview'!$G$16:$G$35)</f>
        <v>356584.84</v>
      </c>
      <c r="I8" s="152">
        <f>H8+SUMIF('Cost Overview'!$T$16:$T$35,(YEAR(I$5)&amp;MONTH(I$5)),'Cost Overview'!$G$16:$G$35)</f>
        <v>356584.84</v>
      </c>
      <c r="J8" s="152">
        <f>I8+SUMIF('Cost Overview'!$T$16:$T$35,(YEAR(J$5)&amp;MONTH(J$5)),'Cost Overview'!$G$16:$G$35)</f>
        <v>356584.84</v>
      </c>
      <c r="K8" s="152">
        <f>J8+SUMIF('Cost Overview'!$T$16:$T$35,(YEAR(K$5)&amp;MONTH(K$5)),'Cost Overview'!$G$16:$G$35)</f>
        <v>356584.84</v>
      </c>
      <c r="L8" s="152">
        <f>K8+SUMIF('Cost Overview'!$T$16:$T$35,(YEAR(L$5)&amp;MONTH(L$5)),'Cost Overview'!$G$16:$G$35)</f>
        <v>356584.84</v>
      </c>
      <c r="M8" s="152">
        <f>L8+SUMIF('Cost Overview'!$T$16:$T$35,(YEAR(M$5)&amp;MONTH(M$5)),'Cost Overview'!$G$16:$G$35)</f>
        <v>356584.84</v>
      </c>
      <c r="N8" s="152">
        <f>M8+SUMIF('Cost Overview'!$T$16:$T$35,(YEAR(N$5)&amp;MONTH(N$5)),'Cost Overview'!$G$16:$G$35)</f>
        <v>356584.84</v>
      </c>
      <c r="O8" s="152">
        <f>N8+SUMIF('Cost Overview'!$T$16:$T$35,(YEAR(O$5)&amp;MONTH(O$5)),'Cost Overview'!$G$16:$G$35)</f>
        <v>356584.84</v>
      </c>
      <c r="P8" s="152">
        <f>O8+SUMIF('Cost Overview'!$T$16:$T$35,(YEAR(P$5)&amp;MONTH(P$5)),'Cost Overview'!$G$16:$G$35)</f>
        <v>356584.84</v>
      </c>
      <c r="Q8" s="152">
        <f>P8+SUMIF('Cost Overview'!$T$16:$T$35,(YEAR(Q$5)&amp;MONTH(Q$5)),'Cost Overview'!$G$16:$G$35)</f>
        <v>356584.84</v>
      </c>
      <c r="R8" s="152">
        <f>Q8+SUMIF('Cost Overview'!$T$16:$T$35,(YEAR(R$5)&amp;MONTH(R$5)),'Cost Overview'!$G$16:$G$35)</f>
        <v>356584.84</v>
      </c>
      <c r="S8" s="152">
        <f>R8+SUMIF('Cost Overview'!$T$16:$T$35,(YEAR(S$5)&amp;MONTH(S$5)),'Cost Overview'!$G$16:$G$35)</f>
        <v>356584.84</v>
      </c>
      <c r="T8" s="152">
        <f>S8+SUMIF('Cost Overview'!$T$16:$T$35,(YEAR(T$5)&amp;MONTH(T$5)),'Cost Overview'!$G$16:$G$35)</f>
        <v>356584.84</v>
      </c>
      <c r="U8" s="152">
        <f>T8+SUMIF('Cost Overview'!$T$16:$T$35,(YEAR(U$5)&amp;MONTH(U$5)),'Cost Overview'!$G$16:$G$35)</f>
        <v>356584.84</v>
      </c>
      <c r="V8" s="152">
        <f>U8+SUMIF('Cost Overview'!$T$16:$T$35,(YEAR(V$5)&amp;MONTH(V$5)),'Cost Overview'!$G$16:$G$35)</f>
        <v>356584.84</v>
      </c>
      <c r="W8" s="152">
        <f>V8+SUMIF('Cost Overview'!$T$16:$T$35,(YEAR(W$5)&amp;MONTH(W$5)),'Cost Overview'!$G$16:$G$35)</f>
        <v>356584.84</v>
      </c>
      <c r="X8" s="152">
        <f>W8+SUMIF('Cost Overview'!$T$16:$T$35,(YEAR(X$5)&amp;MONTH(X$5)),'Cost Overview'!$G$16:$G$35)</f>
        <v>356584.84</v>
      </c>
      <c r="Y8" s="152">
        <f>X8+SUMIF('Cost Overview'!$T$16:$T$35,(YEAR(Y$5)&amp;MONTH(Y$5)),'Cost Overview'!$G$16:$G$35)</f>
        <v>356584.84</v>
      </c>
      <c r="Z8" s="152">
        <f>Y8+SUMIF('Cost Overview'!$T$16:$T$35,(YEAR(Z$5)&amp;MONTH(Z$5)),'Cost Overview'!$G$16:$G$35)</f>
        <v>356584.84</v>
      </c>
      <c r="AA8" s="152">
        <f>Z8+SUMIF('Cost Overview'!$T$16:$T$35,(YEAR(AA$5)&amp;MONTH(AA$5)),'Cost Overview'!$G$16:$G$35)</f>
        <v>356584.84</v>
      </c>
      <c r="AB8" s="152">
        <f>AA8+SUMIF('Cost Overview'!$T$16:$T$35,(YEAR(AB$5)&amp;MONTH(AB$5)),'Cost Overview'!$G$16:$G$35)</f>
        <v>356584.84</v>
      </c>
      <c r="AC8" s="152">
        <f>AB8+SUMIF('Cost Overview'!$T$16:$T$35,(YEAR(AC$5)&amp;MONTH(AC$5)),'Cost Overview'!$G$16:$G$35)</f>
        <v>356584.84</v>
      </c>
      <c r="AD8" s="152">
        <f>AC8+SUMIF('Cost Overview'!$T$16:$T$35,(YEAR(AD$5)&amp;MONTH(AD$5)),'Cost Overview'!$G$16:$G$35)</f>
        <v>356584.84</v>
      </c>
      <c r="AE8" s="152">
        <f>AD8+SUMIF('Cost Overview'!$T$16:$T$35,(YEAR(AE$5)&amp;MONTH(AE$5)),'Cost Overview'!$G$16:$G$35)</f>
        <v>356584.84</v>
      </c>
      <c r="AF8" s="152">
        <f>AE8+SUMIF('Cost Overview'!$T$16:$T$35,(YEAR(AF$5)&amp;MONTH(AF$5)),'Cost Overview'!$G$16:$G$35)</f>
        <v>356584.84</v>
      </c>
      <c r="AG8" s="152">
        <f>AF8+SUMIF('Cost Overview'!$T$16:$T$35,(YEAR(AG$5)&amp;MONTH(AG$5)),'Cost Overview'!$G$16:$G$35)</f>
        <v>356584.84</v>
      </c>
      <c r="AH8" s="152">
        <f>AG8+SUMIF('Cost Overview'!$T$16:$T$35,(YEAR(AH$5)&amp;MONTH(AH$5)),'Cost Overview'!$G$16:$G$35)</f>
        <v>356584.84</v>
      </c>
      <c r="AI8" s="152">
        <f>AH8+SUMIF('Cost Overview'!$T$16:$T$35,(YEAR(AI$5)&amp;MONTH(AI$5)),'Cost Overview'!$G$16:$G$35)</f>
        <v>356584.84</v>
      </c>
      <c r="AJ8" s="152">
        <f>AI8+SUMIF('Cost Overview'!$T$16:$T$35,(YEAR(AJ$5)&amp;MONTH(AJ$5)),'Cost Overview'!$G$16:$G$35)</f>
        <v>356584.84</v>
      </c>
      <c r="AK8" s="152">
        <f>AJ8+SUMIF('Cost Overview'!$T$16:$T$35,(YEAR(AK$5)&amp;MONTH(AK$5)),'Cost Overview'!$G$16:$G$35)</f>
        <v>356584.84</v>
      </c>
      <c r="AL8" s="152">
        <f>AK8+SUMIF('Cost Overview'!$T$16:$T$35,(YEAR(AL$5)&amp;MONTH(AL$5)),'Cost Overview'!$G$16:$G$35)</f>
        <v>356584.84</v>
      </c>
      <c r="AM8" s="152">
        <f>AL8+SUMIF('Cost Overview'!$T$16:$T$35,(YEAR(AM$5)&amp;MONTH(AM$5)),'Cost Overview'!$G$16:$G$35)</f>
        <v>356584.84</v>
      </c>
      <c r="AN8" s="152">
        <f>AM8+SUMIF('Cost Overview'!$T$16:$T$35,(YEAR(AN$5)&amp;MONTH(AN$5)),'Cost Overview'!$G$16:$G$35)</f>
        <v>356584.84</v>
      </c>
      <c r="AO8" s="152">
        <f>AN8+SUMIF('Cost Overview'!$T$16:$T$35,(YEAR(AO$5)&amp;MONTH(AO$5)),'Cost Overview'!$G$16:$G$35)</f>
        <v>356584.84</v>
      </c>
      <c r="AP8" s="152">
        <f>AO8+SUMIF('Cost Overview'!$T$16:$T$35,(YEAR(AP$5)&amp;MONTH(AP$5)),'Cost Overview'!$G$16:$G$35)</f>
        <v>356584.84</v>
      </c>
      <c r="AQ8" s="152">
        <f>AP8+SUMIF('Cost Overview'!$T$16:$T$35,(YEAR(AQ$5)&amp;MONTH(AQ$5)),'Cost Overview'!$G$16:$G$35)</f>
        <v>356584.84</v>
      </c>
      <c r="AR8" s="152">
        <f>AQ8+SUMIF('Cost Overview'!$T$16:$T$35,(YEAR(AR$5)&amp;MONTH(AR$5)),'Cost Overview'!$G$16:$G$35)</f>
        <v>356584.84</v>
      </c>
      <c r="AS8" s="152">
        <f>AR8+SUMIF('Cost Overview'!$T$16:$T$35,(YEAR(AS$5)&amp;MONTH(AS$5)),'Cost Overview'!$G$16:$G$35)</f>
        <v>356584.84</v>
      </c>
      <c r="AT8" s="152">
        <f>AS8+SUMIF('Cost Overview'!$T$16:$T$35,(YEAR(AT$5)&amp;MONTH(AT$5)),'Cost Overview'!$G$16:$G$35)</f>
        <v>356584.84</v>
      </c>
      <c r="AU8" s="152">
        <f>AT8+SUMIF('Cost Overview'!$T$16:$T$35,(YEAR(AU$5)&amp;MONTH(AU$5)),'Cost Overview'!$G$16:$G$35)</f>
        <v>356584.84</v>
      </c>
      <c r="AV8" s="152">
        <f>AU8+SUMIF('Cost Overview'!$T$16:$T$35,(YEAR(AV$5)&amp;MONTH(AV$5)),'Cost Overview'!$G$16:$G$35)</f>
        <v>356584.84</v>
      </c>
      <c r="AW8" s="152">
        <f>AV8+SUMIF('Cost Overview'!$T$16:$T$35,(YEAR(AW$5)&amp;MONTH(AW$5)),'Cost Overview'!$G$16:$G$35)</f>
        <v>356584.84</v>
      </c>
      <c r="AX8" s="152">
        <f>AW8+SUMIF('Cost Overview'!$T$16:$T$35,(YEAR(AX$5)&amp;MONTH(AX$5)),'Cost Overview'!$G$16:$G$35)</f>
        <v>356584.84</v>
      </c>
      <c r="AY8" s="152">
        <f>AX8+SUMIF('Cost Overview'!$T$16:$T$35,(YEAR(AY$5)&amp;MONTH(AY$5)),'Cost Overview'!$G$16:$G$35)</f>
        <v>356584.84</v>
      </c>
      <c r="AZ8" s="152">
        <f>AY8+SUMIF('Cost Overview'!$T$16:$T$35,(YEAR(AZ$5)&amp;MONTH(AZ$5)),'Cost Overview'!$G$16:$G$35)</f>
        <v>356584.84</v>
      </c>
      <c r="BA8" s="152">
        <f>AZ8+SUMIF('Cost Overview'!$T$16:$T$35,(YEAR(BA$5)&amp;MONTH(BA$5)),'Cost Overview'!$G$16:$G$35)</f>
        <v>356584.84</v>
      </c>
      <c r="BB8" s="152">
        <f>BA8+SUMIF('Cost Overview'!$T$16:$T$35,(YEAR(BB$5)&amp;MONTH(BB$5)),'Cost Overview'!$G$16:$G$35)</f>
        <v>356584.84</v>
      </c>
      <c r="BC8" s="152">
        <f>BB8+SUMIF('Cost Overview'!$T$16:$T$35,(YEAR(BC$5)&amp;MONTH(BC$5)),'Cost Overview'!$G$16:$G$35)</f>
        <v>356584.84</v>
      </c>
      <c r="BD8" s="152">
        <f>BC8+SUMIF('Cost Overview'!$T$16:$T$35,(YEAR(BD$5)&amp;MONTH(BD$5)),'Cost Overview'!$G$16:$G$35)</f>
        <v>356584.84</v>
      </c>
      <c r="BE8" s="152">
        <f>BD8+SUMIF('Cost Overview'!$T$16:$T$35,(YEAR(BE$5)&amp;MONTH(BE$5)),'Cost Overview'!$G$16:$G$35)</f>
        <v>356584.84</v>
      </c>
      <c r="BF8" s="152">
        <f>BE8+SUMIF('Cost Overview'!$T$16:$T$35,(YEAR(BF$5)&amp;MONTH(BF$5)),'Cost Overview'!$G$16:$G$35)</f>
        <v>356584.84</v>
      </c>
      <c r="BG8" s="152">
        <f>BF8+SUMIF('Cost Overview'!$T$16:$T$35,(YEAR(BG$5)&amp;MONTH(BG$5)),'Cost Overview'!$G$16:$G$35)</f>
        <v>356584.84</v>
      </c>
      <c r="BH8" s="152">
        <f>BG8+SUMIF('Cost Overview'!$T$16:$T$35,(YEAR(BH$5)&amp;MONTH(BH$5)),'Cost Overview'!$G$16:$G$35)</f>
        <v>356584.84</v>
      </c>
      <c r="BI8" s="152">
        <f>BH8+SUMIF('Cost Overview'!$T$16:$T$35,(YEAR(BI$5)&amp;MONTH(BI$5)),'Cost Overview'!$G$16:$G$35)</f>
        <v>356584.84</v>
      </c>
      <c r="BJ8" s="152">
        <f>BI8+SUMIF('Cost Overview'!$T$16:$T$35,(YEAR(BJ$5)&amp;MONTH(BJ$5)),'Cost Overview'!$G$16:$G$35)</f>
        <v>356584.84</v>
      </c>
      <c r="BK8" s="152">
        <f>BJ8+SUMIF('Cost Overview'!$T$16:$T$35,(YEAR(BK$5)&amp;MONTH(BK$5)),'Cost Overview'!$G$16:$G$35)</f>
        <v>356584.84</v>
      </c>
      <c r="BL8" s="152">
        <f>BK8+SUMIF('Cost Overview'!$T$16:$T$35,(YEAR(BL$5)&amp;MONTH(BL$5)),'Cost Overview'!$G$16:$G$35)</f>
        <v>356584.84</v>
      </c>
      <c r="BN8" s="21"/>
      <c r="BO8" s="21"/>
      <c r="BP8" s="21"/>
      <c r="BQ8" s="21"/>
      <c r="BR8" s="21"/>
      <c r="BS8" s="21"/>
      <c r="BT8" s="21"/>
      <c r="BU8" s="21"/>
      <c r="BV8" s="21"/>
      <c r="BW8" s="21"/>
      <c r="BX8" s="21"/>
      <c r="BY8" s="21"/>
    </row>
    <row r="9" spans="2:77" s="67" customFormat="1" ht="25" customHeight="1" outlineLevel="1" x14ac:dyDescent="0.3">
      <c r="B9" s="298" t="s">
        <v>171</v>
      </c>
      <c r="C9" s="298"/>
      <c r="D9" s="151">
        <f>'Project Infor'!C31</f>
        <v>3565.85</v>
      </c>
      <c r="E9" s="152">
        <f>D9+SUMIF('Cost Overview'!$T$16:$T$35,(YEAR(E$5)&amp;MONTH(E$5)),'Cost Overview'!$I$16:$I$35)</f>
        <v>3565.85</v>
      </c>
      <c r="F9" s="152">
        <f>E9+SUMIF('Cost Overview'!$T$16:$T$35,(YEAR(F$5)&amp;MONTH(F$5)),'Cost Overview'!$I$16:$I$35)</f>
        <v>3565.85</v>
      </c>
      <c r="G9" s="152">
        <f>F9+SUMIF('Cost Overview'!$T$16:$T$35,(YEAR(G$5)&amp;MONTH(G$5)),'Cost Overview'!$I$16:$I$35)</f>
        <v>3565.85</v>
      </c>
      <c r="H9" s="152">
        <f>G9+SUMIF('Cost Overview'!$T$16:$T$35,(YEAR(H$5)&amp;MONTH(H$5)),'Cost Overview'!$I$16:$I$35)</f>
        <v>3565.85</v>
      </c>
      <c r="I9" s="152">
        <f>H9+SUMIF('Cost Overview'!$T$16:$T$35,(YEAR(I$5)&amp;MONTH(I$5)),'Cost Overview'!$I$16:$I$35)</f>
        <v>3565.85</v>
      </c>
      <c r="J9" s="152">
        <f>I9+SUMIF('Cost Overview'!$T$16:$T$35,(YEAR(J$5)&amp;MONTH(J$5)),'Cost Overview'!$I$16:$I$35)</f>
        <v>3565.85</v>
      </c>
      <c r="K9" s="152">
        <f>J9+SUMIF('Cost Overview'!$T$16:$T$35,(YEAR(K$5)&amp;MONTH(K$5)),'Cost Overview'!$I$16:$I$35)</f>
        <v>3565.85</v>
      </c>
      <c r="L9" s="152">
        <f>K9+SUMIF('Cost Overview'!$T$16:$T$35,(YEAR(L$5)&amp;MONTH(L$5)),'Cost Overview'!$I$16:$I$35)</f>
        <v>3565.85</v>
      </c>
      <c r="M9" s="152">
        <f>L9+SUMIF('Cost Overview'!$T$16:$T$35,(YEAR(M$5)&amp;MONTH(M$5)),'Cost Overview'!$I$16:$I$35)</f>
        <v>3565.85</v>
      </c>
      <c r="N9" s="152">
        <f>M9+SUMIF('Cost Overview'!$T$16:$T$35,(YEAR(N$5)&amp;MONTH(N$5)),'Cost Overview'!$I$16:$I$35)</f>
        <v>3565.85</v>
      </c>
      <c r="O9" s="152">
        <f>N9+SUMIF('Cost Overview'!$T$16:$T$35,(YEAR(O$5)&amp;MONTH(O$5)),'Cost Overview'!$I$16:$I$35)</f>
        <v>3565.85</v>
      </c>
      <c r="P9" s="152">
        <f>O9+SUMIF('Cost Overview'!$T$16:$T$35,(YEAR(P$5)&amp;MONTH(P$5)),'Cost Overview'!$I$16:$I$35)</f>
        <v>3565.85</v>
      </c>
      <c r="Q9" s="152">
        <f>P9+SUMIF('Cost Overview'!$T$16:$T$35,(YEAR(Q$5)&amp;MONTH(Q$5)),'Cost Overview'!$I$16:$I$35)</f>
        <v>3565.85</v>
      </c>
      <c r="R9" s="152">
        <f>Q9+SUMIF('Cost Overview'!$T$16:$T$35,(YEAR(R$5)&amp;MONTH(R$5)),'Cost Overview'!$I$16:$I$35)</f>
        <v>3565.85</v>
      </c>
      <c r="S9" s="152">
        <f>R9+SUMIF('Cost Overview'!$T$16:$T$35,(YEAR(S$5)&amp;MONTH(S$5)),'Cost Overview'!$I$16:$I$35)</f>
        <v>3565.85</v>
      </c>
      <c r="T9" s="152">
        <f>S9+SUMIF('Cost Overview'!$T$16:$T$35,(YEAR(T$5)&amp;MONTH(T$5)),'Cost Overview'!$I$16:$I$35)</f>
        <v>3565.85</v>
      </c>
      <c r="U9" s="152">
        <f>T9+SUMIF('Cost Overview'!$T$16:$T$35,(YEAR(U$5)&amp;MONTH(U$5)),'Cost Overview'!$I$16:$I$35)</f>
        <v>3565.85</v>
      </c>
      <c r="V9" s="152">
        <f>U9+SUMIF('Cost Overview'!$T$16:$T$35,(YEAR(V$5)&amp;MONTH(V$5)),'Cost Overview'!$I$16:$I$35)</f>
        <v>3565.85</v>
      </c>
      <c r="W9" s="152">
        <f>V9+SUMIF('Cost Overview'!$T$16:$T$35,(YEAR(W$5)&amp;MONTH(W$5)),'Cost Overview'!$I$16:$I$35)</f>
        <v>3565.85</v>
      </c>
      <c r="X9" s="152">
        <f>W9+SUMIF('Cost Overview'!$T$16:$T$35,(YEAR(X$5)&amp;MONTH(X$5)),'Cost Overview'!$I$16:$I$35)</f>
        <v>3565.85</v>
      </c>
      <c r="Y9" s="152">
        <f>X9+SUMIF('Cost Overview'!$T$16:$T$35,(YEAR(Y$5)&amp;MONTH(Y$5)),'Cost Overview'!$I$16:$I$35)</f>
        <v>3565.85</v>
      </c>
      <c r="Z9" s="152">
        <f>Y9+SUMIF('Cost Overview'!$T$16:$T$35,(YEAR(Z$5)&amp;MONTH(Z$5)),'Cost Overview'!$I$16:$I$35)</f>
        <v>3565.85</v>
      </c>
      <c r="AA9" s="152">
        <f>Z9+SUMIF('Cost Overview'!$T$16:$T$35,(YEAR(AA$5)&amp;MONTH(AA$5)),'Cost Overview'!$I$16:$I$35)</f>
        <v>3565.85</v>
      </c>
      <c r="AB9" s="152">
        <f>AA9+SUMIF('Cost Overview'!$T$16:$T$35,(YEAR(AB$5)&amp;MONTH(AB$5)),'Cost Overview'!$I$16:$I$35)</f>
        <v>3565.85</v>
      </c>
      <c r="AC9" s="152">
        <f>AB9+SUMIF('Cost Overview'!$T$16:$T$35,(YEAR(AC$5)&amp;MONTH(AC$5)),'Cost Overview'!$I$16:$I$35)</f>
        <v>3565.85</v>
      </c>
      <c r="AD9" s="152">
        <f>AC9+SUMIF('Cost Overview'!$T$16:$T$35,(YEAR(AD$5)&amp;MONTH(AD$5)),'Cost Overview'!$I$16:$I$35)</f>
        <v>3565.85</v>
      </c>
      <c r="AE9" s="152">
        <f>AD9+SUMIF('Cost Overview'!$T$16:$T$35,(YEAR(AE$5)&amp;MONTH(AE$5)),'Cost Overview'!$I$16:$I$35)</f>
        <v>3565.85</v>
      </c>
      <c r="AF9" s="152">
        <f>AE9+SUMIF('Cost Overview'!$T$16:$T$35,(YEAR(AF$5)&amp;MONTH(AF$5)),'Cost Overview'!$I$16:$I$35)</f>
        <v>3565.85</v>
      </c>
      <c r="AG9" s="152">
        <f>AF9+SUMIF('Cost Overview'!$T$16:$T$35,(YEAR(AG$5)&amp;MONTH(AG$5)),'Cost Overview'!$I$16:$I$35)</f>
        <v>3565.85</v>
      </c>
      <c r="AH9" s="152">
        <f>AG9+SUMIF('Cost Overview'!$T$16:$T$35,(YEAR(AH$5)&amp;MONTH(AH$5)),'Cost Overview'!$I$16:$I$35)</f>
        <v>3565.85</v>
      </c>
      <c r="AI9" s="152">
        <f>AH9+SUMIF('Cost Overview'!$T$16:$T$35,(YEAR(AI$5)&amp;MONTH(AI$5)),'Cost Overview'!$I$16:$I$35)</f>
        <v>3565.85</v>
      </c>
      <c r="AJ9" s="152">
        <f>AI9+SUMIF('Cost Overview'!$T$16:$T$35,(YEAR(AJ$5)&amp;MONTH(AJ$5)),'Cost Overview'!$I$16:$I$35)</f>
        <v>3565.85</v>
      </c>
      <c r="AK9" s="152">
        <f>AJ9+SUMIF('Cost Overview'!$T$16:$T$35,(YEAR(AK$5)&amp;MONTH(AK$5)),'Cost Overview'!$I$16:$I$35)</f>
        <v>3565.85</v>
      </c>
      <c r="AL9" s="152">
        <f>AK9+SUMIF('Cost Overview'!$T$16:$T$35,(YEAR(AL$5)&amp;MONTH(AL$5)),'Cost Overview'!$I$16:$I$35)</f>
        <v>3565.85</v>
      </c>
      <c r="AM9" s="152">
        <f>AL9+SUMIF('Cost Overview'!$T$16:$T$35,(YEAR(AM$5)&amp;MONTH(AM$5)),'Cost Overview'!$I$16:$I$35)</f>
        <v>3565.85</v>
      </c>
      <c r="AN9" s="152">
        <f>AM9+SUMIF('Cost Overview'!$T$16:$T$35,(YEAR(AN$5)&amp;MONTH(AN$5)),'Cost Overview'!$I$16:$I$35)</f>
        <v>3565.85</v>
      </c>
      <c r="AO9" s="152">
        <f>AN9+SUMIF('Cost Overview'!$T$16:$T$35,(YEAR(AO$5)&amp;MONTH(AO$5)),'Cost Overview'!$I$16:$I$35)</f>
        <v>3565.85</v>
      </c>
      <c r="AP9" s="152">
        <f>AO9+SUMIF('Cost Overview'!$T$16:$T$35,(YEAR(AP$5)&amp;MONTH(AP$5)),'Cost Overview'!$I$16:$I$35)</f>
        <v>3565.85</v>
      </c>
      <c r="AQ9" s="152">
        <f>AP9+SUMIF('Cost Overview'!$T$16:$T$35,(YEAR(AQ$5)&amp;MONTH(AQ$5)),'Cost Overview'!$I$16:$I$35)</f>
        <v>3565.85</v>
      </c>
      <c r="AR9" s="152">
        <f>AQ9+SUMIF('Cost Overview'!$T$16:$T$35,(YEAR(AR$5)&amp;MONTH(AR$5)),'Cost Overview'!$I$16:$I$35)</f>
        <v>3565.85</v>
      </c>
      <c r="AS9" s="152">
        <f>AR9+SUMIF('Cost Overview'!$T$16:$T$35,(YEAR(AS$5)&amp;MONTH(AS$5)),'Cost Overview'!$I$16:$I$35)</f>
        <v>3565.85</v>
      </c>
      <c r="AT9" s="152">
        <f>AS9+SUMIF('Cost Overview'!$T$16:$T$35,(YEAR(AT$5)&amp;MONTH(AT$5)),'Cost Overview'!$I$16:$I$35)</f>
        <v>3565.85</v>
      </c>
      <c r="AU9" s="152">
        <f>AT9+SUMIF('Cost Overview'!$T$16:$T$35,(YEAR(AU$5)&amp;MONTH(AU$5)),'Cost Overview'!$I$16:$I$35)</f>
        <v>3565.85</v>
      </c>
      <c r="AV9" s="152">
        <f>AU9+SUMIF('Cost Overview'!$T$16:$T$35,(YEAR(AV$5)&amp;MONTH(AV$5)),'Cost Overview'!$I$16:$I$35)</f>
        <v>3565.85</v>
      </c>
      <c r="AW9" s="152">
        <f>AV9+SUMIF('Cost Overview'!$T$16:$T$35,(YEAR(AW$5)&amp;MONTH(AW$5)),'Cost Overview'!$I$16:$I$35)</f>
        <v>3565.85</v>
      </c>
      <c r="AX9" s="152">
        <f>AW9+SUMIF('Cost Overview'!$T$16:$T$35,(YEAR(AX$5)&amp;MONTH(AX$5)),'Cost Overview'!$I$16:$I$35)</f>
        <v>3565.85</v>
      </c>
      <c r="AY9" s="152">
        <f>AX9+SUMIF('Cost Overview'!$T$16:$T$35,(YEAR(AY$5)&amp;MONTH(AY$5)),'Cost Overview'!$I$16:$I$35)</f>
        <v>3565.85</v>
      </c>
      <c r="AZ9" s="152">
        <f>AY9+SUMIF('Cost Overview'!$T$16:$T$35,(YEAR(AZ$5)&amp;MONTH(AZ$5)),'Cost Overview'!$I$16:$I$35)</f>
        <v>3565.85</v>
      </c>
      <c r="BA9" s="152">
        <f>AZ9+SUMIF('Cost Overview'!$T$16:$T$35,(YEAR(BA$5)&amp;MONTH(BA$5)),'Cost Overview'!$I$16:$I$35)</f>
        <v>3565.85</v>
      </c>
      <c r="BB9" s="152">
        <f>BA9+SUMIF('Cost Overview'!$T$16:$T$35,(YEAR(BB$5)&amp;MONTH(BB$5)),'Cost Overview'!$I$16:$I$35)</f>
        <v>3565.85</v>
      </c>
      <c r="BC9" s="152">
        <f>BB9+SUMIF('Cost Overview'!$T$16:$T$35,(YEAR(BC$5)&amp;MONTH(BC$5)),'Cost Overview'!$I$16:$I$35)</f>
        <v>3565.85</v>
      </c>
      <c r="BD9" s="152">
        <f>BC9+SUMIF('Cost Overview'!$T$16:$T$35,(YEAR(BD$5)&amp;MONTH(BD$5)),'Cost Overview'!$I$16:$I$35)</f>
        <v>3565.85</v>
      </c>
      <c r="BE9" s="152">
        <f>BD9+SUMIF('Cost Overview'!$T$16:$T$35,(YEAR(BE$5)&amp;MONTH(BE$5)),'Cost Overview'!$I$16:$I$35)</f>
        <v>3565.85</v>
      </c>
      <c r="BF9" s="152">
        <f>BE9+SUMIF('Cost Overview'!$T$16:$T$35,(YEAR(BF$5)&amp;MONTH(BF$5)),'Cost Overview'!$I$16:$I$35)</f>
        <v>3565.85</v>
      </c>
      <c r="BG9" s="152">
        <f>BF9+SUMIF('Cost Overview'!$T$16:$T$35,(YEAR(BG$5)&amp;MONTH(BG$5)),'Cost Overview'!$I$16:$I$35)</f>
        <v>3565.85</v>
      </c>
      <c r="BH9" s="152">
        <f>BG9+SUMIF('Cost Overview'!$T$16:$T$35,(YEAR(BH$5)&amp;MONTH(BH$5)),'Cost Overview'!$I$16:$I$35)</f>
        <v>3565.85</v>
      </c>
      <c r="BI9" s="152">
        <f>BH9+SUMIF('Cost Overview'!$T$16:$T$35,(YEAR(BI$5)&amp;MONTH(BI$5)),'Cost Overview'!$I$16:$I$35)</f>
        <v>3565.85</v>
      </c>
      <c r="BJ9" s="152">
        <f>BI9+SUMIF('Cost Overview'!$T$16:$T$35,(YEAR(BJ$5)&amp;MONTH(BJ$5)),'Cost Overview'!$I$16:$I$35)</f>
        <v>3565.85</v>
      </c>
      <c r="BK9" s="152">
        <f>BJ9+SUMIF('Cost Overview'!$T$16:$T$35,(YEAR(BK$5)&amp;MONTH(BK$5)),'Cost Overview'!$I$16:$I$35)</f>
        <v>3565.85</v>
      </c>
      <c r="BL9" s="152">
        <f>BK9+SUMIF('Cost Overview'!$T$16:$T$35,(YEAR(BL$5)&amp;MONTH(BL$5)),'Cost Overview'!$I$16:$I$35)</f>
        <v>3565.85</v>
      </c>
      <c r="BN9" s="21"/>
      <c r="BO9" s="21"/>
      <c r="BP9" s="21"/>
      <c r="BQ9" s="21"/>
      <c r="BR9" s="21"/>
      <c r="BS9" s="21"/>
      <c r="BT9" s="21"/>
      <c r="BU9" s="21"/>
      <c r="BV9" s="21"/>
      <c r="BW9" s="21"/>
      <c r="BX9" s="21"/>
      <c r="BY9" s="21"/>
    </row>
    <row r="10" spans="2:77" s="67" customFormat="1" ht="25" customHeight="1" outlineLevel="1" x14ac:dyDescent="0.3">
      <c r="B10" s="298" t="s">
        <v>172</v>
      </c>
      <c r="C10" s="298"/>
      <c r="D10" s="151">
        <f>'Project Infor'!C32</f>
        <v>0</v>
      </c>
      <c r="E10" s="152">
        <f>D10+SUMIF('Cost Overview'!$T$16:$T$35,(YEAR(E$5)&amp;MONTH(E$5)),'Cost Overview'!$J$16:$J$35)</f>
        <v>0</v>
      </c>
      <c r="F10" s="152">
        <f>E10+SUMIF('Cost Overview'!$T$16:$T$35,(YEAR(F$5)&amp;MONTH(F$5)),'Cost Overview'!$J$16:$J$35)</f>
        <v>0</v>
      </c>
      <c r="G10" s="152">
        <f>F10+SUMIF('Cost Overview'!$T$16:$T$35,(YEAR(G$5)&amp;MONTH(G$5)),'Cost Overview'!$J$16:$J$35)</f>
        <v>0</v>
      </c>
      <c r="H10" s="152">
        <f>G10+SUMIF('Cost Overview'!$T$16:$T$35,(YEAR(H$5)&amp;MONTH(H$5)),'Cost Overview'!$J$16:$J$35)</f>
        <v>0</v>
      </c>
      <c r="I10" s="152">
        <f>H10+SUMIF('Cost Overview'!$T$16:$T$35,(YEAR(I$5)&amp;MONTH(I$5)),'Cost Overview'!$J$16:$J$35)</f>
        <v>0</v>
      </c>
      <c r="J10" s="152">
        <f>I10+SUMIF('Cost Overview'!$T$16:$T$35,(YEAR(J$5)&amp;MONTH(J$5)),'Cost Overview'!$J$16:$J$35)</f>
        <v>0</v>
      </c>
      <c r="K10" s="152">
        <f>J10+SUMIF('Cost Overview'!$T$16:$T$35,(YEAR(K$5)&amp;MONTH(K$5)),'Cost Overview'!$J$16:$J$35)</f>
        <v>0</v>
      </c>
      <c r="L10" s="152">
        <f>K10+SUMIF('Cost Overview'!$T$16:$T$35,(YEAR(L$5)&amp;MONTH(L$5)),'Cost Overview'!$J$16:$J$35)</f>
        <v>0</v>
      </c>
      <c r="M10" s="152">
        <f>L10+SUMIF('Cost Overview'!$T$16:$T$35,(YEAR(M$5)&amp;MONTH(M$5)),'Cost Overview'!$J$16:$J$35)</f>
        <v>0</v>
      </c>
      <c r="N10" s="152">
        <f>M10+SUMIF('Cost Overview'!$T$16:$T$35,(YEAR(N$5)&amp;MONTH(N$5)),'Cost Overview'!$J$16:$J$35)</f>
        <v>0</v>
      </c>
      <c r="O10" s="152">
        <f>N10+SUMIF('Cost Overview'!$T$16:$T$35,(YEAR(O$5)&amp;MONTH(O$5)),'Cost Overview'!$J$16:$J$35)</f>
        <v>0</v>
      </c>
      <c r="P10" s="152">
        <f>O10+SUMIF('Cost Overview'!$T$16:$T$35,(YEAR(P$5)&amp;MONTH(P$5)),'Cost Overview'!$J$16:$J$35)</f>
        <v>0</v>
      </c>
      <c r="Q10" s="152">
        <f>P10+SUMIF('Cost Overview'!$T$16:$T$35,(YEAR(Q$5)&amp;MONTH(Q$5)),'Cost Overview'!$J$16:$J$35)</f>
        <v>0</v>
      </c>
      <c r="R10" s="152">
        <f>Q10+SUMIF('Cost Overview'!$T$16:$T$35,(YEAR(R$5)&amp;MONTH(R$5)),'Cost Overview'!$J$16:$J$35)</f>
        <v>0</v>
      </c>
      <c r="S10" s="152">
        <f>R10+SUMIF('Cost Overview'!$T$16:$T$35,(YEAR(S$5)&amp;MONTH(S$5)),'Cost Overview'!$J$16:$J$35)</f>
        <v>0</v>
      </c>
      <c r="T10" s="152">
        <f>S10+SUMIF('Cost Overview'!$T$16:$T$35,(YEAR(T$5)&amp;MONTH(T$5)),'Cost Overview'!$J$16:$J$35)</f>
        <v>0</v>
      </c>
      <c r="U10" s="152">
        <f>T10+SUMIF('Cost Overview'!$T$16:$T$35,(YEAR(U$5)&amp;MONTH(U$5)),'Cost Overview'!$J$16:$J$35)</f>
        <v>0</v>
      </c>
      <c r="V10" s="152">
        <f>U10+SUMIF('Cost Overview'!$T$16:$T$35,(YEAR(V$5)&amp;MONTH(V$5)),'Cost Overview'!$J$16:$J$35)</f>
        <v>0</v>
      </c>
      <c r="W10" s="152">
        <f>V10+SUMIF('Cost Overview'!$T$16:$T$35,(YEAR(W$5)&amp;MONTH(W$5)),'Cost Overview'!$J$16:$J$35)</f>
        <v>0</v>
      </c>
      <c r="X10" s="152">
        <f>W10+SUMIF('Cost Overview'!$T$16:$T$35,(YEAR(X$5)&amp;MONTH(X$5)),'Cost Overview'!$J$16:$J$35)</f>
        <v>0</v>
      </c>
      <c r="Y10" s="152">
        <f>X10+SUMIF('Cost Overview'!$T$16:$T$35,(YEAR(Y$5)&amp;MONTH(Y$5)),'Cost Overview'!$J$16:$J$35)</f>
        <v>0</v>
      </c>
      <c r="Z10" s="152">
        <f>Y10+SUMIF('Cost Overview'!$T$16:$T$35,(YEAR(Z$5)&amp;MONTH(Z$5)),'Cost Overview'!$J$16:$J$35)</f>
        <v>0</v>
      </c>
      <c r="AA10" s="152">
        <f>Z10+SUMIF('Cost Overview'!$T$16:$T$35,(YEAR(AA$5)&amp;MONTH(AA$5)),'Cost Overview'!$J$16:$J$35)</f>
        <v>0</v>
      </c>
      <c r="AB10" s="152">
        <f>AA10+SUMIF('Cost Overview'!$T$16:$T$35,(YEAR(AB$5)&amp;MONTH(AB$5)),'Cost Overview'!$J$16:$J$35)</f>
        <v>0</v>
      </c>
      <c r="AC10" s="152">
        <f>AB10+SUMIF('Cost Overview'!$T$16:$T$35,(YEAR(AC$5)&amp;MONTH(AC$5)),'Cost Overview'!$J$16:$J$35)</f>
        <v>0</v>
      </c>
      <c r="AD10" s="152">
        <f>AC10+SUMIF('Cost Overview'!$T$16:$T$35,(YEAR(AD$5)&amp;MONTH(AD$5)),'Cost Overview'!$J$16:$J$35)</f>
        <v>0</v>
      </c>
      <c r="AE10" s="152">
        <f>AD10+SUMIF('Cost Overview'!$T$16:$T$35,(YEAR(AE$5)&amp;MONTH(AE$5)),'Cost Overview'!$J$16:$J$35)</f>
        <v>0</v>
      </c>
      <c r="AF10" s="152">
        <f>AE10+SUMIF('Cost Overview'!$T$16:$T$35,(YEAR(AF$5)&amp;MONTH(AF$5)),'Cost Overview'!$J$16:$J$35)</f>
        <v>0</v>
      </c>
      <c r="AG10" s="152">
        <f>AF10+SUMIF('Cost Overview'!$T$16:$T$35,(YEAR(AG$5)&amp;MONTH(AG$5)),'Cost Overview'!$J$16:$J$35)</f>
        <v>0</v>
      </c>
      <c r="AH10" s="152">
        <f>AG10+SUMIF('Cost Overview'!$T$16:$T$35,(YEAR(AH$5)&amp;MONTH(AH$5)),'Cost Overview'!$J$16:$J$35)</f>
        <v>0</v>
      </c>
      <c r="AI10" s="152">
        <f>AH10+SUMIF('Cost Overview'!$T$16:$T$35,(YEAR(AI$5)&amp;MONTH(AI$5)),'Cost Overview'!$J$16:$J$35)</f>
        <v>0</v>
      </c>
      <c r="AJ10" s="152">
        <f>AI10+SUMIF('Cost Overview'!$T$16:$T$35,(YEAR(AJ$5)&amp;MONTH(AJ$5)),'Cost Overview'!$J$16:$J$35)</f>
        <v>0</v>
      </c>
      <c r="AK10" s="152">
        <f>AJ10+SUMIF('Cost Overview'!$T$16:$T$35,(YEAR(AK$5)&amp;MONTH(AK$5)),'Cost Overview'!$J$16:$J$35)</f>
        <v>0</v>
      </c>
      <c r="AL10" s="152">
        <f>AK10+SUMIF('Cost Overview'!$T$16:$T$35,(YEAR(AL$5)&amp;MONTH(AL$5)),'Cost Overview'!$J$16:$J$35)</f>
        <v>0</v>
      </c>
      <c r="AM10" s="152">
        <f>AL10+SUMIF('Cost Overview'!$T$16:$T$35,(YEAR(AM$5)&amp;MONTH(AM$5)),'Cost Overview'!$J$16:$J$35)</f>
        <v>0</v>
      </c>
      <c r="AN10" s="152">
        <f>AM10+SUMIF('Cost Overview'!$T$16:$T$35,(YEAR(AN$5)&amp;MONTH(AN$5)),'Cost Overview'!$J$16:$J$35)</f>
        <v>0</v>
      </c>
      <c r="AO10" s="152">
        <f>AN10+SUMIF('Cost Overview'!$T$16:$T$35,(YEAR(AO$5)&amp;MONTH(AO$5)),'Cost Overview'!$J$16:$J$35)</f>
        <v>0</v>
      </c>
      <c r="AP10" s="152">
        <f>AO10+SUMIF('Cost Overview'!$T$16:$T$35,(YEAR(AP$5)&amp;MONTH(AP$5)),'Cost Overview'!$J$16:$J$35)</f>
        <v>0</v>
      </c>
      <c r="AQ10" s="152">
        <f>AP10+SUMIF('Cost Overview'!$T$16:$T$35,(YEAR(AQ$5)&amp;MONTH(AQ$5)),'Cost Overview'!$J$16:$J$35)</f>
        <v>0</v>
      </c>
      <c r="AR10" s="152">
        <f>AQ10+SUMIF('Cost Overview'!$T$16:$T$35,(YEAR(AR$5)&amp;MONTH(AR$5)),'Cost Overview'!$J$16:$J$35)</f>
        <v>0</v>
      </c>
      <c r="AS10" s="152">
        <f>AR10+SUMIF('Cost Overview'!$T$16:$T$35,(YEAR(AS$5)&amp;MONTH(AS$5)),'Cost Overview'!$J$16:$J$35)</f>
        <v>0</v>
      </c>
      <c r="AT10" s="152">
        <f>AS10+SUMIF('Cost Overview'!$T$16:$T$35,(YEAR(AT$5)&amp;MONTH(AT$5)),'Cost Overview'!$J$16:$J$35)</f>
        <v>0</v>
      </c>
      <c r="AU10" s="152">
        <f>AT10+SUMIF('Cost Overview'!$T$16:$T$35,(YEAR(AU$5)&amp;MONTH(AU$5)),'Cost Overview'!$J$16:$J$35)</f>
        <v>0</v>
      </c>
      <c r="AV10" s="152">
        <f>AU10+SUMIF('Cost Overview'!$T$16:$T$35,(YEAR(AV$5)&amp;MONTH(AV$5)),'Cost Overview'!$J$16:$J$35)</f>
        <v>0</v>
      </c>
      <c r="AW10" s="152">
        <f>AV10+SUMIF('Cost Overview'!$T$16:$T$35,(YEAR(AW$5)&amp;MONTH(AW$5)),'Cost Overview'!$J$16:$J$35)</f>
        <v>0</v>
      </c>
      <c r="AX10" s="152">
        <f>AW10+SUMIF('Cost Overview'!$T$16:$T$35,(YEAR(AX$5)&amp;MONTH(AX$5)),'Cost Overview'!$J$16:$J$35)</f>
        <v>0</v>
      </c>
      <c r="AY10" s="152">
        <f>AX10+SUMIF('Cost Overview'!$T$16:$T$35,(YEAR(AY$5)&amp;MONTH(AY$5)),'Cost Overview'!$J$16:$J$35)</f>
        <v>0</v>
      </c>
      <c r="AZ10" s="152">
        <f>AY10+SUMIF('Cost Overview'!$T$16:$T$35,(YEAR(AZ$5)&amp;MONTH(AZ$5)),'Cost Overview'!$J$16:$J$35)</f>
        <v>0</v>
      </c>
      <c r="BA10" s="152">
        <f>AZ10+SUMIF('Cost Overview'!$T$16:$T$35,(YEAR(BA$5)&amp;MONTH(BA$5)),'Cost Overview'!$J$16:$J$35)</f>
        <v>0</v>
      </c>
      <c r="BB10" s="152">
        <f>BA10+SUMIF('Cost Overview'!$T$16:$T$35,(YEAR(BB$5)&amp;MONTH(BB$5)),'Cost Overview'!$J$16:$J$35)</f>
        <v>0</v>
      </c>
      <c r="BC10" s="152">
        <f>BB10+SUMIF('Cost Overview'!$T$16:$T$35,(YEAR(BC$5)&amp;MONTH(BC$5)),'Cost Overview'!$J$16:$J$35)</f>
        <v>0</v>
      </c>
      <c r="BD10" s="152">
        <f>BC10+SUMIF('Cost Overview'!$T$16:$T$35,(YEAR(BD$5)&amp;MONTH(BD$5)),'Cost Overview'!$J$16:$J$35)</f>
        <v>0</v>
      </c>
      <c r="BE10" s="152">
        <f>BD10+SUMIF('Cost Overview'!$T$16:$T$35,(YEAR(BE$5)&amp;MONTH(BE$5)),'Cost Overview'!$J$16:$J$35)</f>
        <v>0</v>
      </c>
      <c r="BF10" s="152">
        <f>BE10+SUMIF('Cost Overview'!$T$16:$T$35,(YEAR(BF$5)&amp;MONTH(BF$5)),'Cost Overview'!$J$16:$J$35)</f>
        <v>0</v>
      </c>
      <c r="BG10" s="152">
        <f>BF10+SUMIF('Cost Overview'!$T$16:$T$35,(YEAR(BG$5)&amp;MONTH(BG$5)),'Cost Overview'!$J$16:$J$35)</f>
        <v>0</v>
      </c>
      <c r="BH10" s="152">
        <f>BG10+SUMIF('Cost Overview'!$T$16:$T$35,(YEAR(BH$5)&amp;MONTH(BH$5)),'Cost Overview'!$J$16:$J$35)</f>
        <v>0</v>
      </c>
      <c r="BI10" s="152">
        <f>BH10+SUMIF('Cost Overview'!$T$16:$T$35,(YEAR(BI$5)&amp;MONTH(BI$5)),'Cost Overview'!$J$16:$J$35)</f>
        <v>0</v>
      </c>
      <c r="BJ10" s="152">
        <f>BI10+SUMIF('Cost Overview'!$T$16:$T$35,(YEAR(BJ$5)&amp;MONTH(BJ$5)),'Cost Overview'!$J$16:$J$35)</f>
        <v>0</v>
      </c>
      <c r="BK10" s="152">
        <f>BJ10+SUMIF('Cost Overview'!$T$16:$T$35,(YEAR(BK$5)&amp;MONTH(BK$5)),'Cost Overview'!$J$16:$J$35)</f>
        <v>0</v>
      </c>
      <c r="BL10" s="152">
        <f>BK10+SUMIF('Cost Overview'!$T$16:$T$35,(YEAR(BL$5)&amp;MONTH(BL$5)),'Cost Overview'!$J$16:$J$35)</f>
        <v>0</v>
      </c>
      <c r="BN10" s="21"/>
      <c r="BO10" s="21"/>
      <c r="BP10" s="21"/>
      <c r="BQ10" s="21"/>
      <c r="BR10" s="21"/>
      <c r="BS10" s="21"/>
      <c r="BT10" s="21"/>
      <c r="BU10" s="21"/>
      <c r="BV10" s="21"/>
      <c r="BW10" s="21"/>
      <c r="BX10" s="21"/>
      <c r="BY10" s="21"/>
    </row>
    <row r="11" spans="2:77" s="67" customFormat="1" ht="25" customHeight="1" outlineLevel="1" x14ac:dyDescent="0.3">
      <c r="B11" s="298" t="s">
        <v>173</v>
      </c>
      <c r="C11" s="298"/>
      <c r="D11" s="151">
        <f>'Project Infor'!C33</f>
        <v>0</v>
      </c>
      <c r="E11" s="152">
        <f>D11+SUMIF('Cost Overview'!$T$16:$T$35,(YEAR(E$5)&amp;MONTH(E$5)),'Cost Overview'!$K$16:$K$35)</f>
        <v>0</v>
      </c>
      <c r="F11" s="152">
        <f>E11+SUMIF('Cost Overview'!$T$16:$T$35,(YEAR(F$5)&amp;MONTH(F$5)),'Cost Overview'!$K$16:$K$35)</f>
        <v>0</v>
      </c>
      <c r="G11" s="152">
        <f>F11+SUMIF('Cost Overview'!$T$16:$T$35,(YEAR(G$5)&amp;MONTH(G$5)),'Cost Overview'!$K$16:$K$35)</f>
        <v>0</v>
      </c>
      <c r="H11" s="152">
        <f>G11+SUMIF('Cost Overview'!$T$16:$T$35,(YEAR(H$5)&amp;MONTH(H$5)),'Cost Overview'!$K$16:$K$35)</f>
        <v>0</v>
      </c>
      <c r="I11" s="152">
        <f>H11+SUMIF('Cost Overview'!$T$16:$T$35,(YEAR(I$5)&amp;MONTH(I$5)),'Cost Overview'!$K$16:$K$35)</f>
        <v>0</v>
      </c>
      <c r="J11" s="152">
        <f>I11+SUMIF('Cost Overview'!$T$16:$T$35,(YEAR(J$5)&amp;MONTH(J$5)),'Cost Overview'!$K$16:$K$35)</f>
        <v>0</v>
      </c>
      <c r="K11" s="152">
        <f>J11+SUMIF('Cost Overview'!$T$16:$T$35,(YEAR(K$5)&amp;MONTH(K$5)),'Cost Overview'!$K$16:$K$35)</f>
        <v>0</v>
      </c>
      <c r="L11" s="152">
        <f>K11+SUMIF('Cost Overview'!$T$16:$T$35,(YEAR(L$5)&amp;MONTH(L$5)),'Cost Overview'!$K$16:$K$35)</f>
        <v>0</v>
      </c>
      <c r="M11" s="152">
        <f>L11+SUMIF('Cost Overview'!$T$16:$T$35,(YEAR(M$5)&amp;MONTH(M$5)),'Cost Overview'!$K$16:$K$35)</f>
        <v>0</v>
      </c>
      <c r="N11" s="152">
        <f>M11+SUMIF('Cost Overview'!$T$16:$T$35,(YEAR(N$5)&amp;MONTH(N$5)),'Cost Overview'!$K$16:$K$35)</f>
        <v>0</v>
      </c>
      <c r="O11" s="152">
        <f>N11+SUMIF('Cost Overview'!$T$16:$T$35,(YEAR(O$5)&amp;MONTH(O$5)),'Cost Overview'!$K$16:$K$35)</f>
        <v>0</v>
      </c>
      <c r="P11" s="152">
        <f>O11+SUMIF('Cost Overview'!$T$16:$T$35,(YEAR(P$5)&amp;MONTH(P$5)),'Cost Overview'!$K$16:$K$35)</f>
        <v>0</v>
      </c>
      <c r="Q11" s="152">
        <f>P11+SUMIF('Cost Overview'!$T$16:$T$35,(YEAR(Q$5)&amp;MONTH(Q$5)),'Cost Overview'!$K$16:$K$35)</f>
        <v>0</v>
      </c>
      <c r="R11" s="152">
        <f>Q11+SUMIF('Cost Overview'!$T$16:$T$35,(YEAR(R$5)&amp;MONTH(R$5)),'Cost Overview'!$K$16:$K$35)</f>
        <v>0</v>
      </c>
      <c r="S11" s="152">
        <f>R11+SUMIF('Cost Overview'!$T$16:$T$35,(YEAR(S$5)&amp;MONTH(S$5)),'Cost Overview'!$K$16:$K$35)</f>
        <v>0</v>
      </c>
      <c r="T11" s="152">
        <f>S11+SUMIF('Cost Overview'!$T$16:$T$35,(YEAR(T$5)&amp;MONTH(T$5)),'Cost Overview'!$K$16:$K$35)</f>
        <v>0</v>
      </c>
      <c r="U11" s="152">
        <f>T11+SUMIF('Cost Overview'!$T$16:$T$35,(YEAR(U$5)&amp;MONTH(U$5)),'Cost Overview'!$K$16:$K$35)</f>
        <v>0</v>
      </c>
      <c r="V11" s="152">
        <f>U11+SUMIF('Cost Overview'!$T$16:$T$35,(YEAR(V$5)&amp;MONTH(V$5)),'Cost Overview'!$K$16:$K$35)</f>
        <v>0</v>
      </c>
      <c r="W11" s="152">
        <f>V11+SUMIF('Cost Overview'!$T$16:$T$35,(YEAR(W$5)&amp;MONTH(W$5)),'Cost Overview'!$K$16:$K$35)</f>
        <v>0</v>
      </c>
      <c r="X11" s="152">
        <f>W11+SUMIF('Cost Overview'!$T$16:$T$35,(YEAR(X$5)&amp;MONTH(X$5)),'Cost Overview'!$K$16:$K$35)</f>
        <v>0</v>
      </c>
      <c r="Y11" s="152">
        <f>X11+SUMIF('Cost Overview'!$T$16:$T$35,(YEAR(Y$5)&amp;MONTH(Y$5)),'Cost Overview'!$K$16:$K$35)</f>
        <v>0</v>
      </c>
      <c r="Z11" s="152">
        <f>Y11+SUMIF('Cost Overview'!$T$16:$T$35,(YEAR(Z$5)&amp;MONTH(Z$5)),'Cost Overview'!$K$16:$K$35)</f>
        <v>0</v>
      </c>
      <c r="AA11" s="152">
        <f>Z11+SUMIF('Cost Overview'!$T$16:$T$35,(YEAR(AA$5)&amp;MONTH(AA$5)),'Cost Overview'!$K$16:$K$35)</f>
        <v>0</v>
      </c>
      <c r="AB11" s="152">
        <f>AA11+SUMIF('Cost Overview'!$T$16:$T$35,(YEAR(AB$5)&amp;MONTH(AB$5)),'Cost Overview'!$K$16:$K$35)</f>
        <v>0</v>
      </c>
      <c r="AC11" s="152">
        <f>AB11+SUMIF('Cost Overview'!$T$16:$T$35,(YEAR(AC$5)&amp;MONTH(AC$5)),'Cost Overview'!$K$16:$K$35)</f>
        <v>0</v>
      </c>
      <c r="AD11" s="152">
        <f>AC11+SUMIF('Cost Overview'!$T$16:$T$35,(YEAR(AD$5)&amp;MONTH(AD$5)),'Cost Overview'!$K$16:$K$35)</f>
        <v>0</v>
      </c>
      <c r="AE11" s="152">
        <f>AD11+SUMIF('Cost Overview'!$T$16:$T$35,(YEAR(AE$5)&amp;MONTH(AE$5)),'Cost Overview'!$K$16:$K$35)</f>
        <v>0</v>
      </c>
      <c r="AF11" s="152">
        <f>AE11+SUMIF('Cost Overview'!$T$16:$T$35,(YEAR(AF$5)&amp;MONTH(AF$5)),'Cost Overview'!$K$16:$K$35)</f>
        <v>0</v>
      </c>
      <c r="AG11" s="152">
        <f>AF11+SUMIF('Cost Overview'!$T$16:$T$35,(YEAR(AG$5)&amp;MONTH(AG$5)),'Cost Overview'!$K$16:$K$35)</f>
        <v>0</v>
      </c>
      <c r="AH11" s="152">
        <f>AG11+SUMIF('Cost Overview'!$T$16:$T$35,(YEAR(AH$5)&amp;MONTH(AH$5)),'Cost Overview'!$K$16:$K$35)</f>
        <v>0</v>
      </c>
      <c r="AI11" s="152">
        <f>AH11+SUMIF('Cost Overview'!$T$16:$T$35,(YEAR(AI$5)&amp;MONTH(AI$5)),'Cost Overview'!$K$16:$K$35)</f>
        <v>0</v>
      </c>
      <c r="AJ11" s="152">
        <f>AI11+SUMIF('Cost Overview'!$T$16:$T$35,(YEAR(AJ$5)&amp;MONTH(AJ$5)),'Cost Overview'!$K$16:$K$35)</f>
        <v>0</v>
      </c>
      <c r="AK11" s="152">
        <f>AJ11+SUMIF('Cost Overview'!$T$16:$T$35,(YEAR(AK$5)&amp;MONTH(AK$5)),'Cost Overview'!$K$16:$K$35)</f>
        <v>0</v>
      </c>
      <c r="AL11" s="152">
        <f>AK11+SUMIF('Cost Overview'!$T$16:$T$35,(YEAR(AL$5)&amp;MONTH(AL$5)),'Cost Overview'!$K$16:$K$35)</f>
        <v>0</v>
      </c>
      <c r="AM11" s="152">
        <f>AL11+SUMIF('Cost Overview'!$T$16:$T$35,(YEAR(AM$5)&amp;MONTH(AM$5)),'Cost Overview'!$K$16:$K$35)</f>
        <v>0</v>
      </c>
      <c r="AN11" s="152">
        <f>AM11+SUMIF('Cost Overview'!$T$16:$T$35,(YEAR(AN$5)&amp;MONTH(AN$5)),'Cost Overview'!$K$16:$K$35)</f>
        <v>0</v>
      </c>
      <c r="AO11" s="152">
        <f>AN11+SUMIF('Cost Overview'!$T$16:$T$35,(YEAR(AO$5)&amp;MONTH(AO$5)),'Cost Overview'!$K$16:$K$35)</f>
        <v>0</v>
      </c>
      <c r="AP11" s="152">
        <f>AO11+SUMIF('Cost Overview'!$T$16:$T$35,(YEAR(AP$5)&amp;MONTH(AP$5)),'Cost Overview'!$K$16:$K$35)</f>
        <v>0</v>
      </c>
      <c r="AQ11" s="152">
        <f>AP11+SUMIF('Cost Overview'!$T$16:$T$35,(YEAR(AQ$5)&amp;MONTH(AQ$5)),'Cost Overview'!$K$16:$K$35)</f>
        <v>0</v>
      </c>
      <c r="AR11" s="152">
        <f>AQ11+SUMIF('Cost Overview'!$T$16:$T$35,(YEAR(AR$5)&amp;MONTH(AR$5)),'Cost Overview'!$K$16:$K$35)</f>
        <v>0</v>
      </c>
      <c r="AS11" s="152">
        <f>AR11+SUMIF('Cost Overview'!$T$16:$T$35,(YEAR(AS$5)&amp;MONTH(AS$5)),'Cost Overview'!$K$16:$K$35)</f>
        <v>0</v>
      </c>
      <c r="AT11" s="152">
        <f>AS11+SUMIF('Cost Overview'!$T$16:$T$35,(YEAR(AT$5)&amp;MONTH(AT$5)),'Cost Overview'!$K$16:$K$35)</f>
        <v>0</v>
      </c>
      <c r="AU11" s="152">
        <f>AT11+SUMIF('Cost Overview'!$T$16:$T$35,(YEAR(AU$5)&amp;MONTH(AU$5)),'Cost Overview'!$K$16:$K$35)</f>
        <v>0</v>
      </c>
      <c r="AV11" s="152">
        <f>AU11+SUMIF('Cost Overview'!$T$16:$T$35,(YEAR(AV$5)&amp;MONTH(AV$5)),'Cost Overview'!$K$16:$K$35)</f>
        <v>0</v>
      </c>
      <c r="AW11" s="152">
        <f>AV11+SUMIF('Cost Overview'!$T$16:$T$35,(YEAR(AW$5)&amp;MONTH(AW$5)),'Cost Overview'!$K$16:$K$35)</f>
        <v>0</v>
      </c>
      <c r="AX11" s="152">
        <f>AW11+SUMIF('Cost Overview'!$T$16:$T$35,(YEAR(AX$5)&amp;MONTH(AX$5)),'Cost Overview'!$K$16:$K$35)</f>
        <v>0</v>
      </c>
      <c r="AY11" s="152">
        <f>AX11+SUMIF('Cost Overview'!$T$16:$T$35,(YEAR(AY$5)&amp;MONTH(AY$5)),'Cost Overview'!$K$16:$K$35)</f>
        <v>0</v>
      </c>
      <c r="AZ11" s="152">
        <f>AY11+SUMIF('Cost Overview'!$T$16:$T$35,(YEAR(AZ$5)&amp;MONTH(AZ$5)),'Cost Overview'!$K$16:$K$35)</f>
        <v>0</v>
      </c>
      <c r="BA11" s="152">
        <f>AZ11+SUMIF('Cost Overview'!$T$16:$T$35,(YEAR(BA$5)&amp;MONTH(BA$5)),'Cost Overview'!$K$16:$K$35)</f>
        <v>0</v>
      </c>
      <c r="BB11" s="152">
        <f>BA11+SUMIF('Cost Overview'!$T$16:$T$35,(YEAR(BB$5)&amp;MONTH(BB$5)),'Cost Overview'!$K$16:$K$35)</f>
        <v>0</v>
      </c>
      <c r="BC11" s="152">
        <f>BB11+SUMIF('Cost Overview'!$T$16:$T$35,(YEAR(BC$5)&amp;MONTH(BC$5)),'Cost Overview'!$K$16:$K$35)</f>
        <v>0</v>
      </c>
      <c r="BD11" s="152">
        <f>BC11+SUMIF('Cost Overview'!$T$16:$T$35,(YEAR(BD$5)&amp;MONTH(BD$5)),'Cost Overview'!$K$16:$K$35)</f>
        <v>0</v>
      </c>
      <c r="BE11" s="152">
        <f>BD11+SUMIF('Cost Overview'!$T$16:$T$35,(YEAR(BE$5)&amp;MONTH(BE$5)),'Cost Overview'!$K$16:$K$35)</f>
        <v>0</v>
      </c>
      <c r="BF11" s="152">
        <f>BE11+SUMIF('Cost Overview'!$T$16:$T$35,(YEAR(BF$5)&amp;MONTH(BF$5)),'Cost Overview'!$K$16:$K$35)</f>
        <v>0</v>
      </c>
      <c r="BG11" s="152">
        <f>BF11+SUMIF('Cost Overview'!$T$16:$T$35,(YEAR(BG$5)&amp;MONTH(BG$5)),'Cost Overview'!$K$16:$K$35)</f>
        <v>0</v>
      </c>
      <c r="BH11" s="152">
        <f>BG11+SUMIF('Cost Overview'!$T$16:$T$35,(YEAR(BH$5)&amp;MONTH(BH$5)),'Cost Overview'!$K$16:$K$35)</f>
        <v>0</v>
      </c>
      <c r="BI11" s="152">
        <f>BH11+SUMIF('Cost Overview'!$T$16:$T$35,(YEAR(BI$5)&amp;MONTH(BI$5)),'Cost Overview'!$K$16:$K$35)</f>
        <v>0</v>
      </c>
      <c r="BJ11" s="152">
        <f>BI11+SUMIF('Cost Overview'!$T$16:$T$35,(YEAR(BJ$5)&amp;MONTH(BJ$5)),'Cost Overview'!$K$16:$K$35)</f>
        <v>0</v>
      </c>
      <c r="BK11" s="152">
        <f>BJ11+SUMIF('Cost Overview'!$T$16:$T$35,(YEAR(BK$5)&amp;MONTH(BK$5)),'Cost Overview'!$K$16:$K$35)</f>
        <v>0</v>
      </c>
      <c r="BL11" s="152">
        <f>BK11+SUMIF('Cost Overview'!$T$16:$T$35,(YEAR(BL$5)&amp;MONTH(BL$5)),'Cost Overview'!$K$16:$K$35)</f>
        <v>0</v>
      </c>
    </row>
    <row r="12" spans="2:77" s="67" customFormat="1" ht="25" customHeight="1" outlineLevel="1" x14ac:dyDescent="0.3">
      <c r="B12" s="298" t="s">
        <v>174</v>
      </c>
      <c r="C12" s="298"/>
      <c r="D12" s="151">
        <f>'Project Infor'!C34</f>
        <v>0</v>
      </c>
      <c r="E12" s="152">
        <f>D12+SUMIF('Cost Overview'!$T$16:$T$35,(YEAR(E$5)&amp;MONTH(E$5)),'Cost Overview'!$L$16:$L$35)</f>
        <v>0</v>
      </c>
      <c r="F12" s="152">
        <f>E12+SUMIF('Cost Overview'!$T$16:$T$35,(YEAR(F$5)&amp;MONTH(F$5)),'Cost Overview'!$L$16:$L$35)</f>
        <v>0</v>
      </c>
      <c r="G12" s="152">
        <f>F12+SUMIF('Cost Overview'!$T$16:$T$35,(YEAR(G$5)&amp;MONTH(G$5)),'Cost Overview'!$L$16:$L$35)</f>
        <v>0</v>
      </c>
      <c r="H12" s="152">
        <f>G12+SUMIF('Cost Overview'!$T$16:$T$35,(YEAR(H$5)&amp;MONTH(H$5)),'Cost Overview'!$L$16:$L$35)</f>
        <v>0</v>
      </c>
      <c r="I12" s="152">
        <f>H12+SUMIF('Cost Overview'!$T$16:$T$35,(YEAR(I$5)&amp;MONTH(I$5)),'Cost Overview'!$L$16:$L$35)</f>
        <v>0</v>
      </c>
      <c r="J12" s="152">
        <f>I12+SUMIF('Cost Overview'!$T$16:$T$35,(YEAR(J$5)&amp;MONTH(J$5)),'Cost Overview'!$L$16:$L$35)</f>
        <v>0</v>
      </c>
      <c r="K12" s="152">
        <f>J12+SUMIF('Cost Overview'!$T$16:$T$35,(YEAR(K$5)&amp;MONTH(K$5)),'Cost Overview'!$L$16:$L$35)</f>
        <v>0</v>
      </c>
      <c r="L12" s="152">
        <f>K12+SUMIF('Cost Overview'!$T$16:$T$35,(YEAR(L$5)&amp;MONTH(L$5)),'Cost Overview'!$L$16:$L$35)</f>
        <v>0</v>
      </c>
      <c r="M12" s="152">
        <f>L12+SUMIF('Cost Overview'!$T$16:$T$35,(YEAR(M$5)&amp;MONTH(M$5)),'Cost Overview'!$L$16:$L$35)</f>
        <v>0</v>
      </c>
      <c r="N12" s="152">
        <f>M12+SUMIF('Cost Overview'!$T$16:$T$35,(YEAR(N$5)&amp;MONTH(N$5)),'Cost Overview'!$L$16:$L$35)</f>
        <v>0</v>
      </c>
      <c r="O12" s="152">
        <f>N12+SUMIF('Cost Overview'!$T$16:$T$35,(YEAR(O$5)&amp;MONTH(O$5)),'Cost Overview'!$L$16:$L$35)</f>
        <v>0</v>
      </c>
      <c r="P12" s="152">
        <f>O12+SUMIF('Cost Overview'!$T$16:$T$35,(YEAR(P$5)&amp;MONTH(P$5)),'Cost Overview'!$L$16:$L$35)</f>
        <v>0</v>
      </c>
      <c r="Q12" s="152">
        <f>P12+SUMIF('Cost Overview'!$T$16:$T$35,(YEAR(Q$5)&amp;MONTH(Q$5)),'Cost Overview'!$L$16:$L$35)</f>
        <v>0</v>
      </c>
      <c r="R12" s="152">
        <f>Q12+SUMIF('Cost Overview'!$T$16:$T$35,(YEAR(R$5)&amp;MONTH(R$5)),'Cost Overview'!$L$16:$L$35)</f>
        <v>0</v>
      </c>
      <c r="S12" s="152">
        <f>R12+SUMIF('Cost Overview'!$T$16:$T$35,(YEAR(S$5)&amp;MONTH(S$5)),'Cost Overview'!$L$16:$L$35)</f>
        <v>0</v>
      </c>
      <c r="T12" s="152">
        <f>S12+SUMIF('Cost Overview'!$T$16:$T$35,(YEAR(T$5)&amp;MONTH(T$5)),'Cost Overview'!$L$16:$L$35)</f>
        <v>0</v>
      </c>
      <c r="U12" s="152">
        <f>T12+SUMIF('Cost Overview'!$T$16:$T$35,(YEAR(U$5)&amp;MONTH(U$5)),'Cost Overview'!$L$16:$L$35)</f>
        <v>0</v>
      </c>
      <c r="V12" s="152">
        <f>U12+SUMIF('Cost Overview'!$T$16:$T$35,(YEAR(V$5)&amp;MONTH(V$5)),'Cost Overview'!$L$16:$L$35)</f>
        <v>0</v>
      </c>
      <c r="W12" s="152">
        <f>V12+SUMIF('Cost Overview'!$T$16:$T$35,(YEAR(W$5)&amp;MONTH(W$5)),'Cost Overview'!$L$16:$L$35)</f>
        <v>0</v>
      </c>
      <c r="X12" s="152">
        <f>W12+SUMIF('Cost Overview'!$T$16:$T$35,(YEAR(X$5)&amp;MONTH(X$5)),'Cost Overview'!$L$16:$L$35)</f>
        <v>0</v>
      </c>
      <c r="Y12" s="152">
        <f>X12+SUMIF('Cost Overview'!$T$16:$T$35,(YEAR(Y$5)&amp;MONTH(Y$5)),'Cost Overview'!$L$16:$L$35)</f>
        <v>0</v>
      </c>
      <c r="Z12" s="152">
        <f>Y12+SUMIF('Cost Overview'!$T$16:$T$35,(YEAR(Z$5)&amp;MONTH(Z$5)),'Cost Overview'!$L$16:$L$35)</f>
        <v>0</v>
      </c>
      <c r="AA12" s="152">
        <f>Z12+SUMIF('Cost Overview'!$T$16:$T$35,(YEAR(AA$5)&amp;MONTH(AA$5)),'Cost Overview'!$L$16:$L$35)</f>
        <v>0</v>
      </c>
      <c r="AB12" s="152">
        <f>AA12+SUMIF('Cost Overview'!$T$16:$T$35,(YEAR(AB$5)&amp;MONTH(AB$5)),'Cost Overview'!$L$16:$L$35)</f>
        <v>0</v>
      </c>
      <c r="AC12" s="152">
        <f>AB12+SUMIF('Cost Overview'!$T$16:$T$35,(YEAR(AC$5)&amp;MONTH(AC$5)),'Cost Overview'!$L$16:$L$35)</f>
        <v>0</v>
      </c>
      <c r="AD12" s="152">
        <f>AC12+SUMIF('Cost Overview'!$T$16:$T$35,(YEAR(AD$5)&amp;MONTH(AD$5)),'Cost Overview'!$L$16:$L$35)</f>
        <v>0</v>
      </c>
      <c r="AE12" s="152">
        <f>AD12+SUMIF('Cost Overview'!$T$16:$T$35,(YEAR(AE$5)&amp;MONTH(AE$5)),'Cost Overview'!$L$16:$L$35)</f>
        <v>0</v>
      </c>
      <c r="AF12" s="152">
        <f>AE12+SUMIF('Cost Overview'!$T$16:$T$35,(YEAR(AF$5)&amp;MONTH(AF$5)),'Cost Overview'!$L$16:$L$35)</f>
        <v>0</v>
      </c>
      <c r="AG12" s="152">
        <f>AF12+SUMIF('Cost Overview'!$T$16:$T$35,(YEAR(AG$5)&amp;MONTH(AG$5)),'Cost Overview'!$L$16:$L$35)</f>
        <v>0</v>
      </c>
      <c r="AH12" s="152">
        <f>AG12+SUMIF('Cost Overview'!$T$16:$T$35,(YEAR(AH$5)&amp;MONTH(AH$5)),'Cost Overview'!$L$16:$L$35)</f>
        <v>0</v>
      </c>
      <c r="AI12" s="152">
        <f>AH12+SUMIF('Cost Overview'!$T$16:$T$35,(YEAR(AI$5)&amp;MONTH(AI$5)),'Cost Overview'!$L$16:$L$35)</f>
        <v>0</v>
      </c>
      <c r="AJ12" s="152">
        <f>AI12+SUMIF('Cost Overview'!$T$16:$T$35,(YEAR(AJ$5)&amp;MONTH(AJ$5)),'Cost Overview'!$L$16:$L$35)</f>
        <v>0</v>
      </c>
      <c r="AK12" s="152">
        <f>AJ12+SUMIF('Cost Overview'!$T$16:$T$35,(YEAR(AK$5)&amp;MONTH(AK$5)),'Cost Overview'!$L$16:$L$35)</f>
        <v>0</v>
      </c>
      <c r="AL12" s="152">
        <f>AK12+SUMIF('Cost Overview'!$T$16:$T$35,(YEAR(AL$5)&amp;MONTH(AL$5)),'Cost Overview'!$L$16:$L$35)</f>
        <v>0</v>
      </c>
      <c r="AM12" s="152">
        <f>AL12+SUMIF('Cost Overview'!$T$16:$T$35,(YEAR(AM$5)&amp;MONTH(AM$5)),'Cost Overview'!$L$16:$L$35)</f>
        <v>0</v>
      </c>
      <c r="AN12" s="152">
        <f>AM12+SUMIF('Cost Overview'!$T$16:$T$35,(YEAR(AN$5)&amp;MONTH(AN$5)),'Cost Overview'!$L$16:$L$35)</f>
        <v>0</v>
      </c>
      <c r="AO12" s="152">
        <f>AN12+SUMIF('Cost Overview'!$T$16:$T$35,(YEAR(AO$5)&amp;MONTH(AO$5)),'Cost Overview'!$L$16:$L$35)</f>
        <v>0</v>
      </c>
      <c r="AP12" s="152">
        <f>AO12+SUMIF('Cost Overview'!$T$16:$T$35,(YEAR(AP$5)&amp;MONTH(AP$5)),'Cost Overview'!$L$16:$L$35)</f>
        <v>0</v>
      </c>
      <c r="AQ12" s="152">
        <f>AP12+SUMIF('Cost Overview'!$T$16:$T$35,(YEAR(AQ$5)&amp;MONTH(AQ$5)),'Cost Overview'!$L$16:$L$35)</f>
        <v>0</v>
      </c>
      <c r="AR12" s="152">
        <f>AQ12+SUMIF('Cost Overview'!$T$16:$T$35,(YEAR(AR$5)&amp;MONTH(AR$5)),'Cost Overview'!$L$16:$L$35)</f>
        <v>0</v>
      </c>
      <c r="AS12" s="152">
        <f>AR12+SUMIF('Cost Overview'!$T$16:$T$35,(YEAR(AS$5)&amp;MONTH(AS$5)),'Cost Overview'!$L$16:$L$35)</f>
        <v>0</v>
      </c>
      <c r="AT12" s="152">
        <f>AS12+SUMIF('Cost Overview'!$T$16:$T$35,(YEAR(AT$5)&amp;MONTH(AT$5)),'Cost Overview'!$L$16:$L$35)</f>
        <v>0</v>
      </c>
      <c r="AU12" s="152">
        <f>AT12+SUMIF('Cost Overview'!$T$16:$T$35,(YEAR(AU$5)&amp;MONTH(AU$5)),'Cost Overview'!$L$16:$L$35)</f>
        <v>0</v>
      </c>
      <c r="AV12" s="152">
        <f>AU12+SUMIF('Cost Overview'!$T$16:$T$35,(YEAR(AV$5)&amp;MONTH(AV$5)),'Cost Overview'!$L$16:$L$35)</f>
        <v>0</v>
      </c>
      <c r="AW12" s="152">
        <f>AV12+SUMIF('Cost Overview'!$T$16:$T$35,(YEAR(AW$5)&amp;MONTH(AW$5)),'Cost Overview'!$L$16:$L$35)</f>
        <v>0</v>
      </c>
      <c r="AX12" s="152">
        <f>AW12+SUMIF('Cost Overview'!$T$16:$T$35,(YEAR(AX$5)&amp;MONTH(AX$5)),'Cost Overview'!$L$16:$L$35)</f>
        <v>0</v>
      </c>
      <c r="AY12" s="152">
        <f>AX12+SUMIF('Cost Overview'!$T$16:$T$35,(YEAR(AY$5)&amp;MONTH(AY$5)),'Cost Overview'!$L$16:$L$35)</f>
        <v>0</v>
      </c>
      <c r="AZ12" s="152">
        <f>AY12+SUMIF('Cost Overview'!$T$16:$T$35,(YEAR(AZ$5)&amp;MONTH(AZ$5)),'Cost Overview'!$L$16:$L$35)</f>
        <v>0</v>
      </c>
      <c r="BA12" s="152">
        <f>AZ12+SUMIF('Cost Overview'!$T$16:$T$35,(YEAR(BA$5)&amp;MONTH(BA$5)),'Cost Overview'!$L$16:$L$35)</f>
        <v>0</v>
      </c>
      <c r="BB12" s="152">
        <f>BA12+SUMIF('Cost Overview'!$T$16:$T$35,(YEAR(BB$5)&amp;MONTH(BB$5)),'Cost Overview'!$L$16:$L$35)</f>
        <v>0</v>
      </c>
      <c r="BC12" s="152">
        <f>BB12+SUMIF('Cost Overview'!$T$16:$T$35,(YEAR(BC$5)&amp;MONTH(BC$5)),'Cost Overview'!$L$16:$L$35)</f>
        <v>0</v>
      </c>
      <c r="BD12" s="152">
        <f>BC12+SUMIF('Cost Overview'!$T$16:$T$35,(YEAR(BD$5)&amp;MONTH(BD$5)),'Cost Overview'!$L$16:$L$35)</f>
        <v>0</v>
      </c>
      <c r="BE12" s="152">
        <f>BD12+SUMIF('Cost Overview'!$T$16:$T$35,(YEAR(BE$5)&amp;MONTH(BE$5)),'Cost Overview'!$L$16:$L$35)</f>
        <v>0</v>
      </c>
      <c r="BF12" s="152">
        <f>BE12+SUMIF('Cost Overview'!$T$16:$T$35,(YEAR(BF$5)&amp;MONTH(BF$5)),'Cost Overview'!$L$16:$L$35)</f>
        <v>0</v>
      </c>
      <c r="BG12" s="152">
        <f>BF12+SUMIF('Cost Overview'!$T$16:$T$35,(YEAR(BG$5)&amp;MONTH(BG$5)),'Cost Overview'!$L$16:$L$35)</f>
        <v>0</v>
      </c>
      <c r="BH12" s="152">
        <f>BG12+SUMIF('Cost Overview'!$T$16:$T$35,(YEAR(BH$5)&amp;MONTH(BH$5)),'Cost Overview'!$L$16:$L$35)</f>
        <v>0</v>
      </c>
      <c r="BI12" s="152">
        <f>BH12+SUMIF('Cost Overview'!$T$16:$T$35,(YEAR(BI$5)&amp;MONTH(BI$5)),'Cost Overview'!$L$16:$L$35)</f>
        <v>0</v>
      </c>
      <c r="BJ12" s="152">
        <f>BI12+SUMIF('Cost Overview'!$T$16:$T$35,(YEAR(BJ$5)&amp;MONTH(BJ$5)),'Cost Overview'!$L$16:$L$35)</f>
        <v>0</v>
      </c>
      <c r="BK12" s="152">
        <f>BJ12+SUMIF('Cost Overview'!$T$16:$T$35,(YEAR(BK$5)&amp;MONTH(BK$5)),'Cost Overview'!$L$16:$L$35)</f>
        <v>0</v>
      </c>
      <c r="BL12" s="152">
        <f>BK12+SUMIF('Cost Overview'!$T$16:$T$35,(YEAR(BL$5)&amp;MONTH(BL$5)),'Cost Overview'!$L$16:$L$35)</f>
        <v>0</v>
      </c>
    </row>
    <row r="13" spans="2:77" s="67" customFormat="1" ht="25" customHeight="1" x14ac:dyDescent="0.3">
      <c r="B13" s="298" t="s">
        <v>65</v>
      </c>
      <c r="C13" s="298"/>
      <c r="D13" s="151">
        <f>SUM(D8:D12)</f>
        <v>360150.69</v>
      </c>
      <c r="E13" s="151">
        <f t="shared" ref="E13:N13" si="13">SUM(E8:E12)</f>
        <v>360150.69</v>
      </c>
      <c r="F13" s="151">
        <f t="shared" si="13"/>
        <v>360150.69</v>
      </c>
      <c r="G13" s="151">
        <f t="shared" si="13"/>
        <v>360150.69</v>
      </c>
      <c r="H13" s="151">
        <f t="shared" si="13"/>
        <v>360150.69</v>
      </c>
      <c r="I13" s="151">
        <f t="shared" si="13"/>
        <v>360150.69</v>
      </c>
      <c r="J13" s="151">
        <f t="shared" si="13"/>
        <v>360150.69</v>
      </c>
      <c r="K13" s="151">
        <f t="shared" si="13"/>
        <v>360150.69</v>
      </c>
      <c r="L13" s="151">
        <f>SUM(L8:L12)</f>
        <v>360150.69</v>
      </c>
      <c r="M13" s="151">
        <f t="shared" si="13"/>
        <v>360150.69</v>
      </c>
      <c r="N13" s="151">
        <f t="shared" si="13"/>
        <v>360150.69</v>
      </c>
      <c r="O13" s="151">
        <f t="shared" ref="O13" si="14">SUM(O8:O12)</f>
        <v>360150.69</v>
      </c>
      <c r="P13" s="151">
        <f t="shared" ref="P13" si="15">SUM(P8:P12)</f>
        <v>360150.69</v>
      </c>
      <c r="Q13" s="151">
        <f t="shared" ref="Q13" si="16">SUM(Q8:Q12)</f>
        <v>360150.69</v>
      </c>
      <c r="R13" s="151">
        <f t="shared" ref="R13" si="17">SUM(R8:R12)</f>
        <v>360150.69</v>
      </c>
      <c r="S13" s="151">
        <f t="shared" ref="S13" si="18">SUM(S8:S12)</f>
        <v>360150.69</v>
      </c>
      <c r="T13" s="151">
        <f t="shared" ref="T13" si="19">SUM(T8:T12)</f>
        <v>360150.69</v>
      </c>
      <c r="U13" s="151">
        <f t="shared" ref="U13" si="20">SUM(U8:U12)</f>
        <v>360150.69</v>
      </c>
      <c r="V13" s="151">
        <f t="shared" ref="V13" si="21">SUM(V8:V12)</f>
        <v>360150.69</v>
      </c>
      <c r="W13" s="151">
        <f t="shared" ref="W13" si="22">SUM(W8:W12)</f>
        <v>360150.69</v>
      </c>
      <c r="X13" s="151">
        <f t="shared" ref="X13" si="23">SUM(X8:X12)</f>
        <v>360150.69</v>
      </c>
      <c r="Y13" s="151">
        <f t="shared" ref="Y13" si="24">SUM(Y8:Y12)</f>
        <v>360150.69</v>
      </c>
      <c r="Z13" s="151">
        <f t="shared" ref="Z13" si="25">SUM(Z8:Z12)</f>
        <v>360150.69</v>
      </c>
      <c r="AA13" s="151">
        <f t="shared" ref="AA13:AB13" si="26">SUM(AA8:AA12)</f>
        <v>360150.69</v>
      </c>
      <c r="AB13" s="151">
        <f t="shared" si="26"/>
        <v>360150.69</v>
      </c>
      <c r="AC13" s="151">
        <f t="shared" ref="AC13:BL13" si="27">SUM(AC8:AC12)</f>
        <v>360150.69</v>
      </c>
      <c r="AD13" s="151">
        <f t="shared" si="27"/>
        <v>360150.69</v>
      </c>
      <c r="AE13" s="151">
        <f t="shared" si="27"/>
        <v>360150.69</v>
      </c>
      <c r="AF13" s="151">
        <f t="shared" si="27"/>
        <v>360150.69</v>
      </c>
      <c r="AG13" s="151">
        <f t="shared" si="27"/>
        <v>360150.69</v>
      </c>
      <c r="AH13" s="151">
        <f t="shared" si="27"/>
        <v>360150.69</v>
      </c>
      <c r="AI13" s="151">
        <f t="shared" si="27"/>
        <v>360150.69</v>
      </c>
      <c r="AJ13" s="151">
        <f t="shared" si="27"/>
        <v>360150.69</v>
      </c>
      <c r="AK13" s="151">
        <f t="shared" si="27"/>
        <v>360150.69</v>
      </c>
      <c r="AL13" s="151">
        <f t="shared" si="27"/>
        <v>360150.69</v>
      </c>
      <c r="AM13" s="151">
        <f t="shared" si="27"/>
        <v>360150.69</v>
      </c>
      <c r="AN13" s="151">
        <f t="shared" si="27"/>
        <v>360150.69</v>
      </c>
      <c r="AO13" s="151">
        <f t="shared" si="27"/>
        <v>360150.69</v>
      </c>
      <c r="AP13" s="151">
        <f t="shared" si="27"/>
        <v>360150.69</v>
      </c>
      <c r="AQ13" s="151">
        <f t="shared" si="27"/>
        <v>360150.69</v>
      </c>
      <c r="AR13" s="151">
        <f t="shared" si="27"/>
        <v>360150.69</v>
      </c>
      <c r="AS13" s="151">
        <f t="shared" si="27"/>
        <v>360150.69</v>
      </c>
      <c r="AT13" s="151">
        <f t="shared" si="27"/>
        <v>360150.69</v>
      </c>
      <c r="AU13" s="151">
        <f t="shared" si="27"/>
        <v>360150.69</v>
      </c>
      <c r="AV13" s="151">
        <f t="shared" si="27"/>
        <v>360150.69</v>
      </c>
      <c r="AW13" s="151">
        <f t="shared" si="27"/>
        <v>360150.69</v>
      </c>
      <c r="AX13" s="151">
        <f t="shared" si="27"/>
        <v>360150.69</v>
      </c>
      <c r="AY13" s="151">
        <f t="shared" si="27"/>
        <v>360150.69</v>
      </c>
      <c r="AZ13" s="151">
        <f t="shared" si="27"/>
        <v>360150.69</v>
      </c>
      <c r="BA13" s="151">
        <f t="shared" si="27"/>
        <v>360150.69</v>
      </c>
      <c r="BB13" s="151">
        <f t="shared" si="27"/>
        <v>360150.69</v>
      </c>
      <c r="BC13" s="151">
        <f t="shared" si="27"/>
        <v>360150.69</v>
      </c>
      <c r="BD13" s="151">
        <f t="shared" si="27"/>
        <v>360150.69</v>
      </c>
      <c r="BE13" s="151">
        <f t="shared" si="27"/>
        <v>360150.69</v>
      </c>
      <c r="BF13" s="151">
        <f t="shared" si="27"/>
        <v>360150.69</v>
      </c>
      <c r="BG13" s="151">
        <f t="shared" si="27"/>
        <v>360150.69</v>
      </c>
      <c r="BH13" s="151">
        <f t="shared" si="27"/>
        <v>360150.69</v>
      </c>
      <c r="BI13" s="151">
        <f t="shared" si="27"/>
        <v>360150.69</v>
      </c>
      <c r="BJ13" s="151">
        <f t="shared" si="27"/>
        <v>360150.69</v>
      </c>
      <c r="BK13" s="151">
        <f t="shared" si="27"/>
        <v>360150.69</v>
      </c>
      <c r="BL13" s="151">
        <f t="shared" si="27"/>
        <v>360150.69</v>
      </c>
    </row>
    <row r="14" spans="2:77" s="67" customFormat="1" ht="25" customHeight="1" x14ac:dyDescent="0.3">
      <c r="B14" s="299" t="s">
        <v>175</v>
      </c>
      <c r="C14" s="299"/>
      <c r="D14" s="153">
        <f>D6-D13</f>
        <v>104849.31</v>
      </c>
      <c r="E14" s="153">
        <f t="shared" ref="E14:N14" si="28">E6-E13</f>
        <v>104849.31</v>
      </c>
      <c r="F14" s="153">
        <f t="shared" si="28"/>
        <v>104849.31</v>
      </c>
      <c r="G14" s="153">
        <f t="shared" si="28"/>
        <v>104849.31</v>
      </c>
      <c r="H14" s="153">
        <f t="shared" si="28"/>
        <v>104849.31</v>
      </c>
      <c r="I14" s="153">
        <f t="shared" si="28"/>
        <v>104849.31</v>
      </c>
      <c r="J14" s="153">
        <f t="shared" si="28"/>
        <v>104849.31</v>
      </c>
      <c r="K14" s="153">
        <f t="shared" si="28"/>
        <v>104849.31</v>
      </c>
      <c r="L14" s="153">
        <f t="shared" si="28"/>
        <v>104849.31</v>
      </c>
      <c r="M14" s="153">
        <f t="shared" si="28"/>
        <v>104849.31</v>
      </c>
      <c r="N14" s="153">
        <f t="shared" si="28"/>
        <v>104849.31</v>
      </c>
      <c r="O14" s="153">
        <f t="shared" ref="O14" si="29">O6-O13</f>
        <v>104849.31</v>
      </c>
      <c r="P14" s="153">
        <f t="shared" ref="P14" si="30">P6-P13</f>
        <v>104849.31</v>
      </c>
      <c r="Q14" s="153">
        <f t="shared" ref="Q14" si="31">Q6-Q13</f>
        <v>104849.31</v>
      </c>
      <c r="R14" s="153">
        <f t="shared" ref="R14" si="32">R6-R13</f>
        <v>104849.31</v>
      </c>
      <c r="S14" s="153">
        <f t="shared" ref="S14" si="33">S6-S13</f>
        <v>104849.31</v>
      </c>
      <c r="T14" s="153">
        <f t="shared" ref="T14" si="34">T6-T13</f>
        <v>104849.31</v>
      </c>
      <c r="U14" s="153">
        <f t="shared" ref="U14" si="35">U6-U13</f>
        <v>104849.31</v>
      </c>
      <c r="V14" s="153">
        <f t="shared" ref="V14" si="36">V6-V13</f>
        <v>104849.31</v>
      </c>
      <c r="W14" s="153">
        <f t="shared" ref="W14" si="37">W6-W13</f>
        <v>104849.31</v>
      </c>
      <c r="X14" s="153">
        <f t="shared" ref="X14" si="38">X6-X13</f>
        <v>104849.31</v>
      </c>
      <c r="Y14" s="153">
        <f t="shared" ref="Y14" si="39">Y6-Y13</f>
        <v>104849.31</v>
      </c>
      <c r="Z14" s="153">
        <f t="shared" ref="Z14" si="40">Z6-Z13</f>
        <v>104849.31</v>
      </c>
      <c r="AA14" s="153">
        <f>AA6-AA13</f>
        <v>104849.31</v>
      </c>
      <c r="AB14" s="153">
        <f>AB6-AB13</f>
        <v>104849.31</v>
      </c>
      <c r="AC14" s="153">
        <f t="shared" ref="AC14:BL14" si="41">AC6-AC13</f>
        <v>104849.31</v>
      </c>
      <c r="AD14" s="153">
        <f t="shared" si="41"/>
        <v>104849.31</v>
      </c>
      <c r="AE14" s="153">
        <f t="shared" si="41"/>
        <v>104849.31</v>
      </c>
      <c r="AF14" s="153">
        <f t="shared" si="41"/>
        <v>104849.31</v>
      </c>
      <c r="AG14" s="153">
        <f t="shared" si="41"/>
        <v>104849.31</v>
      </c>
      <c r="AH14" s="153">
        <f t="shared" si="41"/>
        <v>104849.31</v>
      </c>
      <c r="AI14" s="153">
        <f t="shared" si="41"/>
        <v>104849.31</v>
      </c>
      <c r="AJ14" s="153">
        <f t="shared" si="41"/>
        <v>104849.31</v>
      </c>
      <c r="AK14" s="153">
        <f t="shared" si="41"/>
        <v>104849.31</v>
      </c>
      <c r="AL14" s="153">
        <f t="shared" si="41"/>
        <v>104849.31</v>
      </c>
      <c r="AM14" s="153">
        <f t="shared" si="41"/>
        <v>104849.31</v>
      </c>
      <c r="AN14" s="153">
        <f t="shared" si="41"/>
        <v>104849.31</v>
      </c>
      <c r="AO14" s="153">
        <f t="shared" si="41"/>
        <v>104849.31</v>
      </c>
      <c r="AP14" s="153">
        <f t="shared" si="41"/>
        <v>104849.31</v>
      </c>
      <c r="AQ14" s="153">
        <f t="shared" si="41"/>
        <v>104849.31</v>
      </c>
      <c r="AR14" s="153">
        <f t="shared" si="41"/>
        <v>104849.31</v>
      </c>
      <c r="AS14" s="153">
        <f t="shared" si="41"/>
        <v>104849.31</v>
      </c>
      <c r="AT14" s="153">
        <f t="shared" si="41"/>
        <v>104849.31</v>
      </c>
      <c r="AU14" s="153">
        <f t="shared" si="41"/>
        <v>104849.31</v>
      </c>
      <c r="AV14" s="153">
        <f t="shared" si="41"/>
        <v>104849.31</v>
      </c>
      <c r="AW14" s="153">
        <f t="shared" si="41"/>
        <v>104849.31</v>
      </c>
      <c r="AX14" s="153">
        <f t="shared" si="41"/>
        <v>104849.31</v>
      </c>
      <c r="AY14" s="153">
        <f t="shared" si="41"/>
        <v>104849.31</v>
      </c>
      <c r="AZ14" s="153">
        <f t="shared" si="41"/>
        <v>104849.31</v>
      </c>
      <c r="BA14" s="153">
        <f t="shared" si="41"/>
        <v>104849.31</v>
      </c>
      <c r="BB14" s="153">
        <f t="shared" si="41"/>
        <v>104849.31</v>
      </c>
      <c r="BC14" s="153">
        <f t="shared" si="41"/>
        <v>104849.31</v>
      </c>
      <c r="BD14" s="153">
        <f t="shared" si="41"/>
        <v>104849.31</v>
      </c>
      <c r="BE14" s="153">
        <f t="shared" si="41"/>
        <v>104849.31</v>
      </c>
      <c r="BF14" s="153">
        <f t="shared" si="41"/>
        <v>104849.31</v>
      </c>
      <c r="BG14" s="153">
        <f t="shared" si="41"/>
        <v>104849.31</v>
      </c>
      <c r="BH14" s="153">
        <f t="shared" si="41"/>
        <v>104849.31</v>
      </c>
      <c r="BI14" s="153">
        <f t="shared" si="41"/>
        <v>104849.31</v>
      </c>
      <c r="BJ14" s="153">
        <f t="shared" si="41"/>
        <v>104849.31</v>
      </c>
      <c r="BK14" s="153">
        <f t="shared" si="41"/>
        <v>104849.31</v>
      </c>
      <c r="BL14" s="153">
        <f t="shared" si="41"/>
        <v>104849.31</v>
      </c>
    </row>
    <row r="15" spans="2:77" s="67" customFormat="1" ht="25" customHeight="1" x14ac:dyDescent="0.3">
      <c r="B15" s="299" t="s">
        <v>176</v>
      </c>
      <c r="C15" s="299"/>
      <c r="D15" s="154">
        <f>IF(D6=0,0,(D6-D13)/D6)</f>
        <v>0.22548238709677418</v>
      </c>
      <c r="E15" s="154">
        <f>IF(E6=0,0,(E6-E13)/E6)</f>
        <v>0.22548238709677418</v>
      </c>
      <c r="F15" s="154">
        <f t="shared" ref="F15:N15" si="42">IF(F6=0,0,(F6-F13)/F6)</f>
        <v>0.22548238709677418</v>
      </c>
      <c r="G15" s="154">
        <f t="shared" si="42"/>
        <v>0.22548238709677418</v>
      </c>
      <c r="H15" s="154">
        <f t="shared" si="42"/>
        <v>0.22548238709677418</v>
      </c>
      <c r="I15" s="154">
        <f t="shared" si="42"/>
        <v>0.22548238709677418</v>
      </c>
      <c r="J15" s="154">
        <f t="shared" si="42"/>
        <v>0.22548238709677418</v>
      </c>
      <c r="K15" s="154">
        <f t="shared" si="42"/>
        <v>0.22548238709677418</v>
      </c>
      <c r="L15" s="154">
        <f>IF(L6=0,0,(L6-L13)/L6)</f>
        <v>0.22548238709677418</v>
      </c>
      <c r="M15" s="154">
        <f t="shared" si="42"/>
        <v>0.22548238709677418</v>
      </c>
      <c r="N15" s="154">
        <f t="shared" si="42"/>
        <v>0.22548238709677418</v>
      </c>
      <c r="O15" s="154">
        <f t="shared" ref="O15:Z15" si="43">IF(O6=0,0,(O6-O13)/O6)</f>
        <v>0.22548238709677418</v>
      </c>
      <c r="P15" s="154">
        <f t="shared" si="43"/>
        <v>0.22548238709677418</v>
      </c>
      <c r="Q15" s="154">
        <f t="shared" si="43"/>
        <v>0.22548238709677418</v>
      </c>
      <c r="R15" s="154">
        <f t="shared" si="43"/>
        <v>0.22548238709677418</v>
      </c>
      <c r="S15" s="154">
        <f t="shared" si="43"/>
        <v>0.22548238709677418</v>
      </c>
      <c r="T15" s="154">
        <f t="shared" si="43"/>
        <v>0.22548238709677418</v>
      </c>
      <c r="U15" s="154">
        <f t="shared" si="43"/>
        <v>0.22548238709677418</v>
      </c>
      <c r="V15" s="154">
        <f t="shared" si="43"/>
        <v>0.22548238709677418</v>
      </c>
      <c r="W15" s="154">
        <f t="shared" si="43"/>
        <v>0.22548238709677418</v>
      </c>
      <c r="X15" s="154">
        <f t="shared" si="43"/>
        <v>0.22548238709677418</v>
      </c>
      <c r="Y15" s="154">
        <f t="shared" si="43"/>
        <v>0.22548238709677418</v>
      </c>
      <c r="Z15" s="154">
        <f t="shared" si="43"/>
        <v>0.22548238709677418</v>
      </c>
      <c r="AA15" s="154">
        <f>IF(AA6=0,0,(AA6-AA13)/AA6)</f>
        <v>0.22548238709677418</v>
      </c>
      <c r="AB15" s="154">
        <f>IF(AB6=0,0,(AB6-AB13)/AB6)</f>
        <v>0.22548238709677418</v>
      </c>
      <c r="AC15" s="154">
        <f t="shared" ref="AC15:BL15" si="44">IF(AC6=0,0,(AC6-AC13)/AC6)</f>
        <v>0.22548238709677418</v>
      </c>
      <c r="AD15" s="154">
        <f t="shared" si="44"/>
        <v>0.22548238709677418</v>
      </c>
      <c r="AE15" s="154">
        <f t="shared" si="44"/>
        <v>0.22548238709677418</v>
      </c>
      <c r="AF15" s="154">
        <f t="shared" si="44"/>
        <v>0.22548238709677418</v>
      </c>
      <c r="AG15" s="154">
        <f t="shared" si="44"/>
        <v>0.22548238709677418</v>
      </c>
      <c r="AH15" s="154">
        <f t="shared" si="44"/>
        <v>0.22548238709677418</v>
      </c>
      <c r="AI15" s="154">
        <f t="shared" si="44"/>
        <v>0.22548238709677418</v>
      </c>
      <c r="AJ15" s="154">
        <f t="shared" si="44"/>
        <v>0.22548238709677418</v>
      </c>
      <c r="AK15" s="154">
        <f t="shared" si="44"/>
        <v>0.22548238709677418</v>
      </c>
      <c r="AL15" s="154">
        <f t="shared" si="44"/>
        <v>0.22548238709677418</v>
      </c>
      <c r="AM15" s="154">
        <f t="shared" si="44"/>
        <v>0.22548238709677418</v>
      </c>
      <c r="AN15" s="154">
        <f t="shared" si="44"/>
        <v>0.22548238709677418</v>
      </c>
      <c r="AO15" s="154">
        <f t="shared" si="44"/>
        <v>0.22548238709677418</v>
      </c>
      <c r="AP15" s="154">
        <f t="shared" si="44"/>
        <v>0.22548238709677418</v>
      </c>
      <c r="AQ15" s="154">
        <f t="shared" si="44"/>
        <v>0.22548238709677418</v>
      </c>
      <c r="AR15" s="154">
        <f t="shared" si="44"/>
        <v>0.22548238709677418</v>
      </c>
      <c r="AS15" s="154">
        <f t="shared" si="44"/>
        <v>0.22548238709677418</v>
      </c>
      <c r="AT15" s="154">
        <f t="shared" si="44"/>
        <v>0.22548238709677418</v>
      </c>
      <c r="AU15" s="154">
        <f t="shared" si="44"/>
        <v>0.22548238709677418</v>
      </c>
      <c r="AV15" s="154">
        <f t="shared" si="44"/>
        <v>0.22548238709677418</v>
      </c>
      <c r="AW15" s="154">
        <f t="shared" si="44"/>
        <v>0.22548238709677418</v>
      </c>
      <c r="AX15" s="154">
        <f t="shared" si="44"/>
        <v>0.22548238709677418</v>
      </c>
      <c r="AY15" s="154">
        <f t="shared" si="44"/>
        <v>0.22548238709677418</v>
      </c>
      <c r="AZ15" s="154">
        <f t="shared" si="44"/>
        <v>0.22548238709677418</v>
      </c>
      <c r="BA15" s="154">
        <f t="shared" si="44"/>
        <v>0.22548238709677418</v>
      </c>
      <c r="BB15" s="154">
        <f t="shared" si="44"/>
        <v>0.22548238709677418</v>
      </c>
      <c r="BC15" s="154">
        <f t="shared" si="44"/>
        <v>0.22548238709677418</v>
      </c>
      <c r="BD15" s="154">
        <f t="shared" si="44"/>
        <v>0.22548238709677418</v>
      </c>
      <c r="BE15" s="154">
        <f t="shared" si="44"/>
        <v>0.22548238709677418</v>
      </c>
      <c r="BF15" s="154">
        <f t="shared" si="44"/>
        <v>0.22548238709677418</v>
      </c>
      <c r="BG15" s="154">
        <f t="shared" si="44"/>
        <v>0.22548238709677418</v>
      </c>
      <c r="BH15" s="154">
        <f t="shared" si="44"/>
        <v>0.22548238709677418</v>
      </c>
      <c r="BI15" s="154">
        <f t="shared" si="44"/>
        <v>0.22548238709677418</v>
      </c>
      <c r="BJ15" s="154">
        <f t="shared" si="44"/>
        <v>0.22548238709677418</v>
      </c>
      <c r="BK15" s="154">
        <f t="shared" si="44"/>
        <v>0.22548238709677418</v>
      </c>
      <c r="BL15" s="154">
        <f t="shared" si="44"/>
        <v>0.22548238709677418</v>
      </c>
    </row>
    <row r="16" spans="2:77" ht="20.149999999999999" customHeight="1" x14ac:dyDescent="0.3">
      <c r="B16" s="24"/>
      <c r="C16" s="24"/>
      <c r="D16" s="107"/>
      <c r="E16" s="24"/>
    </row>
    <row r="17" spans="2:77" s="86" customFormat="1" ht="25" customHeight="1" x14ac:dyDescent="0.3">
      <c r="B17" s="291" t="s">
        <v>177</v>
      </c>
      <c r="C17" s="291"/>
      <c r="D17" s="155"/>
      <c r="E17" s="156">
        <f>'Project Infor'!C8</f>
        <v>46023</v>
      </c>
      <c r="F17" s="156">
        <f t="shared" ref="F17" si="45">EOMONTH(E17,1)</f>
        <v>46081</v>
      </c>
      <c r="G17" s="156">
        <f t="shared" ref="G17" si="46">EOMONTH(F17,1)</f>
        <v>46112</v>
      </c>
      <c r="H17" s="156">
        <f t="shared" ref="H17" si="47">EOMONTH(G17,1)</f>
        <v>46142</v>
      </c>
      <c r="I17" s="156">
        <f t="shared" ref="I17" si="48">EOMONTH(H17,1)</f>
        <v>46173</v>
      </c>
      <c r="J17" s="156">
        <f t="shared" ref="J17" si="49">EOMONTH(I17,1)</f>
        <v>46203</v>
      </c>
      <c r="K17" s="156">
        <f t="shared" ref="K17" si="50">EOMONTH(J17,1)</f>
        <v>46234</v>
      </c>
      <c r="L17" s="156">
        <f t="shared" ref="L17" si="51">EOMONTH(K17,1)</f>
        <v>46265</v>
      </c>
      <c r="M17" s="156">
        <f t="shared" ref="M17" si="52">EOMONTH(L17,1)</f>
        <v>46295</v>
      </c>
      <c r="N17" s="156">
        <f t="shared" ref="N17" si="53">EOMONTH(M17,1)</f>
        <v>46326</v>
      </c>
      <c r="O17" s="156">
        <f t="shared" ref="O17" si="54">EOMONTH(N17,1)</f>
        <v>46356</v>
      </c>
      <c r="P17" s="156">
        <f t="shared" ref="P17" si="55">EOMONTH(O17,1)</f>
        <v>46387</v>
      </c>
      <c r="Q17" s="156">
        <f t="shared" ref="Q17" si="56">EOMONTH(P17,1)</f>
        <v>46418</v>
      </c>
      <c r="R17" s="156">
        <f t="shared" ref="R17" si="57">EOMONTH(Q17,1)</f>
        <v>46446</v>
      </c>
      <c r="S17" s="156">
        <f t="shared" ref="S17" si="58">EOMONTH(R17,1)</f>
        <v>46477</v>
      </c>
      <c r="T17" s="156">
        <f t="shared" ref="T17" si="59">EOMONTH(S17,1)</f>
        <v>46507</v>
      </c>
      <c r="U17" s="156">
        <f t="shared" ref="U17" si="60">EOMONTH(T17,1)</f>
        <v>46538</v>
      </c>
      <c r="V17" s="156">
        <f t="shared" ref="V17" si="61">EOMONTH(U17,1)</f>
        <v>46568</v>
      </c>
      <c r="W17" s="156">
        <f t="shared" ref="W17" si="62">EOMONTH(V17,1)</f>
        <v>46599</v>
      </c>
      <c r="X17" s="156">
        <f t="shared" ref="X17" si="63">EOMONTH(W17,1)</f>
        <v>46630</v>
      </c>
      <c r="Y17" s="156">
        <f t="shared" ref="Y17" si="64">EOMONTH(X17,1)</f>
        <v>46660</v>
      </c>
      <c r="Z17" s="156">
        <f t="shared" ref="Z17" si="65">EOMONTH(Y17,1)</f>
        <v>46691</v>
      </c>
      <c r="AA17" s="156">
        <f t="shared" ref="AA17" si="66">EOMONTH(Z17,1)</f>
        <v>46721</v>
      </c>
      <c r="AB17" s="156">
        <f t="shared" ref="AB17" si="67">EOMONTH(AA17,1)</f>
        <v>46752</v>
      </c>
      <c r="AC17" s="156">
        <f t="shared" ref="AC17" si="68">EOMONTH(AB17,1)</f>
        <v>46783</v>
      </c>
      <c r="AD17" s="156">
        <f t="shared" ref="AD17" si="69">EOMONTH(AC17,1)</f>
        <v>46812</v>
      </c>
      <c r="AE17" s="156">
        <f t="shared" ref="AE17" si="70">EOMONTH(AD17,1)</f>
        <v>46843</v>
      </c>
      <c r="AF17" s="156">
        <f t="shared" ref="AF17" si="71">EOMONTH(AE17,1)</f>
        <v>46873</v>
      </c>
      <c r="AG17" s="156">
        <f t="shared" ref="AG17" si="72">EOMONTH(AF17,1)</f>
        <v>46904</v>
      </c>
      <c r="AH17" s="156">
        <f t="shared" ref="AH17" si="73">EOMONTH(AG17,1)</f>
        <v>46934</v>
      </c>
      <c r="AI17" s="156">
        <f t="shared" ref="AI17" si="74">EOMONTH(AH17,1)</f>
        <v>46965</v>
      </c>
      <c r="AJ17" s="156">
        <f t="shared" ref="AJ17" si="75">EOMONTH(AI17,1)</f>
        <v>46996</v>
      </c>
      <c r="AK17" s="156">
        <f t="shared" ref="AK17" si="76">EOMONTH(AJ17,1)</f>
        <v>47026</v>
      </c>
      <c r="AL17" s="156">
        <f t="shared" ref="AL17" si="77">EOMONTH(AK17,1)</f>
        <v>47057</v>
      </c>
      <c r="AM17" s="156">
        <f t="shared" ref="AM17" si="78">EOMONTH(AL17,1)</f>
        <v>47087</v>
      </c>
      <c r="AN17" s="156">
        <f t="shared" ref="AN17" si="79">EOMONTH(AM17,1)</f>
        <v>47118</v>
      </c>
      <c r="AO17" s="156">
        <f t="shared" ref="AO17" si="80">EOMONTH(AN17,1)</f>
        <v>47149</v>
      </c>
      <c r="AP17" s="156">
        <f t="shared" ref="AP17" si="81">EOMONTH(AO17,1)</f>
        <v>47177</v>
      </c>
      <c r="AQ17" s="156">
        <f t="shared" ref="AQ17" si="82">EOMONTH(AP17,1)</f>
        <v>47208</v>
      </c>
      <c r="AR17" s="156">
        <f t="shared" ref="AR17" si="83">EOMONTH(AQ17,1)</f>
        <v>47238</v>
      </c>
      <c r="AS17" s="156">
        <f t="shared" ref="AS17" si="84">EOMONTH(AR17,1)</f>
        <v>47269</v>
      </c>
      <c r="AT17" s="156">
        <f t="shared" ref="AT17" si="85">EOMONTH(AS17,1)</f>
        <v>47299</v>
      </c>
      <c r="AU17" s="156">
        <f t="shared" ref="AU17" si="86">EOMONTH(AT17,1)</f>
        <v>47330</v>
      </c>
      <c r="AV17" s="156">
        <f t="shared" ref="AV17" si="87">EOMONTH(AU17,1)</f>
        <v>47361</v>
      </c>
      <c r="AW17" s="156">
        <f t="shared" ref="AW17" si="88">EOMONTH(AV17,1)</f>
        <v>47391</v>
      </c>
      <c r="AX17" s="156">
        <f t="shared" ref="AX17" si="89">EOMONTH(AW17,1)</f>
        <v>47422</v>
      </c>
      <c r="AY17" s="156">
        <f t="shared" ref="AY17" si="90">EOMONTH(AX17,1)</f>
        <v>47452</v>
      </c>
      <c r="AZ17" s="156">
        <f t="shared" ref="AZ17" si="91">EOMONTH(AY17,1)</f>
        <v>47483</v>
      </c>
      <c r="BA17" s="156">
        <f t="shared" ref="BA17" si="92">EOMONTH(AZ17,1)</f>
        <v>47514</v>
      </c>
      <c r="BB17" s="156">
        <f t="shared" ref="BB17" si="93">EOMONTH(BA17,1)</f>
        <v>47542</v>
      </c>
      <c r="BC17" s="156">
        <f t="shared" ref="BC17" si="94">EOMONTH(BB17,1)</f>
        <v>47573</v>
      </c>
      <c r="BD17" s="156">
        <f t="shared" ref="BD17" si="95">EOMONTH(BC17,1)</f>
        <v>47603</v>
      </c>
      <c r="BE17" s="156">
        <f t="shared" ref="BE17" si="96">EOMONTH(BD17,1)</f>
        <v>47634</v>
      </c>
      <c r="BF17" s="156">
        <f t="shared" ref="BF17" si="97">EOMONTH(BE17,1)</f>
        <v>47664</v>
      </c>
      <c r="BG17" s="156">
        <f t="shared" ref="BG17" si="98">EOMONTH(BF17,1)</f>
        <v>47695</v>
      </c>
      <c r="BH17" s="156">
        <f t="shared" ref="BH17" si="99">EOMONTH(BG17,1)</f>
        <v>47726</v>
      </c>
      <c r="BI17" s="156">
        <f t="shared" ref="BI17" si="100">EOMONTH(BH17,1)</f>
        <v>47756</v>
      </c>
      <c r="BJ17" s="156">
        <f t="shared" ref="BJ17" si="101">EOMONTH(BI17,1)</f>
        <v>47787</v>
      </c>
      <c r="BK17" s="156">
        <f t="shared" ref="BK17" si="102">EOMONTH(BJ17,1)</f>
        <v>47817</v>
      </c>
      <c r="BL17" s="156">
        <f t="shared" ref="BL17" si="103">EOMONTH(BK17,1)</f>
        <v>47848</v>
      </c>
      <c r="BM17" s="21"/>
      <c r="BN17" s="21"/>
      <c r="BO17" s="21"/>
      <c r="BP17" s="21"/>
      <c r="BQ17" s="21"/>
      <c r="BR17" s="21"/>
      <c r="BS17" s="21"/>
      <c r="BT17" s="21"/>
      <c r="BU17" s="21"/>
      <c r="BV17" s="21"/>
      <c r="BW17" s="21"/>
      <c r="BX17" s="21"/>
      <c r="BY17" s="21"/>
    </row>
    <row r="18" spans="2:77" s="67" customFormat="1" ht="25" customHeight="1" x14ac:dyDescent="0.3">
      <c r="B18" s="297" t="s">
        <v>178</v>
      </c>
      <c r="C18" s="297"/>
      <c r="D18" s="150"/>
      <c r="E18" s="150">
        <f>'Cost Planning'!H44+'Cost Planning'!H62+'Cost Planning'!H78</f>
        <v>9591.5833333333321</v>
      </c>
      <c r="F18" s="150">
        <f>'Cost Planning'!I44+'Cost Planning'!I62+'Cost Planning'!I78</f>
        <v>9591.5833333333321</v>
      </c>
      <c r="G18" s="150">
        <f>'Cost Planning'!J44+'Cost Planning'!J62+'Cost Planning'!J78</f>
        <v>9591.5833333333321</v>
      </c>
      <c r="H18" s="150">
        <f>'Cost Planning'!K44+'Cost Planning'!K62+'Cost Planning'!K78</f>
        <v>9591.5833333333321</v>
      </c>
      <c r="I18" s="150">
        <f>'Cost Planning'!L44+'Cost Planning'!L62+'Cost Planning'!L78</f>
        <v>9591.5833333333321</v>
      </c>
      <c r="J18" s="150">
        <f>'Cost Planning'!M44+'Cost Planning'!M62+'Cost Planning'!M78</f>
        <v>9591.5833333333321</v>
      </c>
      <c r="K18" s="150">
        <f>'Cost Planning'!N44+'Cost Planning'!N62+'Cost Planning'!N78</f>
        <v>9591.5833333333321</v>
      </c>
      <c r="L18" s="150">
        <f>'Cost Planning'!O44+'Cost Planning'!O62+'Cost Planning'!O78</f>
        <v>9591.5833333333321</v>
      </c>
      <c r="M18" s="150">
        <f>'Cost Planning'!P44+'Cost Planning'!P62+'Cost Planning'!P78</f>
        <v>9591.5833333333321</v>
      </c>
      <c r="N18" s="150">
        <f>'Cost Planning'!Q44+'Cost Planning'!Q62+'Cost Planning'!Q78</f>
        <v>9591.5833333333321</v>
      </c>
      <c r="O18" s="150">
        <f>'Cost Planning'!R44+'Cost Planning'!R62+'Cost Planning'!R78</f>
        <v>9591.5833333333321</v>
      </c>
      <c r="P18" s="150">
        <f>'Cost Planning'!S44+'Cost Planning'!S62+'Cost Planning'!S78</f>
        <v>9591.5833333333321</v>
      </c>
      <c r="Q18" s="150">
        <f>'Cost Planning'!T44+'Cost Planning'!T62+'Cost Planning'!T78</f>
        <v>9591.5833333333321</v>
      </c>
      <c r="R18" s="150">
        <f>'Cost Planning'!U44+'Cost Planning'!U62+'Cost Planning'!U78</f>
        <v>9591.5833333333321</v>
      </c>
      <c r="S18" s="150">
        <f>'Cost Planning'!V44+'Cost Planning'!V62+'Cost Planning'!V78</f>
        <v>9591.5833333333321</v>
      </c>
      <c r="T18" s="150">
        <f>'Cost Planning'!W44+'Cost Planning'!W62+'Cost Planning'!W78</f>
        <v>9591.5833333333321</v>
      </c>
      <c r="U18" s="150">
        <f>'Cost Planning'!X44+'Cost Planning'!X62+'Cost Planning'!X78</f>
        <v>9591.5833333333321</v>
      </c>
      <c r="V18" s="150">
        <f>'Cost Planning'!Y44+'Cost Planning'!Y62+'Cost Planning'!Y78</f>
        <v>9591.5833333333321</v>
      </c>
      <c r="W18" s="150">
        <f>'Cost Planning'!Z44+'Cost Planning'!Z62+'Cost Planning'!Z78</f>
        <v>9591.5833333333321</v>
      </c>
      <c r="X18" s="150">
        <f>'Cost Planning'!AA44+'Cost Planning'!AA62+'Cost Planning'!AA78</f>
        <v>9591.5833333333321</v>
      </c>
      <c r="Y18" s="150">
        <f>'Cost Planning'!AB44+'Cost Planning'!AB62+'Cost Planning'!AB78</f>
        <v>9591.5833333333321</v>
      </c>
      <c r="Z18" s="150">
        <f>'Cost Planning'!AC44+'Cost Planning'!AC62+'Cost Planning'!AC78</f>
        <v>9591.5833333333321</v>
      </c>
      <c r="AA18" s="150">
        <f>'Cost Planning'!AD44+'Cost Planning'!AD62+'Cost Planning'!AD78</f>
        <v>9591.5833333333321</v>
      </c>
      <c r="AB18" s="150">
        <f>'Cost Planning'!AE44+'Cost Planning'!AE62+'Cost Planning'!AE78</f>
        <v>9591.5833333333321</v>
      </c>
      <c r="AC18" s="150">
        <f>'Cost Planning'!AF44+'Cost Planning'!AF62+'Cost Planning'!AF78</f>
        <v>9591.5833333333321</v>
      </c>
      <c r="AD18" s="150">
        <f>'Cost Planning'!AG44+'Cost Planning'!AG62+'Cost Planning'!AG78</f>
        <v>9591.5833333333321</v>
      </c>
      <c r="AE18" s="150">
        <f>'Cost Planning'!AH44+'Cost Planning'!AH62+'Cost Planning'!AH78</f>
        <v>9591.5833333333321</v>
      </c>
      <c r="AF18" s="150">
        <f>'Cost Planning'!AI44+'Cost Planning'!AI62+'Cost Planning'!AI78</f>
        <v>9591.5833333333321</v>
      </c>
      <c r="AG18" s="150">
        <f>'Cost Planning'!AJ44+'Cost Planning'!AJ62+'Cost Planning'!AJ78</f>
        <v>9591.5833333333321</v>
      </c>
      <c r="AH18" s="150">
        <f>'Cost Planning'!AK44+'Cost Planning'!AK62+'Cost Planning'!AK78</f>
        <v>9591.5833333333321</v>
      </c>
      <c r="AI18" s="150">
        <f>'Cost Planning'!AL44+'Cost Planning'!AL62+'Cost Planning'!AL78</f>
        <v>9591.5833333333321</v>
      </c>
      <c r="AJ18" s="150">
        <f>'Cost Planning'!AM44+'Cost Planning'!AM62+'Cost Planning'!AM78</f>
        <v>9591.5833333333321</v>
      </c>
      <c r="AK18" s="150">
        <f>'Cost Planning'!AN44+'Cost Planning'!AN62+'Cost Planning'!AN78</f>
        <v>9591.5833333333321</v>
      </c>
      <c r="AL18" s="150">
        <f>'Cost Planning'!AO44+'Cost Planning'!AO62+'Cost Planning'!AO78</f>
        <v>9591.5833333333321</v>
      </c>
      <c r="AM18" s="150">
        <f>'Cost Planning'!AP44+'Cost Planning'!AP62+'Cost Planning'!AP78</f>
        <v>9591.5833333333321</v>
      </c>
      <c r="AN18" s="150">
        <f>'Cost Planning'!AQ44+'Cost Planning'!AQ62+'Cost Planning'!AQ78</f>
        <v>9591.5833333333321</v>
      </c>
      <c r="AO18" s="150">
        <f>'Cost Planning'!AR44+'Cost Planning'!AR62+'Cost Planning'!AR78</f>
        <v>9591.5833333333321</v>
      </c>
      <c r="AP18" s="150">
        <f>'Cost Planning'!AS44+'Cost Planning'!AS62+'Cost Planning'!AS78</f>
        <v>9591.5833333333321</v>
      </c>
      <c r="AQ18" s="150">
        <f>'Cost Planning'!AT44+'Cost Planning'!AT62+'Cost Planning'!AT78</f>
        <v>9591.5833333333321</v>
      </c>
      <c r="AR18" s="150">
        <f>'Cost Planning'!AU44+'Cost Planning'!AU62+'Cost Planning'!AU78</f>
        <v>9591.5833333333321</v>
      </c>
      <c r="AS18" s="150">
        <f>'Cost Planning'!AV44+'Cost Planning'!AV62+'Cost Planning'!AV78</f>
        <v>9591.5833333333321</v>
      </c>
      <c r="AT18" s="150">
        <f>'Cost Planning'!AW44+'Cost Planning'!AW62+'Cost Planning'!AW78</f>
        <v>9591.5833333333321</v>
      </c>
      <c r="AU18" s="150">
        <f>'Cost Planning'!AX44+'Cost Planning'!AX62+'Cost Planning'!AX78</f>
        <v>9591.5833333333321</v>
      </c>
      <c r="AV18" s="150">
        <f>'Cost Planning'!AY44+'Cost Planning'!AY62+'Cost Planning'!AY78</f>
        <v>9591.5833333333321</v>
      </c>
      <c r="AW18" s="150">
        <f>'Cost Planning'!AZ44+'Cost Planning'!AZ62+'Cost Planning'!AZ78</f>
        <v>9591.5833333333321</v>
      </c>
      <c r="AX18" s="150">
        <f>'Cost Planning'!BA44+'Cost Planning'!BA62+'Cost Planning'!BA78</f>
        <v>9591.5833333333321</v>
      </c>
      <c r="AY18" s="150">
        <f>'Cost Planning'!BB44+'Cost Planning'!BB62+'Cost Planning'!BB78</f>
        <v>9591.5833333333321</v>
      </c>
      <c r="AZ18" s="150">
        <f>'Cost Planning'!BC44+'Cost Planning'!BC62+'Cost Planning'!BC78</f>
        <v>9591.5833333333321</v>
      </c>
      <c r="BA18" s="150">
        <f>'Cost Planning'!BD44+'Cost Planning'!BD62+'Cost Planning'!BD78</f>
        <v>0</v>
      </c>
      <c r="BB18" s="150">
        <f>'Cost Planning'!BE44+'Cost Planning'!BE62+'Cost Planning'!BE78</f>
        <v>0</v>
      </c>
      <c r="BC18" s="150">
        <f>'Cost Planning'!BF44+'Cost Planning'!BF62+'Cost Planning'!BF78</f>
        <v>0</v>
      </c>
      <c r="BD18" s="150">
        <f>'Cost Planning'!BG44+'Cost Planning'!BG62+'Cost Planning'!BG78</f>
        <v>0</v>
      </c>
      <c r="BE18" s="150">
        <f>'Cost Planning'!BH44+'Cost Planning'!BH62+'Cost Planning'!BH78</f>
        <v>0</v>
      </c>
      <c r="BF18" s="150">
        <f>'Cost Planning'!BI44+'Cost Planning'!BI62+'Cost Planning'!BI78</f>
        <v>0</v>
      </c>
      <c r="BG18" s="150">
        <f>'Cost Planning'!BJ44+'Cost Planning'!BJ62+'Cost Planning'!BJ78</f>
        <v>0</v>
      </c>
      <c r="BH18" s="150">
        <f>'Cost Planning'!BK44+'Cost Planning'!BK62+'Cost Planning'!BK78</f>
        <v>0</v>
      </c>
      <c r="BI18" s="150">
        <f>'Cost Planning'!BL44+'Cost Planning'!BL62+'Cost Planning'!BL78</f>
        <v>0</v>
      </c>
      <c r="BJ18" s="150">
        <f>'Cost Planning'!BM44+'Cost Planning'!BM62+'Cost Planning'!BM78</f>
        <v>0</v>
      </c>
      <c r="BK18" s="150">
        <f>'Cost Planning'!BN44+'Cost Planning'!BN62+'Cost Planning'!BN78</f>
        <v>0</v>
      </c>
      <c r="BL18" s="150">
        <f>'Cost Planning'!BO44+'Cost Planning'!BO62+'Cost Planning'!BO78</f>
        <v>0</v>
      </c>
      <c r="BM18" s="21"/>
      <c r="BN18" s="21"/>
      <c r="BO18" s="21"/>
      <c r="BP18" s="21"/>
      <c r="BQ18" s="21"/>
      <c r="BR18" s="21"/>
      <c r="BS18" s="21"/>
      <c r="BT18" s="21"/>
      <c r="BU18" s="21"/>
      <c r="BV18" s="21"/>
      <c r="BW18" s="21"/>
      <c r="BX18" s="21"/>
      <c r="BY18" s="21"/>
    </row>
    <row r="19" spans="2:77" s="67" customFormat="1" ht="25" customHeight="1" outlineLevel="1" x14ac:dyDescent="0.3">
      <c r="B19" s="298" t="s">
        <v>60</v>
      </c>
      <c r="C19" s="298"/>
      <c r="D19" s="152"/>
      <c r="E19" s="152">
        <f t="shared" ref="E19:E24" si="104">E31-D31</f>
        <v>297</v>
      </c>
      <c r="F19" s="152">
        <f t="shared" ref="F19:Z19" si="105">F31-E31</f>
        <v>297</v>
      </c>
      <c r="G19" s="152">
        <f t="shared" si="105"/>
        <v>297</v>
      </c>
      <c r="H19" s="152">
        <f t="shared" si="105"/>
        <v>297</v>
      </c>
      <c r="I19" s="152">
        <f t="shared" si="105"/>
        <v>297</v>
      </c>
      <c r="J19" s="152">
        <f t="shared" si="105"/>
        <v>297</v>
      </c>
      <c r="K19" s="152">
        <f t="shared" si="105"/>
        <v>297</v>
      </c>
      <c r="L19" s="152">
        <f t="shared" si="105"/>
        <v>297</v>
      </c>
      <c r="M19" s="152">
        <f t="shared" si="105"/>
        <v>297</v>
      </c>
      <c r="N19" s="152">
        <f t="shared" si="105"/>
        <v>297</v>
      </c>
      <c r="O19" s="152">
        <f t="shared" si="105"/>
        <v>297</v>
      </c>
      <c r="P19" s="152">
        <f t="shared" si="105"/>
        <v>297</v>
      </c>
      <c r="Q19" s="152">
        <f t="shared" si="105"/>
        <v>297</v>
      </c>
      <c r="R19" s="152">
        <f t="shared" si="105"/>
        <v>297</v>
      </c>
      <c r="S19" s="152">
        <f t="shared" si="105"/>
        <v>297</v>
      </c>
      <c r="T19" s="152">
        <f t="shared" si="105"/>
        <v>297</v>
      </c>
      <c r="U19" s="152">
        <f t="shared" si="105"/>
        <v>297</v>
      </c>
      <c r="V19" s="152">
        <f t="shared" si="105"/>
        <v>297</v>
      </c>
      <c r="W19" s="152">
        <f t="shared" si="105"/>
        <v>297</v>
      </c>
      <c r="X19" s="152">
        <f t="shared" si="105"/>
        <v>297</v>
      </c>
      <c r="Y19" s="152">
        <f t="shared" si="105"/>
        <v>297</v>
      </c>
      <c r="Z19" s="152">
        <f t="shared" si="105"/>
        <v>297</v>
      </c>
      <c r="AA19" s="152">
        <f>AA31-Z31</f>
        <v>297</v>
      </c>
      <c r="AB19" s="152">
        <f t="shared" ref="AB19:AB24" si="106">AB31-AA31</f>
        <v>297</v>
      </c>
      <c r="AC19" s="152">
        <f t="shared" ref="AC19:AC24" si="107">AC31-AB31</f>
        <v>297</v>
      </c>
      <c r="AD19" s="152">
        <f t="shared" ref="AD19:AD24" si="108">AD31-AC31</f>
        <v>297</v>
      </c>
      <c r="AE19" s="152">
        <f t="shared" ref="AE19:AE24" si="109">AE31-AD31</f>
        <v>297</v>
      </c>
      <c r="AF19" s="152">
        <f t="shared" ref="AF19:AF24" si="110">AF31-AE31</f>
        <v>297</v>
      </c>
      <c r="AG19" s="152">
        <f t="shared" ref="AG19:AG24" si="111">AG31-AF31</f>
        <v>297</v>
      </c>
      <c r="AH19" s="152">
        <f t="shared" ref="AH19:AH24" si="112">AH31-AG31</f>
        <v>297</v>
      </c>
      <c r="AI19" s="152">
        <f t="shared" ref="AI19:AI24" si="113">AI31-AH31</f>
        <v>297</v>
      </c>
      <c r="AJ19" s="152">
        <f t="shared" ref="AJ19:AJ24" si="114">AJ31-AI31</f>
        <v>297</v>
      </c>
      <c r="AK19" s="152">
        <f t="shared" ref="AK19:AK24" si="115">AK31-AJ31</f>
        <v>297</v>
      </c>
      <c r="AL19" s="152">
        <f t="shared" ref="AL19:AL24" si="116">AL31-AK31</f>
        <v>297</v>
      </c>
      <c r="AM19" s="152">
        <f t="shared" ref="AM19:AM24" si="117">AM31-AL31</f>
        <v>297</v>
      </c>
      <c r="AN19" s="152">
        <f t="shared" ref="AN19:AN24" si="118">AN31-AM31</f>
        <v>297</v>
      </c>
      <c r="AO19" s="152">
        <f t="shared" ref="AO19:AO24" si="119">AO31-AN31</f>
        <v>297</v>
      </c>
      <c r="AP19" s="152">
        <f t="shared" ref="AP19:AP24" si="120">AP31-AO31</f>
        <v>297</v>
      </c>
      <c r="AQ19" s="152">
        <f t="shared" ref="AQ19:AQ24" si="121">AQ31-AP31</f>
        <v>297</v>
      </c>
      <c r="AR19" s="152">
        <f t="shared" ref="AR19:AR24" si="122">AR31-AQ31</f>
        <v>297</v>
      </c>
      <c r="AS19" s="152">
        <f t="shared" ref="AS19:AS24" si="123">AS31-AR31</f>
        <v>297</v>
      </c>
      <c r="AT19" s="152">
        <f t="shared" ref="AT19:AT24" si="124">AT31-AS31</f>
        <v>297</v>
      </c>
      <c r="AU19" s="152">
        <f t="shared" ref="AU19:AU24" si="125">AU31-AT31</f>
        <v>297</v>
      </c>
      <c r="AV19" s="152">
        <f t="shared" ref="AV19:AV24" si="126">AV31-AU31</f>
        <v>297</v>
      </c>
      <c r="AW19" s="152">
        <f t="shared" ref="AW19:AW24" si="127">AW31-AV31</f>
        <v>297</v>
      </c>
      <c r="AX19" s="152">
        <f t="shared" ref="AX19:AX24" si="128">AX31-AW31</f>
        <v>297</v>
      </c>
      <c r="AY19" s="152">
        <f t="shared" ref="AY19:AY24" si="129">AY31-AX31</f>
        <v>297</v>
      </c>
      <c r="AZ19" s="152">
        <f t="shared" ref="AZ19:AZ24" si="130">AZ31-AY31</f>
        <v>297</v>
      </c>
      <c r="BA19" s="152">
        <f t="shared" ref="BA19:BA24" si="131">BA31-AZ31</f>
        <v>0</v>
      </c>
      <c r="BB19" s="152">
        <f t="shared" ref="BB19:BB24" si="132">BB31-BA31</f>
        <v>0</v>
      </c>
      <c r="BC19" s="152">
        <f t="shared" ref="BC19:BC24" si="133">BC31-BB31</f>
        <v>0</v>
      </c>
      <c r="BD19" s="152">
        <f t="shared" ref="BD19:BD24" si="134">BD31-BC31</f>
        <v>0</v>
      </c>
      <c r="BE19" s="152">
        <f t="shared" ref="BE19:BE24" si="135">BE31-BD31</f>
        <v>0</v>
      </c>
      <c r="BF19" s="152">
        <f t="shared" ref="BF19:BF24" si="136">BF31-BE31</f>
        <v>0</v>
      </c>
      <c r="BG19" s="152">
        <f t="shared" ref="BG19:BG24" si="137">BG31-BF31</f>
        <v>0</v>
      </c>
      <c r="BH19" s="152">
        <f t="shared" ref="BH19:BH24" si="138">BH31-BG31</f>
        <v>0</v>
      </c>
      <c r="BI19" s="152">
        <f t="shared" ref="BI19:BI24" si="139">BI31-BH31</f>
        <v>0</v>
      </c>
      <c r="BJ19" s="152">
        <f t="shared" ref="BJ19:BJ24" si="140">BJ31-BI31</f>
        <v>0</v>
      </c>
      <c r="BK19" s="152">
        <f t="shared" ref="BK19:BK24" si="141">BK31-BJ31</f>
        <v>0</v>
      </c>
      <c r="BL19" s="152">
        <f t="shared" ref="BL19:BL24" si="142">BL31-BK31</f>
        <v>0</v>
      </c>
      <c r="BN19" s="21"/>
      <c r="BO19" s="21"/>
      <c r="BP19" s="21"/>
      <c r="BQ19" s="21"/>
      <c r="BR19" s="21"/>
      <c r="BS19" s="21"/>
      <c r="BT19" s="21"/>
      <c r="BU19" s="21"/>
      <c r="BV19" s="21"/>
      <c r="BW19" s="21"/>
      <c r="BX19" s="21"/>
      <c r="BY19" s="21"/>
    </row>
    <row r="20" spans="2:77" s="67" customFormat="1" ht="25" customHeight="1" outlineLevel="1" x14ac:dyDescent="0.3">
      <c r="B20" s="298" t="s">
        <v>170</v>
      </c>
      <c r="C20" s="298"/>
      <c r="D20" s="152"/>
      <c r="E20" s="152">
        <f t="shared" si="104"/>
        <v>7102.7849999999999</v>
      </c>
      <c r="F20" s="152">
        <f t="shared" ref="F20:AA20" si="143">F32-E32</f>
        <v>7102.7849999999999</v>
      </c>
      <c r="G20" s="152">
        <f t="shared" si="143"/>
        <v>7102.7849999999999</v>
      </c>
      <c r="H20" s="152">
        <f t="shared" si="143"/>
        <v>7102.7849999999999</v>
      </c>
      <c r="I20" s="152">
        <f t="shared" si="143"/>
        <v>7102.7850000000035</v>
      </c>
      <c r="J20" s="152">
        <f t="shared" si="143"/>
        <v>7102.7850000000035</v>
      </c>
      <c r="K20" s="152">
        <f t="shared" si="143"/>
        <v>7102.7850000000035</v>
      </c>
      <c r="L20" s="152">
        <f t="shared" si="143"/>
        <v>7102.7850000000035</v>
      </c>
      <c r="M20" s="152">
        <f t="shared" si="143"/>
        <v>7102.7850000000035</v>
      </c>
      <c r="N20" s="152">
        <f>N32-M32</f>
        <v>7102.7850000000035</v>
      </c>
      <c r="O20" s="152">
        <f t="shared" si="143"/>
        <v>7102.7850000000035</v>
      </c>
      <c r="P20" s="152">
        <f t="shared" si="143"/>
        <v>7102.7850000000035</v>
      </c>
      <c r="Q20" s="152">
        <f t="shared" si="143"/>
        <v>7102.7850000000035</v>
      </c>
      <c r="R20" s="152">
        <f t="shared" si="143"/>
        <v>7102.7850000000035</v>
      </c>
      <c r="S20" s="152">
        <f t="shared" si="143"/>
        <v>7102.7850000000035</v>
      </c>
      <c r="T20" s="152">
        <f t="shared" si="143"/>
        <v>7102.7850000000035</v>
      </c>
      <c r="U20" s="152">
        <f t="shared" si="143"/>
        <v>7102.7850000000035</v>
      </c>
      <c r="V20" s="152">
        <f t="shared" si="143"/>
        <v>7102.7850000000035</v>
      </c>
      <c r="W20" s="152">
        <f t="shared" si="143"/>
        <v>7102.7849999999889</v>
      </c>
      <c r="X20" s="152">
        <f t="shared" si="143"/>
        <v>7102.7850000000035</v>
      </c>
      <c r="Y20" s="152">
        <f t="shared" si="143"/>
        <v>7102.7850000000035</v>
      </c>
      <c r="Z20" s="152">
        <f t="shared" si="143"/>
        <v>7102.7850000000035</v>
      </c>
      <c r="AA20" s="152">
        <f t="shared" si="143"/>
        <v>7102.7850000000035</v>
      </c>
      <c r="AB20" s="152">
        <f t="shared" si="106"/>
        <v>7102.7850000000035</v>
      </c>
      <c r="AC20" s="152">
        <f t="shared" si="107"/>
        <v>7102.7850000000035</v>
      </c>
      <c r="AD20" s="152">
        <f t="shared" si="108"/>
        <v>7102.7850000000035</v>
      </c>
      <c r="AE20" s="152">
        <f t="shared" si="109"/>
        <v>7102.7850000000035</v>
      </c>
      <c r="AF20" s="152">
        <f t="shared" si="110"/>
        <v>7102.7850000000035</v>
      </c>
      <c r="AG20" s="152">
        <f t="shared" si="111"/>
        <v>7102.7850000000035</v>
      </c>
      <c r="AH20" s="152">
        <f t="shared" si="112"/>
        <v>7102.7850000000035</v>
      </c>
      <c r="AI20" s="152">
        <f t="shared" si="113"/>
        <v>7102.7850000000035</v>
      </c>
      <c r="AJ20" s="152">
        <f t="shared" si="114"/>
        <v>7102.7850000000035</v>
      </c>
      <c r="AK20" s="152">
        <f t="shared" si="115"/>
        <v>7102.7850000000035</v>
      </c>
      <c r="AL20" s="152">
        <f t="shared" si="116"/>
        <v>7102.7850000000035</v>
      </c>
      <c r="AM20" s="152">
        <f t="shared" si="117"/>
        <v>7102.7850000000035</v>
      </c>
      <c r="AN20" s="152">
        <f t="shared" si="118"/>
        <v>7102.7850000000035</v>
      </c>
      <c r="AO20" s="152">
        <f t="shared" si="119"/>
        <v>7102.7850000000035</v>
      </c>
      <c r="AP20" s="152">
        <f t="shared" si="120"/>
        <v>7102.7849999999744</v>
      </c>
      <c r="AQ20" s="152">
        <f t="shared" si="121"/>
        <v>7102.7849999999744</v>
      </c>
      <c r="AR20" s="152">
        <f t="shared" si="122"/>
        <v>7102.7849999999744</v>
      </c>
      <c r="AS20" s="152">
        <f t="shared" si="123"/>
        <v>7102.7849999999744</v>
      </c>
      <c r="AT20" s="152">
        <f t="shared" si="124"/>
        <v>7102.7849999999744</v>
      </c>
      <c r="AU20" s="152">
        <f t="shared" si="125"/>
        <v>7102.7849999999744</v>
      </c>
      <c r="AV20" s="152">
        <f t="shared" si="126"/>
        <v>7102.7849999999744</v>
      </c>
      <c r="AW20" s="152">
        <f t="shared" si="127"/>
        <v>7102.7849999999744</v>
      </c>
      <c r="AX20" s="152">
        <f t="shared" si="128"/>
        <v>7102.7849999999744</v>
      </c>
      <c r="AY20" s="152">
        <f t="shared" si="129"/>
        <v>7102.7849999999744</v>
      </c>
      <c r="AZ20" s="152">
        <f t="shared" si="130"/>
        <v>7102.7849999999744</v>
      </c>
      <c r="BA20" s="152">
        <f t="shared" si="131"/>
        <v>0</v>
      </c>
      <c r="BB20" s="152">
        <f t="shared" si="132"/>
        <v>0</v>
      </c>
      <c r="BC20" s="152">
        <f t="shared" si="133"/>
        <v>0</v>
      </c>
      <c r="BD20" s="152">
        <f t="shared" si="134"/>
        <v>0</v>
      </c>
      <c r="BE20" s="152">
        <f t="shared" si="135"/>
        <v>0</v>
      </c>
      <c r="BF20" s="152">
        <f t="shared" si="136"/>
        <v>0</v>
      </c>
      <c r="BG20" s="152">
        <f t="shared" si="137"/>
        <v>0</v>
      </c>
      <c r="BH20" s="152">
        <f t="shared" si="138"/>
        <v>0</v>
      </c>
      <c r="BI20" s="152">
        <f t="shared" si="139"/>
        <v>0</v>
      </c>
      <c r="BJ20" s="152">
        <f t="shared" si="140"/>
        <v>0</v>
      </c>
      <c r="BK20" s="152">
        <f t="shared" si="141"/>
        <v>0</v>
      </c>
      <c r="BL20" s="152">
        <f t="shared" si="142"/>
        <v>0</v>
      </c>
      <c r="BN20" s="21"/>
      <c r="BO20" s="21"/>
      <c r="BP20" s="21"/>
      <c r="BQ20" s="21"/>
      <c r="BR20" s="21"/>
      <c r="BS20" s="21"/>
      <c r="BT20" s="21"/>
      <c r="BU20" s="21"/>
      <c r="BV20" s="21"/>
      <c r="BW20" s="21"/>
      <c r="BX20" s="21"/>
      <c r="BY20" s="21"/>
    </row>
    <row r="21" spans="2:77" s="67" customFormat="1" ht="25" customHeight="1" outlineLevel="1" x14ac:dyDescent="0.3">
      <c r="B21" s="298" t="s">
        <v>171</v>
      </c>
      <c r="C21" s="298"/>
      <c r="D21" s="152"/>
      <c r="E21" s="152">
        <f t="shared" si="104"/>
        <v>0</v>
      </c>
      <c r="F21" s="152">
        <f t="shared" ref="F21:AA21" si="144">F33-E33</f>
        <v>0</v>
      </c>
      <c r="G21" s="152">
        <f t="shared" si="144"/>
        <v>0</v>
      </c>
      <c r="H21" s="152">
        <f t="shared" si="144"/>
        <v>0</v>
      </c>
      <c r="I21" s="152">
        <f t="shared" si="144"/>
        <v>0</v>
      </c>
      <c r="J21" s="152">
        <f t="shared" si="144"/>
        <v>0</v>
      </c>
      <c r="K21" s="152">
        <f t="shared" si="144"/>
        <v>0</v>
      </c>
      <c r="L21" s="152">
        <f t="shared" si="144"/>
        <v>0</v>
      </c>
      <c r="M21" s="152">
        <f t="shared" si="144"/>
        <v>0</v>
      </c>
      <c r="N21" s="152">
        <f t="shared" si="144"/>
        <v>0</v>
      </c>
      <c r="O21" s="152">
        <f t="shared" si="144"/>
        <v>0</v>
      </c>
      <c r="P21" s="152">
        <f t="shared" si="144"/>
        <v>0</v>
      </c>
      <c r="Q21" s="152">
        <f t="shared" si="144"/>
        <v>0</v>
      </c>
      <c r="R21" s="152">
        <f t="shared" si="144"/>
        <v>0</v>
      </c>
      <c r="S21" s="152">
        <f t="shared" si="144"/>
        <v>0</v>
      </c>
      <c r="T21" s="152">
        <f t="shared" si="144"/>
        <v>0</v>
      </c>
      <c r="U21" s="152">
        <f t="shared" si="144"/>
        <v>0</v>
      </c>
      <c r="V21" s="152">
        <f t="shared" si="144"/>
        <v>0</v>
      </c>
      <c r="W21" s="152">
        <f t="shared" si="144"/>
        <v>0</v>
      </c>
      <c r="X21" s="152">
        <f t="shared" si="144"/>
        <v>0</v>
      </c>
      <c r="Y21" s="152">
        <f t="shared" si="144"/>
        <v>0</v>
      </c>
      <c r="Z21" s="152">
        <f t="shared" si="144"/>
        <v>0</v>
      </c>
      <c r="AA21" s="152">
        <f t="shared" si="144"/>
        <v>0</v>
      </c>
      <c r="AB21" s="152">
        <f t="shared" si="106"/>
        <v>0</v>
      </c>
      <c r="AC21" s="152">
        <f t="shared" si="107"/>
        <v>0</v>
      </c>
      <c r="AD21" s="152">
        <f t="shared" si="108"/>
        <v>0</v>
      </c>
      <c r="AE21" s="152">
        <f t="shared" si="109"/>
        <v>0</v>
      </c>
      <c r="AF21" s="152">
        <f t="shared" si="110"/>
        <v>0</v>
      </c>
      <c r="AG21" s="152">
        <f t="shared" si="111"/>
        <v>0</v>
      </c>
      <c r="AH21" s="152">
        <f t="shared" si="112"/>
        <v>0</v>
      </c>
      <c r="AI21" s="152">
        <f t="shared" si="113"/>
        <v>0</v>
      </c>
      <c r="AJ21" s="152">
        <f t="shared" si="114"/>
        <v>0</v>
      </c>
      <c r="AK21" s="152">
        <f t="shared" si="115"/>
        <v>0</v>
      </c>
      <c r="AL21" s="152">
        <f t="shared" si="116"/>
        <v>0</v>
      </c>
      <c r="AM21" s="152">
        <f t="shared" si="117"/>
        <v>0</v>
      </c>
      <c r="AN21" s="152">
        <f t="shared" si="118"/>
        <v>0</v>
      </c>
      <c r="AO21" s="152">
        <f t="shared" si="119"/>
        <v>0</v>
      </c>
      <c r="AP21" s="152">
        <f t="shared" si="120"/>
        <v>0</v>
      </c>
      <c r="AQ21" s="152">
        <f t="shared" si="121"/>
        <v>0</v>
      </c>
      <c r="AR21" s="152">
        <f t="shared" si="122"/>
        <v>0</v>
      </c>
      <c r="AS21" s="152">
        <f t="shared" si="123"/>
        <v>0</v>
      </c>
      <c r="AT21" s="152">
        <f t="shared" si="124"/>
        <v>0</v>
      </c>
      <c r="AU21" s="152">
        <f t="shared" si="125"/>
        <v>0</v>
      </c>
      <c r="AV21" s="152">
        <f t="shared" si="126"/>
        <v>0</v>
      </c>
      <c r="AW21" s="152">
        <f t="shared" si="127"/>
        <v>0</v>
      </c>
      <c r="AX21" s="152">
        <f t="shared" si="128"/>
        <v>0</v>
      </c>
      <c r="AY21" s="152">
        <f t="shared" si="129"/>
        <v>0</v>
      </c>
      <c r="AZ21" s="152">
        <f t="shared" si="130"/>
        <v>3565.85</v>
      </c>
      <c r="BA21" s="152">
        <f t="shared" si="131"/>
        <v>0</v>
      </c>
      <c r="BB21" s="152">
        <f t="shared" si="132"/>
        <v>0</v>
      </c>
      <c r="BC21" s="152">
        <f t="shared" si="133"/>
        <v>0</v>
      </c>
      <c r="BD21" s="152">
        <f t="shared" si="134"/>
        <v>0</v>
      </c>
      <c r="BE21" s="152">
        <f t="shared" si="135"/>
        <v>0</v>
      </c>
      <c r="BF21" s="152">
        <f t="shared" si="136"/>
        <v>0</v>
      </c>
      <c r="BG21" s="152">
        <f t="shared" si="137"/>
        <v>0</v>
      </c>
      <c r="BH21" s="152">
        <f t="shared" si="138"/>
        <v>0</v>
      </c>
      <c r="BI21" s="152">
        <f t="shared" si="139"/>
        <v>0</v>
      </c>
      <c r="BJ21" s="152">
        <f t="shared" si="140"/>
        <v>0</v>
      </c>
      <c r="BK21" s="152">
        <f t="shared" si="141"/>
        <v>0</v>
      </c>
      <c r="BL21" s="152">
        <f t="shared" si="142"/>
        <v>0</v>
      </c>
      <c r="BN21" s="21"/>
      <c r="BO21" s="21"/>
      <c r="BP21" s="21"/>
      <c r="BQ21" s="21"/>
      <c r="BR21" s="21"/>
      <c r="BS21" s="21"/>
      <c r="BT21" s="21"/>
      <c r="BU21" s="21"/>
      <c r="BV21" s="21"/>
      <c r="BW21" s="21"/>
      <c r="BX21" s="21"/>
      <c r="BY21" s="21"/>
    </row>
    <row r="22" spans="2:77" s="67" customFormat="1" ht="25" customHeight="1" outlineLevel="1" x14ac:dyDescent="0.3">
      <c r="B22" s="298" t="s">
        <v>172</v>
      </c>
      <c r="C22" s="298"/>
      <c r="D22" s="152"/>
      <c r="E22" s="152">
        <f t="shared" si="104"/>
        <v>0</v>
      </c>
      <c r="F22" s="152">
        <f t="shared" ref="F22:AA22" si="145">F34-E34</f>
        <v>0</v>
      </c>
      <c r="G22" s="152">
        <f t="shared" si="145"/>
        <v>0</v>
      </c>
      <c r="H22" s="152">
        <f t="shared" si="145"/>
        <v>0</v>
      </c>
      <c r="I22" s="152">
        <f t="shared" si="145"/>
        <v>0</v>
      </c>
      <c r="J22" s="152">
        <f t="shared" si="145"/>
        <v>0</v>
      </c>
      <c r="K22" s="152">
        <f t="shared" si="145"/>
        <v>0</v>
      </c>
      <c r="L22" s="152">
        <f t="shared" si="145"/>
        <v>0</v>
      </c>
      <c r="M22" s="152">
        <f t="shared" si="145"/>
        <v>0</v>
      </c>
      <c r="N22" s="152">
        <f t="shared" si="145"/>
        <v>0</v>
      </c>
      <c r="O22" s="152">
        <f t="shared" si="145"/>
        <v>0</v>
      </c>
      <c r="P22" s="152">
        <f t="shared" si="145"/>
        <v>0</v>
      </c>
      <c r="Q22" s="152">
        <f t="shared" si="145"/>
        <v>0</v>
      </c>
      <c r="R22" s="152">
        <f t="shared" si="145"/>
        <v>0</v>
      </c>
      <c r="S22" s="152">
        <f t="shared" si="145"/>
        <v>0</v>
      </c>
      <c r="T22" s="152">
        <f t="shared" si="145"/>
        <v>0</v>
      </c>
      <c r="U22" s="152">
        <f t="shared" si="145"/>
        <v>0</v>
      </c>
      <c r="V22" s="152">
        <f t="shared" si="145"/>
        <v>0</v>
      </c>
      <c r="W22" s="152">
        <f t="shared" si="145"/>
        <v>0</v>
      </c>
      <c r="X22" s="152">
        <f t="shared" si="145"/>
        <v>0</v>
      </c>
      <c r="Y22" s="152">
        <f t="shared" si="145"/>
        <v>0</v>
      </c>
      <c r="Z22" s="152">
        <f t="shared" si="145"/>
        <v>0</v>
      </c>
      <c r="AA22" s="152">
        <f t="shared" si="145"/>
        <v>0</v>
      </c>
      <c r="AB22" s="152">
        <f t="shared" si="106"/>
        <v>0</v>
      </c>
      <c r="AC22" s="152">
        <f t="shared" si="107"/>
        <v>0</v>
      </c>
      <c r="AD22" s="152">
        <f t="shared" si="108"/>
        <v>0</v>
      </c>
      <c r="AE22" s="152">
        <f t="shared" si="109"/>
        <v>0</v>
      </c>
      <c r="AF22" s="152">
        <f t="shared" si="110"/>
        <v>0</v>
      </c>
      <c r="AG22" s="152">
        <f t="shared" si="111"/>
        <v>0</v>
      </c>
      <c r="AH22" s="152">
        <f t="shared" si="112"/>
        <v>0</v>
      </c>
      <c r="AI22" s="152">
        <f t="shared" si="113"/>
        <v>0</v>
      </c>
      <c r="AJ22" s="152">
        <f t="shared" si="114"/>
        <v>0</v>
      </c>
      <c r="AK22" s="152">
        <f t="shared" si="115"/>
        <v>0</v>
      </c>
      <c r="AL22" s="152">
        <f t="shared" si="116"/>
        <v>0</v>
      </c>
      <c r="AM22" s="152">
        <f t="shared" si="117"/>
        <v>0</v>
      </c>
      <c r="AN22" s="152">
        <f t="shared" si="118"/>
        <v>0</v>
      </c>
      <c r="AO22" s="152">
        <f t="shared" si="119"/>
        <v>0</v>
      </c>
      <c r="AP22" s="152">
        <f t="shared" si="120"/>
        <v>0</v>
      </c>
      <c r="AQ22" s="152">
        <f t="shared" si="121"/>
        <v>0</v>
      </c>
      <c r="AR22" s="152">
        <f t="shared" si="122"/>
        <v>0</v>
      </c>
      <c r="AS22" s="152">
        <f t="shared" si="123"/>
        <v>0</v>
      </c>
      <c r="AT22" s="152">
        <f t="shared" si="124"/>
        <v>0</v>
      </c>
      <c r="AU22" s="152">
        <f t="shared" si="125"/>
        <v>0</v>
      </c>
      <c r="AV22" s="152">
        <f t="shared" si="126"/>
        <v>0</v>
      </c>
      <c r="AW22" s="152">
        <f t="shared" si="127"/>
        <v>0</v>
      </c>
      <c r="AX22" s="152">
        <f t="shared" si="128"/>
        <v>0</v>
      </c>
      <c r="AY22" s="152">
        <f t="shared" si="129"/>
        <v>0</v>
      </c>
      <c r="AZ22" s="152">
        <f t="shared" si="130"/>
        <v>0</v>
      </c>
      <c r="BA22" s="152">
        <f t="shared" si="131"/>
        <v>0</v>
      </c>
      <c r="BB22" s="152">
        <f t="shared" si="132"/>
        <v>0</v>
      </c>
      <c r="BC22" s="152">
        <f t="shared" si="133"/>
        <v>0</v>
      </c>
      <c r="BD22" s="152">
        <f t="shared" si="134"/>
        <v>0</v>
      </c>
      <c r="BE22" s="152">
        <f t="shared" si="135"/>
        <v>0</v>
      </c>
      <c r="BF22" s="152">
        <f t="shared" si="136"/>
        <v>0</v>
      </c>
      <c r="BG22" s="152">
        <f t="shared" si="137"/>
        <v>0</v>
      </c>
      <c r="BH22" s="152">
        <f t="shared" si="138"/>
        <v>0</v>
      </c>
      <c r="BI22" s="152">
        <f t="shared" si="139"/>
        <v>0</v>
      </c>
      <c r="BJ22" s="152">
        <f t="shared" si="140"/>
        <v>0</v>
      </c>
      <c r="BK22" s="152">
        <f t="shared" si="141"/>
        <v>0</v>
      </c>
      <c r="BL22" s="152">
        <f t="shared" si="142"/>
        <v>0</v>
      </c>
      <c r="BN22" s="21"/>
      <c r="BO22" s="21"/>
      <c r="BP22" s="21"/>
      <c r="BQ22" s="21"/>
      <c r="BR22" s="21"/>
      <c r="BS22" s="21"/>
      <c r="BT22" s="21"/>
      <c r="BU22" s="21"/>
      <c r="BV22" s="21"/>
      <c r="BW22" s="21"/>
      <c r="BX22" s="21"/>
      <c r="BY22" s="21"/>
    </row>
    <row r="23" spans="2:77" s="67" customFormat="1" ht="25" customHeight="1" outlineLevel="1" x14ac:dyDescent="0.3">
      <c r="B23" s="298" t="s">
        <v>173</v>
      </c>
      <c r="C23" s="298"/>
      <c r="D23" s="152"/>
      <c r="E23" s="152">
        <f t="shared" si="104"/>
        <v>0</v>
      </c>
      <c r="F23" s="152">
        <f t="shared" ref="F23:AA23" si="146">F35-E35</f>
        <v>0</v>
      </c>
      <c r="G23" s="152">
        <f t="shared" si="146"/>
        <v>0</v>
      </c>
      <c r="H23" s="152">
        <f t="shared" si="146"/>
        <v>0</v>
      </c>
      <c r="I23" s="152">
        <f t="shared" si="146"/>
        <v>0</v>
      </c>
      <c r="J23" s="152">
        <f t="shared" si="146"/>
        <v>0</v>
      </c>
      <c r="K23" s="152">
        <f t="shared" si="146"/>
        <v>0</v>
      </c>
      <c r="L23" s="152">
        <f t="shared" si="146"/>
        <v>0</v>
      </c>
      <c r="M23" s="152">
        <f t="shared" si="146"/>
        <v>0</v>
      </c>
      <c r="N23" s="152">
        <f t="shared" si="146"/>
        <v>0</v>
      </c>
      <c r="O23" s="152">
        <f t="shared" si="146"/>
        <v>0</v>
      </c>
      <c r="P23" s="152">
        <f t="shared" si="146"/>
        <v>0</v>
      </c>
      <c r="Q23" s="152">
        <f t="shared" si="146"/>
        <v>0</v>
      </c>
      <c r="R23" s="152">
        <f t="shared" si="146"/>
        <v>0</v>
      </c>
      <c r="S23" s="152">
        <f t="shared" si="146"/>
        <v>0</v>
      </c>
      <c r="T23" s="152">
        <f t="shared" si="146"/>
        <v>0</v>
      </c>
      <c r="U23" s="152">
        <f t="shared" si="146"/>
        <v>0</v>
      </c>
      <c r="V23" s="152">
        <f t="shared" si="146"/>
        <v>0</v>
      </c>
      <c r="W23" s="152">
        <f t="shared" si="146"/>
        <v>0</v>
      </c>
      <c r="X23" s="152">
        <f t="shared" si="146"/>
        <v>0</v>
      </c>
      <c r="Y23" s="152">
        <f t="shared" si="146"/>
        <v>0</v>
      </c>
      <c r="Z23" s="152">
        <f t="shared" si="146"/>
        <v>0</v>
      </c>
      <c r="AA23" s="152">
        <f t="shared" si="146"/>
        <v>0</v>
      </c>
      <c r="AB23" s="152">
        <f t="shared" si="106"/>
        <v>0</v>
      </c>
      <c r="AC23" s="152">
        <f t="shared" si="107"/>
        <v>0</v>
      </c>
      <c r="AD23" s="152">
        <f t="shared" si="108"/>
        <v>0</v>
      </c>
      <c r="AE23" s="152">
        <f t="shared" si="109"/>
        <v>0</v>
      </c>
      <c r="AF23" s="152">
        <f t="shared" si="110"/>
        <v>0</v>
      </c>
      <c r="AG23" s="152">
        <f t="shared" si="111"/>
        <v>0</v>
      </c>
      <c r="AH23" s="152">
        <f t="shared" si="112"/>
        <v>0</v>
      </c>
      <c r="AI23" s="152">
        <f t="shared" si="113"/>
        <v>0</v>
      </c>
      <c r="AJ23" s="152">
        <f t="shared" si="114"/>
        <v>0</v>
      </c>
      <c r="AK23" s="152">
        <f t="shared" si="115"/>
        <v>0</v>
      </c>
      <c r="AL23" s="152">
        <f t="shared" si="116"/>
        <v>0</v>
      </c>
      <c r="AM23" s="152">
        <f t="shared" si="117"/>
        <v>0</v>
      </c>
      <c r="AN23" s="152">
        <f t="shared" si="118"/>
        <v>0</v>
      </c>
      <c r="AO23" s="152">
        <f t="shared" si="119"/>
        <v>0</v>
      </c>
      <c r="AP23" s="152">
        <f t="shared" si="120"/>
        <v>0</v>
      </c>
      <c r="AQ23" s="152">
        <f t="shared" si="121"/>
        <v>0</v>
      </c>
      <c r="AR23" s="152">
        <f t="shared" si="122"/>
        <v>0</v>
      </c>
      <c r="AS23" s="152">
        <f t="shared" si="123"/>
        <v>0</v>
      </c>
      <c r="AT23" s="152">
        <f t="shared" si="124"/>
        <v>0</v>
      </c>
      <c r="AU23" s="152">
        <f t="shared" si="125"/>
        <v>0</v>
      </c>
      <c r="AV23" s="152">
        <f t="shared" si="126"/>
        <v>0</v>
      </c>
      <c r="AW23" s="152">
        <f t="shared" si="127"/>
        <v>0</v>
      </c>
      <c r="AX23" s="152">
        <f t="shared" si="128"/>
        <v>0</v>
      </c>
      <c r="AY23" s="152">
        <f t="shared" si="129"/>
        <v>0</v>
      </c>
      <c r="AZ23" s="152">
        <f t="shared" si="130"/>
        <v>0</v>
      </c>
      <c r="BA23" s="152">
        <f t="shared" si="131"/>
        <v>0</v>
      </c>
      <c r="BB23" s="152">
        <f t="shared" si="132"/>
        <v>0</v>
      </c>
      <c r="BC23" s="152">
        <f t="shared" si="133"/>
        <v>0</v>
      </c>
      <c r="BD23" s="152">
        <f t="shared" si="134"/>
        <v>0</v>
      </c>
      <c r="BE23" s="152">
        <f t="shared" si="135"/>
        <v>0</v>
      </c>
      <c r="BF23" s="152">
        <f t="shared" si="136"/>
        <v>0</v>
      </c>
      <c r="BG23" s="152">
        <f t="shared" si="137"/>
        <v>0</v>
      </c>
      <c r="BH23" s="152">
        <f t="shared" si="138"/>
        <v>0</v>
      </c>
      <c r="BI23" s="152">
        <f t="shared" si="139"/>
        <v>0</v>
      </c>
      <c r="BJ23" s="152">
        <f t="shared" si="140"/>
        <v>0</v>
      </c>
      <c r="BK23" s="152">
        <f t="shared" si="141"/>
        <v>0</v>
      </c>
      <c r="BL23" s="152">
        <f t="shared" si="142"/>
        <v>0</v>
      </c>
    </row>
    <row r="24" spans="2:77" s="67" customFormat="1" ht="25" customHeight="1" outlineLevel="1" x14ac:dyDescent="0.3">
      <c r="B24" s="298" t="s">
        <v>174</v>
      </c>
      <c r="C24" s="298"/>
      <c r="D24" s="152"/>
      <c r="E24" s="152">
        <f t="shared" si="104"/>
        <v>0</v>
      </c>
      <c r="F24" s="152">
        <f t="shared" ref="F24:AA24" si="147">F36-E36</f>
        <v>0</v>
      </c>
      <c r="G24" s="152">
        <f t="shared" si="147"/>
        <v>0</v>
      </c>
      <c r="H24" s="152">
        <f t="shared" si="147"/>
        <v>0</v>
      </c>
      <c r="I24" s="152">
        <f t="shared" si="147"/>
        <v>0</v>
      </c>
      <c r="J24" s="152">
        <f t="shared" si="147"/>
        <v>0</v>
      </c>
      <c r="K24" s="152">
        <f t="shared" si="147"/>
        <v>0</v>
      </c>
      <c r="L24" s="152">
        <f t="shared" si="147"/>
        <v>0</v>
      </c>
      <c r="M24" s="152">
        <f t="shared" si="147"/>
        <v>0</v>
      </c>
      <c r="N24" s="152">
        <f t="shared" si="147"/>
        <v>0</v>
      </c>
      <c r="O24" s="152">
        <f t="shared" si="147"/>
        <v>0</v>
      </c>
      <c r="P24" s="152">
        <f t="shared" si="147"/>
        <v>0</v>
      </c>
      <c r="Q24" s="152">
        <f t="shared" si="147"/>
        <v>0</v>
      </c>
      <c r="R24" s="152">
        <f t="shared" si="147"/>
        <v>0</v>
      </c>
      <c r="S24" s="152">
        <f t="shared" si="147"/>
        <v>0</v>
      </c>
      <c r="T24" s="152">
        <f t="shared" si="147"/>
        <v>0</v>
      </c>
      <c r="U24" s="152">
        <f t="shared" si="147"/>
        <v>0</v>
      </c>
      <c r="V24" s="152">
        <f t="shared" si="147"/>
        <v>0</v>
      </c>
      <c r="W24" s="152">
        <f t="shared" si="147"/>
        <v>0</v>
      </c>
      <c r="X24" s="152">
        <f t="shared" si="147"/>
        <v>0</v>
      </c>
      <c r="Y24" s="152">
        <f t="shared" si="147"/>
        <v>0</v>
      </c>
      <c r="Z24" s="152">
        <f t="shared" si="147"/>
        <v>0</v>
      </c>
      <c r="AA24" s="152">
        <f t="shared" si="147"/>
        <v>0</v>
      </c>
      <c r="AB24" s="152">
        <f t="shared" si="106"/>
        <v>0</v>
      </c>
      <c r="AC24" s="152">
        <f t="shared" si="107"/>
        <v>0</v>
      </c>
      <c r="AD24" s="152">
        <f t="shared" si="108"/>
        <v>0</v>
      </c>
      <c r="AE24" s="152">
        <f t="shared" si="109"/>
        <v>0</v>
      </c>
      <c r="AF24" s="152">
        <f t="shared" si="110"/>
        <v>0</v>
      </c>
      <c r="AG24" s="152">
        <f t="shared" si="111"/>
        <v>0</v>
      </c>
      <c r="AH24" s="152">
        <f t="shared" si="112"/>
        <v>0</v>
      </c>
      <c r="AI24" s="152">
        <f t="shared" si="113"/>
        <v>0</v>
      </c>
      <c r="AJ24" s="152">
        <f t="shared" si="114"/>
        <v>0</v>
      </c>
      <c r="AK24" s="152">
        <f t="shared" si="115"/>
        <v>0</v>
      </c>
      <c r="AL24" s="152">
        <f t="shared" si="116"/>
        <v>0</v>
      </c>
      <c r="AM24" s="152">
        <f t="shared" si="117"/>
        <v>0</v>
      </c>
      <c r="AN24" s="152">
        <f t="shared" si="118"/>
        <v>0</v>
      </c>
      <c r="AO24" s="152">
        <f t="shared" si="119"/>
        <v>0</v>
      </c>
      <c r="AP24" s="152">
        <f t="shared" si="120"/>
        <v>0</v>
      </c>
      <c r="AQ24" s="152">
        <f t="shared" si="121"/>
        <v>0</v>
      </c>
      <c r="AR24" s="152">
        <f t="shared" si="122"/>
        <v>0</v>
      </c>
      <c r="AS24" s="152">
        <f t="shared" si="123"/>
        <v>0</v>
      </c>
      <c r="AT24" s="152">
        <f t="shared" si="124"/>
        <v>0</v>
      </c>
      <c r="AU24" s="152">
        <f t="shared" si="125"/>
        <v>0</v>
      </c>
      <c r="AV24" s="152">
        <f t="shared" si="126"/>
        <v>0</v>
      </c>
      <c r="AW24" s="152">
        <f t="shared" si="127"/>
        <v>0</v>
      </c>
      <c r="AX24" s="152">
        <f t="shared" si="128"/>
        <v>0</v>
      </c>
      <c r="AY24" s="152">
        <f t="shared" si="129"/>
        <v>0</v>
      </c>
      <c r="AZ24" s="152">
        <f t="shared" si="130"/>
        <v>0</v>
      </c>
      <c r="BA24" s="152">
        <f t="shared" si="131"/>
        <v>0</v>
      </c>
      <c r="BB24" s="152">
        <f t="shared" si="132"/>
        <v>0</v>
      </c>
      <c r="BC24" s="152">
        <f t="shared" si="133"/>
        <v>0</v>
      </c>
      <c r="BD24" s="152">
        <f t="shared" si="134"/>
        <v>0</v>
      </c>
      <c r="BE24" s="152">
        <f t="shared" si="135"/>
        <v>0</v>
      </c>
      <c r="BF24" s="152">
        <f t="shared" si="136"/>
        <v>0</v>
      </c>
      <c r="BG24" s="152">
        <f t="shared" si="137"/>
        <v>0</v>
      </c>
      <c r="BH24" s="152">
        <f t="shared" si="138"/>
        <v>0</v>
      </c>
      <c r="BI24" s="152">
        <f t="shared" si="139"/>
        <v>0</v>
      </c>
      <c r="BJ24" s="152">
        <f t="shared" si="140"/>
        <v>0</v>
      </c>
      <c r="BK24" s="152">
        <f t="shared" si="141"/>
        <v>0</v>
      </c>
      <c r="BL24" s="152">
        <f t="shared" si="142"/>
        <v>0</v>
      </c>
    </row>
    <row r="25" spans="2:77" s="67" customFormat="1" ht="25" customHeight="1" x14ac:dyDescent="0.3">
      <c r="B25" s="298" t="s">
        <v>65</v>
      </c>
      <c r="C25" s="298"/>
      <c r="D25" s="151"/>
      <c r="E25" s="151">
        <f>SUM(E20:E24)</f>
        <v>7102.7849999999999</v>
      </c>
      <c r="F25" s="151">
        <f t="shared" ref="F25:AA25" si="148">SUM(F20:F24)</f>
        <v>7102.7849999999999</v>
      </c>
      <c r="G25" s="151">
        <f t="shared" si="148"/>
        <v>7102.7849999999999</v>
      </c>
      <c r="H25" s="151">
        <f t="shared" si="148"/>
        <v>7102.7849999999999</v>
      </c>
      <c r="I25" s="151">
        <f t="shared" si="148"/>
        <v>7102.7850000000035</v>
      </c>
      <c r="J25" s="151">
        <f t="shared" si="148"/>
        <v>7102.7850000000035</v>
      </c>
      <c r="K25" s="151">
        <f t="shared" si="148"/>
        <v>7102.7850000000035</v>
      </c>
      <c r="L25" s="151">
        <f t="shared" si="148"/>
        <v>7102.7850000000035</v>
      </c>
      <c r="M25" s="151">
        <f t="shared" si="148"/>
        <v>7102.7850000000035</v>
      </c>
      <c r="N25" s="151">
        <f t="shared" si="148"/>
        <v>7102.7850000000035</v>
      </c>
      <c r="O25" s="151">
        <f t="shared" si="148"/>
        <v>7102.7850000000035</v>
      </c>
      <c r="P25" s="151">
        <f t="shared" si="148"/>
        <v>7102.7850000000035</v>
      </c>
      <c r="Q25" s="151">
        <f t="shared" si="148"/>
        <v>7102.7850000000035</v>
      </c>
      <c r="R25" s="151">
        <f t="shared" si="148"/>
        <v>7102.7850000000035</v>
      </c>
      <c r="S25" s="151">
        <f t="shared" si="148"/>
        <v>7102.7850000000035</v>
      </c>
      <c r="T25" s="151">
        <f t="shared" si="148"/>
        <v>7102.7850000000035</v>
      </c>
      <c r="U25" s="151">
        <f t="shared" si="148"/>
        <v>7102.7850000000035</v>
      </c>
      <c r="V25" s="151">
        <f t="shared" si="148"/>
        <v>7102.7850000000035</v>
      </c>
      <c r="W25" s="151">
        <f t="shared" si="148"/>
        <v>7102.7849999999889</v>
      </c>
      <c r="X25" s="151">
        <f t="shared" si="148"/>
        <v>7102.7850000000035</v>
      </c>
      <c r="Y25" s="151">
        <f t="shared" si="148"/>
        <v>7102.7850000000035</v>
      </c>
      <c r="Z25" s="151">
        <f t="shared" si="148"/>
        <v>7102.7850000000035</v>
      </c>
      <c r="AA25" s="151">
        <f t="shared" si="148"/>
        <v>7102.7850000000035</v>
      </c>
      <c r="AB25" s="151">
        <f>SUM(AB20:AB24)</f>
        <v>7102.7850000000035</v>
      </c>
      <c r="AC25" s="151">
        <f t="shared" ref="AC25:BL25" si="149">SUM(AC20:AC24)</f>
        <v>7102.7850000000035</v>
      </c>
      <c r="AD25" s="151">
        <f t="shared" si="149"/>
        <v>7102.7850000000035</v>
      </c>
      <c r="AE25" s="151">
        <f t="shared" si="149"/>
        <v>7102.7850000000035</v>
      </c>
      <c r="AF25" s="151">
        <f t="shared" si="149"/>
        <v>7102.7850000000035</v>
      </c>
      <c r="AG25" s="151">
        <f t="shared" si="149"/>
        <v>7102.7850000000035</v>
      </c>
      <c r="AH25" s="151">
        <f t="shared" si="149"/>
        <v>7102.7850000000035</v>
      </c>
      <c r="AI25" s="151">
        <f t="shared" si="149"/>
        <v>7102.7850000000035</v>
      </c>
      <c r="AJ25" s="151">
        <f t="shared" si="149"/>
        <v>7102.7850000000035</v>
      </c>
      <c r="AK25" s="151">
        <f t="shared" si="149"/>
        <v>7102.7850000000035</v>
      </c>
      <c r="AL25" s="151">
        <f t="shared" si="149"/>
        <v>7102.7850000000035</v>
      </c>
      <c r="AM25" s="151">
        <f t="shared" si="149"/>
        <v>7102.7850000000035</v>
      </c>
      <c r="AN25" s="151">
        <f t="shared" si="149"/>
        <v>7102.7850000000035</v>
      </c>
      <c r="AO25" s="151">
        <f t="shared" si="149"/>
        <v>7102.7850000000035</v>
      </c>
      <c r="AP25" s="151">
        <f t="shared" si="149"/>
        <v>7102.7849999999744</v>
      </c>
      <c r="AQ25" s="151">
        <f t="shared" si="149"/>
        <v>7102.7849999999744</v>
      </c>
      <c r="AR25" s="151">
        <f t="shared" si="149"/>
        <v>7102.7849999999744</v>
      </c>
      <c r="AS25" s="151">
        <f t="shared" si="149"/>
        <v>7102.7849999999744</v>
      </c>
      <c r="AT25" s="151">
        <f t="shared" si="149"/>
        <v>7102.7849999999744</v>
      </c>
      <c r="AU25" s="151">
        <f t="shared" si="149"/>
        <v>7102.7849999999744</v>
      </c>
      <c r="AV25" s="151">
        <f t="shared" si="149"/>
        <v>7102.7849999999744</v>
      </c>
      <c r="AW25" s="151">
        <f t="shared" si="149"/>
        <v>7102.7849999999744</v>
      </c>
      <c r="AX25" s="151">
        <f t="shared" si="149"/>
        <v>7102.7849999999744</v>
      </c>
      <c r="AY25" s="151">
        <f t="shared" si="149"/>
        <v>7102.7849999999744</v>
      </c>
      <c r="AZ25" s="151">
        <f t="shared" si="149"/>
        <v>10668.634999999975</v>
      </c>
      <c r="BA25" s="151">
        <f t="shared" si="149"/>
        <v>0</v>
      </c>
      <c r="BB25" s="151">
        <f t="shared" si="149"/>
        <v>0</v>
      </c>
      <c r="BC25" s="151">
        <f t="shared" si="149"/>
        <v>0</v>
      </c>
      <c r="BD25" s="151">
        <f t="shared" si="149"/>
        <v>0</v>
      </c>
      <c r="BE25" s="151">
        <f t="shared" si="149"/>
        <v>0</v>
      </c>
      <c r="BF25" s="151">
        <f t="shared" si="149"/>
        <v>0</v>
      </c>
      <c r="BG25" s="151">
        <f t="shared" si="149"/>
        <v>0</v>
      </c>
      <c r="BH25" s="151">
        <f t="shared" si="149"/>
        <v>0</v>
      </c>
      <c r="BI25" s="151">
        <f t="shared" si="149"/>
        <v>0</v>
      </c>
      <c r="BJ25" s="151">
        <f t="shared" si="149"/>
        <v>0</v>
      </c>
      <c r="BK25" s="151">
        <f t="shared" si="149"/>
        <v>0</v>
      </c>
      <c r="BL25" s="151">
        <f t="shared" si="149"/>
        <v>0</v>
      </c>
    </row>
    <row r="26" spans="2:77" s="67" customFormat="1" ht="25" customHeight="1" x14ac:dyDescent="0.3">
      <c r="B26" s="300" t="s">
        <v>175</v>
      </c>
      <c r="C26" s="300"/>
      <c r="D26" s="153"/>
      <c r="E26" s="153">
        <f>E18-E25</f>
        <v>2488.7983333333323</v>
      </c>
      <c r="F26" s="157">
        <f t="shared" ref="F26:Z26" si="150">F18-F25</f>
        <v>2488.7983333333323</v>
      </c>
      <c r="G26" s="157">
        <f t="shared" si="150"/>
        <v>2488.7983333333323</v>
      </c>
      <c r="H26" s="157">
        <f t="shared" si="150"/>
        <v>2488.7983333333323</v>
      </c>
      <c r="I26" s="157">
        <f t="shared" si="150"/>
        <v>2488.7983333333286</v>
      </c>
      <c r="J26" s="157">
        <f t="shared" si="150"/>
        <v>2488.7983333333286</v>
      </c>
      <c r="K26" s="157">
        <f t="shared" si="150"/>
        <v>2488.7983333333286</v>
      </c>
      <c r="L26" s="157">
        <f t="shared" si="150"/>
        <v>2488.7983333333286</v>
      </c>
      <c r="M26" s="157">
        <f t="shared" si="150"/>
        <v>2488.7983333333286</v>
      </c>
      <c r="N26" s="157">
        <f t="shared" si="150"/>
        <v>2488.7983333333286</v>
      </c>
      <c r="O26" s="157">
        <f t="shared" si="150"/>
        <v>2488.7983333333286</v>
      </c>
      <c r="P26" s="157">
        <f t="shared" si="150"/>
        <v>2488.7983333333286</v>
      </c>
      <c r="Q26" s="157">
        <f t="shared" si="150"/>
        <v>2488.7983333333286</v>
      </c>
      <c r="R26" s="157">
        <f t="shared" si="150"/>
        <v>2488.7983333333286</v>
      </c>
      <c r="S26" s="157">
        <f t="shared" si="150"/>
        <v>2488.7983333333286</v>
      </c>
      <c r="T26" s="157">
        <f t="shared" si="150"/>
        <v>2488.7983333333286</v>
      </c>
      <c r="U26" s="157">
        <f t="shared" si="150"/>
        <v>2488.7983333333286</v>
      </c>
      <c r="V26" s="153">
        <f t="shared" si="150"/>
        <v>2488.7983333333286</v>
      </c>
      <c r="W26" s="153">
        <f t="shared" si="150"/>
        <v>2488.7983333333432</v>
      </c>
      <c r="X26" s="153">
        <f t="shared" si="150"/>
        <v>2488.7983333333286</v>
      </c>
      <c r="Y26" s="153">
        <f t="shared" si="150"/>
        <v>2488.7983333333286</v>
      </c>
      <c r="Z26" s="153">
        <f t="shared" si="150"/>
        <v>2488.7983333333286</v>
      </c>
      <c r="AA26" s="153">
        <f>AA18-AA25</f>
        <v>2488.7983333333286</v>
      </c>
      <c r="AB26" s="153">
        <f>AB18-AB25</f>
        <v>2488.7983333333286</v>
      </c>
      <c r="AC26" s="153">
        <f t="shared" ref="AC26:BL26" si="151">AC18-AC25</f>
        <v>2488.7983333333286</v>
      </c>
      <c r="AD26" s="153">
        <f t="shared" si="151"/>
        <v>2488.7983333333286</v>
      </c>
      <c r="AE26" s="153">
        <f t="shared" si="151"/>
        <v>2488.7983333333286</v>
      </c>
      <c r="AF26" s="153">
        <f t="shared" si="151"/>
        <v>2488.7983333333286</v>
      </c>
      <c r="AG26" s="153">
        <f t="shared" si="151"/>
        <v>2488.7983333333286</v>
      </c>
      <c r="AH26" s="153">
        <f t="shared" si="151"/>
        <v>2488.7983333333286</v>
      </c>
      <c r="AI26" s="153">
        <f t="shared" si="151"/>
        <v>2488.7983333333286</v>
      </c>
      <c r="AJ26" s="153">
        <f t="shared" si="151"/>
        <v>2488.7983333333286</v>
      </c>
      <c r="AK26" s="153">
        <f t="shared" si="151"/>
        <v>2488.7983333333286</v>
      </c>
      <c r="AL26" s="153">
        <f t="shared" si="151"/>
        <v>2488.7983333333286</v>
      </c>
      <c r="AM26" s="153">
        <f t="shared" si="151"/>
        <v>2488.7983333333286</v>
      </c>
      <c r="AN26" s="153">
        <f t="shared" si="151"/>
        <v>2488.7983333333286</v>
      </c>
      <c r="AO26" s="153">
        <f t="shared" si="151"/>
        <v>2488.7983333333286</v>
      </c>
      <c r="AP26" s="153">
        <f t="shared" si="151"/>
        <v>2488.7983333333577</v>
      </c>
      <c r="AQ26" s="153">
        <f t="shared" si="151"/>
        <v>2488.7983333333577</v>
      </c>
      <c r="AR26" s="153">
        <f t="shared" si="151"/>
        <v>2488.7983333333577</v>
      </c>
      <c r="AS26" s="153">
        <f t="shared" si="151"/>
        <v>2488.7983333333577</v>
      </c>
      <c r="AT26" s="153">
        <f t="shared" si="151"/>
        <v>2488.7983333333577</v>
      </c>
      <c r="AU26" s="153">
        <f t="shared" si="151"/>
        <v>2488.7983333333577</v>
      </c>
      <c r="AV26" s="153">
        <f t="shared" si="151"/>
        <v>2488.7983333333577</v>
      </c>
      <c r="AW26" s="153">
        <f t="shared" si="151"/>
        <v>2488.7983333333577</v>
      </c>
      <c r="AX26" s="153">
        <f t="shared" si="151"/>
        <v>2488.7983333333577</v>
      </c>
      <c r="AY26" s="153">
        <f t="shared" si="151"/>
        <v>2488.7983333333577</v>
      </c>
      <c r="AZ26" s="153">
        <f t="shared" si="151"/>
        <v>-1077.0516666666426</v>
      </c>
      <c r="BA26" s="153">
        <f t="shared" si="151"/>
        <v>0</v>
      </c>
      <c r="BB26" s="153">
        <f t="shared" si="151"/>
        <v>0</v>
      </c>
      <c r="BC26" s="153">
        <f t="shared" si="151"/>
        <v>0</v>
      </c>
      <c r="BD26" s="153">
        <f t="shared" si="151"/>
        <v>0</v>
      </c>
      <c r="BE26" s="153">
        <f t="shared" si="151"/>
        <v>0</v>
      </c>
      <c r="BF26" s="153">
        <f t="shared" si="151"/>
        <v>0</v>
      </c>
      <c r="BG26" s="153">
        <f t="shared" si="151"/>
        <v>0</v>
      </c>
      <c r="BH26" s="153">
        <f t="shared" si="151"/>
        <v>0</v>
      </c>
      <c r="BI26" s="153">
        <f t="shared" si="151"/>
        <v>0</v>
      </c>
      <c r="BJ26" s="153">
        <f t="shared" si="151"/>
        <v>0</v>
      </c>
      <c r="BK26" s="153">
        <f t="shared" si="151"/>
        <v>0</v>
      </c>
      <c r="BL26" s="153">
        <f t="shared" si="151"/>
        <v>0</v>
      </c>
    </row>
    <row r="27" spans="2:77" s="67" customFormat="1" ht="25" customHeight="1" x14ac:dyDescent="0.3">
      <c r="B27" s="300" t="s">
        <v>176</v>
      </c>
      <c r="C27" s="300"/>
      <c r="D27" s="154"/>
      <c r="E27" s="154">
        <f>IF(E18=0,0,(E18-SUM(E20,E21,E22,E23,E24))/E18)</f>
        <v>0.25947731952493064</v>
      </c>
      <c r="F27" s="154">
        <f t="shared" ref="F27:Z27" si="152">IF(F18=0,0,(F18-SUM(F20,F21,F22,F23,F24))/F18)</f>
        <v>0.25947731952493064</v>
      </c>
      <c r="G27" s="154">
        <f t="shared" si="152"/>
        <v>0.25947731952493064</v>
      </c>
      <c r="H27" s="154">
        <f t="shared" si="152"/>
        <v>0.25947731952493064</v>
      </c>
      <c r="I27" s="154">
        <f t="shared" si="152"/>
        <v>0.25947731952493025</v>
      </c>
      <c r="J27" s="154">
        <f t="shared" si="152"/>
        <v>0.25947731952493025</v>
      </c>
      <c r="K27" s="154">
        <f t="shared" si="152"/>
        <v>0.25947731952493025</v>
      </c>
      <c r="L27" s="154">
        <f t="shared" si="152"/>
        <v>0.25947731952493025</v>
      </c>
      <c r="M27" s="154">
        <f t="shared" si="152"/>
        <v>0.25947731952493025</v>
      </c>
      <c r="N27" s="154">
        <f t="shared" si="152"/>
        <v>0.25947731952493025</v>
      </c>
      <c r="O27" s="154">
        <f t="shared" si="152"/>
        <v>0.25947731952493025</v>
      </c>
      <c r="P27" s="154">
        <f t="shared" si="152"/>
        <v>0.25947731952493025</v>
      </c>
      <c r="Q27" s="154">
        <f t="shared" si="152"/>
        <v>0.25947731952493025</v>
      </c>
      <c r="R27" s="154">
        <f t="shared" si="152"/>
        <v>0.25947731952493025</v>
      </c>
      <c r="S27" s="154">
        <f t="shared" si="152"/>
        <v>0.25947731952493025</v>
      </c>
      <c r="T27" s="154">
        <f t="shared" si="152"/>
        <v>0.25947731952493025</v>
      </c>
      <c r="U27" s="154">
        <f t="shared" si="152"/>
        <v>0.25947731952493025</v>
      </c>
      <c r="V27" s="154">
        <f t="shared" si="152"/>
        <v>0.25947731952493025</v>
      </c>
      <c r="W27" s="154">
        <f t="shared" si="152"/>
        <v>0.25947731952493175</v>
      </c>
      <c r="X27" s="154">
        <f t="shared" si="152"/>
        <v>0.25947731952493025</v>
      </c>
      <c r="Y27" s="154">
        <f t="shared" si="152"/>
        <v>0.25947731952493025</v>
      </c>
      <c r="Z27" s="154">
        <f t="shared" si="152"/>
        <v>0.25947731952493025</v>
      </c>
      <c r="AA27" s="154">
        <f>IF(AA18=0,0,(AA18-SUM(AA20,AA21,AA22,AA23,AA24))/AA18)</f>
        <v>0.25947731952493025</v>
      </c>
      <c r="AB27" s="154">
        <f>IF(AB18=0,0,(AB18-SUM(AB20,AB21,AB22,AB23,AB24))/AB18)</f>
        <v>0.25947731952493025</v>
      </c>
      <c r="AC27" s="154">
        <f t="shared" ref="AC27:BL27" si="153">IF(AC18=0,0,(AC18-SUM(AC20,AC21,AC22,AC23,AC24))/AC18)</f>
        <v>0.25947731952493025</v>
      </c>
      <c r="AD27" s="154">
        <f t="shared" si="153"/>
        <v>0.25947731952493025</v>
      </c>
      <c r="AE27" s="154">
        <f t="shared" si="153"/>
        <v>0.25947731952493025</v>
      </c>
      <c r="AF27" s="154">
        <f t="shared" si="153"/>
        <v>0.25947731952493025</v>
      </c>
      <c r="AG27" s="154">
        <f t="shared" si="153"/>
        <v>0.25947731952493025</v>
      </c>
      <c r="AH27" s="154">
        <f t="shared" si="153"/>
        <v>0.25947731952493025</v>
      </c>
      <c r="AI27" s="154">
        <f t="shared" si="153"/>
        <v>0.25947731952493025</v>
      </c>
      <c r="AJ27" s="154">
        <f t="shared" si="153"/>
        <v>0.25947731952493025</v>
      </c>
      <c r="AK27" s="154">
        <f t="shared" si="153"/>
        <v>0.25947731952493025</v>
      </c>
      <c r="AL27" s="154">
        <f t="shared" si="153"/>
        <v>0.25947731952493025</v>
      </c>
      <c r="AM27" s="154">
        <f t="shared" si="153"/>
        <v>0.25947731952493025</v>
      </c>
      <c r="AN27" s="154">
        <f t="shared" si="153"/>
        <v>0.25947731952493025</v>
      </c>
      <c r="AO27" s="154">
        <f t="shared" si="153"/>
        <v>0.25947731952493025</v>
      </c>
      <c r="AP27" s="154">
        <f t="shared" si="153"/>
        <v>0.2594773195249333</v>
      </c>
      <c r="AQ27" s="154">
        <f t="shared" si="153"/>
        <v>0.2594773195249333</v>
      </c>
      <c r="AR27" s="154">
        <f t="shared" si="153"/>
        <v>0.2594773195249333</v>
      </c>
      <c r="AS27" s="154">
        <f t="shared" si="153"/>
        <v>0.2594773195249333</v>
      </c>
      <c r="AT27" s="154">
        <f t="shared" si="153"/>
        <v>0.2594773195249333</v>
      </c>
      <c r="AU27" s="154">
        <f t="shared" si="153"/>
        <v>0.2594773195249333</v>
      </c>
      <c r="AV27" s="154">
        <f t="shared" si="153"/>
        <v>0.2594773195249333</v>
      </c>
      <c r="AW27" s="154">
        <f t="shared" si="153"/>
        <v>0.2594773195249333</v>
      </c>
      <c r="AX27" s="154">
        <f t="shared" si="153"/>
        <v>0.2594773195249333</v>
      </c>
      <c r="AY27" s="154">
        <f t="shared" si="153"/>
        <v>0.2594773195249333</v>
      </c>
      <c r="AZ27" s="154">
        <f t="shared" si="153"/>
        <v>-0.11229133181000454</v>
      </c>
      <c r="BA27" s="154">
        <f t="shared" si="153"/>
        <v>0</v>
      </c>
      <c r="BB27" s="154">
        <f t="shared" si="153"/>
        <v>0</v>
      </c>
      <c r="BC27" s="154">
        <f t="shared" si="153"/>
        <v>0</v>
      </c>
      <c r="BD27" s="154">
        <f t="shared" si="153"/>
        <v>0</v>
      </c>
      <c r="BE27" s="154">
        <f t="shared" si="153"/>
        <v>0</v>
      </c>
      <c r="BF27" s="154">
        <f t="shared" si="153"/>
        <v>0</v>
      </c>
      <c r="BG27" s="154">
        <f t="shared" si="153"/>
        <v>0</v>
      </c>
      <c r="BH27" s="154">
        <f t="shared" si="153"/>
        <v>0</v>
      </c>
      <c r="BI27" s="154">
        <f t="shared" si="153"/>
        <v>0</v>
      </c>
      <c r="BJ27" s="154">
        <f t="shared" si="153"/>
        <v>0</v>
      </c>
      <c r="BK27" s="154">
        <f t="shared" si="153"/>
        <v>0</v>
      </c>
      <c r="BL27" s="154">
        <f t="shared" si="153"/>
        <v>0</v>
      </c>
    </row>
    <row r="28" spans="2:77" ht="20.149999999999999" customHeight="1" x14ac:dyDescent="0.3">
      <c r="B28" s="24"/>
      <c r="C28" s="24"/>
      <c r="D28" s="24"/>
      <c r="E28" s="24"/>
    </row>
    <row r="29" spans="2:77" s="86" customFormat="1" ht="25" customHeight="1" x14ac:dyDescent="0.3">
      <c r="B29" s="291" t="s">
        <v>179</v>
      </c>
      <c r="C29" s="291"/>
      <c r="D29" s="145" t="s">
        <v>180</v>
      </c>
      <c r="E29" s="156">
        <f>'Project Infor'!C8</f>
        <v>46023</v>
      </c>
      <c r="F29" s="156">
        <f t="shared" ref="F29" si="154">EOMONTH(E29,1)</f>
        <v>46081</v>
      </c>
      <c r="G29" s="156">
        <f t="shared" ref="G29" si="155">EOMONTH(F29,1)</f>
        <v>46112</v>
      </c>
      <c r="H29" s="156">
        <f t="shared" ref="H29" si="156">EOMONTH(G29,1)</f>
        <v>46142</v>
      </c>
      <c r="I29" s="156">
        <f t="shared" ref="I29" si="157">EOMONTH(H29,1)</f>
        <v>46173</v>
      </c>
      <c r="J29" s="156">
        <f t="shared" ref="J29" si="158">EOMONTH(I29,1)</f>
        <v>46203</v>
      </c>
      <c r="K29" s="156">
        <f t="shared" ref="K29" si="159">EOMONTH(J29,1)</f>
        <v>46234</v>
      </c>
      <c r="L29" s="156">
        <f t="shared" ref="L29" si="160">EOMONTH(K29,1)</f>
        <v>46265</v>
      </c>
      <c r="M29" s="156">
        <f t="shared" ref="M29" si="161">EOMONTH(L29,1)</f>
        <v>46295</v>
      </c>
      <c r="N29" s="156">
        <f t="shared" ref="N29" si="162">EOMONTH(M29,1)</f>
        <v>46326</v>
      </c>
      <c r="O29" s="156">
        <f t="shared" ref="O29" si="163">EOMONTH(N29,1)</f>
        <v>46356</v>
      </c>
      <c r="P29" s="156">
        <f t="shared" ref="P29" si="164">EOMONTH(O29,1)</f>
        <v>46387</v>
      </c>
      <c r="Q29" s="156">
        <f t="shared" ref="Q29" si="165">EOMONTH(P29,1)</f>
        <v>46418</v>
      </c>
      <c r="R29" s="156">
        <f t="shared" ref="R29" si="166">EOMONTH(Q29,1)</f>
        <v>46446</v>
      </c>
      <c r="S29" s="156">
        <f t="shared" ref="S29" si="167">EOMONTH(R29,1)</f>
        <v>46477</v>
      </c>
      <c r="T29" s="156">
        <f t="shared" ref="T29" si="168">EOMONTH(S29,1)</f>
        <v>46507</v>
      </c>
      <c r="U29" s="156">
        <f t="shared" ref="U29" si="169">EOMONTH(T29,1)</f>
        <v>46538</v>
      </c>
      <c r="V29" s="156">
        <f t="shared" ref="V29" si="170">EOMONTH(U29,1)</f>
        <v>46568</v>
      </c>
      <c r="W29" s="156">
        <f t="shared" ref="W29" si="171">EOMONTH(V29,1)</f>
        <v>46599</v>
      </c>
      <c r="X29" s="156">
        <f t="shared" ref="X29" si="172">EOMONTH(W29,1)</f>
        <v>46630</v>
      </c>
      <c r="Y29" s="156">
        <f t="shared" ref="Y29" si="173">EOMONTH(X29,1)</f>
        <v>46660</v>
      </c>
      <c r="Z29" s="156">
        <f t="shared" ref="Z29" si="174">EOMONTH(Y29,1)</f>
        <v>46691</v>
      </c>
      <c r="AA29" s="156">
        <f t="shared" ref="AA29" si="175">EOMONTH(Z29,1)</f>
        <v>46721</v>
      </c>
      <c r="AB29" s="156">
        <f t="shared" ref="AB29" si="176">EOMONTH(AA29,1)</f>
        <v>46752</v>
      </c>
      <c r="AC29" s="156">
        <f t="shared" ref="AC29" si="177">EOMONTH(AB29,1)</f>
        <v>46783</v>
      </c>
      <c r="AD29" s="156">
        <f t="shared" ref="AD29" si="178">EOMONTH(AC29,1)</f>
        <v>46812</v>
      </c>
      <c r="AE29" s="156">
        <f t="shared" ref="AE29" si="179">EOMONTH(AD29,1)</f>
        <v>46843</v>
      </c>
      <c r="AF29" s="156">
        <f t="shared" ref="AF29" si="180">EOMONTH(AE29,1)</f>
        <v>46873</v>
      </c>
      <c r="AG29" s="156">
        <f t="shared" ref="AG29" si="181">EOMONTH(AF29,1)</f>
        <v>46904</v>
      </c>
      <c r="AH29" s="156">
        <f t="shared" ref="AH29" si="182">EOMONTH(AG29,1)</f>
        <v>46934</v>
      </c>
      <c r="AI29" s="156">
        <f t="shared" ref="AI29" si="183">EOMONTH(AH29,1)</f>
        <v>46965</v>
      </c>
      <c r="AJ29" s="156">
        <f t="shared" ref="AJ29" si="184">EOMONTH(AI29,1)</f>
        <v>46996</v>
      </c>
      <c r="AK29" s="156">
        <f t="shared" ref="AK29" si="185">EOMONTH(AJ29,1)</f>
        <v>47026</v>
      </c>
      <c r="AL29" s="156">
        <f t="shared" ref="AL29" si="186">EOMONTH(AK29,1)</f>
        <v>47057</v>
      </c>
      <c r="AM29" s="156">
        <f t="shared" ref="AM29" si="187">EOMONTH(AL29,1)</f>
        <v>47087</v>
      </c>
      <c r="AN29" s="156">
        <f t="shared" ref="AN29" si="188">EOMONTH(AM29,1)</f>
        <v>47118</v>
      </c>
      <c r="AO29" s="156">
        <f t="shared" ref="AO29" si="189">EOMONTH(AN29,1)</f>
        <v>47149</v>
      </c>
      <c r="AP29" s="156">
        <f t="shared" ref="AP29" si="190">EOMONTH(AO29,1)</f>
        <v>47177</v>
      </c>
      <c r="AQ29" s="156">
        <f t="shared" ref="AQ29" si="191">EOMONTH(AP29,1)</f>
        <v>47208</v>
      </c>
      <c r="AR29" s="156">
        <f t="shared" ref="AR29" si="192">EOMONTH(AQ29,1)</f>
        <v>47238</v>
      </c>
      <c r="AS29" s="156">
        <f t="shared" ref="AS29" si="193">EOMONTH(AR29,1)</f>
        <v>47269</v>
      </c>
      <c r="AT29" s="156">
        <f t="shared" ref="AT29" si="194">EOMONTH(AS29,1)</f>
        <v>47299</v>
      </c>
      <c r="AU29" s="156">
        <f t="shared" ref="AU29" si="195">EOMONTH(AT29,1)</f>
        <v>47330</v>
      </c>
      <c r="AV29" s="156">
        <f t="shared" ref="AV29" si="196">EOMONTH(AU29,1)</f>
        <v>47361</v>
      </c>
      <c r="AW29" s="156">
        <f t="shared" ref="AW29" si="197">EOMONTH(AV29,1)</f>
        <v>47391</v>
      </c>
      <c r="AX29" s="156">
        <f t="shared" ref="AX29" si="198">EOMONTH(AW29,1)</f>
        <v>47422</v>
      </c>
      <c r="AY29" s="156">
        <f t="shared" ref="AY29" si="199">EOMONTH(AX29,1)</f>
        <v>47452</v>
      </c>
      <c r="AZ29" s="156">
        <f t="shared" ref="AZ29" si="200">EOMONTH(AY29,1)</f>
        <v>47483</v>
      </c>
      <c r="BA29" s="156">
        <f t="shared" ref="BA29" si="201">EOMONTH(AZ29,1)</f>
        <v>47514</v>
      </c>
      <c r="BB29" s="156">
        <f t="shared" ref="BB29" si="202">EOMONTH(BA29,1)</f>
        <v>47542</v>
      </c>
      <c r="BC29" s="156">
        <f t="shared" ref="BC29" si="203">EOMONTH(BB29,1)</f>
        <v>47573</v>
      </c>
      <c r="BD29" s="156">
        <f t="shared" ref="BD29" si="204">EOMONTH(BC29,1)</f>
        <v>47603</v>
      </c>
      <c r="BE29" s="156">
        <f t="shared" ref="BE29" si="205">EOMONTH(BD29,1)</f>
        <v>47634</v>
      </c>
      <c r="BF29" s="156">
        <f t="shared" ref="BF29" si="206">EOMONTH(BE29,1)</f>
        <v>47664</v>
      </c>
      <c r="BG29" s="156">
        <f t="shared" ref="BG29" si="207">EOMONTH(BF29,1)</f>
        <v>47695</v>
      </c>
      <c r="BH29" s="156">
        <f t="shared" ref="BH29" si="208">EOMONTH(BG29,1)</f>
        <v>47726</v>
      </c>
      <c r="BI29" s="156">
        <f t="shared" ref="BI29" si="209">EOMONTH(BH29,1)</f>
        <v>47756</v>
      </c>
      <c r="BJ29" s="156">
        <f t="shared" ref="BJ29" si="210">EOMONTH(BI29,1)</f>
        <v>47787</v>
      </c>
      <c r="BK29" s="156">
        <f t="shared" ref="BK29" si="211">EOMONTH(BJ29,1)</f>
        <v>47817</v>
      </c>
      <c r="BL29" s="156">
        <f t="shared" ref="BL29" si="212">EOMONTH(BK29,1)</f>
        <v>47848</v>
      </c>
      <c r="BM29" s="21"/>
      <c r="BN29" s="21"/>
      <c r="BO29" s="21"/>
      <c r="BP29" s="21"/>
      <c r="BQ29" s="21"/>
      <c r="BR29" s="21"/>
      <c r="BS29" s="21"/>
      <c r="BT29" s="21"/>
      <c r="BU29" s="21"/>
      <c r="BV29" s="21"/>
      <c r="BW29" s="21"/>
      <c r="BX29" s="21"/>
      <c r="BY29" s="21"/>
    </row>
    <row r="30" spans="2:77" s="67" customFormat="1" ht="25" customHeight="1" x14ac:dyDescent="0.3">
      <c r="B30" s="297" t="s">
        <v>181</v>
      </c>
      <c r="C30" s="297"/>
      <c r="D30" s="150">
        <f>'Project Infor'!C45</f>
        <v>0</v>
      </c>
      <c r="E30" s="150">
        <f t="shared" ref="E30:AB30" ca="1" si="213">IF(E40,E40,D30+E18)</f>
        <v>9591.5833333333321</v>
      </c>
      <c r="F30" s="150">
        <f t="shared" ca="1" si="213"/>
        <v>19183.166666666664</v>
      </c>
      <c r="G30" s="150">
        <f t="shared" ca="1" si="213"/>
        <v>28774.749999999996</v>
      </c>
      <c r="H30" s="150">
        <f t="shared" ca="1" si="213"/>
        <v>38366.333333333328</v>
      </c>
      <c r="I30" s="150">
        <f t="shared" ca="1" si="213"/>
        <v>47957.916666666657</v>
      </c>
      <c r="J30" s="150">
        <f t="shared" ca="1" si="213"/>
        <v>57549.499999999985</v>
      </c>
      <c r="K30" s="150">
        <f t="shared" ca="1" si="213"/>
        <v>67141.083333333314</v>
      </c>
      <c r="L30" s="150">
        <f t="shared" ca="1" si="213"/>
        <v>76732.666666666642</v>
      </c>
      <c r="M30" s="150">
        <f t="shared" ca="1" si="213"/>
        <v>86324.249999999971</v>
      </c>
      <c r="N30" s="150">
        <f t="shared" ca="1" si="213"/>
        <v>95915.833333333299</v>
      </c>
      <c r="O30" s="150">
        <f t="shared" ca="1" si="213"/>
        <v>105507.41666666663</v>
      </c>
      <c r="P30" s="150">
        <f t="shared" ca="1" si="213"/>
        <v>115098.99999999996</v>
      </c>
      <c r="Q30" s="150">
        <f t="shared" ca="1" si="213"/>
        <v>124690.58333333328</v>
      </c>
      <c r="R30" s="150">
        <f t="shared" ca="1" si="213"/>
        <v>134282.16666666663</v>
      </c>
      <c r="S30" s="150">
        <f t="shared" ca="1" si="213"/>
        <v>143873.74999999997</v>
      </c>
      <c r="T30" s="150">
        <f t="shared" ca="1" si="213"/>
        <v>153465.33333333331</v>
      </c>
      <c r="U30" s="150">
        <f t="shared" ca="1" si="213"/>
        <v>163056.91666666666</v>
      </c>
      <c r="V30" s="150">
        <f t="shared" ca="1" si="213"/>
        <v>172648.5</v>
      </c>
      <c r="W30" s="150">
        <f t="shared" ca="1" si="213"/>
        <v>182240.08333333334</v>
      </c>
      <c r="X30" s="150">
        <f t="shared" ca="1" si="213"/>
        <v>191831.66666666669</v>
      </c>
      <c r="Y30" s="150">
        <f t="shared" ca="1" si="213"/>
        <v>201423.25000000003</v>
      </c>
      <c r="Z30" s="150">
        <f t="shared" ca="1" si="213"/>
        <v>211014.83333333337</v>
      </c>
      <c r="AA30" s="150">
        <f t="shared" ca="1" si="213"/>
        <v>220606.41666666672</v>
      </c>
      <c r="AB30" s="150">
        <f t="shared" ca="1" si="213"/>
        <v>230198.00000000006</v>
      </c>
      <c r="AC30" s="150">
        <f t="shared" ref="AC30" ca="1" si="214">IF(AC40,AC40,AB30+AC18)</f>
        <v>239789.5833333334</v>
      </c>
      <c r="AD30" s="150">
        <f t="shared" ref="AD30" ca="1" si="215">IF(AD40,AD40,AC30+AD18)</f>
        <v>249381.16666666674</v>
      </c>
      <c r="AE30" s="150">
        <f t="shared" ref="AE30" ca="1" si="216">IF(AE40,AE40,AD30+AE18)</f>
        <v>258972.75000000009</v>
      </c>
      <c r="AF30" s="150">
        <f t="shared" ref="AF30" ca="1" si="217">IF(AF40,AF40,AE30+AF18)</f>
        <v>268564.33333333343</v>
      </c>
      <c r="AG30" s="150">
        <f t="shared" ref="AG30" ca="1" si="218">IF(AG40,AG40,AF30+AG18)</f>
        <v>278155.91666666674</v>
      </c>
      <c r="AH30" s="150">
        <f t="shared" ref="AH30" ca="1" si="219">IF(AH40,AH40,AG30+AH18)</f>
        <v>287747.50000000006</v>
      </c>
      <c r="AI30" s="150">
        <f t="shared" ref="AI30" ca="1" si="220">IF(AI40,AI40,AH30+AI18)</f>
        <v>297339.08333333337</v>
      </c>
      <c r="AJ30" s="150">
        <f t="shared" ref="AJ30" ca="1" si="221">IF(AJ40,AJ40,AI30+AJ18)</f>
        <v>306930.66666666669</v>
      </c>
      <c r="AK30" s="150">
        <f t="shared" ref="AK30" ca="1" si="222">IF(AK40,AK40,AJ30+AK18)</f>
        <v>316522.25</v>
      </c>
      <c r="AL30" s="150">
        <f t="shared" ref="AL30" ca="1" si="223">IF(AL40,AL40,AK30+AL18)</f>
        <v>326113.83333333331</v>
      </c>
      <c r="AM30" s="150">
        <f t="shared" ref="AM30" ca="1" si="224">IF(AM40,AM40,AL30+AM18)</f>
        <v>335705.41666666663</v>
      </c>
      <c r="AN30" s="150">
        <f t="shared" ref="AN30" ca="1" si="225">IF(AN40,AN40,AM30+AN18)</f>
        <v>345296.99999999994</v>
      </c>
      <c r="AO30" s="150">
        <f t="shared" ref="AO30" ca="1" si="226">IF(AO40,AO40,AN30+AO18)</f>
        <v>354888.58333333326</v>
      </c>
      <c r="AP30" s="150">
        <f t="shared" ref="AP30" ca="1" si="227">IF(AP40,AP40,AO30+AP18)</f>
        <v>364480.16666666657</v>
      </c>
      <c r="AQ30" s="150">
        <f t="shared" ref="AQ30" ca="1" si="228">IF(AQ40,AQ40,AP30+AQ18)</f>
        <v>374071.74999999988</v>
      </c>
      <c r="AR30" s="150">
        <f t="shared" ref="AR30" ca="1" si="229">IF(AR40,AR40,AQ30+AR18)</f>
        <v>383663.3333333332</v>
      </c>
      <c r="AS30" s="150">
        <f t="shared" ref="AS30" ca="1" si="230">IF(AS40,AS40,AR30+AS18)</f>
        <v>393254.91666666651</v>
      </c>
      <c r="AT30" s="150">
        <f t="shared" ref="AT30" ca="1" si="231">IF(AT40,AT40,AS30+AT18)</f>
        <v>402846.49999999983</v>
      </c>
      <c r="AU30" s="150">
        <f t="shared" ref="AU30" ca="1" si="232">IF(AU40,AU40,AT30+AU18)</f>
        <v>412438.08333333314</v>
      </c>
      <c r="AV30" s="150">
        <f t="shared" ref="AV30" ca="1" si="233">IF(AV40,AV40,AU30+AV18)</f>
        <v>422029.66666666645</v>
      </c>
      <c r="AW30" s="150">
        <f t="shared" ref="AW30" ca="1" si="234">IF(AW40,AW40,AV30+AW18)</f>
        <v>431621.24999999977</v>
      </c>
      <c r="AX30" s="150">
        <f t="shared" ref="AX30" ca="1" si="235">IF(AX40,AX40,AW30+AX18)</f>
        <v>441212.83333333308</v>
      </c>
      <c r="AY30" s="150">
        <f t="shared" ref="AY30" ca="1" si="236">IF(AY40,AY40,AX30+AY18)</f>
        <v>450804.4166666664</v>
      </c>
      <c r="AZ30" s="150">
        <f t="shared" ref="AZ30" ca="1" si="237">IF(AZ40,AZ40,AY30+AZ18)</f>
        <v>465000</v>
      </c>
      <c r="BA30" s="150">
        <f t="shared" ref="BA30" ca="1" si="238">IF(BA40,BA40,AZ30+BA18)</f>
        <v>465000</v>
      </c>
      <c r="BB30" s="150">
        <f t="shared" ref="BB30" ca="1" si="239">IF(BB40,BB40,BA30+BB18)</f>
        <v>465000</v>
      </c>
      <c r="BC30" s="150">
        <f t="shared" ref="BC30" ca="1" si="240">IF(BC40,BC40,BB30+BC18)</f>
        <v>465000</v>
      </c>
      <c r="BD30" s="150">
        <f t="shared" ref="BD30" ca="1" si="241">IF(BD40,BD40,BC30+BD18)</f>
        <v>465000</v>
      </c>
      <c r="BE30" s="150">
        <f t="shared" ref="BE30" ca="1" si="242">IF(BE40,BE40,BD30+BE18)</f>
        <v>465000</v>
      </c>
      <c r="BF30" s="150">
        <f t="shared" ref="BF30" ca="1" si="243">IF(BF40,BF40,BE30+BF18)</f>
        <v>465000</v>
      </c>
      <c r="BG30" s="150">
        <f t="shared" ref="BG30" ca="1" si="244">IF(BG40,BG40,BF30+BG18)</f>
        <v>465000</v>
      </c>
      <c r="BH30" s="150">
        <f t="shared" ref="BH30" ca="1" si="245">IF(BH40,BH40,BG30+BH18)</f>
        <v>465000</v>
      </c>
      <c r="BI30" s="150">
        <f t="shared" ref="BI30" ca="1" si="246">IF(BI40,BI40,BH30+BI18)</f>
        <v>465000</v>
      </c>
      <c r="BJ30" s="150">
        <f t="shared" ref="BJ30" ca="1" si="247">IF(BJ40,BJ40,BI30+BJ18)</f>
        <v>465000</v>
      </c>
      <c r="BK30" s="150">
        <f t="shared" ref="BK30" ca="1" si="248">IF(BK40,BK40,BJ30+BK18)</f>
        <v>465000</v>
      </c>
      <c r="BL30" s="150">
        <f t="shared" ref="BL30" ca="1" si="249">IF(BL40,BL40,BK30+BL18)</f>
        <v>465000</v>
      </c>
      <c r="BM30" s="21"/>
      <c r="BN30" s="21"/>
      <c r="BO30" s="21"/>
      <c r="BP30" s="21"/>
      <c r="BQ30" s="21"/>
      <c r="BR30" s="21"/>
      <c r="BS30" s="21"/>
      <c r="BT30" s="21"/>
      <c r="BU30" s="21"/>
      <c r="BV30" s="21"/>
      <c r="BW30" s="21"/>
      <c r="BX30" s="21"/>
      <c r="BY30" s="21"/>
    </row>
    <row r="31" spans="2:77" s="67" customFormat="1" ht="25" customHeight="1" outlineLevel="1" x14ac:dyDescent="0.3">
      <c r="B31" s="298" t="s">
        <v>60</v>
      </c>
      <c r="C31" s="298"/>
      <c r="D31" s="158">
        <f>'Project Infor'!C46</f>
        <v>0</v>
      </c>
      <c r="E31" s="158">
        <f>D31+LOOKUP(E$5,'Cost Planning'!$H$8:$BO$8,'Cost Planning'!$H$9:$BO$9)</f>
        <v>297</v>
      </c>
      <c r="F31" s="158">
        <f>E31+LOOKUP(F$5,'Cost Planning'!$H$8:$BO$8,'Cost Planning'!$H$9:$BO$9)</f>
        <v>594</v>
      </c>
      <c r="G31" s="158">
        <f>F31+LOOKUP(G$5,'Cost Planning'!$H$8:$BO$8,'Cost Planning'!$H$9:$BO$9)</f>
        <v>891</v>
      </c>
      <c r="H31" s="158">
        <f>G31+LOOKUP(H$5,'Cost Planning'!$H$8:$BO$8,'Cost Planning'!$H$9:$BO$9)</f>
        <v>1188</v>
      </c>
      <c r="I31" s="158">
        <f>H31+LOOKUP(I$5,'Cost Planning'!$H$8:$BO$8,'Cost Planning'!$H$9:$BO$9)</f>
        <v>1485</v>
      </c>
      <c r="J31" s="158">
        <f>I31+LOOKUP(J$5,'Cost Planning'!$H$8:$BO$8,'Cost Planning'!$H$9:$BO$9)</f>
        <v>1782</v>
      </c>
      <c r="K31" s="158">
        <f>J31+LOOKUP(K$5,'Cost Planning'!$H$8:$BO$8,'Cost Planning'!$H$9:$BO$9)</f>
        <v>2079</v>
      </c>
      <c r="L31" s="158">
        <f>K31+LOOKUP(L$5,'Cost Planning'!$H$8:$BO$8,'Cost Planning'!$H$9:$BO$9)</f>
        <v>2376</v>
      </c>
      <c r="M31" s="158">
        <f>L31+LOOKUP(M$5,'Cost Planning'!$H$8:$BO$8,'Cost Planning'!$H$9:$BO$9)</f>
        <v>2673</v>
      </c>
      <c r="N31" s="158">
        <f>M31+LOOKUP(N$5,'Cost Planning'!$H$8:$BO$8,'Cost Planning'!$H$9:$BO$9)</f>
        <v>2970</v>
      </c>
      <c r="O31" s="158">
        <f>N31+LOOKUP(O$5,'Cost Planning'!$H$8:$BO$8,'Cost Planning'!$H$9:$BO$9)</f>
        <v>3267</v>
      </c>
      <c r="P31" s="158">
        <f>O31+LOOKUP(P$5,'Cost Planning'!$H$8:$BO$8,'Cost Planning'!$H$9:$BO$9)</f>
        <v>3564</v>
      </c>
      <c r="Q31" s="158">
        <f>P31+LOOKUP(Q$5,'Cost Planning'!$H$8:$BO$8,'Cost Planning'!$H$9:$BO$9)</f>
        <v>3861</v>
      </c>
      <c r="R31" s="158">
        <f>Q31+LOOKUP(R$5,'Cost Planning'!$H$8:$BO$8,'Cost Planning'!$H$9:$BO$9)</f>
        <v>4158</v>
      </c>
      <c r="S31" s="158">
        <f>R31+LOOKUP(S$5,'Cost Planning'!$H$8:$BO$8,'Cost Planning'!$H$9:$BO$9)</f>
        <v>4455</v>
      </c>
      <c r="T31" s="158">
        <f>S31+LOOKUP(T$5,'Cost Planning'!$H$8:$BO$8,'Cost Planning'!$H$9:$BO$9)</f>
        <v>4752</v>
      </c>
      <c r="U31" s="158">
        <f>T31+LOOKUP(U$5,'Cost Planning'!$H$8:$BO$8,'Cost Planning'!$H$9:$BO$9)</f>
        <v>5049</v>
      </c>
      <c r="V31" s="158">
        <f>U31+LOOKUP(V$5,'Cost Planning'!$H$8:$BO$8,'Cost Planning'!$H$9:$BO$9)</f>
        <v>5346</v>
      </c>
      <c r="W31" s="158">
        <f>V31+LOOKUP(W$5,'Cost Planning'!$H$8:$BO$8,'Cost Planning'!$H$9:$BO$9)</f>
        <v>5643</v>
      </c>
      <c r="X31" s="158">
        <f>W31+LOOKUP(X$5,'Cost Planning'!$H$8:$BO$8,'Cost Planning'!$H$9:$BO$9)</f>
        <v>5940</v>
      </c>
      <c r="Y31" s="158">
        <f>X31+LOOKUP(Y$5,'Cost Planning'!$H$8:$BO$8,'Cost Planning'!$H$9:$BO$9)</f>
        <v>6237</v>
      </c>
      <c r="Z31" s="158">
        <f>Y31+LOOKUP(Z$5,'Cost Planning'!$H$8:$BO$8,'Cost Planning'!$H$9:$BO$9)</f>
        <v>6534</v>
      </c>
      <c r="AA31" s="158">
        <f>Z31+LOOKUP(AA$5,'Cost Planning'!$H$8:$BO$8,'Cost Planning'!$H$9:$BO$9)</f>
        <v>6831</v>
      </c>
      <c r="AB31" s="158">
        <f>AA31+LOOKUP(AB$5,'Cost Planning'!$H$8:$BO$8,'Cost Planning'!$H$9:$BO$9)</f>
        <v>7128</v>
      </c>
      <c r="AC31" s="158">
        <f>AB31+LOOKUP(AC$5,'Cost Planning'!$H$8:$BO$8,'Cost Planning'!$H$9:$BO$9)</f>
        <v>7425</v>
      </c>
      <c r="AD31" s="158">
        <f>AC31+LOOKUP(AD$5,'Cost Planning'!$H$8:$BO$8,'Cost Planning'!$H$9:$BO$9)</f>
        <v>7722</v>
      </c>
      <c r="AE31" s="158">
        <f>AD31+LOOKUP(AE$5,'Cost Planning'!$H$8:$BO$8,'Cost Planning'!$H$9:$BO$9)</f>
        <v>8019</v>
      </c>
      <c r="AF31" s="158">
        <f>AE31+LOOKUP(AF$5,'Cost Planning'!$H$8:$BO$8,'Cost Planning'!$H$9:$BO$9)</f>
        <v>8316</v>
      </c>
      <c r="AG31" s="158">
        <f>AF31+LOOKUP(AG$5,'Cost Planning'!$H$8:$BO$8,'Cost Planning'!$H$9:$BO$9)</f>
        <v>8613</v>
      </c>
      <c r="AH31" s="158">
        <f>AG31+LOOKUP(AH$5,'Cost Planning'!$H$8:$BO$8,'Cost Planning'!$H$9:$BO$9)</f>
        <v>8910</v>
      </c>
      <c r="AI31" s="158">
        <f>AH31+LOOKUP(AI$5,'Cost Planning'!$H$8:$BO$8,'Cost Planning'!$H$9:$BO$9)</f>
        <v>9207</v>
      </c>
      <c r="AJ31" s="158">
        <f>AI31+LOOKUP(AJ$5,'Cost Planning'!$H$8:$BO$8,'Cost Planning'!$H$9:$BO$9)</f>
        <v>9504</v>
      </c>
      <c r="AK31" s="158">
        <f>AJ31+LOOKUP(AK$5,'Cost Planning'!$H$8:$BO$8,'Cost Planning'!$H$9:$BO$9)</f>
        <v>9801</v>
      </c>
      <c r="AL31" s="158">
        <f>AK31+LOOKUP(AL$5,'Cost Planning'!$H$8:$BO$8,'Cost Planning'!$H$9:$BO$9)</f>
        <v>10098</v>
      </c>
      <c r="AM31" s="158">
        <f>AL31+LOOKUP(AM$5,'Cost Planning'!$H$8:$BO$8,'Cost Planning'!$H$9:$BO$9)</f>
        <v>10395</v>
      </c>
      <c r="AN31" s="158">
        <f>AM31+LOOKUP(AN$5,'Cost Planning'!$H$8:$BO$8,'Cost Planning'!$H$9:$BO$9)</f>
        <v>10692</v>
      </c>
      <c r="AO31" s="158">
        <f>AN31+LOOKUP(AO$5,'Cost Planning'!$H$8:$BO$8,'Cost Planning'!$H$9:$BO$9)</f>
        <v>10989</v>
      </c>
      <c r="AP31" s="158">
        <f>AO31+LOOKUP(AP$5,'Cost Planning'!$H$8:$BO$8,'Cost Planning'!$H$9:$BO$9)</f>
        <v>11286</v>
      </c>
      <c r="AQ31" s="158">
        <f>AP31+LOOKUP(AQ$5,'Cost Planning'!$H$8:$BO$8,'Cost Planning'!$H$9:$BO$9)</f>
        <v>11583</v>
      </c>
      <c r="AR31" s="158">
        <f>AQ31+LOOKUP(AR$5,'Cost Planning'!$H$8:$BO$8,'Cost Planning'!$H$9:$BO$9)</f>
        <v>11880</v>
      </c>
      <c r="AS31" s="158">
        <f>AR31+LOOKUP(AS$5,'Cost Planning'!$H$8:$BO$8,'Cost Planning'!$H$9:$BO$9)</f>
        <v>12177</v>
      </c>
      <c r="AT31" s="158">
        <f>AS31+LOOKUP(AT$5,'Cost Planning'!$H$8:$BO$8,'Cost Planning'!$H$9:$BO$9)</f>
        <v>12474</v>
      </c>
      <c r="AU31" s="158">
        <f>AT31+LOOKUP(AU$5,'Cost Planning'!$H$8:$BO$8,'Cost Planning'!$H$9:$BO$9)</f>
        <v>12771</v>
      </c>
      <c r="AV31" s="158">
        <f>AU31+LOOKUP(AV$5,'Cost Planning'!$H$8:$BO$8,'Cost Planning'!$H$9:$BO$9)</f>
        <v>13068</v>
      </c>
      <c r="AW31" s="158">
        <f>AV31+LOOKUP(AW$5,'Cost Planning'!$H$8:$BO$8,'Cost Planning'!$H$9:$BO$9)</f>
        <v>13365</v>
      </c>
      <c r="AX31" s="158">
        <f>AW31+LOOKUP(AX$5,'Cost Planning'!$H$8:$BO$8,'Cost Planning'!$H$9:$BO$9)</f>
        <v>13662</v>
      </c>
      <c r="AY31" s="158">
        <f>AX31+LOOKUP(AY$5,'Cost Planning'!$H$8:$BO$8,'Cost Planning'!$H$9:$BO$9)</f>
        <v>13959</v>
      </c>
      <c r="AZ31" s="158">
        <f>AY31+LOOKUP(AZ$5,'Cost Planning'!$H$8:$BO$8,'Cost Planning'!$H$9:$BO$9)</f>
        <v>14256</v>
      </c>
      <c r="BA31" s="158">
        <f>AZ31+LOOKUP(BA$5,'Cost Planning'!$H$8:$BO$8,'Cost Planning'!$H$9:$BO$9)</f>
        <v>14256</v>
      </c>
      <c r="BB31" s="158">
        <f>BA31+LOOKUP(BB$5,'Cost Planning'!$H$8:$BO$8,'Cost Planning'!$H$9:$BO$9)</f>
        <v>14256</v>
      </c>
      <c r="BC31" s="158">
        <f>BB31+LOOKUP(BC$5,'Cost Planning'!$H$8:$BO$8,'Cost Planning'!$H$9:$BO$9)</f>
        <v>14256</v>
      </c>
      <c r="BD31" s="158">
        <f>BC31+LOOKUP(BD$5,'Cost Planning'!$H$8:$BO$8,'Cost Planning'!$H$9:$BO$9)</f>
        <v>14256</v>
      </c>
      <c r="BE31" s="158">
        <f>BD31+LOOKUP(BE$5,'Cost Planning'!$H$8:$BO$8,'Cost Planning'!$H$9:$BO$9)</f>
        <v>14256</v>
      </c>
      <c r="BF31" s="158">
        <f>BE31+LOOKUP(BF$5,'Cost Planning'!$H$8:$BO$8,'Cost Planning'!$H$9:$BO$9)</f>
        <v>14256</v>
      </c>
      <c r="BG31" s="158">
        <f>BF31+LOOKUP(BG$5,'Cost Planning'!$H$8:$BO$8,'Cost Planning'!$H$9:$BO$9)</f>
        <v>14256</v>
      </c>
      <c r="BH31" s="158">
        <f>BG31+LOOKUP(BH$5,'Cost Planning'!$H$8:$BO$8,'Cost Planning'!$H$9:$BO$9)</f>
        <v>14256</v>
      </c>
      <c r="BI31" s="158">
        <f>BH31+LOOKUP(BI$5,'Cost Planning'!$H$8:$BO$8,'Cost Planning'!$H$9:$BO$9)</f>
        <v>14256</v>
      </c>
      <c r="BJ31" s="158">
        <f>BI31+LOOKUP(BJ$5,'Cost Planning'!$H$8:$BO$8,'Cost Planning'!$H$9:$BO$9)</f>
        <v>14256</v>
      </c>
      <c r="BK31" s="158">
        <f>BJ31+LOOKUP(BK$5,'Cost Planning'!$H$8:$BO$8,'Cost Planning'!$H$9:$BO$9)</f>
        <v>14256</v>
      </c>
      <c r="BL31" s="158">
        <f>BK31+LOOKUP(BL$5,'Cost Planning'!$H$8:$BO$8,'Cost Planning'!$H$9:$BO$9)</f>
        <v>14256</v>
      </c>
      <c r="BN31" s="21"/>
      <c r="BO31" s="21"/>
      <c r="BP31" s="21"/>
      <c r="BQ31" s="21"/>
      <c r="BR31" s="21"/>
      <c r="BS31" s="21"/>
      <c r="BT31" s="21"/>
      <c r="BU31" s="21"/>
      <c r="BV31" s="21"/>
      <c r="BW31" s="21"/>
      <c r="BX31" s="21"/>
      <c r="BY31" s="21"/>
    </row>
    <row r="32" spans="2:77" s="67" customFormat="1" ht="25" customHeight="1" outlineLevel="1" x14ac:dyDescent="0.3">
      <c r="B32" s="298" t="s">
        <v>182</v>
      </c>
      <c r="C32" s="298"/>
      <c r="D32" s="158">
        <f>'Project Infor'!C47</f>
        <v>0</v>
      </c>
      <c r="E32" s="158">
        <f>D32+LOOKUP(E$5,'Cost Planning'!$H$8:$BO$8,'Cost Planning'!$H$40:$BO$40)+LOOKUP(E$5,'Cost Planning'!$H$8:$BO$8,'Cost Planning'!$H$41:$BO$41)</f>
        <v>7102.7849999999999</v>
      </c>
      <c r="F32" s="158">
        <f>E32+LOOKUP(F$5,'Cost Planning'!$H$8:$BO$8,'Cost Planning'!$H$40:$BO$40)+LOOKUP(F$5,'Cost Planning'!$H$8:$BO$8,'Cost Planning'!$H$41:$BO$41)</f>
        <v>14205.57</v>
      </c>
      <c r="G32" s="158">
        <f>F32+LOOKUP(G$5,'Cost Planning'!$H$8:$BO$8,'Cost Planning'!$H$40:$BO$40)+LOOKUP(G$5,'Cost Planning'!$H$8:$BO$8,'Cost Planning'!$H$41:$BO$41)</f>
        <v>21308.355</v>
      </c>
      <c r="H32" s="158">
        <f>G32+LOOKUP(H$5,'Cost Planning'!$H$8:$BO$8,'Cost Planning'!$H$40:$BO$40)+LOOKUP(H$5,'Cost Planning'!$H$8:$BO$8,'Cost Planning'!$H$41:$BO$41)</f>
        <v>28411.14</v>
      </c>
      <c r="I32" s="158">
        <f>H32+LOOKUP(I$5,'Cost Planning'!$H$8:$BO$8,'Cost Planning'!$H$40:$BO$40)+LOOKUP(I$5,'Cost Planning'!$H$8:$BO$8,'Cost Planning'!$H$41:$BO$41)</f>
        <v>35513.925000000003</v>
      </c>
      <c r="J32" s="158">
        <f>I32+LOOKUP(J$5,'Cost Planning'!$H$8:$BO$8,'Cost Planning'!$H$40:$BO$40)+LOOKUP(J$5,'Cost Planning'!$H$8:$BO$8,'Cost Planning'!$H$41:$BO$41)</f>
        <v>42616.710000000006</v>
      </c>
      <c r="K32" s="158">
        <f>J32+LOOKUP(K$5,'Cost Planning'!$H$8:$BO$8,'Cost Planning'!$H$40:$BO$40)+LOOKUP(K$5,'Cost Planning'!$H$8:$BO$8,'Cost Planning'!$H$41:$BO$41)</f>
        <v>49719.49500000001</v>
      </c>
      <c r="L32" s="158">
        <f>K32+LOOKUP(L$5,'Cost Planning'!$H$8:$BO$8,'Cost Planning'!$H$40:$BO$40)+LOOKUP(L$5,'Cost Planning'!$H$8:$BO$8,'Cost Planning'!$H$41:$BO$41)</f>
        <v>56822.280000000013</v>
      </c>
      <c r="M32" s="158">
        <f>L32+LOOKUP(M$5,'Cost Planning'!$H$8:$BO$8,'Cost Planning'!$H$40:$BO$40)+LOOKUP(M$5,'Cost Planning'!$H$8:$BO$8,'Cost Planning'!$H$41:$BO$41)</f>
        <v>63925.065000000017</v>
      </c>
      <c r="N32" s="158">
        <f>M32+LOOKUP(N$5,'Cost Planning'!$H$8:$BO$8,'Cost Planning'!$H$40:$BO$40)+LOOKUP(N$5,'Cost Planning'!$H$8:$BO$8,'Cost Planning'!$H$41:$BO$41)</f>
        <v>71027.85000000002</v>
      </c>
      <c r="O32" s="158">
        <f>N32+LOOKUP(O$5,'Cost Planning'!$H$8:$BO$8,'Cost Planning'!$H$40:$BO$40)+LOOKUP(O$5,'Cost Planning'!$H$8:$BO$8,'Cost Planning'!$H$41:$BO$41)</f>
        <v>78130.635000000024</v>
      </c>
      <c r="P32" s="158">
        <f>O32+LOOKUP(P$5,'Cost Planning'!$H$8:$BO$8,'Cost Planning'!$H$40:$BO$40)+LOOKUP(P$5,'Cost Planning'!$H$8:$BO$8,'Cost Planning'!$H$41:$BO$41)</f>
        <v>85233.420000000027</v>
      </c>
      <c r="Q32" s="158">
        <f>P32+LOOKUP(Q$5,'Cost Planning'!$H$8:$BO$8,'Cost Planning'!$H$40:$BO$40)+LOOKUP(Q$5,'Cost Planning'!$H$8:$BO$8,'Cost Planning'!$H$41:$BO$41)</f>
        <v>92336.205000000031</v>
      </c>
      <c r="R32" s="158">
        <f>Q32+LOOKUP(R$5,'Cost Planning'!$H$8:$BO$8,'Cost Planning'!$H$40:$BO$40)+LOOKUP(R$5,'Cost Planning'!$H$8:$BO$8,'Cost Planning'!$H$41:$BO$41)</f>
        <v>99438.990000000034</v>
      </c>
      <c r="S32" s="158">
        <f>R32+LOOKUP(S$5,'Cost Planning'!$H$8:$BO$8,'Cost Planning'!$H$40:$BO$40)+LOOKUP(S$5,'Cost Planning'!$H$8:$BO$8,'Cost Planning'!$H$41:$BO$41)</f>
        <v>106541.77500000004</v>
      </c>
      <c r="T32" s="158">
        <f>S32+LOOKUP(T$5,'Cost Planning'!$H$8:$BO$8,'Cost Planning'!$H$40:$BO$40)+LOOKUP(T$5,'Cost Planning'!$H$8:$BO$8,'Cost Planning'!$H$41:$BO$41)</f>
        <v>113644.56000000004</v>
      </c>
      <c r="U32" s="158">
        <f>T32+LOOKUP(U$5,'Cost Planning'!$H$8:$BO$8,'Cost Planning'!$H$40:$BO$40)+LOOKUP(U$5,'Cost Planning'!$H$8:$BO$8,'Cost Planning'!$H$41:$BO$41)</f>
        <v>120747.34500000004</v>
      </c>
      <c r="V32" s="158">
        <f>U32+LOOKUP(V$5,'Cost Planning'!$H$8:$BO$8,'Cost Planning'!$H$40:$BO$40)+LOOKUP(V$5,'Cost Planning'!$H$8:$BO$8,'Cost Planning'!$H$41:$BO$41)</f>
        <v>127850.13000000005</v>
      </c>
      <c r="W32" s="158">
        <f>V32+LOOKUP(W$5,'Cost Planning'!$H$8:$BO$8,'Cost Planning'!$H$40:$BO$40)+LOOKUP(W$5,'Cost Planning'!$H$8:$BO$8,'Cost Planning'!$H$41:$BO$41)</f>
        <v>134952.91500000004</v>
      </c>
      <c r="X32" s="158">
        <f>W32+LOOKUP(X$5,'Cost Planning'!$H$8:$BO$8,'Cost Planning'!$H$40:$BO$40)+LOOKUP(X$5,'Cost Planning'!$H$8:$BO$8,'Cost Planning'!$H$41:$BO$41)</f>
        <v>142055.70000000004</v>
      </c>
      <c r="Y32" s="158">
        <f>X32+LOOKUP(Y$5,'Cost Planning'!$H$8:$BO$8,'Cost Planning'!$H$40:$BO$40)+LOOKUP(Y$5,'Cost Planning'!$H$8:$BO$8,'Cost Planning'!$H$41:$BO$41)</f>
        <v>149158.48500000004</v>
      </c>
      <c r="Z32" s="158">
        <f>Y32+LOOKUP(Z$5,'Cost Planning'!$H$8:$BO$8,'Cost Planning'!$H$40:$BO$40)+LOOKUP(Z$5,'Cost Planning'!$H$8:$BO$8,'Cost Planning'!$H$41:$BO$41)</f>
        <v>156261.27000000005</v>
      </c>
      <c r="AA32" s="158">
        <f>Z32+LOOKUP(AA$5,'Cost Planning'!$H$8:$BO$8,'Cost Planning'!$H$40:$BO$40)+LOOKUP(AA$5,'Cost Planning'!$H$8:$BO$8,'Cost Planning'!$H$41:$BO$41)</f>
        <v>163364.05500000005</v>
      </c>
      <c r="AB32" s="158">
        <f>AA32+LOOKUP(AB$5,'Cost Planning'!$H$8:$BO$8,'Cost Planning'!$H$40:$BO$40)+LOOKUP(AB$5,'Cost Planning'!$H$8:$BO$8,'Cost Planning'!$H$41:$BO$41)</f>
        <v>170466.84000000005</v>
      </c>
      <c r="AC32" s="158">
        <f>AB32+LOOKUP(AC$5,'Cost Planning'!$H$8:$BO$8,'Cost Planning'!$H$40:$BO$40)+LOOKUP(AC$5,'Cost Planning'!$H$8:$BO$8,'Cost Planning'!$H$41:$BO$41)</f>
        <v>177569.62500000006</v>
      </c>
      <c r="AD32" s="158">
        <f>AC32+LOOKUP(AD$5,'Cost Planning'!$H$8:$BO$8,'Cost Planning'!$H$40:$BO$40)+LOOKUP(AD$5,'Cost Planning'!$H$8:$BO$8,'Cost Planning'!$H$41:$BO$41)</f>
        <v>184672.41000000006</v>
      </c>
      <c r="AE32" s="158">
        <f>AD32+LOOKUP(AE$5,'Cost Planning'!$H$8:$BO$8,'Cost Planning'!$H$40:$BO$40)+LOOKUP(AE$5,'Cost Planning'!$H$8:$BO$8,'Cost Planning'!$H$41:$BO$41)</f>
        <v>191775.19500000007</v>
      </c>
      <c r="AF32" s="158">
        <f>AE32+LOOKUP(AF$5,'Cost Planning'!$H$8:$BO$8,'Cost Planning'!$H$40:$BO$40)+LOOKUP(AF$5,'Cost Planning'!$H$8:$BO$8,'Cost Planning'!$H$41:$BO$41)</f>
        <v>198877.98000000007</v>
      </c>
      <c r="AG32" s="158">
        <f>AF32+LOOKUP(AG$5,'Cost Planning'!$H$8:$BO$8,'Cost Planning'!$H$40:$BO$40)+LOOKUP(AG$5,'Cost Planning'!$H$8:$BO$8,'Cost Planning'!$H$41:$BO$41)</f>
        <v>205980.76500000007</v>
      </c>
      <c r="AH32" s="158">
        <f>AG32+LOOKUP(AH$5,'Cost Planning'!$H$8:$BO$8,'Cost Planning'!$H$40:$BO$40)+LOOKUP(AH$5,'Cost Planning'!$H$8:$BO$8,'Cost Planning'!$H$41:$BO$41)</f>
        <v>213083.55000000008</v>
      </c>
      <c r="AI32" s="158">
        <f>AH32+LOOKUP(AI$5,'Cost Planning'!$H$8:$BO$8,'Cost Planning'!$H$40:$BO$40)+LOOKUP(AI$5,'Cost Planning'!$H$8:$BO$8,'Cost Planning'!$H$41:$BO$41)</f>
        <v>220186.33500000008</v>
      </c>
      <c r="AJ32" s="158">
        <f>AI32+LOOKUP(AJ$5,'Cost Planning'!$H$8:$BO$8,'Cost Planning'!$H$40:$BO$40)+LOOKUP(AJ$5,'Cost Planning'!$H$8:$BO$8,'Cost Planning'!$H$41:$BO$41)</f>
        <v>227289.12000000008</v>
      </c>
      <c r="AK32" s="158">
        <f>AJ32+LOOKUP(AK$5,'Cost Planning'!$H$8:$BO$8,'Cost Planning'!$H$40:$BO$40)+LOOKUP(AK$5,'Cost Planning'!$H$8:$BO$8,'Cost Planning'!$H$41:$BO$41)</f>
        <v>234391.90500000009</v>
      </c>
      <c r="AL32" s="158">
        <f>AK32+LOOKUP(AL$5,'Cost Planning'!$H$8:$BO$8,'Cost Planning'!$H$40:$BO$40)+LOOKUP(AL$5,'Cost Planning'!$H$8:$BO$8,'Cost Planning'!$H$41:$BO$41)</f>
        <v>241494.69000000009</v>
      </c>
      <c r="AM32" s="158">
        <f>AL32+LOOKUP(AM$5,'Cost Planning'!$H$8:$BO$8,'Cost Planning'!$H$40:$BO$40)+LOOKUP(AM$5,'Cost Planning'!$H$8:$BO$8,'Cost Planning'!$H$41:$BO$41)</f>
        <v>248597.47500000009</v>
      </c>
      <c r="AN32" s="158">
        <f>AM32+LOOKUP(AN$5,'Cost Planning'!$H$8:$BO$8,'Cost Planning'!$H$40:$BO$40)+LOOKUP(AN$5,'Cost Planning'!$H$8:$BO$8,'Cost Planning'!$H$41:$BO$41)</f>
        <v>255700.2600000001</v>
      </c>
      <c r="AO32" s="158">
        <f>AN32+LOOKUP(AO$5,'Cost Planning'!$H$8:$BO$8,'Cost Planning'!$H$40:$BO$40)+LOOKUP(AO$5,'Cost Planning'!$H$8:$BO$8,'Cost Planning'!$H$41:$BO$41)</f>
        <v>262803.0450000001</v>
      </c>
      <c r="AP32" s="158">
        <f>AO32+LOOKUP(AP$5,'Cost Planning'!$H$8:$BO$8,'Cost Planning'!$H$40:$BO$40)+LOOKUP(AP$5,'Cost Planning'!$H$8:$BO$8,'Cost Planning'!$H$41:$BO$41)</f>
        <v>269905.83000000007</v>
      </c>
      <c r="AQ32" s="158">
        <f>AP32+LOOKUP(AQ$5,'Cost Planning'!$H$8:$BO$8,'Cost Planning'!$H$40:$BO$40)+LOOKUP(AQ$5,'Cost Planning'!$H$8:$BO$8,'Cost Planning'!$H$41:$BO$41)</f>
        <v>277008.61500000005</v>
      </c>
      <c r="AR32" s="158">
        <f>AQ32+LOOKUP(AR$5,'Cost Planning'!$H$8:$BO$8,'Cost Planning'!$H$40:$BO$40)+LOOKUP(AR$5,'Cost Planning'!$H$8:$BO$8,'Cost Planning'!$H$41:$BO$41)</f>
        <v>284111.40000000002</v>
      </c>
      <c r="AS32" s="158">
        <f>AR32+LOOKUP(AS$5,'Cost Planning'!$H$8:$BO$8,'Cost Planning'!$H$40:$BO$40)+LOOKUP(AS$5,'Cost Planning'!$H$8:$BO$8,'Cost Planning'!$H$41:$BO$41)</f>
        <v>291214.185</v>
      </c>
      <c r="AT32" s="158">
        <f>AS32+LOOKUP(AT$5,'Cost Planning'!$H$8:$BO$8,'Cost Planning'!$H$40:$BO$40)+LOOKUP(AT$5,'Cost Planning'!$H$8:$BO$8,'Cost Planning'!$H$41:$BO$41)</f>
        <v>298316.96999999997</v>
      </c>
      <c r="AU32" s="158">
        <f>AT32+LOOKUP(AU$5,'Cost Planning'!$H$8:$BO$8,'Cost Planning'!$H$40:$BO$40)+LOOKUP(AU$5,'Cost Planning'!$H$8:$BO$8,'Cost Planning'!$H$41:$BO$41)</f>
        <v>305419.75499999995</v>
      </c>
      <c r="AV32" s="158">
        <f>AU32+LOOKUP(AV$5,'Cost Planning'!$H$8:$BO$8,'Cost Planning'!$H$40:$BO$40)+LOOKUP(AV$5,'Cost Planning'!$H$8:$BO$8,'Cost Planning'!$H$41:$BO$41)</f>
        <v>312522.53999999992</v>
      </c>
      <c r="AW32" s="158">
        <f>AV32+LOOKUP(AW$5,'Cost Planning'!$H$8:$BO$8,'Cost Planning'!$H$40:$BO$40)+LOOKUP(AW$5,'Cost Planning'!$H$8:$BO$8,'Cost Planning'!$H$41:$BO$41)</f>
        <v>319625.3249999999</v>
      </c>
      <c r="AX32" s="158">
        <f>AW32+LOOKUP(AX$5,'Cost Planning'!$H$8:$BO$8,'Cost Planning'!$H$40:$BO$40)+LOOKUP(AX$5,'Cost Planning'!$H$8:$BO$8,'Cost Planning'!$H$41:$BO$41)</f>
        <v>326728.10999999987</v>
      </c>
      <c r="AY32" s="158">
        <f>AX32+LOOKUP(AY$5,'Cost Planning'!$H$8:$BO$8,'Cost Planning'!$H$40:$BO$40)+LOOKUP(AY$5,'Cost Planning'!$H$8:$BO$8,'Cost Planning'!$H$41:$BO$41)</f>
        <v>333830.89499999984</v>
      </c>
      <c r="AZ32" s="158">
        <f>AY32+LOOKUP(AZ$5,'Cost Planning'!$H$8:$BO$8,'Cost Planning'!$H$40:$BO$40)+LOOKUP(AZ$5,'Cost Planning'!$H$8:$BO$8,'Cost Planning'!$H$41:$BO$41)</f>
        <v>340933.67999999982</v>
      </c>
      <c r="BA32" s="158">
        <f>AZ32+LOOKUP(BA$5,'Cost Planning'!$H$8:$BO$8,'Cost Planning'!$H$40:$BO$40)+LOOKUP(BA$5,'Cost Planning'!$H$8:$BO$8,'Cost Planning'!$H$41:$BO$41)</f>
        <v>340933.67999999982</v>
      </c>
      <c r="BB32" s="158">
        <f>BA32+LOOKUP(BB$5,'Cost Planning'!$H$8:$BO$8,'Cost Planning'!$H$40:$BO$40)+LOOKUP(BB$5,'Cost Planning'!$H$8:$BO$8,'Cost Planning'!$H$41:$BO$41)</f>
        <v>340933.67999999982</v>
      </c>
      <c r="BC32" s="158">
        <f>BB32+LOOKUP(BC$5,'Cost Planning'!$H$8:$BO$8,'Cost Planning'!$H$40:$BO$40)+LOOKUP(BC$5,'Cost Planning'!$H$8:$BO$8,'Cost Planning'!$H$41:$BO$41)</f>
        <v>340933.67999999982</v>
      </c>
      <c r="BD32" s="158">
        <f>BC32+LOOKUP(BD$5,'Cost Planning'!$H$8:$BO$8,'Cost Planning'!$H$40:$BO$40)+LOOKUP(BD$5,'Cost Planning'!$H$8:$BO$8,'Cost Planning'!$H$41:$BO$41)</f>
        <v>340933.67999999982</v>
      </c>
      <c r="BE32" s="158">
        <f>BD32+LOOKUP(BE$5,'Cost Planning'!$H$8:$BO$8,'Cost Planning'!$H$40:$BO$40)+LOOKUP(BE$5,'Cost Planning'!$H$8:$BO$8,'Cost Planning'!$H$41:$BO$41)</f>
        <v>340933.67999999982</v>
      </c>
      <c r="BF32" s="158">
        <f>BE32+LOOKUP(BF$5,'Cost Planning'!$H$8:$BO$8,'Cost Planning'!$H$40:$BO$40)+LOOKUP(BF$5,'Cost Planning'!$H$8:$BO$8,'Cost Planning'!$H$41:$BO$41)</f>
        <v>340933.67999999982</v>
      </c>
      <c r="BG32" s="158">
        <f>BF32+LOOKUP(BG$5,'Cost Planning'!$H$8:$BO$8,'Cost Planning'!$H$40:$BO$40)+LOOKUP(BG$5,'Cost Planning'!$H$8:$BO$8,'Cost Planning'!$H$41:$BO$41)</f>
        <v>340933.67999999982</v>
      </c>
      <c r="BH32" s="158">
        <f>BG32+LOOKUP(BH$5,'Cost Planning'!$H$8:$BO$8,'Cost Planning'!$H$40:$BO$40)+LOOKUP(BH$5,'Cost Planning'!$H$8:$BO$8,'Cost Planning'!$H$41:$BO$41)</f>
        <v>340933.67999999982</v>
      </c>
      <c r="BI32" s="158">
        <f>BH32+LOOKUP(BI$5,'Cost Planning'!$H$8:$BO$8,'Cost Planning'!$H$40:$BO$40)+LOOKUP(BI$5,'Cost Planning'!$H$8:$BO$8,'Cost Planning'!$H$41:$BO$41)</f>
        <v>340933.67999999982</v>
      </c>
      <c r="BJ32" s="158">
        <f>BI32+LOOKUP(BJ$5,'Cost Planning'!$H$8:$BO$8,'Cost Planning'!$H$40:$BO$40)+LOOKUP(BJ$5,'Cost Planning'!$H$8:$BO$8,'Cost Planning'!$H$41:$BO$41)</f>
        <v>340933.67999999982</v>
      </c>
      <c r="BK32" s="158">
        <f>BJ32+LOOKUP(BK$5,'Cost Planning'!$H$8:$BO$8,'Cost Planning'!$H$40:$BO$40)+LOOKUP(BK$5,'Cost Planning'!$H$8:$BO$8,'Cost Planning'!$H$41:$BO$41)</f>
        <v>340933.67999999982</v>
      </c>
      <c r="BL32" s="158">
        <f>BK32+LOOKUP(BL$5,'Cost Planning'!$H$8:$BO$8,'Cost Planning'!$H$40:$BO$40)+LOOKUP(BL$5,'Cost Planning'!$H$8:$BO$8,'Cost Planning'!$H$41:$BO$41)</f>
        <v>340933.67999999982</v>
      </c>
      <c r="BN32" s="21"/>
      <c r="BO32" s="21"/>
      <c r="BP32" s="21"/>
      <c r="BQ32" s="21"/>
      <c r="BR32" s="21"/>
      <c r="BS32" s="21"/>
      <c r="BT32" s="21"/>
      <c r="BU32" s="21"/>
      <c r="BV32" s="21"/>
      <c r="BW32" s="21"/>
      <c r="BX32" s="21"/>
      <c r="BY32" s="21"/>
    </row>
    <row r="33" spans="2:77" s="67" customFormat="1" ht="25" customHeight="1" outlineLevel="1" x14ac:dyDescent="0.3">
      <c r="B33" s="298" t="s">
        <v>171</v>
      </c>
      <c r="C33" s="298"/>
      <c r="D33" s="158"/>
      <c r="E33" s="158">
        <f>D33+LOOKUP(E$5,'Cost Planning'!$H$8:$BO$8,'Cost Planning'!$H$47:$BO$47)</f>
        <v>0</v>
      </c>
      <c r="F33" s="158">
        <f>E33+LOOKUP(F$5,'Cost Planning'!$H$8:$BO$8,'Cost Planning'!$H$47:$BO$47)</f>
        <v>0</v>
      </c>
      <c r="G33" s="158">
        <f>F33+LOOKUP(G$5,'Cost Planning'!$H$8:$BO$8,'Cost Planning'!$H$47:$BO$47)</f>
        <v>0</v>
      </c>
      <c r="H33" s="158">
        <f>G33+LOOKUP(H$5,'Cost Planning'!$H$8:$BO$8,'Cost Planning'!$H$47:$BO$47)</f>
        <v>0</v>
      </c>
      <c r="I33" s="158">
        <f>H33+LOOKUP(I$5,'Cost Planning'!$H$8:$BO$8,'Cost Planning'!$H$47:$BO$47)</f>
        <v>0</v>
      </c>
      <c r="J33" s="158">
        <f>I33+LOOKUP(J$5,'Cost Planning'!$H$8:$BO$8,'Cost Planning'!$H$47:$BO$47)</f>
        <v>0</v>
      </c>
      <c r="K33" s="158">
        <f>J33+LOOKUP(K$5,'Cost Planning'!$H$8:$BO$8,'Cost Planning'!$H$47:$BO$47)</f>
        <v>0</v>
      </c>
      <c r="L33" s="158">
        <f>K33+LOOKUP(L$5,'Cost Planning'!$H$8:$BO$8,'Cost Planning'!$H$47:$BO$47)</f>
        <v>0</v>
      </c>
      <c r="M33" s="158">
        <f>L33+LOOKUP(M$5,'Cost Planning'!$H$8:$BO$8,'Cost Planning'!$H$47:$BO$47)</f>
        <v>0</v>
      </c>
      <c r="N33" s="158">
        <f>M33+LOOKUP(N$5,'Cost Planning'!$H$8:$BO$8,'Cost Planning'!$H$47:$BO$47)</f>
        <v>0</v>
      </c>
      <c r="O33" s="158">
        <f>N33+LOOKUP(O$5,'Cost Planning'!$H$8:$BO$8,'Cost Planning'!$H$47:$BO$47)</f>
        <v>0</v>
      </c>
      <c r="P33" s="158">
        <f>O33+LOOKUP(P$5,'Cost Planning'!$H$8:$BO$8,'Cost Planning'!$H$47:$BO$47)</f>
        <v>0</v>
      </c>
      <c r="Q33" s="158">
        <f>P33+LOOKUP(Q$5,'Cost Planning'!$H$8:$BO$8,'Cost Planning'!$H$47:$BO$47)</f>
        <v>0</v>
      </c>
      <c r="R33" s="158">
        <f>Q33+LOOKUP(R$5,'Cost Planning'!$H$8:$BO$8,'Cost Planning'!$H$47:$BO$47)</f>
        <v>0</v>
      </c>
      <c r="S33" s="158">
        <f>R33+LOOKUP(S$5,'Cost Planning'!$H$8:$BO$8,'Cost Planning'!$H$47:$BO$47)</f>
        <v>0</v>
      </c>
      <c r="T33" s="158">
        <f>S33+LOOKUP(T$5,'Cost Planning'!$H$8:$BO$8,'Cost Planning'!$H$47:$BO$47)</f>
        <v>0</v>
      </c>
      <c r="U33" s="158">
        <f>T33+LOOKUP(U$5,'Cost Planning'!$H$8:$BO$8,'Cost Planning'!$H$47:$BO$47)</f>
        <v>0</v>
      </c>
      <c r="V33" s="158">
        <f>U33+LOOKUP(V$5,'Cost Planning'!$H$8:$BO$8,'Cost Planning'!$H$47:$BO$47)</f>
        <v>0</v>
      </c>
      <c r="W33" s="158">
        <f>V33+LOOKUP(W$5,'Cost Planning'!$H$8:$BO$8,'Cost Planning'!$H$47:$BO$47)</f>
        <v>0</v>
      </c>
      <c r="X33" s="158">
        <f>W33+LOOKUP(X$5,'Cost Planning'!$H$8:$BO$8,'Cost Planning'!$H$47:$BO$47)</f>
        <v>0</v>
      </c>
      <c r="Y33" s="158">
        <f>X33+LOOKUP(Y$5,'Cost Planning'!$H$8:$BO$8,'Cost Planning'!$H$47:$BO$47)</f>
        <v>0</v>
      </c>
      <c r="Z33" s="158">
        <f>Y33+LOOKUP(Z$5,'Cost Planning'!$H$8:$BO$8,'Cost Planning'!$H$47:$BO$47)</f>
        <v>0</v>
      </c>
      <c r="AA33" s="158">
        <f>Z33+LOOKUP(AA$5,'Cost Planning'!$H$8:$BO$8,'Cost Planning'!$H$47:$BO$47)</f>
        <v>0</v>
      </c>
      <c r="AB33" s="158">
        <f>AA33+LOOKUP(AB$5,'Cost Planning'!$H$8:$BO$8,'Cost Planning'!$H$47:$BO$47)</f>
        <v>0</v>
      </c>
      <c r="AC33" s="158">
        <f>AB33+LOOKUP(AC$5,'Cost Planning'!$H$8:$BO$8,'Cost Planning'!$H$47:$BO$47)</f>
        <v>0</v>
      </c>
      <c r="AD33" s="158">
        <f>AC33+LOOKUP(AD$5,'Cost Planning'!$H$8:$BO$8,'Cost Planning'!$H$47:$BO$47)</f>
        <v>0</v>
      </c>
      <c r="AE33" s="158">
        <f>AD33+LOOKUP(AE$5,'Cost Planning'!$H$8:$BO$8,'Cost Planning'!$H$47:$BO$47)</f>
        <v>0</v>
      </c>
      <c r="AF33" s="158">
        <f>AE33+LOOKUP(AF$5,'Cost Planning'!$H$8:$BO$8,'Cost Planning'!$H$47:$BO$47)</f>
        <v>0</v>
      </c>
      <c r="AG33" s="158">
        <f>AF33+LOOKUP(AG$5,'Cost Planning'!$H$8:$BO$8,'Cost Planning'!$H$47:$BO$47)</f>
        <v>0</v>
      </c>
      <c r="AH33" s="158">
        <f>AG33+LOOKUP(AH$5,'Cost Planning'!$H$8:$BO$8,'Cost Planning'!$H$47:$BO$47)</f>
        <v>0</v>
      </c>
      <c r="AI33" s="158">
        <f>AH33+LOOKUP(AI$5,'Cost Planning'!$H$8:$BO$8,'Cost Planning'!$H$47:$BO$47)</f>
        <v>0</v>
      </c>
      <c r="AJ33" s="158">
        <f>AI33+LOOKUP(AJ$5,'Cost Planning'!$H$8:$BO$8,'Cost Planning'!$H$47:$BO$47)</f>
        <v>0</v>
      </c>
      <c r="AK33" s="158">
        <f>AJ33+LOOKUP(AK$5,'Cost Planning'!$H$8:$BO$8,'Cost Planning'!$H$47:$BO$47)</f>
        <v>0</v>
      </c>
      <c r="AL33" s="158">
        <f>AK33+LOOKUP(AL$5,'Cost Planning'!$H$8:$BO$8,'Cost Planning'!$H$47:$BO$47)</f>
        <v>0</v>
      </c>
      <c r="AM33" s="158">
        <f>AL33+LOOKUP(AM$5,'Cost Planning'!$H$8:$BO$8,'Cost Planning'!$H$47:$BO$47)</f>
        <v>0</v>
      </c>
      <c r="AN33" s="158">
        <f>AM33+LOOKUP(AN$5,'Cost Planning'!$H$8:$BO$8,'Cost Planning'!$H$47:$BO$47)</f>
        <v>0</v>
      </c>
      <c r="AO33" s="158">
        <f>AN33+LOOKUP(AO$5,'Cost Planning'!$H$8:$BO$8,'Cost Planning'!$H$47:$BO$47)</f>
        <v>0</v>
      </c>
      <c r="AP33" s="158">
        <f>AO33+LOOKUP(AP$5,'Cost Planning'!$H$8:$BO$8,'Cost Planning'!$H$47:$BO$47)</f>
        <v>0</v>
      </c>
      <c r="AQ33" s="158">
        <f>AP33+LOOKUP(AQ$5,'Cost Planning'!$H$8:$BO$8,'Cost Planning'!$H$47:$BO$47)</f>
        <v>0</v>
      </c>
      <c r="AR33" s="158">
        <f>AQ33+LOOKUP(AR$5,'Cost Planning'!$H$8:$BO$8,'Cost Planning'!$H$47:$BO$47)</f>
        <v>0</v>
      </c>
      <c r="AS33" s="158">
        <f>AR33+LOOKUP(AS$5,'Cost Planning'!$H$8:$BO$8,'Cost Planning'!$H$47:$BO$47)</f>
        <v>0</v>
      </c>
      <c r="AT33" s="158">
        <f>AS33+LOOKUP(AT$5,'Cost Planning'!$H$8:$BO$8,'Cost Planning'!$H$47:$BO$47)</f>
        <v>0</v>
      </c>
      <c r="AU33" s="158">
        <f>AT33+LOOKUP(AU$5,'Cost Planning'!$H$8:$BO$8,'Cost Planning'!$H$47:$BO$47)</f>
        <v>0</v>
      </c>
      <c r="AV33" s="158">
        <f>AU33+LOOKUP(AV$5,'Cost Planning'!$H$8:$BO$8,'Cost Planning'!$H$47:$BO$47)</f>
        <v>0</v>
      </c>
      <c r="AW33" s="158">
        <f>AV33+LOOKUP(AW$5,'Cost Planning'!$H$8:$BO$8,'Cost Planning'!$H$47:$BO$47)</f>
        <v>0</v>
      </c>
      <c r="AX33" s="158">
        <f>AW33+LOOKUP(AX$5,'Cost Planning'!$H$8:$BO$8,'Cost Planning'!$H$47:$BO$47)</f>
        <v>0</v>
      </c>
      <c r="AY33" s="158">
        <f>AX33+LOOKUP(AY$5,'Cost Planning'!$H$8:$BO$8,'Cost Planning'!$H$47:$BO$47)</f>
        <v>0</v>
      </c>
      <c r="AZ33" s="158">
        <f>AY33+LOOKUP(AZ$5,'Cost Planning'!$H$8:$BO$8,'Cost Planning'!$H$47:$BO$47)</f>
        <v>3565.85</v>
      </c>
      <c r="BA33" s="158">
        <f>AZ33+LOOKUP(BA$5,'Cost Planning'!$H$8:$BO$8,'Cost Planning'!$H$47:$BO$47)</f>
        <v>3565.85</v>
      </c>
      <c r="BB33" s="158">
        <f>BA33+LOOKUP(BB$5,'Cost Planning'!$H$8:$BO$8,'Cost Planning'!$H$47:$BO$47)</f>
        <v>3565.85</v>
      </c>
      <c r="BC33" s="158">
        <f>BB33+LOOKUP(BC$5,'Cost Planning'!$H$8:$BO$8,'Cost Planning'!$H$47:$BO$47)</f>
        <v>3565.85</v>
      </c>
      <c r="BD33" s="158">
        <f>BC33+LOOKUP(BD$5,'Cost Planning'!$H$8:$BO$8,'Cost Planning'!$H$47:$BO$47)</f>
        <v>3565.85</v>
      </c>
      <c r="BE33" s="158">
        <f>BD33+LOOKUP(BE$5,'Cost Planning'!$H$8:$BO$8,'Cost Planning'!$H$47:$BO$47)</f>
        <v>3565.85</v>
      </c>
      <c r="BF33" s="158">
        <f>BE33+LOOKUP(BF$5,'Cost Planning'!$H$8:$BO$8,'Cost Planning'!$H$47:$BO$47)</f>
        <v>3565.85</v>
      </c>
      <c r="BG33" s="158">
        <f>BF33+LOOKUP(BG$5,'Cost Planning'!$H$8:$BO$8,'Cost Planning'!$H$47:$BO$47)</f>
        <v>3565.85</v>
      </c>
      <c r="BH33" s="158">
        <f>BG33+LOOKUP(BH$5,'Cost Planning'!$H$8:$BO$8,'Cost Planning'!$H$47:$BO$47)</f>
        <v>3565.85</v>
      </c>
      <c r="BI33" s="158">
        <f>BH33+LOOKUP(BI$5,'Cost Planning'!$H$8:$BO$8,'Cost Planning'!$H$47:$BO$47)</f>
        <v>3565.85</v>
      </c>
      <c r="BJ33" s="158">
        <f>BI33+LOOKUP(BJ$5,'Cost Planning'!$H$8:$BO$8,'Cost Planning'!$H$47:$BO$47)</f>
        <v>3565.85</v>
      </c>
      <c r="BK33" s="158">
        <f>BJ33+LOOKUP(BK$5,'Cost Planning'!$H$8:$BO$8,'Cost Planning'!$H$47:$BO$47)</f>
        <v>3565.85</v>
      </c>
      <c r="BL33" s="158">
        <f>BK33+LOOKUP(BL$5,'Cost Planning'!$H$8:$BO$8,'Cost Planning'!$H$47:$BO$47)</f>
        <v>3565.85</v>
      </c>
      <c r="BN33" s="21"/>
      <c r="BO33" s="21"/>
      <c r="BP33" s="21"/>
      <c r="BQ33" s="21"/>
      <c r="BR33" s="21"/>
      <c r="BS33" s="21"/>
      <c r="BT33" s="21"/>
      <c r="BU33" s="21"/>
      <c r="BV33" s="21"/>
      <c r="BW33" s="21"/>
      <c r="BX33" s="21"/>
      <c r="BY33" s="21"/>
    </row>
    <row r="34" spans="2:77" s="67" customFormat="1" ht="25" customHeight="1" outlineLevel="1" x14ac:dyDescent="0.3">
      <c r="B34" s="298" t="s">
        <v>172</v>
      </c>
      <c r="C34" s="298"/>
      <c r="D34" s="158"/>
      <c r="E34" s="158">
        <f>D34+LOOKUP(E$5,'Cost Planning'!$H$8:$BO$8,'Cost Planning'!$H$48:$BO$48)</f>
        <v>0</v>
      </c>
      <c r="F34" s="158">
        <f>E34+LOOKUP(F$5,'Cost Planning'!$H$8:$BO$8,'Cost Planning'!$H$48:$BO$48)</f>
        <v>0</v>
      </c>
      <c r="G34" s="158">
        <f>F34+LOOKUP(G$5,'Cost Planning'!$H$8:$BO$8,'Cost Planning'!$H$48:$BO$48)</f>
        <v>0</v>
      </c>
      <c r="H34" s="158">
        <f>G34+LOOKUP(H$5,'Cost Planning'!$H$8:$BO$8,'Cost Planning'!$H$48:$BO$48)</f>
        <v>0</v>
      </c>
      <c r="I34" s="158">
        <f>H34+LOOKUP(I$5,'Cost Planning'!$H$8:$BO$8,'Cost Planning'!$H$48:$BO$48)</f>
        <v>0</v>
      </c>
      <c r="J34" s="158">
        <f>I34+LOOKUP(J$5,'Cost Planning'!$H$8:$BO$8,'Cost Planning'!$H$48:$BO$48)</f>
        <v>0</v>
      </c>
      <c r="K34" s="158">
        <f>J34+LOOKUP(K$5,'Cost Planning'!$H$8:$BO$8,'Cost Planning'!$H$48:$BO$48)</f>
        <v>0</v>
      </c>
      <c r="L34" s="158">
        <f>K34+LOOKUP(L$5,'Cost Planning'!$H$8:$BO$8,'Cost Planning'!$H$48:$BO$48)</f>
        <v>0</v>
      </c>
      <c r="M34" s="158">
        <f>L34+LOOKUP(M$5,'Cost Planning'!$H$8:$BO$8,'Cost Planning'!$H$48:$BO$48)</f>
        <v>0</v>
      </c>
      <c r="N34" s="158">
        <f>M34+LOOKUP(N$5,'Cost Planning'!$H$8:$BO$8,'Cost Planning'!$H$48:$BO$48)</f>
        <v>0</v>
      </c>
      <c r="O34" s="158">
        <f>N34+LOOKUP(O$5,'Cost Planning'!$H$8:$BO$8,'Cost Planning'!$H$48:$BO$48)</f>
        <v>0</v>
      </c>
      <c r="P34" s="158">
        <f>O34+LOOKUP(P$5,'Cost Planning'!$H$8:$BO$8,'Cost Planning'!$H$48:$BO$48)</f>
        <v>0</v>
      </c>
      <c r="Q34" s="158">
        <f>P34+LOOKUP(Q$5,'Cost Planning'!$H$8:$BO$8,'Cost Planning'!$H$48:$BO$48)</f>
        <v>0</v>
      </c>
      <c r="R34" s="158">
        <f>Q34+LOOKUP(R$5,'Cost Planning'!$H$8:$BO$8,'Cost Planning'!$H$48:$BO$48)</f>
        <v>0</v>
      </c>
      <c r="S34" s="158">
        <f>R34+LOOKUP(S$5,'Cost Planning'!$H$8:$BO$8,'Cost Planning'!$H$48:$BO$48)</f>
        <v>0</v>
      </c>
      <c r="T34" s="158">
        <f>S34+LOOKUP(T$5,'Cost Planning'!$H$8:$BO$8,'Cost Planning'!$H$48:$BO$48)</f>
        <v>0</v>
      </c>
      <c r="U34" s="158">
        <f>T34+LOOKUP(U$5,'Cost Planning'!$H$8:$BO$8,'Cost Planning'!$H$48:$BO$48)</f>
        <v>0</v>
      </c>
      <c r="V34" s="158">
        <f>U34+LOOKUP(V$5,'Cost Planning'!$H$8:$BO$8,'Cost Planning'!$H$48:$BO$48)</f>
        <v>0</v>
      </c>
      <c r="W34" s="158">
        <f>V34+LOOKUP(W$5,'Cost Planning'!$H$8:$BO$8,'Cost Planning'!$H$48:$BO$48)</f>
        <v>0</v>
      </c>
      <c r="X34" s="158">
        <f>W34+LOOKUP(X$5,'Cost Planning'!$H$8:$BO$8,'Cost Planning'!$H$48:$BO$48)</f>
        <v>0</v>
      </c>
      <c r="Y34" s="158">
        <f>X34+LOOKUP(Y$5,'Cost Planning'!$H$8:$BO$8,'Cost Planning'!$H$48:$BO$48)</f>
        <v>0</v>
      </c>
      <c r="Z34" s="158">
        <f>Y34+LOOKUP(Z$5,'Cost Planning'!$H$8:$BO$8,'Cost Planning'!$H$48:$BO$48)</f>
        <v>0</v>
      </c>
      <c r="AA34" s="158">
        <f>Z34+LOOKUP(AA$5,'Cost Planning'!$H$8:$BO$8,'Cost Planning'!$H$48:$BO$48)</f>
        <v>0</v>
      </c>
      <c r="AB34" s="158">
        <f>AA34+LOOKUP(AB$5,'Cost Planning'!$H$8:$BO$8,'Cost Planning'!$H$48:$BO$48)</f>
        <v>0</v>
      </c>
      <c r="AC34" s="158">
        <f>AB34+LOOKUP(AC$5,'Cost Planning'!$H$8:$BO$8,'Cost Planning'!$H$48:$BO$48)</f>
        <v>0</v>
      </c>
      <c r="AD34" s="158">
        <f>AC34+LOOKUP(AD$5,'Cost Planning'!$H$8:$BO$8,'Cost Planning'!$H$48:$BO$48)</f>
        <v>0</v>
      </c>
      <c r="AE34" s="158">
        <f>AD34+LOOKUP(AE$5,'Cost Planning'!$H$8:$BO$8,'Cost Planning'!$H$48:$BO$48)</f>
        <v>0</v>
      </c>
      <c r="AF34" s="158">
        <f>AE34+LOOKUP(AF$5,'Cost Planning'!$H$8:$BO$8,'Cost Planning'!$H$48:$BO$48)</f>
        <v>0</v>
      </c>
      <c r="AG34" s="158">
        <f>AF34+LOOKUP(AG$5,'Cost Planning'!$H$8:$BO$8,'Cost Planning'!$H$48:$BO$48)</f>
        <v>0</v>
      </c>
      <c r="AH34" s="158">
        <f>AG34+LOOKUP(AH$5,'Cost Planning'!$H$8:$BO$8,'Cost Planning'!$H$48:$BO$48)</f>
        <v>0</v>
      </c>
      <c r="AI34" s="158">
        <f>AH34+LOOKUP(AI$5,'Cost Planning'!$H$8:$BO$8,'Cost Planning'!$H$48:$BO$48)</f>
        <v>0</v>
      </c>
      <c r="AJ34" s="158">
        <f>AI34+LOOKUP(AJ$5,'Cost Planning'!$H$8:$BO$8,'Cost Planning'!$H$48:$BO$48)</f>
        <v>0</v>
      </c>
      <c r="AK34" s="158">
        <f>AJ34+LOOKUP(AK$5,'Cost Planning'!$H$8:$BO$8,'Cost Planning'!$H$48:$BO$48)</f>
        <v>0</v>
      </c>
      <c r="AL34" s="158">
        <f>AK34+LOOKUP(AL$5,'Cost Planning'!$H$8:$BO$8,'Cost Planning'!$H$48:$BO$48)</f>
        <v>0</v>
      </c>
      <c r="AM34" s="158">
        <f>AL34+LOOKUP(AM$5,'Cost Planning'!$H$8:$BO$8,'Cost Planning'!$H$48:$BO$48)</f>
        <v>0</v>
      </c>
      <c r="AN34" s="158">
        <f>AM34+LOOKUP(AN$5,'Cost Planning'!$H$8:$BO$8,'Cost Planning'!$H$48:$BO$48)</f>
        <v>0</v>
      </c>
      <c r="AO34" s="158">
        <f>AN34+LOOKUP(AO$5,'Cost Planning'!$H$8:$BO$8,'Cost Planning'!$H$48:$BO$48)</f>
        <v>0</v>
      </c>
      <c r="AP34" s="158">
        <f>AO34+LOOKUP(AP$5,'Cost Planning'!$H$8:$BO$8,'Cost Planning'!$H$48:$BO$48)</f>
        <v>0</v>
      </c>
      <c r="AQ34" s="158">
        <f>AP34+LOOKUP(AQ$5,'Cost Planning'!$H$8:$BO$8,'Cost Planning'!$H$48:$BO$48)</f>
        <v>0</v>
      </c>
      <c r="AR34" s="158">
        <f>AQ34+LOOKUP(AR$5,'Cost Planning'!$H$8:$BO$8,'Cost Planning'!$H$48:$BO$48)</f>
        <v>0</v>
      </c>
      <c r="AS34" s="158">
        <f>AR34+LOOKUP(AS$5,'Cost Planning'!$H$8:$BO$8,'Cost Planning'!$H$48:$BO$48)</f>
        <v>0</v>
      </c>
      <c r="AT34" s="158">
        <f>AS34+LOOKUP(AT$5,'Cost Planning'!$H$8:$BO$8,'Cost Planning'!$H$48:$BO$48)</f>
        <v>0</v>
      </c>
      <c r="AU34" s="158">
        <f>AT34+LOOKUP(AU$5,'Cost Planning'!$H$8:$BO$8,'Cost Planning'!$H$48:$BO$48)</f>
        <v>0</v>
      </c>
      <c r="AV34" s="158">
        <f>AU34+LOOKUP(AV$5,'Cost Planning'!$H$8:$BO$8,'Cost Planning'!$H$48:$BO$48)</f>
        <v>0</v>
      </c>
      <c r="AW34" s="158">
        <f>AV34+LOOKUP(AW$5,'Cost Planning'!$H$8:$BO$8,'Cost Planning'!$H$48:$BO$48)</f>
        <v>0</v>
      </c>
      <c r="AX34" s="158">
        <f>AW34+LOOKUP(AX$5,'Cost Planning'!$H$8:$BO$8,'Cost Planning'!$H$48:$BO$48)</f>
        <v>0</v>
      </c>
      <c r="AY34" s="158">
        <f>AX34+LOOKUP(AY$5,'Cost Planning'!$H$8:$BO$8,'Cost Planning'!$H$48:$BO$48)</f>
        <v>0</v>
      </c>
      <c r="AZ34" s="158">
        <f>AY34+LOOKUP(AZ$5,'Cost Planning'!$H$8:$BO$8,'Cost Planning'!$H$48:$BO$48)</f>
        <v>0</v>
      </c>
      <c r="BA34" s="158">
        <f>AZ34+LOOKUP(BA$5,'Cost Planning'!$H$8:$BO$8,'Cost Planning'!$H$48:$BO$48)</f>
        <v>0</v>
      </c>
      <c r="BB34" s="158">
        <f>BA34+LOOKUP(BB$5,'Cost Planning'!$H$8:$BO$8,'Cost Planning'!$H$48:$BO$48)</f>
        <v>0</v>
      </c>
      <c r="BC34" s="158">
        <f>BB34+LOOKUP(BC$5,'Cost Planning'!$H$8:$BO$8,'Cost Planning'!$H$48:$BO$48)</f>
        <v>0</v>
      </c>
      <c r="BD34" s="158">
        <f>BC34+LOOKUP(BD$5,'Cost Planning'!$H$8:$BO$8,'Cost Planning'!$H$48:$BO$48)</f>
        <v>0</v>
      </c>
      <c r="BE34" s="158">
        <f>BD34+LOOKUP(BE$5,'Cost Planning'!$H$8:$BO$8,'Cost Planning'!$H$48:$BO$48)</f>
        <v>0</v>
      </c>
      <c r="BF34" s="158">
        <f>BE34+LOOKUP(BF$5,'Cost Planning'!$H$8:$BO$8,'Cost Planning'!$H$48:$BO$48)</f>
        <v>0</v>
      </c>
      <c r="BG34" s="158">
        <f>BF34+LOOKUP(BG$5,'Cost Planning'!$H$8:$BO$8,'Cost Planning'!$H$48:$BO$48)</f>
        <v>0</v>
      </c>
      <c r="BH34" s="158">
        <f>BG34+LOOKUP(BH$5,'Cost Planning'!$H$8:$BO$8,'Cost Planning'!$H$48:$BO$48)</f>
        <v>0</v>
      </c>
      <c r="BI34" s="158">
        <f>BH34+LOOKUP(BI$5,'Cost Planning'!$H$8:$BO$8,'Cost Planning'!$H$48:$BO$48)</f>
        <v>0</v>
      </c>
      <c r="BJ34" s="158">
        <f>BI34+LOOKUP(BJ$5,'Cost Planning'!$H$8:$BO$8,'Cost Planning'!$H$48:$BO$48)</f>
        <v>0</v>
      </c>
      <c r="BK34" s="158">
        <f>BJ34+LOOKUP(BK$5,'Cost Planning'!$H$8:$BO$8,'Cost Planning'!$H$48:$BO$48)</f>
        <v>0</v>
      </c>
      <c r="BL34" s="158">
        <f>BK34+LOOKUP(BL$5,'Cost Planning'!$H$8:$BO$8,'Cost Planning'!$H$48:$BO$48)</f>
        <v>0</v>
      </c>
      <c r="BN34" s="21"/>
      <c r="BO34" s="21"/>
      <c r="BP34" s="21"/>
      <c r="BQ34" s="21"/>
      <c r="BR34" s="21"/>
      <c r="BS34" s="21"/>
      <c r="BT34" s="21"/>
      <c r="BU34" s="21"/>
      <c r="BV34" s="21"/>
      <c r="BW34" s="21"/>
      <c r="BX34" s="21"/>
      <c r="BY34" s="21"/>
    </row>
    <row r="35" spans="2:77" s="67" customFormat="1" ht="25" customHeight="1" outlineLevel="1" x14ac:dyDescent="0.3">
      <c r="B35" s="298" t="s">
        <v>173</v>
      </c>
      <c r="C35" s="298"/>
      <c r="D35" s="158">
        <f>'Project Infor'!C48</f>
        <v>0</v>
      </c>
      <c r="E35" s="158">
        <f>D35+LOOKUP(E$5,'Cost Planning'!$H$8:$BO$8,'Cost Planning'!$H$61:$BO$61)</f>
        <v>0</v>
      </c>
      <c r="F35" s="158">
        <f>E35+LOOKUP(F$5,'Cost Planning'!$H$8:$BO$8,'Cost Planning'!$H$61:$BO$61)</f>
        <v>0</v>
      </c>
      <c r="G35" s="158">
        <f>F35+LOOKUP(G$5,'Cost Planning'!$H$8:$BO$8,'Cost Planning'!$H$61:$BO$61)</f>
        <v>0</v>
      </c>
      <c r="H35" s="158">
        <f>G35+LOOKUP(H$5,'Cost Planning'!$H$8:$BO$8,'Cost Planning'!$H$61:$BO$61)</f>
        <v>0</v>
      </c>
      <c r="I35" s="158">
        <f>H35+LOOKUP(I$5,'Cost Planning'!$H$8:$BO$8,'Cost Planning'!$H$61:$BO$61)</f>
        <v>0</v>
      </c>
      <c r="J35" s="158">
        <f>I35+LOOKUP(J$5,'Cost Planning'!$H$8:$BO$8,'Cost Planning'!$H$61:$BO$61)</f>
        <v>0</v>
      </c>
      <c r="K35" s="158">
        <f>J35+LOOKUP(K$5,'Cost Planning'!$H$8:$BO$8,'Cost Planning'!$H$61:$BO$61)</f>
        <v>0</v>
      </c>
      <c r="L35" s="158">
        <f>K35+LOOKUP(L$5,'Cost Planning'!$H$8:$BO$8,'Cost Planning'!$H$61:$BO$61)</f>
        <v>0</v>
      </c>
      <c r="M35" s="158">
        <f>L35+LOOKUP(M$5,'Cost Planning'!$H$8:$BO$8,'Cost Planning'!$H$61:$BO$61)</f>
        <v>0</v>
      </c>
      <c r="N35" s="158">
        <f>M35+LOOKUP(N$5,'Cost Planning'!$H$8:$BO$8,'Cost Planning'!$H$61:$BO$61)</f>
        <v>0</v>
      </c>
      <c r="O35" s="158">
        <f>N35+LOOKUP(O$5,'Cost Planning'!$H$8:$BO$8,'Cost Planning'!$H$61:$BO$61)</f>
        <v>0</v>
      </c>
      <c r="P35" s="158">
        <f>O35+LOOKUP(P$5,'Cost Planning'!$H$8:$BO$8,'Cost Planning'!$H$61:$BO$61)</f>
        <v>0</v>
      </c>
      <c r="Q35" s="158">
        <f>P35+LOOKUP(Q$5,'Cost Planning'!$H$8:$BO$8,'Cost Planning'!$H$61:$BO$61)</f>
        <v>0</v>
      </c>
      <c r="R35" s="158">
        <f>Q35+LOOKUP(R$5,'Cost Planning'!$H$8:$BO$8,'Cost Planning'!$H$61:$BO$61)</f>
        <v>0</v>
      </c>
      <c r="S35" s="158">
        <f>R35+LOOKUP(S$5,'Cost Planning'!$H$8:$BO$8,'Cost Planning'!$H$61:$BO$61)</f>
        <v>0</v>
      </c>
      <c r="T35" s="158">
        <f>S35+LOOKUP(T$5,'Cost Planning'!$H$8:$BO$8,'Cost Planning'!$H$61:$BO$61)</f>
        <v>0</v>
      </c>
      <c r="U35" s="158">
        <f>T35+LOOKUP(U$5,'Cost Planning'!$H$8:$BO$8,'Cost Planning'!$H$61:$BO$61)</f>
        <v>0</v>
      </c>
      <c r="V35" s="158">
        <f>U35+LOOKUP(V$5,'Cost Planning'!$H$8:$BO$8,'Cost Planning'!$H$61:$BO$61)</f>
        <v>0</v>
      </c>
      <c r="W35" s="158">
        <f>V35+LOOKUP(W$5,'Cost Planning'!$H$8:$BO$8,'Cost Planning'!$H$61:$BO$61)</f>
        <v>0</v>
      </c>
      <c r="X35" s="158">
        <f>W35+LOOKUP(X$5,'Cost Planning'!$H$8:$BO$8,'Cost Planning'!$H$61:$BO$61)</f>
        <v>0</v>
      </c>
      <c r="Y35" s="158">
        <f>X35+LOOKUP(Y$5,'Cost Planning'!$H$8:$BO$8,'Cost Planning'!$H$61:$BO$61)</f>
        <v>0</v>
      </c>
      <c r="Z35" s="158">
        <f>Y35+LOOKUP(Z$5,'Cost Planning'!$H$8:$BO$8,'Cost Planning'!$H$61:$BO$61)</f>
        <v>0</v>
      </c>
      <c r="AA35" s="158">
        <f>Z35+LOOKUP(AA$5,'Cost Planning'!$H$8:$BO$8,'Cost Planning'!$H$61:$BO$61)</f>
        <v>0</v>
      </c>
      <c r="AB35" s="158">
        <f>AA35+LOOKUP(AB$5,'Cost Planning'!$H$8:$BO$8,'Cost Planning'!$H$61:$BO$61)</f>
        <v>0</v>
      </c>
      <c r="AC35" s="158">
        <f>AB35+LOOKUP(AC$5,'Cost Planning'!$H$8:$BO$8,'Cost Planning'!$H$61:$BO$61)</f>
        <v>0</v>
      </c>
      <c r="AD35" s="158">
        <f>AC35+LOOKUP(AD$5,'Cost Planning'!$H$8:$BO$8,'Cost Planning'!$H$61:$BO$61)</f>
        <v>0</v>
      </c>
      <c r="AE35" s="158">
        <f>AD35+LOOKUP(AE$5,'Cost Planning'!$H$8:$BO$8,'Cost Planning'!$H$61:$BO$61)</f>
        <v>0</v>
      </c>
      <c r="AF35" s="158">
        <f>AE35+LOOKUP(AF$5,'Cost Planning'!$H$8:$BO$8,'Cost Planning'!$H$61:$BO$61)</f>
        <v>0</v>
      </c>
      <c r="AG35" s="158">
        <f>AF35+LOOKUP(AG$5,'Cost Planning'!$H$8:$BO$8,'Cost Planning'!$H$61:$BO$61)</f>
        <v>0</v>
      </c>
      <c r="AH35" s="158">
        <f>AG35+LOOKUP(AH$5,'Cost Planning'!$H$8:$BO$8,'Cost Planning'!$H$61:$BO$61)</f>
        <v>0</v>
      </c>
      <c r="AI35" s="158">
        <f>AH35+LOOKUP(AI$5,'Cost Planning'!$H$8:$BO$8,'Cost Planning'!$H$61:$BO$61)</f>
        <v>0</v>
      </c>
      <c r="AJ35" s="158">
        <f>AI35+LOOKUP(AJ$5,'Cost Planning'!$H$8:$BO$8,'Cost Planning'!$H$61:$BO$61)</f>
        <v>0</v>
      </c>
      <c r="AK35" s="158">
        <f>AJ35+LOOKUP(AK$5,'Cost Planning'!$H$8:$BO$8,'Cost Planning'!$H$61:$BO$61)</f>
        <v>0</v>
      </c>
      <c r="AL35" s="158">
        <f>AK35+LOOKUP(AL$5,'Cost Planning'!$H$8:$BO$8,'Cost Planning'!$H$61:$BO$61)</f>
        <v>0</v>
      </c>
      <c r="AM35" s="158">
        <f>AL35+LOOKUP(AM$5,'Cost Planning'!$H$8:$BO$8,'Cost Planning'!$H$61:$BO$61)</f>
        <v>0</v>
      </c>
      <c r="AN35" s="158">
        <f>AM35+LOOKUP(AN$5,'Cost Planning'!$H$8:$BO$8,'Cost Planning'!$H$61:$BO$61)</f>
        <v>0</v>
      </c>
      <c r="AO35" s="158">
        <f>AN35+LOOKUP(AO$5,'Cost Planning'!$H$8:$BO$8,'Cost Planning'!$H$61:$BO$61)</f>
        <v>0</v>
      </c>
      <c r="AP35" s="158">
        <f>AO35+LOOKUP(AP$5,'Cost Planning'!$H$8:$BO$8,'Cost Planning'!$H$61:$BO$61)</f>
        <v>0</v>
      </c>
      <c r="AQ35" s="158">
        <f>AP35+LOOKUP(AQ$5,'Cost Planning'!$H$8:$BO$8,'Cost Planning'!$H$61:$BO$61)</f>
        <v>0</v>
      </c>
      <c r="AR35" s="158">
        <f>AQ35+LOOKUP(AR$5,'Cost Planning'!$H$8:$BO$8,'Cost Planning'!$H$61:$BO$61)</f>
        <v>0</v>
      </c>
      <c r="AS35" s="158">
        <f>AR35+LOOKUP(AS$5,'Cost Planning'!$H$8:$BO$8,'Cost Planning'!$H$61:$BO$61)</f>
        <v>0</v>
      </c>
      <c r="AT35" s="158">
        <f>AS35+LOOKUP(AT$5,'Cost Planning'!$H$8:$BO$8,'Cost Planning'!$H$61:$BO$61)</f>
        <v>0</v>
      </c>
      <c r="AU35" s="158">
        <f>AT35+LOOKUP(AU$5,'Cost Planning'!$H$8:$BO$8,'Cost Planning'!$H$61:$BO$61)</f>
        <v>0</v>
      </c>
      <c r="AV35" s="158">
        <f>AU35+LOOKUP(AV$5,'Cost Planning'!$H$8:$BO$8,'Cost Planning'!$H$61:$BO$61)</f>
        <v>0</v>
      </c>
      <c r="AW35" s="158">
        <f>AV35+LOOKUP(AW$5,'Cost Planning'!$H$8:$BO$8,'Cost Planning'!$H$61:$BO$61)</f>
        <v>0</v>
      </c>
      <c r="AX35" s="158">
        <f>AW35+LOOKUP(AX$5,'Cost Planning'!$H$8:$BO$8,'Cost Planning'!$H$61:$BO$61)</f>
        <v>0</v>
      </c>
      <c r="AY35" s="158">
        <f>AX35+LOOKUP(AY$5,'Cost Planning'!$H$8:$BO$8,'Cost Planning'!$H$61:$BO$61)</f>
        <v>0</v>
      </c>
      <c r="AZ35" s="158">
        <f>AY35+LOOKUP(AZ$5,'Cost Planning'!$H$8:$BO$8,'Cost Planning'!$H$61:$BO$61)</f>
        <v>0</v>
      </c>
      <c r="BA35" s="158">
        <f>AZ35+LOOKUP(BA$5,'Cost Planning'!$H$8:$BO$8,'Cost Planning'!$H$61:$BO$61)</f>
        <v>0</v>
      </c>
      <c r="BB35" s="158">
        <f>BA35+LOOKUP(BB$5,'Cost Planning'!$H$8:$BO$8,'Cost Planning'!$H$61:$BO$61)</f>
        <v>0</v>
      </c>
      <c r="BC35" s="158">
        <f>BB35+LOOKUP(BC$5,'Cost Planning'!$H$8:$BO$8,'Cost Planning'!$H$61:$BO$61)</f>
        <v>0</v>
      </c>
      <c r="BD35" s="158">
        <f>BC35+LOOKUP(BD$5,'Cost Planning'!$H$8:$BO$8,'Cost Planning'!$H$61:$BO$61)</f>
        <v>0</v>
      </c>
      <c r="BE35" s="158">
        <f>BD35+LOOKUP(BE$5,'Cost Planning'!$H$8:$BO$8,'Cost Planning'!$H$61:$BO$61)</f>
        <v>0</v>
      </c>
      <c r="BF35" s="158">
        <f>BE35+LOOKUP(BF$5,'Cost Planning'!$H$8:$BO$8,'Cost Planning'!$H$61:$BO$61)</f>
        <v>0</v>
      </c>
      <c r="BG35" s="158">
        <f>BF35+LOOKUP(BG$5,'Cost Planning'!$H$8:$BO$8,'Cost Planning'!$H$61:$BO$61)</f>
        <v>0</v>
      </c>
      <c r="BH35" s="158">
        <f>BG35+LOOKUP(BH$5,'Cost Planning'!$H$8:$BO$8,'Cost Planning'!$H$61:$BO$61)</f>
        <v>0</v>
      </c>
      <c r="BI35" s="158">
        <f>BH35+LOOKUP(BI$5,'Cost Planning'!$H$8:$BO$8,'Cost Planning'!$H$61:$BO$61)</f>
        <v>0</v>
      </c>
      <c r="BJ35" s="158">
        <f>BI35+LOOKUP(BJ$5,'Cost Planning'!$H$8:$BO$8,'Cost Planning'!$H$61:$BO$61)</f>
        <v>0</v>
      </c>
      <c r="BK35" s="158">
        <f>BJ35+LOOKUP(BK$5,'Cost Planning'!$H$8:$BO$8,'Cost Planning'!$H$61:$BO$61)</f>
        <v>0</v>
      </c>
      <c r="BL35" s="158">
        <f>BK35+LOOKUP(BL$5,'Cost Planning'!$H$8:$BO$8,'Cost Planning'!$H$61:$BO$61)</f>
        <v>0</v>
      </c>
    </row>
    <row r="36" spans="2:77" s="67" customFormat="1" ht="25" customHeight="1" outlineLevel="1" x14ac:dyDescent="0.3">
      <c r="B36" s="298" t="s">
        <v>174</v>
      </c>
      <c r="C36" s="298"/>
      <c r="D36" s="158">
        <f>'Project Infor'!C49</f>
        <v>0</v>
      </c>
      <c r="E36" s="158">
        <f>D36+LOOKUP(E$5,'Cost Planning'!$H$8:$BO$8,'Cost Planning'!$H$77:$BO$77)</f>
        <v>0</v>
      </c>
      <c r="F36" s="158">
        <f>E36+LOOKUP(F$5,'Cost Planning'!$H$8:$BO$8,'Cost Planning'!$H$77:$BO$77)</f>
        <v>0</v>
      </c>
      <c r="G36" s="158">
        <f>F36+LOOKUP(G$5,'Cost Planning'!$H$8:$BO$8,'Cost Planning'!$H$77:$BO$77)</f>
        <v>0</v>
      </c>
      <c r="H36" s="158">
        <f>G36+LOOKUP(H$5,'Cost Planning'!$H$8:$BO$8,'Cost Planning'!$H$77:$BO$77)</f>
        <v>0</v>
      </c>
      <c r="I36" s="158">
        <f>H36+LOOKUP(I$5,'Cost Planning'!$H$8:$BO$8,'Cost Planning'!$H$77:$BO$77)</f>
        <v>0</v>
      </c>
      <c r="J36" s="158">
        <f>I36+LOOKUP(J$5,'Cost Planning'!$H$8:$BO$8,'Cost Planning'!$H$77:$BO$77)</f>
        <v>0</v>
      </c>
      <c r="K36" s="158">
        <f>J36+LOOKUP(K$5,'Cost Planning'!$H$8:$BO$8,'Cost Planning'!$H$77:$BO$77)</f>
        <v>0</v>
      </c>
      <c r="L36" s="158">
        <f>K36+LOOKUP(L$5,'Cost Planning'!$H$8:$BO$8,'Cost Planning'!$H$77:$BO$77)</f>
        <v>0</v>
      </c>
      <c r="M36" s="158">
        <f>L36+LOOKUP(M$5,'Cost Planning'!$H$8:$BO$8,'Cost Planning'!$H$77:$BO$77)</f>
        <v>0</v>
      </c>
      <c r="N36" s="158">
        <f>M36+LOOKUP(N$5,'Cost Planning'!$H$8:$BO$8,'Cost Planning'!$H$77:$BO$77)</f>
        <v>0</v>
      </c>
      <c r="O36" s="158">
        <f>N36+LOOKUP(O$5,'Cost Planning'!$H$8:$BO$8,'Cost Planning'!$H$77:$BO$77)</f>
        <v>0</v>
      </c>
      <c r="P36" s="158">
        <f>O36+LOOKUP(P$5,'Cost Planning'!$H$8:$BO$8,'Cost Planning'!$H$77:$BO$77)</f>
        <v>0</v>
      </c>
      <c r="Q36" s="158">
        <f>P36+LOOKUP(Q$5,'Cost Planning'!$H$8:$BO$8,'Cost Planning'!$H$77:$BO$77)</f>
        <v>0</v>
      </c>
      <c r="R36" s="158">
        <f>Q36+LOOKUP(R$5,'Cost Planning'!$H$8:$BO$8,'Cost Planning'!$H$77:$BO$77)</f>
        <v>0</v>
      </c>
      <c r="S36" s="158">
        <f>R36+LOOKUP(S$5,'Cost Planning'!$H$8:$BO$8,'Cost Planning'!$H$77:$BO$77)</f>
        <v>0</v>
      </c>
      <c r="T36" s="158">
        <f>S36+LOOKUP(T$5,'Cost Planning'!$H$8:$BO$8,'Cost Planning'!$H$77:$BO$77)</f>
        <v>0</v>
      </c>
      <c r="U36" s="158">
        <f>T36+LOOKUP(U$5,'Cost Planning'!$H$8:$BO$8,'Cost Planning'!$H$77:$BO$77)</f>
        <v>0</v>
      </c>
      <c r="V36" s="158">
        <f>U36+LOOKUP(V$5,'Cost Planning'!$H$8:$BO$8,'Cost Planning'!$H$77:$BO$77)</f>
        <v>0</v>
      </c>
      <c r="W36" s="158">
        <f>V36+LOOKUP(W$5,'Cost Planning'!$H$8:$BO$8,'Cost Planning'!$H$77:$BO$77)</f>
        <v>0</v>
      </c>
      <c r="X36" s="158">
        <f>W36+LOOKUP(X$5,'Cost Planning'!$H$8:$BO$8,'Cost Planning'!$H$77:$BO$77)</f>
        <v>0</v>
      </c>
      <c r="Y36" s="158">
        <f>X36+LOOKUP(Y$5,'Cost Planning'!$H$8:$BO$8,'Cost Planning'!$H$77:$BO$77)</f>
        <v>0</v>
      </c>
      <c r="Z36" s="158">
        <f>Y36+LOOKUP(Z$5,'Cost Planning'!$H$8:$BO$8,'Cost Planning'!$H$77:$BO$77)</f>
        <v>0</v>
      </c>
      <c r="AA36" s="158">
        <f>Z36+LOOKUP(AA$5,'Cost Planning'!$H$8:$BO$8,'Cost Planning'!$H$77:$BO$77)</f>
        <v>0</v>
      </c>
      <c r="AB36" s="158">
        <f>AA36+LOOKUP(AB$5,'Cost Planning'!$H$8:$BO$8,'Cost Planning'!$H$77:$BO$77)</f>
        <v>0</v>
      </c>
      <c r="AC36" s="158">
        <f>AB36+LOOKUP(AC$5,'Cost Planning'!$H$8:$BO$8,'Cost Planning'!$H$77:$BO$77)</f>
        <v>0</v>
      </c>
      <c r="AD36" s="158">
        <f>AC36+LOOKUP(AD$5,'Cost Planning'!$H$8:$BO$8,'Cost Planning'!$H$77:$BO$77)</f>
        <v>0</v>
      </c>
      <c r="AE36" s="158">
        <f>AD36+LOOKUP(AE$5,'Cost Planning'!$H$8:$BO$8,'Cost Planning'!$H$77:$BO$77)</f>
        <v>0</v>
      </c>
      <c r="AF36" s="158">
        <f>AE36+LOOKUP(AF$5,'Cost Planning'!$H$8:$BO$8,'Cost Planning'!$H$77:$BO$77)</f>
        <v>0</v>
      </c>
      <c r="AG36" s="158">
        <f>AF36+LOOKUP(AG$5,'Cost Planning'!$H$8:$BO$8,'Cost Planning'!$H$77:$BO$77)</f>
        <v>0</v>
      </c>
      <c r="AH36" s="158">
        <f>AG36+LOOKUP(AH$5,'Cost Planning'!$H$8:$BO$8,'Cost Planning'!$H$77:$BO$77)</f>
        <v>0</v>
      </c>
      <c r="AI36" s="158">
        <f>AH36+LOOKUP(AI$5,'Cost Planning'!$H$8:$BO$8,'Cost Planning'!$H$77:$BO$77)</f>
        <v>0</v>
      </c>
      <c r="AJ36" s="158">
        <f>AI36+LOOKUP(AJ$5,'Cost Planning'!$H$8:$BO$8,'Cost Planning'!$H$77:$BO$77)</f>
        <v>0</v>
      </c>
      <c r="AK36" s="158">
        <f>AJ36+LOOKUP(AK$5,'Cost Planning'!$H$8:$BO$8,'Cost Planning'!$H$77:$BO$77)</f>
        <v>0</v>
      </c>
      <c r="AL36" s="158">
        <f>AK36+LOOKUP(AL$5,'Cost Planning'!$H$8:$BO$8,'Cost Planning'!$H$77:$BO$77)</f>
        <v>0</v>
      </c>
      <c r="AM36" s="158">
        <f>AL36+LOOKUP(AM$5,'Cost Planning'!$H$8:$BO$8,'Cost Planning'!$H$77:$BO$77)</f>
        <v>0</v>
      </c>
      <c r="AN36" s="158">
        <f>AM36+LOOKUP(AN$5,'Cost Planning'!$H$8:$BO$8,'Cost Planning'!$H$77:$BO$77)</f>
        <v>0</v>
      </c>
      <c r="AO36" s="158">
        <f>AN36+LOOKUP(AO$5,'Cost Planning'!$H$8:$BO$8,'Cost Planning'!$H$77:$BO$77)</f>
        <v>0</v>
      </c>
      <c r="AP36" s="158">
        <f>AO36+LOOKUP(AP$5,'Cost Planning'!$H$8:$BO$8,'Cost Planning'!$H$77:$BO$77)</f>
        <v>0</v>
      </c>
      <c r="AQ36" s="158">
        <f>AP36+LOOKUP(AQ$5,'Cost Planning'!$H$8:$BO$8,'Cost Planning'!$H$77:$BO$77)</f>
        <v>0</v>
      </c>
      <c r="AR36" s="158">
        <f>AQ36+LOOKUP(AR$5,'Cost Planning'!$H$8:$BO$8,'Cost Planning'!$H$77:$BO$77)</f>
        <v>0</v>
      </c>
      <c r="AS36" s="158">
        <f>AR36+LOOKUP(AS$5,'Cost Planning'!$H$8:$BO$8,'Cost Planning'!$H$77:$BO$77)</f>
        <v>0</v>
      </c>
      <c r="AT36" s="158">
        <f>AS36+LOOKUP(AT$5,'Cost Planning'!$H$8:$BO$8,'Cost Planning'!$H$77:$BO$77)</f>
        <v>0</v>
      </c>
      <c r="AU36" s="158">
        <f>AT36+LOOKUP(AU$5,'Cost Planning'!$H$8:$BO$8,'Cost Planning'!$H$77:$BO$77)</f>
        <v>0</v>
      </c>
      <c r="AV36" s="158">
        <f>AU36+LOOKUP(AV$5,'Cost Planning'!$H$8:$BO$8,'Cost Planning'!$H$77:$BO$77)</f>
        <v>0</v>
      </c>
      <c r="AW36" s="158">
        <f>AV36+LOOKUP(AW$5,'Cost Planning'!$H$8:$BO$8,'Cost Planning'!$H$77:$BO$77)</f>
        <v>0</v>
      </c>
      <c r="AX36" s="158">
        <f>AW36+LOOKUP(AX$5,'Cost Planning'!$H$8:$BO$8,'Cost Planning'!$H$77:$BO$77)</f>
        <v>0</v>
      </c>
      <c r="AY36" s="158">
        <f>AX36+LOOKUP(AY$5,'Cost Planning'!$H$8:$BO$8,'Cost Planning'!$H$77:$BO$77)</f>
        <v>0</v>
      </c>
      <c r="AZ36" s="158">
        <f>AY36+LOOKUP(AZ$5,'Cost Planning'!$H$8:$BO$8,'Cost Planning'!$H$77:$BO$77)</f>
        <v>0</v>
      </c>
      <c r="BA36" s="158">
        <f>AZ36+LOOKUP(BA$5,'Cost Planning'!$H$8:$BO$8,'Cost Planning'!$H$77:$BO$77)</f>
        <v>0</v>
      </c>
      <c r="BB36" s="158">
        <f>BA36+LOOKUP(BB$5,'Cost Planning'!$H$8:$BO$8,'Cost Planning'!$H$77:$BO$77)</f>
        <v>0</v>
      </c>
      <c r="BC36" s="158">
        <f>BB36+LOOKUP(BC$5,'Cost Planning'!$H$8:$BO$8,'Cost Planning'!$H$77:$BO$77)</f>
        <v>0</v>
      </c>
      <c r="BD36" s="158">
        <f>BC36+LOOKUP(BD$5,'Cost Planning'!$H$8:$BO$8,'Cost Planning'!$H$77:$BO$77)</f>
        <v>0</v>
      </c>
      <c r="BE36" s="158">
        <f>BD36+LOOKUP(BE$5,'Cost Planning'!$H$8:$BO$8,'Cost Planning'!$H$77:$BO$77)</f>
        <v>0</v>
      </c>
      <c r="BF36" s="158">
        <f>BE36+LOOKUP(BF$5,'Cost Planning'!$H$8:$BO$8,'Cost Planning'!$H$77:$BO$77)</f>
        <v>0</v>
      </c>
      <c r="BG36" s="158">
        <f>BF36+LOOKUP(BG$5,'Cost Planning'!$H$8:$BO$8,'Cost Planning'!$H$77:$BO$77)</f>
        <v>0</v>
      </c>
      <c r="BH36" s="158">
        <f>BG36+LOOKUP(BH$5,'Cost Planning'!$H$8:$BO$8,'Cost Planning'!$H$77:$BO$77)</f>
        <v>0</v>
      </c>
      <c r="BI36" s="158">
        <f>BH36+LOOKUP(BI$5,'Cost Planning'!$H$8:$BO$8,'Cost Planning'!$H$77:$BO$77)</f>
        <v>0</v>
      </c>
      <c r="BJ36" s="158">
        <f>BI36+LOOKUP(BJ$5,'Cost Planning'!$H$8:$BO$8,'Cost Planning'!$H$77:$BO$77)</f>
        <v>0</v>
      </c>
      <c r="BK36" s="158">
        <f>BJ36+LOOKUP(BK$5,'Cost Planning'!$H$8:$BO$8,'Cost Planning'!$H$77:$BO$77)</f>
        <v>0</v>
      </c>
      <c r="BL36" s="158">
        <f>BK36+LOOKUP(BL$5,'Cost Planning'!$H$8:$BO$8,'Cost Planning'!$H$77:$BO$77)</f>
        <v>0</v>
      </c>
    </row>
    <row r="37" spans="2:77" s="67" customFormat="1" ht="25" customHeight="1" x14ac:dyDescent="0.3">
      <c r="B37" s="298" t="s">
        <v>65</v>
      </c>
      <c r="C37" s="298"/>
      <c r="D37" s="151">
        <f>SUM(D32:D36)</f>
        <v>0</v>
      </c>
      <c r="E37" s="151">
        <f>SUM(E32:E36)</f>
        <v>7102.7849999999999</v>
      </c>
      <c r="F37" s="158">
        <f t="shared" ref="F37:AB37" si="250">SUM(F32:F36)</f>
        <v>14205.57</v>
      </c>
      <c r="G37" s="158">
        <f t="shared" si="250"/>
        <v>21308.355</v>
      </c>
      <c r="H37" s="158">
        <f t="shared" si="250"/>
        <v>28411.14</v>
      </c>
      <c r="I37" s="158">
        <f t="shared" si="250"/>
        <v>35513.925000000003</v>
      </c>
      <c r="J37" s="158">
        <f t="shared" si="250"/>
        <v>42616.710000000006</v>
      </c>
      <c r="K37" s="158">
        <f t="shared" si="250"/>
        <v>49719.49500000001</v>
      </c>
      <c r="L37" s="158">
        <f t="shared" si="250"/>
        <v>56822.280000000013</v>
      </c>
      <c r="M37" s="158">
        <f t="shared" si="250"/>
        <v>63925.065000000017</v>
      </c>
      <c r="N37" s="158">
        <f t="shared" si="250"/>
        <v>71027.85000000002</v>
      </c>
      <c r="O37" s="158">
        <f t="shared" si="250"/>
        <v>78130.635000000024</v>
      </c>
      <c r="P37" s="158">
        <f t="shared" si="250"/>
        <v>85233.420000000027</v>
      </c>
      <c r="Q37" s="158">
        <f t="shared" si="250"/>
        <v>92336.205000000031</v>
      </c>
      <c r="R37" s="158">
        <f t="shared" si="250"/>
        <v>99438.990000000034</v>
      </c>
      <c r="S37" s="158">
        <f t="shared" si="250"/>
        <v>106541.77500000004</v>
      </c>
      <c r="T37" s="158">
        <f t="shared" si="250"/>
        <v>113644.56000000004</v>
      </c>
      <c r="U37" s="158">
        <f t="shared" si="250"/>
        <v>120747.34500000004</v>
      </c>
      <c r="V37" s="158">
        <f t="shared" si="250"/>
        <v>127850.13000000005</v>
      </c>
      <c r="W37" s="158">
        <f t="shared" si="250"/>
        <v>134952.91500000004</v>
      </c>
      <c r="X37" s="158">
        <f t="shared" si="250"/>
        <v>142055.70000000004</v>
      </c>
      <c r="Y37" s="158">
        <f t="shared" si="250"/>
        <v>149158.48500000004</v>
      </c>
      <c r="Z37" s="158">
        <f t="shared" si="250"/>
        <v>156261.27000000005</v>
      </c>
      <c r="AA37" s="158">
        <f t="shared" si="250"/>
        <v>163364.05500000005</v>
      </c>
      <c r="AB37" s="158">
        <f t="shared" si="250"/>
        <v>170466.84000000005</v>
      </c>
      <c r="AC37" s="158">
        <f t="shared" ref="AC37:BL37" si="251">SUM(AC32:AC36)</f>
        <v>177569.62500000006</v>
      </c>
      <c r="AD37" s="158">
        <f t="shared" si="251"/>
        <v>184672.41000000006</v>
      </c>
      <c r="AE37" s="158">
        <f t="shared" si="251"/>
        <v>191775.19500000007</v>
      </c>
      <c r="AF37" s="158">
        <f t="shared" si="251"/>
        <v>198877.98000000007</v>
      </c>
      <c r="AG37" s="158">
        <f t="shared" si="251"/>
        <v>205980.76500000007</v>
      </c>
      <c r="AH37" s="158">
        <f t="shared" si="251"/>
        <v>213083.55000000008</v>
      </c>
      <c r="AI37" s="158">
        <f t="shared" si="251"/>
        <v>220186.33500000008</v>
      </c>
      <c r="AJ37" s="158">
        <f t="shared" si="251"/>
        <v>227289.12000000008</v>
      </c>
      <c r="AK37" s="158">
        <f t="shared" si="251"/>
        <v>234391.90500000009</v>
      </c>
      <c r="AL37" s="158">
        <f t="shared" si="251"/>
        <v>241494.69000000009</v>
      </c>
      <c r="AM37" s="158">
        <f t="shared" si="251"/>
        <v>248597.47500000009</v>
      </c>
      <c r="AN37" s="158">
        <f t="shared" si="251"/>
        <v>255700.2600000001</v>
      </c>
      <c r="AO37" s="158">
        <f t="shared" si="251"/>
        <v>262803.0450000001</v>
      </c>
      <c r="AP37" s="158">
        <f t="shared" si="251"/>
        <v>269905.83000000007</v>
      </c>
      <c r="AQ37" s="158">
        <f t="shared" si="251"/>
        <v>277008.61500000005</v>
      </c>
      <c r="AR37" s="158">
        <f t="shared" si="251"/>
        <v>284111.40000000002</v>
      </c>
      <c r="AS37" s="158">
        <f t="shared" si="251"/>
        <v>291214.185</v>
      </c>
      <c r="AT37" s="158">
        <f t="shared" si="251"/>
        <v>298316.96999999997</v>
      </c>
      <c r="AU37" s="158">
        <f t="shared" si="251"/>
        <v>305419.75499999995</v>
      </c>
      <c r="AV37" s="158">
        <f t="shared" si="251"/>
        <v>312522.53999999992</v>
      </c>
      <c r="AW37" s="158">
        <f t="shared" si="251"/>
        <v>319625.3249999999</v>
      </c>
      <c r="AX37" s="158">
        <f t="shared" si="251"/>
        <v>326728.10999999987</v>
      </c>
      <c r="AY37" s="158">
        <f t="shared" si="251"/>
        <v>333830.89499999984</v>
      </c>
      <c r="AZ37" s="158">
        <f t="shared" si="251"/>
        <v>344499.5299999998</v>
      </c>
      <c r="BA37" s="158">
        <f t="shared" si="251"/>
        <v>344499.5299999998</v>
      </c>
      <c r="BB37" s="158">
        <f t="shared" si="251"/>
        <v>344499.5299999998</v>
      </c>
      <c r="BC37" s="158">
        <f t="shared" si="251"/>
        <v>344499.5299999998</v>
      </c>
      <c r="BD37" s="158">
        <f t="shared" si="251"/>
        <v>344499.5299999998</v>
      </c>
      <c r="BE37" s="158">
        <f t="shared" si="251"/>
        <v>344499.5299999998</v>
      </c>
      <c r="BF37" s="158">
        <f t="shared" si="251"/>
        <v>344499.5299999998</v>
      </c>
      <c r="BG37" s="158">
        <f t="shared" si="251"/>
        <v>344499.5299999998</v>
      </c>
      <c r="BH37" s="158">
        <f t="shared" si="251"/>
        <v>344499.5299999998</v>
      </c>
      <c r="BI37" s="158">
        <f t="shared" si="251"/>
        <v>344499.5299999998</v>
      </c>
      <c r="BJ37" s="158">
        <f t="shared" si="251"/>
        <v>344499.5299999998</v>
      </c>
      <c r="BK37" s="158">
        <f t="shared" si="251"/>
        <v>344499.5299999998</v>
      </c>
      <c r="BL37" s="158">
        <f t="shared" si="251"/>
        <v>344499.5299999998</v>
      </c>
    </row>
    <row r="38" spans="2:77" s="67" customFormat="1" ht="25" customHeight="1" x14ac:dyDescent="0.3">
      <c r="B38" s="299" t="s">
        <v>183</v>
      </c>
      <c r="C38" s="299"/>
      <c r="D38" s="159">
        <f>D30-D32-D33-D34-D35-D36</f>
        <v>0</v>
      </c>
      <c r="E38" s="159">
        <f ca="1">E30-E32-E33-E34-E35-E36</f>
        <v>2488.7983333333323</v>
      </c>
      <c r="F38" s="159">
        <f t="shared" ref="F38:Z38" ca="1" si="252">F30-F32-F33-F34-F35-F36</f>
        <v>4977.5966666666645</v>
      </c>
      <c r="G38" s="159">
        <f t="shared" ca="1" si="252"/>
        <v>7466.3949999999968</v>
      </c>
      <c r="H38" s="159">
        <f t="shared" ca="1" si="252"/>
        <v>9955.1933333333291</v>
      </c>
      <c r="I38" s="159">
        <f t="shared" ca="1" si="252"/>
        <v>12443.991666666654</v>
      </c>
      <c r="J38" s="159">
        <f t="shared" ca="1" si="252"/>
        <v>14932.789999999979</v>
      </c>
      <c r="K38" s="159">
        <f t="shared" ca="1" si="252"/>
        <v>17421.588333333304</v>
      </c>
      <c r="L38" s="159">
        <f t="shared" ca="1" si="252"/>
        <v>19910.386666666629</v>
      </c>
      <c r="M38" s="159">
        <f t="shared" ca="1" si="252"/>
        <v>22399.184999999954</v>
      </c>
      <c r="N38" s="159">
        <f t="shared" ca="1" si="252"/>
        <v>24887.983333333279</v>
      </c>
      <c r="O38" s="159">
        <f t="shared" ca="1" si="252"/>
        <v>27376.781666666604</v>
      </c>
      <c r="P38" s="159">
        <f t="shared" ca="1" si="252"/>
        <v>29865.579999999929</v>
      </c>
      <c r="Q38" s="159">
        <f t="shared" ca="1" si="252"/>
        <v>32354.378333333254</v>
      </c>
      <c r="R38" s="159">
        <f t="shared" ca="1" si="252"/>
        <v>34843.176666666594</v>
      </c>
      <c r="S38" s="159">
        <f t="shared" ca="1" si="252"/>
        <v>37331.974999999933</v>
      </c>
      <c r="T38" s="159">
        <f t="shared" ca="1" si="252"/>
        <v>39820.773333333273</v>
      </c>
      <c r="U38" s="159">
        <f t="shared" ca="1" si="252"/>
        <v>42309.571666666612</v>
      </c>
      <c r="V38" s="159">
        <f t="shared" ca="1" si="252"/>
        <v>44798.369999999952</v>
      </c>
      <c r="W38" s="159">
        <f t="shared" ca="1" si="252"/>
        <v>47287.168333333306</v>
      </c>
      <c r="X38" s="159">
        <f t="shared" ca="1" si="252"/>
        <v>49775.966666666645</v>
      </c>
      <c r="Y38" s="159">
        <f t="shared" ca="1" si="252"/>
        <v>52264.764999999985</v>
      </c>
      <c r="Z38" s="159">
        <f t="shared" ca="1" si="252"/>
        <v>54753.563333333324</v>
      </c>
      <c r="AA38" s="159">
        <f ca="1">AA30-AA32-AA33-AA34-AA35-AA36</f>
        <v>57242.361666666664</v>
      </c>
      <c r="AB38" s="159">
        <f ca="1">AB30-AB32-AB33-AB34-AB35-AB36</f>
        <v>59731.16</v>
      </c>
      <c r="AC38" s="159">
        <f t="shared" ref="AC38:BL38" ca="1" si="253">AC30-AC32-AC33-AC34-AC35-AC36</f>
        <v>62219.958333333343</v>
      </c>
      <c r="AD38" s="159">
        <f t="shared" ca="1" si="253"/>
        <v>64708.756666666683</v>
      </c>
      <c r="AE38" s="159">
        <f t="shared" ca="1" si="253"/>
        <v>67197.555000000022</v>
      </c>
      <c r="AF38" s="159">
        <f t="shared" ca="1" si="253"/>
        <v>69686.353333333362</v>
      </c>
      <c r="AG38" s="159">
        <f t="shared" ca="1" si="253"/>
        <v>72175.151666666672</v>
      </c>
      <c r="AH38" s="159">
        <f t="shared" ca="1" si="253"/>
        <v>74663.949999999983</v>
      </c>
      <c r="AI38" s="159">
        <f t="shared" ca="1" si="253"/>
        <v>77152.748333333293</v>
      </c>
      <c r="AJ38" s="159">
        <f t="shared" ca="1" si="253"/>
        <v>79641.546666666603</v>
      </c>
      <c r="AK38" s="159">
        <f t="shared" ca="1" si="253"/>
        <v>82130.344999999914</v>
      </c>
      <c r="AL38" s="159">
        <f t="shared" ca="1" si="253"/>
        <v>84619.143333333224</v>
      </c>
      <c r="AM38" s="159">
        <f t="shared" ca="1" si="253"/>
        <v>87107.941666666535</v>
      </c>
      <c r="AN38" s="159">
        <f t="shared" ca="1" si="253"/>
        <v>89596.739999999845</v>
      </c>
      <c r="AO38" s="159">
        <f t="shared" ca="1" si="253"/>
        <v>92085.538333333156</v>
      </c>
      <c r="AP38" s="159">
        <f t="shared" ca="1" si="253"/>
        <v>94574.336666666495</v>
      </c>
      <c r="AQ38" s="159">
        <f t="shared" ca="1" si="253"/>
        <v>97063.134999999835</v>
      </c>
      <c r="AR38" s="159">
        <f t="shared" ca="1" si="253"/>
        <v>99551.933333333174</v>
      </c>
      <c r="AS38" s="159">
        <f t="shared" ca="1" si="253"/>
        <v>102040.73166666651</v>
      </c>
      <c r="AT38" s="159">
        <f t="shared" ca="1" si="253"/>
        <v>104529.52999999985</v>
      </c>
      <c r="AU38" s="159">
        <f t="shared" ca="1" si="253"/>
        <v>107018.32833333319</v>
      </c>
      <c r="AV38" s="159">
        <f t="shared" ca="1" si="253"/>
        <v>109507.12666666653</v>
      </c>
      <c r="AW38" s="159">
        <f t="shared" ca="1" si="253"/>
        <v>111995.92499999987</v>
      </c>
      <c r="AX38" s="159">
        <f t="shared" ca="1" si="253"/>
        <v>114484.72333333321</v>
      </c>
      <c r="AY38" s="159">
        <f t="shared" ca="1" si="253"/>
        <v>116973.52166666655</v>
      </c>
      <c r="AZ38" s="159">
        <f t="shared" ca="1" si="253"/>
        <v>120500.47000000018</v>
      </c>
      <c r="BA38" s="159">
        <f t="shared" ca="1" si="253"/>
        <v>120500.47000000018</v>
      </c>
      <c r="BB38" s="159">
        <f t="shared" ca="1" si="253"/>
        <v>120500.47000000018</v>
      </c>
      <c r="BC38" s="159">
        <f t="shared" ca="1" si="253"/>
        <v>120500.47000000018</v>
      </c>
      <c r="BD38" s="159">
        <f t="shared" ca="1" si="253"/>
        <v>120500.47000000018</v>
      </c>
      <c r="BE38" s="159">
        <f t="shared" ca="1" si="253"/>
        <v>120500.47000000018</v>
      </c>
      <c r="BF38" s="159">
        <f t="shared" ca="1" si="253"/>
        <v>120500.47000000018</v>
      </c>
      <c r="BG38" s="159">
        <f t="shared" ca="1" si="253"/>
        <v>120500.47000000018</v>
      </c>
      <c r="BH38" s="159">
        <f t="shared" ca="1" si="253"/>
        <v>120500.47000000018</v>
      </c>
      <c r="BI38" s="159">
        <f t="shared" ca="1" si="253"/>
        <v>120500.47000000018</v>
      </c>
      <c r="BJ38" s="159">
        <f t="shared" ca="1" si="253"/>
        <v>120500.47000000018</v>
      </c>
      <c r="BK38" s="159">
        <f t="shared" ca="1" si="253"/>
        <v>120500.47000000018</v>
      </c>
      <c r="BL38" s="159">
        <f t="shared" ca="1" si="253"/>
        <v>120500.47000000018</v>
      </c>
    </row>
    <row r="39" spans="2:77" x14ac:dyDescent="0.3">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2:77" s="67" customFormat="1" ht="25" customHeight="1" x14ac:dyDescent="0.3">
      <c r="B40" s="301" t="s">
        <v>184</v>
      </c>
      <c r="C40" s="301"/>
      <c r="D40" s="161"/>
      <c r="E40" s="179" t="b">
        <f t="shared" ref="E40:AB40" ca="1" si="254">IF(OFFSET(E4,0,1)="Fin",E6)</f>
        <v>0</v>
      </c>
      <c r="F40" s="179" t="b">
        <f t="shared" ca="1" si="254"/>
        <v>0</v>
      </c>
      <c r="G40" s="179" t="b">
        <f t="shared" ca="1" si="254"/>
        <v>0</v>
      </c>
      <c r="H40" s="179" t="b">
        <f t="shared" ca="1" si="254"/>
        <v>0</v>
      </c>
      <c r="I40" s="179" t="b">
        <f t="shared" ca="1" si="254"/>
        <v>0</v>
      </c>
      <c r="J40" s="179" t="b">
        <f t="shared" ca="1" si="254"/>
        <v>0</v>
      </c>
      <c r="K40" s="179" t="b">
        <f t="shared" ca="1" si="254"/>
        <v>0</v>
      </c>
      <c r="L40" s="179" t="b">
        <f t="shared" ca="1" si="254"/>
        <v>0</v>
      </c>
      <c r="M40" s="179" t="b">
        <f t="shared" ca="1" si="254"/>
        <v>0</v>
      </c>
      <c r="N40" s="179" t="b">
        <f t="shared" ca="1" si="254"/>
        <v>0</v>
      </c>
      <c r="O40" s="179" t="b">
        <f t="shared" ca="1" si="254"/>
        <v>0</v>
      </c>
      <c r="P40" s="179" t="b">
        <f t="shared" ca="1" si="254"/>
        <v>0</v>
      </c>
      <c r="Q40" s="179" t="b">
        <f t="shared" ca="1" si="254"/>
        <v>0</v>
      </c>
      <c r="R40" s="179" t="b">
        <f t="shared" ca="1" si="254"/>
        <v>0</v>
      </c>
      <c r="S40" s="179" t="b">
        <f t="shared" ca="1" si="254"/>
        <v>0</v>
      </c>
      <c r="T40" s="179" t="b">
        <f t="shared" ca="1" si="254"/>
        <v>0</v>
      </c>
      <c r="U40" s="179" t="b">
        <f t="shared" ca="1" si="254"/>
        <v>0</v>
      </c>
      <c r="V40" s="179" t="b">
        <f t="shared" ca="1" si="254"/>
        <v>0</v>
      </c>
      <c r="W40" s="179" t="b">
        <f t="shared" ca="1" si="254"/>
        <v>0</v>
      </c>
      <c r="X40" s="179" t="b">
        <f t="shared" ca="1" si="254"/>
        <v>0</v>
      </c>
      <c r="Y40" s="179" t="b">
        <f t="shared" ca="1" si="254"/>
        <v>0</v>
      </c>
      <c r="Z40" s="179" t="b">
        <f t="shared" ca="1" si="254"/>
        <v>0</v>
      </c>
      <c r="AA40" s="179" t="b">
        <f t="shared" ca="1" si="254"/>
        <v>0</v>
      </c>
      <c r="AB40" s="179" t="b">
        <f t="shared" ca="1" si="254"/>
        <v>0</v>
      </c>
      <c r="AC40" s="179" t="b">
        <f t="shared" ref="AC40:BL40" ca="1" si="255">IF(OFFSET(AC4,0,1)="Fin",AC6)</f>
        <v>0</v>
      </c>
      <c r="AD40" s="179" t="b">
        <f t="shared" ca="1" si="255"/>
        <v>0</v>
      </c>
      <c r="AE40" s="179" t="b">
        <f t="shared" ca="1" si="255"/>
        <v>0</v>
      </c>
      <c r="AF40" s="179" t="b">
        <f t="shared" ca="1" si="255"/>
        <v>0</v>
      </c>
      <c r="AG40" s="179" t="b">
        <f t="shared" ca="1" si="255"/>
        <v>0</v>
      </c>
      <c r="AH40" s="179" t="b">
        <f t="shared" ca="1" si="255"/>
        <v>0</v>
      </c>
      <c r="AI40" s="179" t="b">
        <f t="shared" ca="1" si="255"/>
        <v>0</v>
      </c>
      <c r="AJ40" s="179" t="b">
        <f t="shared" ca="1" si="255"/>
        <v>0</v>
      </c>
      <c r="AK40" s="179" t="b">
        <f t="shared" ca="1" si="255"/>
        <v>0</v>
      </c>
      <c r="AL40" s="179" t="b">
        <f t="shared" ca="1" si="255"/>
        <v>0</v>
      </c>
      <c r="AM40" s="179" t="b">
        <f t="shared" ca="1" si="255"/>
        <v>0</v>
      </c>
      <c r="AN40" s="179" t="b">
        <f t="shared" ca="1" si="255"/>
        <v>0</v>
      </c>
      <c r="AO40" s="179" t="b">
        <f t="shared" ca="1" si="255"/>
        <v>0</v>
      </c>
      <c r="AP40" s="179" t="b">
        <f t="shared" ca="1" si="255"/>
        <v>0</v>
      </c>
      <c r="AQ40" s="179" t="b">
        <f t="shared" ca="1" si="255"/>
        <v>0</v>
      </c>
      <c r="AR40" s="179" t="b">
        <f t="shared" ca="1" si="255"/>
        <v>0</v>
      </c>
      <c r="AS40" s="179" t="b">
        <f t="shared" ca="1" si="255"/>
        <v>0</v>
      </c>
      <c r="AT40" s="179" t="b">
        <f t="shared" ca="1" si="255"/>
        <v>0</v>
      </c>
      <c r="AU40" s="179" t="b">
        <f t="shared" ca="1" si="255"/>
        <v>0</v>
      </c>
      <c r="AV40" s="179" t="b">
        <f t="shared" ca="1" si="255"/>
        <v>0</v>
      </c>
      <c r="AW40" s="179" t="b">
        <f t="shared" ca="1" si="255"/>
        <v>0</v>
      </c>
      <c r="AX40" s="179" t="b">
        <f t="shared" ca="1" si="255"/>
        <v>0</v>
      </c>
      <c r="AY40" s="179" t="b">
        <f t="shared" ca="1" si="255"/>
        <v>0</v>
      </c>
      <c r="AZ40" s="179">
        <f t="shared" ca="1" si="255"/>
        <v>465000</v>
      </c>
      <c r="BA40" s="179">
        <f t="shared" ca="1" si="255"/>
        <v>465000</v>
      </c>
      <c r="BB40" s="179">
        <f t="shared" ca="1" si="255"/>
        <v>465000</v>
      </c>
      <c r="BC40" s="179">
        <f t="shared" ca="1" si="255"/>
        <v>465000</v>
      </c>
      <c r="BD40" s="179">
        <f t="shared" ca="1" si="255"/>
        <v>465000</v>
      </c>
      <c r="BE40" s="179">
        <f t="shared" ca="1" si="255"/>
        <v>465000</v>
      </c>
      <c r="BF40" s="179">
        <f t="shared" ca="1" si="255"/>
        <v>465000</v>
      </c>
      <c r="BG40" s="179">
        <f t="shared" ca="1" si="255"/>
        <v>465000</v>
      </c>
      <c r="BH40" s="179">
        <f t="shared" ca="1" si="255"/>
        <v>465000</v>
      </c>
      <c r="BI40" s="179">
        <f t="shared" ca="1" si="255"/>
        <v>465000</v>
      </c>
      <c r="BJ40" s="179">
        <f t="shared" ca="1" si="255"/>
        <v>465000</v>
      </c>
      <c r="BK40" s="179">
        <f t="shared" ca="1" si="255"/>
        <v>465000</v>
      </c>
      <c r="BL40" s="179" t="b">
        <f t="shared" ca="1" si="255"/>
        <v>0</v>
      </c>
      <c r="BN40" s="21"/>
      <c r="BO40" s="21"/>
      <c r="BP40" s="21"/>
      <c r="BQ40" s="21"/>
      <c r="BR40" s="21"/>
      <c r="BS40" s="21"/>
      <c r="BT40" s="21"/>
      <c r="BU40" s="21"/>
      <c r="BV40" s="21"/>
      <c r="BW40" s="21"/>
      <c r="BX40" s="21"/>
      <c r="BY40" s="21"/>
    </row>
    <row r="41" spans="2:77" x14ac:dyDescent="0.3">
      <c r="B41" s="162"/>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2:77" s="67" customFormat="1" ht="25" customHeight="1" x14ac:dyDescent="0.3">
      <c r="B42" s="301" t="s">
        <v>185</v>
      </c>
      <c r="C42" s="301"/>
      <c r="D42" s="161">
        <f>'Project Infor'!C54</f>
        <v>0</v>
      </c>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N42" s="21"/>
      <c r="BO42" s="21"/>
      <c r="BP42" s="21"/>
      <c r="BQ42" s="21"/>
      <c r="BR42" s="21"/>
      <c r="BS42" s="21"/>
      <c r="BT42" s="21"/>
      <c r="BU42" s="21"/>
      <c r="BV42" s="21"/>
      <c r="BW42" s="21"/>
      <c r="BX42" s="21"/>
      <c r="BY42" s="21"/>
    </row>
    <row r="43" spans="2:77" s="67" customFormat="1" ht="25" customHeight="1" x14ac:dyDescent="0.3">
      <c r="B43" s="300" t="s">
        <v>186</v>
      </c>
      <c r="C43" s="300"/>
      <c r="D43" s="153">
        <f>D42</f>
        <v>0</v>
      </c>
      <c r="E43" s="153">
        <f>E42+D43</f>
        <v>0</v>
      </c>
      <c r="F43" s="153">
        <f>F42+E43</f>
        <v>0</v>
      </c>
      <c r="G43" s="153">
        <f t="shared" ref="G43:Z43" si="256">G42+F43</f>
        <v>0</v>
      </c>
      <c r="H43" s="153">
        <f t="shared" si="256"/>
        <v>0</v>
      </c>
      <c r="I43" s="153">
        <f t="shared" si="256"/>
        <v>0</v>
      </c>
      <c r="J43" s="153">
        <f t="shared" si="256"/>
        <v>0</v>
      </c>
      <c r="K43" s="153">
        <f t="shared" si="256"/>
        <v>0</v>
      </c>
      <c r="L43" s="153">
        <f t="shared" si="256"/>
        <v>0</v>
      </c>
      <c r="M43" s="153">
        <f t="shared" si="256"/>
        <v>0</v>
      </c>
      <c r="N43" s="153">
        <f>N42+M43</f>
        <v>0</v>
      </c>
      <c r="O43" s="153">
        <f t="shared" si="256"/>
        <v>0</v>
      </c>
      <c r="P43" s="153">
        <f t="shared" si="256"/>
        <v>0</v>
      </c>
      <c r="Q43" s="153">
        <f t="shared" si="256"/>
        <v>0</v>
      </c>
      <c r="R43" s="153">
        <f t="shared" si="256"/>
        <v>0</v>
      </c>
      <c r="S43" s="153">
        <f t="shared" si="256"/>
        <v>0</v>
      </c>
      <c r="T43" s="153">
        <f t="shared" si="256"/>
        <v>0</v>
      </c>
      <c r="U43" s="153">
        <f t="shared" si="256"/>
        <v>0</v>
      </c>
      <c r="V43" s="153">
        <f t="shared" si="256"/>
        <v>0</v>
      </c>
      <c r="W43" s="153">
        <f t="shared" si="256"/>
        <v>0</v>
      </c>
      <c r="X43" s="153">
        <f t="shared" si="256"/>
        <v>0</v>
      </c>
      <c r="Y43" s="153">
        <f t="shared" si="256"/>
        <v>0</v>
      </c>
      <c r="Z43" s="153">
        <f t="shared" si="256"/>
        <v>0</v>
      </c>
      <c r="AA43" s="153">
        <f>AA42+Z43</f>
        <v>0</v>
      </c>
      <c r="AB43" s="153">
        <f t="shared" ref="AB43" si="257">AB42+AA43</f>
        <v>0</v>
      </c>
      <c r="AC43" s="153">
        <f t="shared" ref="AC43" si="258">AC42+AB43</f>
        <v>0</v>
      </c>
      <c r="AD43" s="153">
        <f t="shared" ref="AD43" si="259">AD42+AC43</f>
        <v>0</v>
      </c>
      <c r="AE43" s="153">
        <f t="shared" ref="AE43" si="260">AE42+AD43</f>
        <v>0</v>
      </c>
      <c r="AF43" s="153">
        <f t="shared" ref="AF43" si="261">AF42+AE43</f>
        <v>0</v>
      </c>
      <c r="AG43" s="153">
        <f t="shared" ref="AG43" si="262">AG42+AF43</f>
        <v>0</v>
      </c>
      <c r="AH43" s="153">
        <f t="shared" ref="AH43" si="263">AH42+AG43</f>
        <v>0</v>
      </c>
      <c r="AI43" s="153">
        <f t="shared" ref="AI43" si="264">AI42+AH43</f>
        <v>0</v>
      </c>
      <c r="AJ43" s="153">
        <f t="shared" ref="AJ43" si="265">AJ42+AI43</f>
        <v>0</v>
      </c>
      <c r="AK43" s="153">
        <f t="shared" ref="AK43" si="266">AK42+AJ43</f>
        <v>0</v>
      </c>
      <c r="AL43" s="153">
        <f t="shared" ref="AL43" si="267">AL42+AK43</f>
        <v>0</v>
      </c>
      <c r="AM43" s="153">
        <f t="shared" ref="AM43" si="268">AM42+AL43</f>
        <v>0</v>
      </c>
      <c r="AN43" s="153">
        <f t="shared" ref="AN43" si="269">AN42+AM43</f>
        <v>0</v>
      </c>
      <c r="AO43" s="153">
        <f t="shared" ref="AO43" si="270">AO42+AN43</f>
        <v>0</v>
      </c>
      <c r="AP43" s="153">
        <f t="shared" ref="AP43" si="271">AP42+AO43</f>
        <v>0</v>
      </c>
      <c r="AQ43" s="153">
        <f t="shared" ref="AQ43" si="272">AQ42+AP43</f>
        <v>0</v>
      </c>
      <c r="AR43" s="153">
        <f t="shared" ref="AR43" si="273">AR42+AQ43</f>
        <v>0</v>
      </c>
      <c r="AS43" s="153">
        <f t="shared" ref="AS43" si="274">AS42+AR43</f>
        <v>0</v>
      </c>
      <c r="AT43" s="153">
        <f t="shared" ref="AT43" si="275">AT42+AS43</f>
        <v>0</v>
      </c>
      <c r="AU43" s="153">
        <f t="shared" ref="AU43" si="276">AU42+AT43</f>
        <v>0</v>
      </c>
      <c r="AV43" s="153">
        <f t="shared" ref="AV43" si="277">AV42+AU43</f>
        <v>0</v>
      </c>
      <c r="AW43" s="153">
        <f t="shared" ref="AW43" si="278">AW42+AV43</f>
        <v>0</v>
      </c>
      <c r="AX43" s="153">
        <f t="shared" ref="AX43" si="279">AX42+AW43</f>
        <v>0</v>
      </c>
      <c r="AY43" s="153">
        <f t="shared" ref="AY43" si="280">AY42+AX43</f>
        <v>0</v>
      </c>
      <c r="AZ43" s="153">
        <f t="shared" ref="AZ43" si="281">AZ42+AY43</f>
        <v>0</v>
      </c>
      <c r="BA43" s="153">
        <f t="shared" ref="BA43" si="282">BA42+AZ43</f>
        <v>0</v>
      </c>
      <c r="BB43" s="153">
        <f t="shared" ref="BB43" si="283">BB42+BA43</f>
        <v>0</v>
      </c>
      <c r="BC43" s="153">
        <f t="shared" ref="BC43" si="284">BC42+BB43</f>
        <v>0</v>
      </c>
      <c r="BD43" s="153">
        <f t="shared" ref="BD43" si="285">BD42+BC43</f>
        <v>0</v>
      </c>
      <c r="BE43" s="153">
        <f t="shared" ref="BE43" si="286">BE42+BD43</f>
        <v>0</v>
      </c>
      <c r="BF43" s="153">
        <f t="shared" ref="BF43" si="287">BF42+BE43</f>
        <v>0</v>
      </c>
      <c r="BG43" s="153">
        <f t="shared" ref="BG43" si="288">BG42+BF43</f>
        <v>0</v>
      </c>
      <c r="BH43" s="153">
        <f t="shared" ref="BH43" si="289">BH42+BG43</f>
        <v>0</v>
      </c>
      <c r="BI43" s="153">
        <f t="shared" ref="BI43" si="290">BI42+BH43</f>
        <v>0</v>
      </c>
      <c r="BJ43" s="153">
        <f t="shared" ref="BJ43" si="291">BJ42+BI43</f>
        <v>0</v>
      </c>
      <c r="BK43" s="153">
        <f t="shared" ref="BK43" si="292">BK42+BJ43</f>
        <v>0</v>
      </c>
      <c r="BL43" s="153">
        <f t="shared" ref="BL43" si="293">BL42+BK43</f>
        <v>0</v>
      </c>
    </row>
    <row r="44" spans="2:77" s="67" customFormat="1" ht="25" customHeight="1" x14ac:dyDescent="0.3">
      <c r="B44" s="300" t="s">
        <v>187</v>
      </c>
      <c r="C44" s="300"/>
      <c r="D44" s="160"/>
      <c r="E44" s="160">
        <f t="shared" ref="E44:Z44" ca="1" si="294">E43-E30</f>
        <v>-9591.5833333333321</v>
      </c>
      <c r="F44" s="160">
        <f t="shared" ca="1" si="294"/>
        <v>-19183.166666666664</v>
      </c>
      <c r="G44" s="160">
        <f t="shared" ca="1" si="294"/>
        <v>-28774.749999999996</v>
      </c>
      <c r="H44" s="160">
        <f t="shared" ca="1" si="294"/>
        <v>-38366.333333333328</v>
      </c>
      <c r="I44" s="160">
        <f t="shared" ca="1" si="294"/>
        <v>-47957.916666666657</v>
      </c>
      <c r="J44" s="160">
        <f t="shared" ca="1" si="294"/>
        <v>-57549.499999999985</v>
      </c>
      <c r="K44" s="160">
        <f t="shared" ca="1" si="294"/>
        <v>-67141.083333333314</v>
      </c>
      <c r="L44" s="160">
        <f t="shared" ca="1" si="294"/>
        <v>-76732.666666666642</v>
      </c>
      <c r="M44" s="160">
        <f t="shared" ca="1" si="294"/>
        <v>-86324.249999999971</v>
      </c>
      <c r="N44" s="160">
        <f t="shared" ca="1" si="294"/>
        <v>-95915.833333333299</v>
      </c>
      <c r="O44" s="160">
        <f t="shared" ca="1" si="294"/>
        <v>-105507.41666666663</v>
      </c>
      <c r="P44" s="160">
        <f t="shared" ca="1" si="294"/>
        <v>-115098.99999999996</v>
      </c>
      <c r="Q44" s="160">
        <f t="shared" ca="1" si="294"/>
        <v>-124690.58333333328</v>
      </c>
      <c r="R44" s="160">
        <f t="shared" ca="1" si="294"/>
        <v>-134282.16666666663</v>
      </c>
      <c r="S44" s="160">
        <f t="shared" ca="1" si="294"/>
        <v>-143873.74999999997</v>
      </c>
      <c r="T44" s="160">
        <f t="shared" ca="1" si="294"/>
        <v>-153465.33333333331</v>
      </c>
      <c r="U44" s="160">
        <f t="shared" ca="1" si="294"/>
        <v>-163056.91666666666</v>
      </c>
      <c r="V44" s="160">
        <f t="shared" ca="1" si="294"/>
        <v>-172648.5</v>
      </c>
      <c r="W44" s="160">
        <f t="shared" ca="1" si="294"/>
        <v>-182240.08333333334</v>
      </c>
      <c r="X44" s="160">
        <f t="shared" ca="1" si="294"/>
        <v>-191831.66666666669</v>
      </c>
      <c r="Y44" s="160">
        <f t="shared" ca="1" si="294"/>
        <v>-201423.25000000003</v>
      </c>
      <c r="Z44" s="160">
        <f t="shared" ca="1" si="294"/>
        <v>-211014.83333333337</v>
      </c>
      <c r="AA44" s="160">
        <f ca="1">AA43-AA30</f>
        <v>-220606.41666666672</v>
      </c>
      <c r="AB44" s="160">
        <f ca="1">AB43-AB30</f>
        <v>-230198.00000000006</v>
      </c>
      <c r="AC44" s="160">
        <f t="shared" ref="AC44:BL44" ca="1" si="295">AC43-AC30</f>
        <v>-239789.5833333334</v>
      </c>
      <c r="AD44" s="160">
        <f t="shared" ca="1" si="295"/>
        <v>-249381.16666666674</v>
      </c>
      <c r="AE44" s="160">
        <f t="shared" ca="1" si="295"/>
        <v>-258972.75000000009</v>
      </c>
      <c r="AF44" s="160">
        <f t="shared" ca="1" si="295"/>
        <v>-268564.33333333343</v>
      </c>
      <c r="AG44" s="160">
        <f t="shared" ca="1" si="295"/>
        <v>-278155.91666666674</v>
      </c>
      <c r="AH44" s="160">
        <f t="shared" ca="1" si="295"/>
        <v>-287747.50000000006</v>
      </c>
      <c r="AI44" s="160">
        <f t="shared" ca="1" si="295"/>
        <v>-297339.08333333337</v>
      </c>
      <c r="AJ44" s="160">
        <f t="shared" ca="1" si="295"/>
        <v>-306930.66666666669</v>
      </c>
      <c r="AK44" s="160">
        <f t="shared" ca="1" si="295"/>
        <v>-316522.25</v>
      </c>
      <c r="AL44" s="160">
        <f t="shared" ca="1" si="295"/>
        <v>-326113.83333333331</v>
      </c>
      <c r="AM44" s="160">
        <f t="shared" ca="1" si="295"/>
        <v>-335705.41666666663</v>
      </c>
      <c r="AN44" s="160">
        <f t="shared" ca="1" si="295"/>
        <v>-345296.99999999994</v>
      </c>
      <c r="AO44" s="160">
        <f t="shared" ca="1" si="295"/>
        <v>-354888.58333333326</v>
      </c>
      <c r="AP44" s="160">
        <f t="shared" ca="1" si="295"/>
        <v>-364480.16666666657</v>
      </c>
      <c r="AQ44" s="160">
        <f t="shared" ca="1" si="295"/>
        <v>-374071.74999999988</v>
      </c>
      <c r="AR44" s="160">
        <f t="shared" ca="1" si="295"/>
        <v>-383663.3333333332</v>
      </c>
      <c r="AS44" s="160">
        <f t="shared" ca="1" si="295"/>
        <v>-393254.91666666651</v>
      </c>
      <c r="AT44" s="160">
        <f t="shared" ca="1" si="295"/>
        <v>-402846.49999999983</v>
      </c>
      <c r="AU44" s="160">
        <f t="shared" ca="1" si="295"/>
        <v>-412438.08333333314</v>
      </c>
      <c r="AV44" s="160">
        <f t="shared" ca="1" si="295"/>
        <v>-422029.66666666645</v>
      </c>
      <c r="AW44" s="160">
        <f t="shared" ca="1" si="295"/>
        <v>-431621.24999999977</v>
      </c>
      <c r="AX44" s="160">
        <f t="shared" ca="1" si="295"/>
        <v>-441212.83333333308</v>
      </c>
      <c r="AY44" s="160">
        <f t="shared" ca="1" si="295"/>
        <v>-450804.4166666664</v>
      </c>
      <c r="AZ44" s="160">
        <f t="shared" ca="1" si="295"/>
        <v>-465000</v>
      </c>
      <c r="BA44" s="160">
        <f t="shared" ca="1" si="295"/>
        <v>-465000</v>
      </c>
      <c r="BB44" s="160">
        <f t="shared" ca="1" si="295"/>
        <v>-465000</v>
      </c>
      <c r="BC44" s="160">
        <f t="shared" ca="1" si="295"/>
        <v>-465000</v>
      </c>
      <c r="BD44" s="160">
        <f t="shared" ca="1" si="295"/>
        <v>-465000</v>
      </c>
      <c r="BE44" s="160">
        <f t="shared" ca="1" si="295"/>
        <v>-465000</v>
      </c>
      <c r="BF44" s="160">
        <f t="shared" ca="1" si="295"/>
        <v>-465000</v>
      </c>
      <c r="BG44" s="160">
        <f t="shared" ca="1" si="295"/>
        <v>-465000</v>
      </c>
      <c r="BH44" s="160">
        <f t="shared" ca="1" si="295"/>
        <v>-465000</v>
      </c>
      <c r="BI44" s="160">
        <f t="shared" ca="1" si="295"/>
        <v>-465000</v>
      </c>
      <c r="BJ44" s="160">
        <f t="shared" ca="1" si="295"/>
        <v>-465000</v>
      </c>
      <c r="BK44" s="160">
        <f t="shared" ca="1" si="295"/>
        <v>-465000</v>
      </c>
      <c r="BL44" s="160">
        <f t="shared" ca="1" si="295"/>
        <v>-465000</v>
      </c>
      <c r="BN44" s="21"/>
      <c r="BO44" s="21"/>
      <c r="BP44" s="21"/>
      <c r="BQ44" s="21"/>
      <c r="BR44" s="21"/>
      <c r="BS44" s="21"/>
      <c r="BT44" s="21"/>
      <c r="BU44" s="21"/>
      <c r="BV44" s="21"/>
      <c r="BW44" s="21"/>
      <c r="BX44" s="21"/>
      <c r="BY44" s="21"/>
    </row>
    <row r="45" spans="2:77" x14ac:dyDescent="0.3">
      <c r="B45" s="162"/>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2:77" x14ac:dyDescent="0.3">
      <c r="E46" s="24"/>
      <c r="F46" s="24"/>
      <c r="G46" s="24"/>
      <c r="H46" s="24"/>
      <c r="I46" s="24"/>
      <c r="J46" s="24"/>
      <c r="K46" s="24"/>
      <c r="L46" s="24"/>
      <c r="M46" s="163"/>
      <c r="N46" s="24"/>
    </row>
  </sheetData>
  <conditionalFormatting sqref="E4">
    <cfRule type="expression" dxfId="302" priority="391">
      <formula>$E$4="Real"</formula>
    </cfRule>
    <cfRule type="expression" dxfId="301" priority="390">
      <formula>$E$4="Prev"</formula>
    </cfRule>
    <cfRule type="expression" dxfId="300" priority="389">
      <formula>$E$4="Fin"</formula>
    </cfRule>
  </conditionalFormatting>
  <conditionalFormatting sqref="E6 E30">
    <cfRule type="expression" dxfId="299" priority="35">
      <formula>E6&lt;E30</formula>
    </cfRule>
  </conditionalFormatting>
  <conditionalFormatting sqref="E40">
    <cfRule type="expression" dxfId="298" priority="104">
      <formula>$E$40=FALSE</formula>
    </cfRule>
  </conditionalFormatting>
  <conditionalFormatting sqref="F4">
    <cfRule type="expression" dxfId="297" priority="394">
      <formula>$F$4="Real"</formula>
    </cfRule>
    <cfRule type="expression" dxfId="296" priority="393">
      <formula>$F$4="Prev"</formula>
    </cfRule>
    <cfRule type="expression" dxfId="295" priority="392">
      <formula>$F$4="Fin"</formula>
    </cfRule>
  </conditionalFormatting>
  <conditionalFormatting sqref="F6 F30">
    <cfRule type="expression" dxfId="294" priority="26">
      <formula>$F$6&lt;$F$30</formula>
    </cfRule>
  </conditionalFormatting>
  <conditionalFormatting sqref="F6">
    <cfRule type="expression" dxfId="293" priority="116">
      <formula>$F$4="Fin"</formula>
    </cfRule>
  </conditionalFormatting>
  <conditionalFormatting sqref="F7:F13">
    <cfRule type="expression" dxfId="292" priority="115">
      <formula>$F$4="Fin"</formula>
    </cfRule>
  </conditionalFormatting>
  <conditionalFormatting sqref="F14:F15 F38 F43:F44">
    <cfRule type="expression" dxfId="291" priority="114">
      <formula>$F$4="Fin"</formula>
    </cfRule>
  </conditionalFormatting>
  <conditionalFormatting sqref="F18">
    <cfRule type="expression" dxfId="290" priority="113">
      <formula>$F$4="Fin"</formula>
    </cfRule>
  </conditionalFormatting>
  <conditionalFormatting sqref="F19:F25">
    <cfRule type="expression" dxfId="289" priority="112">
      <formula>$F$4="Fin"</formula>
    </cfRule>
  </conditionalFormatting>
  <conditionalFormatting sqref="F26:F27">
    <cfRule type="expression" dxfId="288" priority="111">
      <formula>$F$4="Fin"</formula>
    </cfRule>
  </conditionalFormatting>
  <conditionalFormatting sqref="F30">
    <cfRule type="expression" dxfId="287" priority="30">
      <formula>$F$4="Fin"</formula>
    </cfRule>
  </conditionalFormatting>
  <conditionalFormatting sqref="F31:F37">
    <cfRule type="expression" dxfId="286" priority="109">
      <formula>$F$4="Fin"</formula>
    </cfRule>
  </conditionalFormatting>
  <conditionalFormatting sqref="F40">
    <cfRule type="expression" dxfId="285" priority="107">
      <formula>$F$4="Fin"</formula>
    </cfRule>
    <cfRule type="expression" dxfId="284" priority="106">
      <formula>$F$40=FALSE</formula>
    </cfRule>
  </conditionalFormatting>
  <conditionalFormatting sqref="G4">
    <cfRule type="expression" dxfId="283" priority="396">
      <formula>$G$4="Prev"</formula>
    </cfRule>
    <cfRule type="expression" dxfId="282" priority="397">
      <formula>$G$4="Real"</formula>
    </cfRule>
    <cfRule type="expression" dxfId="281" priority="395">
      <formula>$G$4="Fin"</formula>
    </cfRule>
  </conditionalFormatting>
  <conditionalFormatting sqref="G6 G30">
    <cfRule type="expression" dxfId="280" priority="25">
      <formula>$G$6&lt;$G$30</formula>
    </cfRule>
  </conditionalFormatting>
  <conditionalFormatting sqref="G6">
    <cfRule type="expression" dxfId="279" priority="127">
      <formula>$G$4="Fin"</formula>
    </cfRule>
  </conditionalFormatting>
  <conditionalFormatting sqref="G7:G13">
    <cfRule type="expression" dxfId="278" priority="126">
      <formula>$G$4="Fin"</formula>
    </cfRule>
  </conditionalFormatting>
  <conditionalFormatting sqref="G14:G15 G38 G43:G44">
    <cfRule type="expression" dxfId="277" priority="125">
      <formula>$G$4="Fin"</formula>
    </cfRule>
  </conditionalFormatting>
  <conditionalFormatting sqref="G18">
    <cfRule type="expression" dxfId="276" priority="124">
      <formula>$G$4="Fin"</formula>
    </cfRule>
  </conditionalFormatting>
  <conditionalFormatting sqref="G19:G25">
    <cfRule type="expression" dxfId="275" priority="123">
      <formula>$G$4="Fin"</formula>
    </cfRule>
  </conditionalFormatting>
  <conditionalFormatting sqref="G26:G27">
    <cfRule type="expression" dxfId="274" priority="122">
      <formula>$G$4="Fin"</formula>
    </cfRule>
  </conditionalFormatting>
  <conditionalFormatting sqref="G30">
    <cfRule type="expression" dxfId="273" priority="29">
      <formula>$G$4="Fin"</formula>
    </cfRule>
  </conditionalFormatting>
  <conditionalFormatting sqref="G31:G37">
    <cfRule type="expression" dxfId="272" priority="120">
      <formula>$G$4="Fin"</formula>
    </cfRule>
  </conditionalFormatting>
  <conditionalFormatting sqref="G40">
    <cfRule type="expression" dxfId="271" priority="117">
      <formula>$G$40=FALSE</formula>
    </cfRule>
    <cfRule type="expression" dxfId="270" priority="118">
      <formula>$G$4="Fin"</formula>
    </cfRule>
  </conditionalFormatting>
  <conditionalFormatting sqref="H4">
    <cfRule type="expression" dxfId="269" priority="399">
      <formula>$H$4="Prev"</formula>
    </cfRule>
    <cfRule type="expression" dxfId="268" priority="400">
      <formula>$H$4="Real"</formula>
    </cfRule>
    <cfRule type="expression" dxfId="267" priority="398">
      <formula>$H$4="Fin"</formula>
    </cfRule>
  </conditionalFormatting>
  <conditionalFormatting sqref="H6 H30">
    <cfRule type="expression" dxfId="266" priority="22">
      <formula>$H$6&lt;$H$30</formula>
    </cfRule>
  </conditionalFormatting>
  <conditionalFormatting sqref="H6">
    <cfRule type="expression" dxfId="265" priority="138">
      <formula>$H$4="Fin"</formula>
    </cfRule>
  </conditionalFormatting>
  <conditionalFormatting sqref="H7:H13">
    <cfRule type="expression" dxfId="264" priority="137">
      <formula>$H$4="Fin"</formula>
    </cfRule>
  </conditionalFormatting>
  <conditionalFormatting sqref="H14:H15 H38 H43:H44">
    <cfRule type="expression" dxfId="263" priority="136">
      <formula>$H$4="Fin"</formula>
    </cfRule>
  </conditionalFormatting>
  <conditionalFormatting sqref="H18">
    <cfRule type="expression" dxfId="262" priority="135">
      <formula>$H$4="Fin"</formula>
    </cfRule>
  </conditionalFormatting>
  <conditionalFormatting sqref="H19:H25">
    <cfRule type="expression" dxfId="261" priority="134">
      <formula>$H$4="Fin"</formula>
    </cfRule>
  </conditionalFormatting>
  <conditionalFormatting sqref="H26:H27">
    <cfRule type="expression" dxfId="260" priority="133">
      <formula>$H$4="Fin"</formula>
    </cfRule>
  </conditionalFormatting>
  <conditionalFormatting sqref="H30">
    <cfRule type="expression" dxfId="259" priority="28">
      <formula>$H$4="Fin"</formula>
    </cfRule>
  </conditionalFormatting>
  <conditionalFormatting sqref="H31:H37">
    <cfRule type="expression" dxfId="258" priority="131">
      <formula>$H$4="Fin"</formula>
    </cfRule>
  </conditionalFormatting>
  <conditionalFormatting sqref="H40">
    <cfRule type="expression" dxfId="257" priority="128">
      <formula>$H$40=FALSE</formula>
    </cfRule>
    <cfRule type="expression" dxfId="256" priority="129">
      <formula>$H$4="Fin"</formula>
    </cfRule>
  </conditionalFormatting>
  <conditionalFormatting sqref="I4">
    <cfRule type="expression" dxfId="255" priority="403">
      <formula>$I$4="Real"</formula>
    </cfRule>
    <cfRule type="expression" dxfId="254" priority="401">
      <formula>$I$4="Fin"</formula>
    </cfRule>
    <cfRule type="expression" dxfId="253" priority="402">
      <formula>$I$4="Prev"</formula>
    </cfRule>
  </conditionalFormatting>
  <conditionalFormatting sqref="I6 I30">
    <cfRule type="expression" dxfId="252" priority="23">
      <formula>$I$6&lt;$I$30</formula>
    </cfRule>
  </conditionalFormatting>
  <conditionalFormatting sqref="I6">
    <cfRule type="expression" dxfId="251" priority="149">
      <formula>$I$4="Fin"</formula>
    </cfRule>
  </conditionalFormatting>
  <conditionalFormatting sqref="I7:I13">
    <cfRule type="expression" dxfId="250" priority="148">
      <formula>$I$4="Fin"</formula>
    </cfRule>
  </conditionalFormatting>
  <conditionalFormatting sqref="I14:I15 I38 I43:I44">
    <cfRule type="expression" dxfId="249" priority="147">
      <formula>$I$4="Fin"</formula>
    </cfRule>
  </conditionalFormatting>
  <conditionalFormatting sqref="I18">
    <cfRule type="expression" dxfId="248" priority="146">
      <formula>$I$4="Fin"</formula>
    </cfRule>
  </conditionalFormatting>
  <conditionalFormatting sqref="I19:I25">
    <cfRule type="expression" dxfId="247" priority="145">
      <formula>$I$4="Fin"</formula>
    </cfRule>
  </conditionalFormatting>
  <conditionalFormatting sqref="I26:I27">
    <cfRule type="expression" dxfId="246" priority="144">
      <formula>$I$4="Fin"</formula>
    </cfRule>
  </conditionalFormatting>
  <conditionalFormatting sqref="I30">
    <cfRule type="expression" dxfId="245" priority="27">
      <formula>$I$4="Fin"</formula>
    </cfRule>
  </conditionalFormatting>
  <conditionalFormatting sqref="I31:I37">
    <cfRule type="expression" dxfId="244" priority="142">
      <formula>$I$4="Fin"</formula>
    </cfRule>
  </conditionalFormatting>
  <conditionalFormatting sqref="I40">
    <cfRule type="expression" dxfId="243" priority="139">
      <formula>$I$40=FALSE</formula>
    </cfRule>
    <cfRule type="expression" dxfId="242" priority="140">
      <formula>$I$4="Fin"</formula>
    </cfRule>
  </conditionalFormatting>
  <conditionalFormatting sqref="I2:M2">
    <cfRule type="expression" dxfId="241" priority="38">
      <formula>$M$2=0</formula>
    </cfRule>
  </conditionalFormatting>
  <conditionalFormatting sqref="J4">
    <cfRule type="expression" dxfId="240" priority="386">
      <formula>$J$4="Fin"</formula>
    </cfRule>
    <cfRule type="expression" dxfId="239" priority="387">
      <formula>$J$4="Prev"</formula>
    </cfRule>
    <cfRule type="expression" dxfId="238" priority="388">
      <formula>$J$4="Real"</formula>
    </cfRule>
  </conditionalFormatting>
  <conditionalFormatting sqref="J6 J30">
    <cfRule type="expression" dxfId="237" priority="21">
      <formula>$J$6&lt;$J$30</formula>
    </cfRule>
  </conditionalFormatting>
  <conditionalFormatting sqref="J6">
    <cfRule type="expression" dxfId="236" priority="160">
      <formula>$J$4="Fin"</formula>
    </cfRule>
  </conditionalFormatting>
  <conditionalFormatting sqref="J7:J13">
    <cfRule type="expression" dxfId="235" priority="159">
      <formula>$J$4="Fin"</formula>
    </cfRule>
  </conditionalFormatting>
  <conditionalFormatting sqref="J14:J15 J38 J43:J44">
    <cfRule type="expression" dxfId="234" priority="158">
      <formula>$J$4="Fin"</formula>
    </cfRule>
  </conditionalFormatting>
  <conditionalFormatting sqref="J18">
    <cfRule type="expression" dxfId="233" priority="157">
      <formula>$J$4="Fin"</formula>
    </cfRule>
  </conditionalFormatting>
  <conditionalFormatting sqref="J19:J25">
    <cfRule type="expression" dxfId="232" priority="156">
      <formula>$J$4="Fin"</formula>
    </cfRule>
  </conditionalFormatting>
  <conditionalFormatting sqref="J26:J27">
    <cfRule type="expression" dxfId="231" priority="155">
      <formula>$J$4="Fin"</formula>
    </cfRule>
  </conditionalFormatting>
  <conditionalFormatting sqref="J30">
    <cfRule type="expression" dxfId="230" priority="154">
      <formula>$J$4="Fin"</formula>
    </cfRule>
  </conditionalFormatting>
  <conditionalFormatting sqref="J31:J37">
    <cfRule type="expression" dxfId="229" priority="153">
      <formula>$J$4="Fin"</formula>
    </cfRule>
  </conditionalFormatting>
  <conditionalFormatting sqref="J40">
    <cfRule type="expression" dxfId="228" priority="151">
      <formula>$J$4="Fin"</formula>
    </cfRule>
    <cfRule type="expression" dxfId="227" priority="150">
      <formula>$J$40=FALSE</formula>
    </cfRule>
  </conditionalFormatting>
  <conditionalFormatting sqref="K4">
    <cfRule type="expression" dxfId="226" priority="384">
      <formula>$K$4="Prev"</formula>
    </cfRule>
    <cfRule type="expression" dxfId="225" priority="383">
      <formula>$K$4="Fin"</formula>
    </cfRule>
    <cfRule type="expression" dxfId="224" priority="385">
      <formula>$K$4="Real"</formula>
    </cfRule>
  </conditionalFormatting>
  <conditionalFormatting sqref="K6 K30">
    <cfRule type="expression" dxfId="223" priority="20">
      <formula>$K$6&lt;$K$30</formula>
    </cfRule>
  </conditionalFormatting>
  <conditionalFormatting sqref="K6">
    <cfRule type="expression" dxfId="222" priority="171">
      <formula>$K$4="Fin"</formula>
    </cfRule>
  </conditionalFormatting>
  <conditionalFormatting sqref="K7:K13">
    <cfRule type="expression" dxfId="221" priority="170">
      <formula>$K$4="Fin"</formula>
    </cfRule>
  </conditionalFormatting>
  <conditionalFormatting sqref="K14:K15 K38 K43:K44">
    <cfRule type="expression" dxfId="220" priority="169">
      <formula>$K$4="Fin"</formula>
    </cfRule>
  </conditionalFormatting>
  <conditionalFormatting sqref="K18">
    <cfRule type="expression" dxfId="219" priority="168">
      <formula>$K$4="Fin"</formula>
    </cfRule>
  </conditionalFormatting>
  <conditionalFormatting sqref="K19:K25">
    <cfRule type="expression" dxfId="218" priority="167">
      <formula>$K$4="Fin"</formula>
    </cfRule>
  </conditionalFormatting>
  <conditionalFormatting sqref="K26:K27">
    <cfRule type="expression" dxfId="217" priority="166">
      <formula>$K$4="Fin"</formula>
    </cfRule>
  </conditionalFormatting>
  <conditionalFormatting sqref="K30">
    <cfRule type="expression" dxfId="216" priority="165">
      <formula>$K$4="Fin"</formula>
    </cfRule>
  </conditionalFormatting>
  <conditionalFormatting sqref="K31:K37">
    <cfRule type="expression" dxfId="215" priority="164">
      <formula>$K$4="Fin"</formula>
    </cfRule>
  </conditionalFormatting>
  <conditionalFormatting sqref="K40">
    <cfRule type="expression" dxfId="214" priority="161">
      <formula>$K$40=FALSE</formula>
    </cfRule>
    <cfRule type="expression" dxfId="213" priority="162">
      <formula>$K$4="Fin"</formula>
    </cfRule>
  </conditionalFormatting>
  <conditionalFormatting sqref="L4">
    <cfRule type="expression" dxfId="212" priority="381">
      <formula>$L$4="Prev"</formula>
    </cfRule>
    <cfRule type="expression" dxfId="211" priority="382">
      <formula>$L$4="Real"</formula>
    </cfRule>
    <cfRule type="expression" dxfId="210" priority="380">
      <formula>$L$4="Fin"</formula>
    </cfRule>
  </conditionalFormatting>
  <conditionalFormatting sqref="L6 L30">
    <cfRule type="expression" dxfId="209" priority="19">
      <formula>$L$6&lt;$L$30</formula>
    </cfRule>
  </conditionalFormatting>
  <conditionalFormatting sqref="L6">
    <cfRule type="expression" dxfId="208" priority="182">
      <formula>$L$4="Fin"</formula>
    </cfRule>
  </conditionalFormatting>
  <conditionalFormatting sqref="L7:L13">
    <cfRule type="expression" dxfId="207" priority="181">
      <formula>$L$4="Fin"</formula>
    </cfRule>
  </conditionalFormatting>
  <conditionalFormatting sqref="L14:L15 L38 L43:L44">
    <cfRule type="expression" dxfId="206" priority="180">
      <formula>$L$4="Fin"</formula>
    </cfRule>
  </conditionalFormatting>
  <conditionalFormatting sqref="L18">
    <cfRule type="expression" dxfId="205" priority="179">
      <formula>$L$4="Fin"</formula>
    </cfRule>
  </conditionalFormatting>
  <conditionalFormatting sqref="L19:L25">
    <cfRule type="expression" dxfId="204" priority="178">
      <formula>$L$4="Fin"</formula>
    </cfRule>
  </conditionalFormatting>
  <conditionalFormatting sqref="L26:L27">
    <cfRule type="expression" dxfId="203" priority="177">
      <formula>$L$4="Fin"</formula>
    </cfRule>
  </conditionalFormatting>
  <conditionalFormatting sqref="L30">
    <cfRule type="expression" dxfId="202" priority="176">
      <formula>$L$4="Fin"</formula>
    </cfRule>
  </conditionalFormatting>
  <conditionalFormatting sqref="L31:L37">
    <cfRule type="expression" dxfId="201" priority="175">
      <formula>$L$4="Fin"</formula>
    </cfRule>
  </conditionalFormatting>
  <conditionalFormatting sqref="L40">
    <cfRule type="expression" dxfId="200" priority="173">
      <formula>$L$4="Fin"</formula>
    </cfRule>
    <cfRule type="expression" dxfId="199" priority="172">
      <formula>$L$40=FALSE</formula>
    </cfRule>
  </conditionalFormatting>
  <conditionalFormatting sqref="M4">
    <cfRule type="expression" dxfId="198" priority="377">
      <formula>$M$4="Fin"</formula>
    </cfRule>
    <cfRule type="expression" dxfId="197" priority="378">
      <formula>$M$4="Prev"</formula>
    </cfRule>
    <cfRule type="expression" dxfId="196" priority="379">
      <formula>$M$4="Real"</formula>
    </cfRule>
  </conditionalFormatting>
  <conditionalFormatting sqref="M6 M30">
    <cfRule type="expression" dxfId="195" priority="18">
      <formula>$M$6&lt;$M$30</formula>
    </cfRule>
  </conditionalFormatting>
  <conditionalFormatting sqref="M6">
    <cfRule type="expression" dxfId="194" priority="193">
      <formula>$M$4="Fin"</formula>
    </cfRule>
  </conditionalFormatting>
  <conditionalFormatting sqref="M7:M13">
    <cfRule type="expression" dxfId="193" priority="192">
      <formula>$M$4="Fin"</formula>
    </cfRule>
  </conditionalFormatting>
  <conditionalFormatting sqref="M14:M15 M38 M43:M44">
    <cfRule type="expression" dxfId="192" priority="191">
      <formula>$M$4="Fin"</formula>
    </cfRule>
  </conditionalFormatting>
  <conditionalFormatting sqref="M18">
    <cfRule type="expression" dxfId="191" priority="190">
      <formula>$M$4="Fin"</formula>
    </cfRule>
  </conditionalFormatting>
  <conditionalFormatting sqref="M19:M25">
    <cfRule type="expression" dxfId="190" priority="189">
      <formula>$M$4="Fin"</formula>
    </cfRule>
  </conditionalFormatting>
  <conditionalFormatting sqref="M26:M27">
    <cfRule type="expression" dxfId="189" priority="188">
      <formula>$M$4="Fin"</formula>
    </cfRule>
  </conditionalFormatting>
  <conditionalFormatting sqref="M30">
    <cfRule type="expression" dxfId="188" priority="187">
      <formula>$M$4="Fin"</formula>
    </cfRule>
  </conditionalFormatting>
  <conditionalFormatting sqref="M31:M37">
    <cfRule type="expression" dxfId="187" priority="186">
      <formula>$M$4="Fin"</formula>
    </cfRule>
  </conditionalFormatting>
  <conditionalFormatting sqref="M40">
    <cfRule type="expression" dxfId="186" priority="183">
      <formula>$M$40=FALSE</formula>
    </cfRule>
    <cfRule type="expression" dxfId="185" priority="184">
      <formula>$M$4="Fin"</formula>
    </cfRule>
  </conditionalFormatting>
  <conditionalFormatting sqref="N4">
    <cfRule type="expression" dxfId="184" priority="374">
      <formula>$N$4="Fin"</formula>
    </cfRule>
    <cfRule type="expression" dxfId="183" priority="375">
      <formula>$N$4="Prev"</formula>
    </cfRule>
    <cfRule type="expression" dxfId="182" priority="376">
      <formula>$N$4="Real"</formula>
    </cfRule>
  </conditionalFormatting>
  <conditionalFormatting sqref="N6 N30">
    <cfRule type="expression" dxfId="181" priority="17">
      <formula>$N$6&lt;$N$30</formula>
    </cfRule>
  </conditionalFormatting>
  <conditionalFormatting sqref="N6">
    <cfRule type="expression" dxfId="180" priority="204">
      <formula>$N$4="Fin"</formula>
    </cfRule>
  </conditionalFormatting>
  <conditionalFormatting sqref="N7:N13">
    <cfRule type="expression" dxfId="179" priority="203">
      <formula>$N$4="Fin"</formula>
    </cfRule>
  </conditionalFormatting>
  <conditionalFormatting sqref="N14:N15 N38 N43:N44">
    <cfRule type="expression" dxfId="178" priority="202">
      <formula>$N$4="Fin"</formula>
    </cfRule>
  </conditionalFormatting>
  <conditionalFormatting sqref="N18">
    <cfRule type="expression" dxfId="177" priority="201">
      <formula>$N$4="Fin"</formula>
    </cfRule>
  </conditionalFormatting>
  <conditionalFormatting sqref="N19:N25">
    <cfRule type="expression" dxfId="176" priority="200">
      <formula>$N$4="Fin"</formula>
    </cfRule>
  </conditionalFormatting>
  <conditionalFormatting sqref="N26:N27">
    <cfRule type="expression" dxfId="175" priority="199">
      <formula>$N$4="Fin"</formula>
    </cfRule>
  </conditionalFormatting>
  <conditionalFormatting sqref="N30">
    <cfRule type="expression" dxfId="174" priority="198">
      <formula>$N$4="Fin"</formula>
    </cfRule>
  </conditionalFormatting>
  <conditionalFormatting sqref="N31:N37">
    <cfRule type="expression" dxfId="173" priority="197">
      <formula>$N$4="Fin"</formula>
    </cfRule>
  </conditionalFormatting>
  <conditionalFormatting sqref="N40">
    <cfRule type="expression" dxfId="172" priority="194">
      <formula>$N$40=FALSE</formula>
    </cfRule>
    <cfRule type="expression" dxfId="171" priority="195">
      <formula>$N$4="Fin"</formula>
    </cfRule>
  </conditionalFormatting>
  <conditionalFormatting sqref="O4">
    <cfRule type="expression" dxfId="170" priority="372">
      <formula>$O$4="Prev"</formula>
    </cfRule>
    <cfRule type="expression" dxfId="169" priority="371">
      <formula>$O$4="Fin"</formula>
    </cfRule>
    <cfRule type="expression" dxfId="168" priority="373">
      <formula>$O$4="Real"</formula>
    </cfRule>
  </conditionalFormatting>
  <conditionalFormatting sqref="O6 O30">
    <cfRule type="expression" dxfId="167" priority="16">
      <formula>$O$6&lt;$O$30</formula>
    </cfRule>
  </conditionalFormatting>
  <conditionalFormatting sqref="O6">
    <cfRule type="expression" dxfId="166" priority="215">
      <formula>$O$4="Fin"</formula>
    </cfRule>
  </conditionalFormatting>
  <conditionalFormatting sqref="O7:O13">
    <cfRule type="expression" dxfId="165" priority="214">
      <formula>$O$4="Fin"</formula>
    </cfRule>
  </conditionalFormatting>
  <conditionalFormatting sqref="O14:O15 O38 O43:O44">
    <cfRule type="expression" dxfId="164" priority="213">
      <formula>$O$4="Fin"</formula>
    </cfRule>
  </conditionalFormatting>
  <conditionalFormatting sqref="O18">
    <cfRule type="expression" dxfId="163" priority="212">
      <formula>$O$4="Fin"</formula>
    </cfRule>
  </conditionalFormatting>
  <conditionalFormatting sqref="O19:O25">
    <cfRule type="expression" dxfId="162" priority="211">
      <formula>$O$4="Fin"</formula>
    </cfRule>
  </conditionalFormatting>
  <conditionalFormatting sqref="O26:O27">
    <cfRule type="expression" dxfId="161" priority="210">
      <formula>$O$4="Fin"</formula>
    </cfRule>
  </conditionalFormatting>
  <conditionalFormatting sqref="O30">
    <cfRule type="expression" dxfId="160" priority="209">
      <formula>$O$4="Fin"</formula>
    </cfRule>
  </conditionalFormatting>
  <conditionalFormatting sqref="O31:O37">
    <cfRule type="expression" dxfId="159" priority="208">
      <formula>$O$4="Fin"</formula>
    </cfRule>
  </conditionalFormatting>
  <conditionalFormatting sqref="O40">
    <cfRule type="expression" dxfId="158" priority="206">
      <formula>$O$4="Fin"</formula>
    </cfRule>
    <cfRule type="expression" dxfId="157" priority="205">
      <formula>$O$40=FALSE</formula>
    </cfRule>
  </conditionalFormatting>
  <conditionalFormatting sqref="P4">
    <cfRule type="expression" dxfId="156" priority="370">
      <formula>$P$4="Real"</formula>
    </cfRule>
    <cfRule type="expression" dxfId="155" priority="368">
      <formula>$P$4="Fin"</formula>
    </cfRule>
    <cfRule type="expression" dxfId="154" priority="369">
      <formula>$P$4="Prev"</formula>
    </cfRule>
  </conditionalFormatting>
  <conditionalFormatting sqref="P6 P30">
    <cfRule type="expression" dxfId="153" priority="15">
      <formula>$P$6&lt;$P$30</formula>
    </cfRule>
  </conditionalFormatting>
  <conditionalFormatting sqref="P6">
    <cfRule type="expression" dxfId="152" priority="226">
      <formula>$P$4="Fin"</formula>
    </cfRule>
  </conditionalFormatting>
  <conditionalFormatting sqref="P7:P13">
    <cfRule type="expression" dxfId="151" priority="225">
      <formula>$P$4="Fin"</formula>
    </cfRule>
  </conditionalFormatting>
  <conditionalFormatting sqref="P14:P15 P38 P43:P44">
    <cfRule type="expression" dxfId="150" priority="224">
      <formula>$P$4="Fin"</formula>
    </cfRule>
  </conditionalFormatting>
  <conditionalFormatting sqref="P18">
    <cfRule type="expression" dxfId="149" priority="223">
      <formula>$P$4="Fin"</formula>
    </cfRule>
  </conditionalFormatting>
  <conditionalFormatting sqref="P19:P25 Q24">
    <cfRule type="expression" dxfId="148" priority="222">
      <formula>$P$4="Fin"</formula>
    </cfRule>
  </conditionalFormatting>
  <conditionalFormatting sqref="P26:P27">
    <cfRule type="expression" dxfId="147" priority="221">
      <formula>$P$4="Fin"</formula>
    </cfRule>
  </conditionalFormatting>
  <conditionalFormatting sqref="P30">
    <cfRule type="expression" dxfId="146" priority="220">
      <formula>$P$4="Fin"</formula>
    </cfRule>
  </conditionalFormatting>
  <conditionalFormatting sqref="P31:P37">
    <cfRule type="expression" dxfId="145" priority="219">
      <formula>$P$4="Fin"</formula>
    </cfRule>
  </conditionalFormatting>
  <conditionalFormatting sqref="P40">
    <cfRule type="expression" dxfId="144" priority="216">
      <formula>$P$40=FALSE</formula>
    </cfRule>
    <cfRule type="expression" dxfId="143" priority="217">
      <formula>$P$4="Fin"</formula>
    </cfRule>
  </conditionalFormatting>
  <conditionalFormatting sqref="Q4">
    <cfRule type="expression" dxfId="142" priority="366">
      <formula>$Q$4="Prev"</formula>
    </cfRule>
    <cfRule type="expression" dxfId="141" priority="365">
      <formula>$Q$4="Fin"</formula>
    </cfRule>
    <cfRule type="expression" dxfId="140" priority="367">
      <formula>$Q$4="Real"</formula>
    </cfRule>
  </conditionalFormatting>
  <conditionalFormatting sqref="Q6 Q30">
    <cfRule type="expression" dxfId="139" priority="14">
      <formula>$Q$6&lt;$Q$30</formula>
    </cfRule>
  </conditionalFormatting>
  <conditionalFormatting sqref="Q6">
    <cfRule type="expression" dxfId="138" priority="237">
      <formula>$Q$4="Fin"</formula>
    </cfRule>
  </conditionalFormatting>
  <conditionalFormatting sqref="Q7:Q13">
    <cfRule type="expression" dxfId="137" priority="236">
      <formula>$Q$4="Fin"</formula>
    </cfRule>
  </conditionalFormatting>
  <conditionalFormatting sqref="Q14:Q15 Q38 Q43:Q44">
    <cfRule type="expression" dxfId="136" priority="235">
      <formula>$Q$4="Fin"</formula>
    </cfRule>
  </conditionalFormatting>
  <conditionalFormatting sqref="Q18">
    <cfRule type="expression" dxfId="135" priority="234">
      <formula>$Q$4="Fin"</formula>
    </cfRule>
  </conditionalFormatting>
  <conditionalFormatting sqref="Q19:Q23 Q25">
    <cfRule type="expression" dxfId="134" priority="233">
      <formula>$Q$4="Fin"</formula>
    </cfRule>
  </conditionalFormatting>
  <conditionalFormatting sqref="Q26:Q27">
    <cfRule type="expression" dxfId="133" priority="232">
      <formula>$Q$4="Fin"</formula>
    </cfRule>
  </conditionalFormatting>
  <conditionalFormatting sqref="Q30">
    <cfRule type="expression" dxfId="132" priority="231">
      <formula>$Q$4="Fin"</formula>
    </cfRule>
  </conditionalFormatting>
  <conditionalFormatting sqref="Q31:Q37">
    <cfRule type="expression" dxfId="131" priority="230">
      <formula>$Q$4="Fin"</formula>
    </cfRule>
  </conditionalFormatting>
  <conditionalFormatting sqref="Q40">
    <cfRule type="expression" dxfId="130" priority="227">
      <formula>$Q$40=FALSE</formula>
    </cfRule>
    <cfRule type="expression" dxfId="129" priority="228">
      <formula>$Q$4="Fin"</formula>
    </cfRule>
  </conditionalFormatting>
  <conditionalFormatting sqref="R4">
    <cfRule type="expression" dxfId="128" priority="364">
      <formula>$R$4="Real"</formula>
    </cfRule>
    <cfRule type="expression" dxfId="127" priority="363">
      <formula>$R$4="Prev"</formula>
    </cfRule>
    <cfRule type="expression" dxfId="126" priority="362">
      <formula>$R$4="Fin"</formula>
    </cfRule>
  </conditionalFormatting>
  <conditionalFormatting sqref="R6 R30">
    <cfRule type="expression" dxfId="125" priority="13">
      <formula>$R$6&lt;$R$30</formula>
    </cfRule>
  </conditionalFormatting>
  <conditionalFormatting sqref="R6">
    <cfRule type="expression" dxfId="124" priority="258">
      <formula>$R$4="Fin"</formula>
    </cfRule>
  </conditionalFormatting>
  <conditionalFormatting sqref="R7:R13">
    <cfRule type="expression" dxfId="123" priority="257">
      <formula>$R$4="Fin"</formula>
    </cfRule>
  </conditionalFormatting>
  <conditionalFormatting sqref="R14:R15 R38 R43:R44">
    <cfRule type="expression" dxfId="122" priority="256">
      <formula>$R$4="Fin"</formula>
    </cfRule>
  </conditionalFormatting>
  <conditionalFormatting sqref="R18">
    <cfRule type="expression" dxfId="121" priority="255">
      <formula>$R$4="Fin"</formula>
    </cfRule>
  </conditionalFormatting>
  <conditionalFormatting sqref="R19:R25">
    <cfRule type="expression" dxfId="120" priority="254">
      <formula>$R$4="Fin"</formula>
    </cfRule>
  </conditionalFormatting>
  <conditionalFormatting sqref="R26:R27">
    <cfRule type="expression" dxfId="119" priority="253">
      <formula>$R$4="Fin"</formula>
    </cfRule>
  </conditionalFormatting>
  <conditionalFormatting sqref="R30">
    <cfRule type="expression" dxfId="118" priority="252">
      <formula>$R$4="Fin"</formula>
    </cfRule>
  </conditionalFormatting>
  <conditionalFormatting sqref="R31:R37">
    <cfRule type="expression" dxfId="117" priority="251">
      <formula>$R$4="Fin"</formula>
    </cfRule>
  </conditionalFormatting>
  <conditionalFormatting sqref="R40">
    <cfRule type="expression" dxfId="116" priority="249">
      <formula>$R$4="Fin"</formula>
    </cfRule>
    <cfRule type="expression" dxfId="115" priority="238">
      <formula>$R$40=FALSE</formula>
    </cfRule>
  </conditionalFormatting>
  <conditionalFormatting sqref="S4">
    <cfRule type="expression" dxfId="114" priority="361">
      <formula>$S$4="Real"</formula>
    </cfRule>
    <cfRule type="expression" dxfId="113" priority="360">
      <formula>$S$4="Prev"</formula>
    </cfRule>
    <cfRule type="expression" dxfId="112" priority="359">
      <formula>$S$4="Fin"</formula>
    </cfRule>
  </conditionalFormatting>
  <conditionalFormatting sqref="S6 S30">
    <cfRule type="expression" dxfId="111" priority="12">
      <formula>$S$6&lt;$S$30</formula>
    </cfRule>
  </conditionalFormatting>
  <conditionalFormatting sqref="S6">
    <cfRule type="expression" dxfId="110" priority="268">
      <formula>$S$4="Fin"</formula>
    </cfRule>
  </conditionalFormatting>
  <conditionalFormatting sqref="S7:S13">
    <cfRule type="expression" dxfId="109" priority="267">
      <formula>$S$4="Fin"</formula>
    </cfRule>
  </conditionalFormatting>
  <conditionalFormatting sqref="S14:S15 S38 S43:S44">
    <cfRule type="expression" dxfId="108" priority="266">
      <formula>$S$4="Fin"</formula>
    </cfRule>
  </conditionalFormatting>
  <conditionalFormatting sqref="S18">
    <cfRule type="expression" dxfId="107" priority="265">
      <formula>$S$4="Fin"</formula>
    </cfRule>
  </conditionalFormatting>
  <conditionalFormatting sqref="S19:S25">
    <cfRule type="expression" dxfId="106" priority="264">
      <formula>$S$4="Fin"</formula>
    </cfRule>
  </conditionalFormatting>
  <conditionalFormatting sqref="S26:S27">
    <cfRule type="expression" dxfId="105" priority="263">
      <formula>$S$4="Fin"</formula>
    </cfRule>
  </conditionalFormatting>
  <conditionalFormatting sqref="S30">
    <cfRule type="expression" dxfId="104" priority="262">
      <formula>$S$4="Fin"</formula>
    </cfRule>
  </conditionalFormatting>
  <conditionalFormatting sqref="S31:S37">
    <cfRule type="expression" dxfId="103" priority="261">
      <formula>$S$4="Fin"</formula>
    </cfRule>
  </conditionalFormatting>
  <conditionalFormatting sqref="S40">
    <cfRule type="expression" dxfId="102" priority="259">
      <formula>$S$4="Fin"</formula>
    </cfRule>
    <cfRule type="expression" dxfId="101" priority="239">
      <formula>$S$40=FALSE</formula>
    </cfRule>
  </conditionalFormatting>
  <conditionalFormatting sqref="T4">
    <cfRule type="expression" dxfId="100" priority="356">
      <formula>$T$4="Fin"</formula>
    </cfRule>
    <cfRule type="expression" dxfId="99" priority="357">
      <formula>$T$4="Prev"</formula>
    </cfRule>
    <cfRule type="expression" dxfId="98" priority="358">
      <formula>$T$4="Real"</formula>
    </cfRule>
  </conditionalFormatting>
  <conditionalFormatting sqref="T6 T30">
    <cfRule type="expression" dxfId="97" priority="11">
      <formula>$T$6&lt;$T$30</formula>
    </cfRule>
  </conditionalFormatting>
  <conditionalFormatting sqref="T6">
    <cfRule type="expression" dxfId="96" priority="278">
      <formula>$T$4="Fin"</formula>
    </cfRule>
  </conditionalFormatting>
  <conditionalFormatting sqref="T7:T13">
    <cfRule type="expression" dxfId="95" priority="277">
      <formula>$T$4="Fin"</formula>
    </cfRule>
  </conditionalFormatting>
  <conditionalFormatting sqref="T14:T15 T38 T43:T44">
    <cfRule type="expression" dxfId="94" priority="276">
      <formula>$T$4="Fin"</formula>
    </cfRule>
  </conditionalFormatting>
  <conditionalFormatting sqref="T18">
    <cfRule type="expression" dxfId="93" priority="275">
      <formula>$T$4="Fin"</formula>
    </cfRule>
  </conditionalFormatting>
  <conditionalFormatting sqref="T19:T25">
    <cfRule type="expression" dxfId="92" priority="274">
      <formula>$T$4="Fin"</formula>
    </cfRule>
  </conditionalFormatting>
  <conditionalFormatting sqref="T26:T27">
    <cfRule type="expression" dxfId="91" priority="273">
      <formula>$T$4="Fin"</formula>
    </cfRule>
  </conditionalFormatting>
  <conditionalFormatting sqref="T30">
    <cfRule type="expression" dxfId="90" priority="272">
      <formula>$T$4="Fin"</formula>
    </cfRule>
  </conditionalFormatting>
  <conditionalFormatting sqref="T31:T37">
    <cfRule type="expression" dxfId="89" priority="271">
      <formula>$T$4="Fin"</formula>
    </cfRule>
  </conditionalFormatting>
  <conditionalFormatting sqref="T40">
    <cfRule type="expression" dxfId="88" priority="269">
      <formula>$T$4="Fin"</formula>
    </cfRule>
    <cfRule type="expression" dxfId="87" priority="240">
      <formula>$T$40=FALSE</formula>
    </cfRule>
  </conditionalFormatting>
  <conditionalFormatting sqref="U4">
    <cfRule type="expression" dxfId="86" priority="353">
      <formula>$U$4="Fin"</formula>
    </cfRule>
    <cfRule type="expression" dxfId="85" priority="354">
      <formula>$U$4="Prev"</formula>
    </cfRule>
    <cfRule type="expression" dxfId="84" priority="355">
      <formula>$U$4="Real"</formula>
    </cfRule>
  </conditionalFormatting>
  <conditionalFormatting sqref="U6 U30">
    <cfRule type="expression" dxfId="83" priority="10">
      <formula>$U$6&lt;$U$30</formula>
    </cfRule>
  </conditionalFormatting>
  <conditionalFormatting sqref="U6">
    <cfRule type="expression" dxfId="82" priority="288">
      <formula>$U$4="Fin"</formula>
    </cfRule>
  </conditionalFormatting>
  <conditionalFormatting sqref="U7:U13">
    <cfRule type="expression" dxfId="81" priority="287">
      <formula>$U$4="Fin"</formula>
    </cfRule>
  </conditionalFormatting>
  <conditionalFormatting sqref="U14:U15 U38 U43:U44">
    <cfRule type="expression" dxfId="80" priority="286">
      <formula>$U$4="Fin"</formula>
    </cfRule>
  </conditionalFormatting>
  <conditionalFormatting sqref="U18">
    <cfRule type="expression" dxfId="79" priority="285">
      <formula>$U$4="Fin"</formula>
    </cfRule>
  </conditionalFormatting>
  <conditionalFormatting sqref="U19:U25">
    <cfRule type="expression" dxfId="78" priority="284">
      <formula>$U$4="Fin"</formula>
    </cfRule>
  </conditionalFormatting>
  <conditionalFormatting sqref="U26:U27">
    <cfRule type="expression" dxfId="77" priority="283">
      <formula>$U$4="Fin"</formula>
    </cfRule>
  </conditionalFormatting>
  <conditionalFormatting sqref="U30">
    <cfRule type="expression" dxfId="76" priority="282">
      <formula>$U$4="Fin"</formula>
    </cfRule>
  </conditionalFormatting>
  <conditionalFormatting sqref="U31:U37">
    <cfRule type="expression" dxfId="75" priority="281">
      <formula>$U$4="Fin"</formula>
    </cfRule>
  </conditionalFormatting>
  <conditionalFormatting sqref="U40">
    <cfRule type="expression" dxfId="74" priority="279">
      <formula>$U$4="Fin"</formula>
    </cfRule>
    <cfRule type="expression" dxfId="73" priority="241">
      <formula>$U$40=FALSE</formula>
    </cfRule>
  </conditionalFormatting>
  <conditionalFormatting sqref="V4">
    <cfRule type="expression" dxfId="72" priority="350">
      <formula>$V$4="Fin"</formula>
    </cfRule>
    <cfRule type="expression" dxfId="71" priority="351">
      <formula>$V$4="Prev"</formula>
    </cfRule>
    <cfRule type="expression" dxfId="70" priority="352">
      <formula>$V$4="Real"</formula>
    </cfRule>
  </conditionalFormatting>
  <conditionalFormatting sqref="V6 V30">
    <cfRule type="expression" dxfId="69" priority="8">
      <formula>$V$6&lt;$V$30</formula>
    </cfRule>
  </conditionalFormatting>
  <conditionalFormatting sqref="V6">
    <cfRule type="expression" dxfId="68" priority="298">
      <formula>$V$4="Fin"</formula>
    </cfRule>
  </conditionalFormatting>
  <conditionalFormatting sqref="V7:V13">
    <cfRule type="expression" dxfId="67" priority="297">
      <formula>$V$4="Fin"</formula>
    </cfRule>
  </conditionalFormatting>
  <conditionalFormatting sqref="V14:V15 V38 V43:V44">
    <cfRule type="expression" dxfId="66" priority="296">
      <formula>$V$4="Fin"</formula>
    </cfRule>
  </conditionalFormatting>
  <conditionalFormatting sqref="V18">
    <cfRule type="expression" dxfId="65" priority="295">
      <formula>$V$4="Fin"</formula>
    </cfRule>
  </conditionalFormatting>
  <conditionalFormatting sqref="V19:V25">
    <cfRule type="expression" dxfId="64" priority="294">
      <formula>$V$4="Fin"</formula>
    </cfRule>
  </conditionalFormatting>
  <conditionalFormatting sqref="V26:V27">
    <cfRule type="expression" dxfId="63" priority="293">
      <formula>$V$4="Fin"</formula>
    </cfRule>
  </conditionalFormatting>
  <conditionalFormatting sqref="V30">
    <cfRule type="expression" dxfId="62" priority="292">
      <formula>$V$4="Fin"</formula>
    </cfRule>
  </conditionalFormatting>
  <conditionalFormatting sqref="V31:V37">
    <cfRule type="expression" dxfId="61" priority="291">
      <formula>$V$4="Fin"</formula>
    </cfRule>
  </conditionalFormatting>
  <conditionalFormatting sqref="V40">
    <cfRule type="expression" dxfId="60" priority="242">
      <formula>$V$40=FALSE</formula>
    </cfRule>
    <cfRule type="expression" dxfId="59" priority="289">
      <formula>$V$4="Fin"</formula>
    </cfRule>
  </conditionalFormatting>
  <conditionalFormatting sqref="W4">
    <cfRule type="expression" dxfId="58" priority="349">
      <formula>$W$4="Real"</formula>
    </cfRule>
    <cfRule type="expression" dxfId="57" priority="348">
      <formula>$W$4="Prev"</formula>
    </cfRule>
    <cfRule type="expression" dxfId="56" priority="347">
      <formula>$W$4="Fin"</formula>
    </cfRule>
  </conditionalFormatting>
  <conditionalFormatting sqref="W6 W30 W18">
    <cfRule type="expression" dxfId="55" priority="307">
      <formula>$W$4="Fin"</formula>
    </cfRule>
  </conditionalFormatting>
  <conditionalFormatting sqref="W6 W30">
    <cfRule type="expression" dxfId="54" priority="9">
      <formula>$W$6&lt;$W$30</formula>
    </cfRule>
  </conditionalFormatting>
  <conditionalFormatting sqref="W7:W13 W19:W25 W31:W37">
    <cfRule type="expression" dxfId="53" priority="304">
      <formula>$W$4="Fin"</formula>
    </cfRule>
  </conditionalFormatting>
  <conditionalFormatting sqref="W14:W15 W26:W27 W38 W43:W44">
    <cfRule type="expression" dxfId="52" priority="305">
      <formula>$W$4="Fin"</formula>
    </cfRule>
  </conditionalFormatting>
  <conditionalFormatting sqref="W40">
    <cfRule type="expression" dxfId="51" priority="243">
      <formula>$W$40=FALSE</formula>
    </cfRule>
    <cfRule type="expression" dxfId="50" priority="303">
      <formula>$W$4="Fin"</formula>
    </cfRule>
  </conditionalFormatting>
  <conditionalFormatting sqref="X4">
    <cfRule type="expression" dxfId="49" priority="344">
      <formula>$X$4="Fin"</formula>
    </cfRule>
    <cfRule type="expression" dxfId="48" priority="346">
      <formula>$X$4="Real"</formula>
    </cfRule>
    <cfRule type="expression" dxfId="47" priority="345">
      <formula>$X$4="Prev"</formula>
    </cfRule>
  </conditionalFormatting>
  <conditionalFormatting sqref="X6 X30 X18">
    <cfRule type="expression" dxfId="46" priority="310">
      <formula>$X$4="Fin"</formula>
    </cfRule>
  </conditionalFormatting>
  <conditionalFormatting sqref="X6 X30">
    <cfRule type="expression" dxfId="45" priority="7">
      <formula>$X$6&lt;$X$30</formula>
    </cfRule>
  </conditionalFormatting>
  <conditionalFormatting sqref="X7:X13 X19:X25 X31:X37">
    <cfRule type="expression" dxfId="44" priority="309">
      <formula>$X$4="Fin"</formula>
    </cfRule>
  </conditionalFormatting>
  <conditionalFormatting sqref="X14:X15 X26:X27 X38 X43:X44">
    <cfRule type="expression" dxfId="43" priority="308">
      <formula>$X$4="Fin"</formula>
    </cfRule>
  </conditionalFormatting>
  <conditionalFormatting sqref="X40">
    <cfRule type="expression" dxfId="42" priority="301">
      <formula>$X$4="Fin"</formula>
    </cfRule>
    <cfRule type="expression" dxfId="41" priority="244">
      <formula>$X$40=FALSE</formula>
    </cfRule>
  </conditionalFormatting>
  <conditionalFormatting sqref="Y4">
    <cfRule type="expression" dxfId="40" priority="343">
      <formula>$Y$4="Real"</formula>
    </cfRule>
    <cfRule type="expression" dxfId="39" priority="342">
      <formula>$Y$4="Prev"</formula>
    </cfRule>
    <cfRule type="expression" dxfId="38" priority="341">
      <formula>$Y$4="Fin"</formula>
    </cfRule>
  </conditionalFormatting>
  <conditionalFormatting sqref="Y6 Y30 Y18">
    <cfRule type="expression" dxfId="37" priority="317">
      <formula>$Y$4="Fin"</formula>
    </cfRule>
  </conditionalFormatting>
  <conditionalFormatting sqref="Y6 Y30">
    <cfRule type="expression" dxfId="36" priority="6">
      <formula>$Y$6&lt;$Y$30</formula>
    </cfRule>
  </conditionalFormatting>
  <conditionalFormatting sqref="Y7:Y13 Y19:Y25 Y31:Y37">
    <cfRule type="expression" dxfId="35" priority="312">
      <formula>$Y$4="Fin"</formula>
    </cfRule>
  </conditionalFormatting>
  <conditionalFormatting sqref="Y14:Y15 Y26:Y27 Y38 Y43:Y44">
    <cfRule type="expression" dxfId="34" priority="314">
      <formula>$Y$4="Fin"</formula>
    </cfRule>
  </conditionalFormatting>
  <conditionalFormatting sqref="Y40">
    <cfRule type="expression" dxfId="33" priority="311">
      <formula>$Y$4="Fin"</formula>
    </cfRule>
    <cfRule type="expression" dxfId="32" priority="245">
      <formula>$Y$40=FALSE</formula>
    </cfRule>
  </conditionalFormatting>
  <conditionalFormatting sqref="Z4">
    <cfRule type="expression" dxfId="31" priority="338">
      <formula>$Z$4="Fin"</formula>
    </cfRule>
    <cfRule type="expression" dxfId="30" priority="339">
      <formula>$Z$4="Prev"</formula>
    </cfRule>
    <cfRule type="expression" dxfId="29" priority="340">
      <formula>$Z$4="Real"</formula>
    </cfRule>
  </conditionalFormatting>
  <conditionalFormatting sqref="Z6 Z30 Z18">
    <cfRule type="expression" dxfId="28" priority="324">
      <formula>$Z$4="Fin"</formula>
    </cfRule>
  </conditionalFormatting>
  <conditionalFormatting sqref="Z6 Z30">
    <cfRule type="expression" dxfId="27" priority="5">
      <formula>$Z$6&lt;$Z$30</formula>
    </cfRule>
  </conditionalFormatting>
  <conditionalFormatting sqref="Z7:Z13 Z19:Z25 Z31:Z37">
    <cfRule type="expression" dxfId="26" priority="323">
      <formula>$Z$4="Fin"</formula>
    </cfRule>
  </conditionalFormatting>
  <conditionalFormatting sqref="Z14:Z15 Z26:Z27 Z38 Z43:Z44">
    <cfRule type="expression" dxfId="25" priority="321">
      <formula>$Z$4="Fin"</formula>
    </cfRule>
  </conditionalFormatting>
  <conditionalFormatting sqref="Z40">
    <cfRule type="expression" dxfId="24" priority="246">
      <formula>$Z$40=FALSE</formula>
    </cfRule>
    <cfRule type="expression" dxfId="23" priority="318">
      <formula>$Z$4="Fin"</formula>
    </cfRule>
  </conditionalFormatting>
  <conditionalFormatting sqref="AA4">
    <cfRule type="expression" dxfId="22" priority="335">
      <formula>$AA$4="Fin"</formula>
    </cfRule>
    <cfRule type="expression" dxfId="21" priority="336">
      <formula>$AA$4="Prev"</formula>
    </cfRule>
    <cfRule type="expression" dxfId="20" priority="337">
      <formula>$AA$4="Real"</formula>
    </cfRule>
  </conditionalFormatting>
  <conditionalFormatting sqref="AA6 AA30 AA18">
    <cfRule type="expression" dxfId="19" priority="41">
      <formula>$AA$4="Fin"</formula>
    </cfRule>
  </conditionalFormatting>
  <conditionalFormatting sqref="AA6 AA30">
    <cfRule type="expression" dxfId="18" priority="4">
      <formula>$AA$6&lt;$AA$30</formula>
    </cfRule>
  </conditionalFormatting>
  <conditionalFormatting sqref="AA7:AA13 AA19:AA25 AA31:AA37">
    <cfRule type="expression" dxfId="17" priority="326">
      <formula>$AA$4="Fin"</formula>
    </cfRule>
  </conditionalFormatting>
  <conditionalFormatting sqref="AA14:AA15 AA26:AA27 AA38 AA43:AA44">
    <cfRule type="expression" dxfId="16" priority="325">
      <formula>$AA$4="Fin"</formula>
    </cfRule>
  </conditionalFormatting>
  <conditionalFormatting sqref="AA40">
    <cfRule type="expression" dxfId="15" priority="53">
      <formula>$AA$4="Fin"</formula>
    </cfRule>
    <cfRule type="expression" dxfId="14" priority="52">
      <formula>$AA$40=FALSE</formula>
    </cfRule>
  </conditionalFormatting>
  <conditionalFormatting sqref="AB4:BL4">
    <cfRule type="expression" dxfId="13" priority="48">
      <formula>$AB$4="Prev"</formula>
    </cfRule>
    <cfRule type="expression" dxfId="12" priority="47">
      <formula>$AB$4="Real"</formula>
    </cfRule>
    <cfRule type="expression" dxfId="11" priority="49">
      <formula>$AB$4="Fin"</formula>
    </cfRule>
  </conditionalFormatting>
  <conditionalFormatting sqref="AB6:BL6 AB30:BL30 AB18:BL18">
    <cfRule type="expression" dxfId="10" priority="328">
      <formula>$AB$4="Fin"</formula>
    </cfRule>
  </conditionalFormatting>
  <conditionalFormatting sqref="AB6:BL6 AB30:BL30">
    <cfRule type="expression" dxfId="9" priority="3">
      <formula>$AB$6&lt;$AB$30</formula>
    </cfRule>
  </conditionalFormatting>
  <conditionalFormatting sqref="AB7:BL13 AB19:BL25 AB31:BL37">
    <cfRule type="expression" dxfId="8" priority="50">
      <formula>$AB$4="Fin"</formula>
    </cfRule>
  </conditionalFormatting>
  <conditionalFormatting sqref="AB14:BL15 AB26:BL27 AB38:BL38 AB43:BL44">
    <cfRule type="expression" dxfId="7" priority="40">
      <formula>$AB$4="Fin"</formula>
    </cfRule>
  </conditionalFormatting>
  <conditionalFormatting sqref="AB40:BL40">
    <cfRule type="expression" dxfId="6" priority="43">
      <formula>$AB$4="Fin"</formula>
    </cfRule>
    <cfRule type="expression" dxfId="5" priority="42">
      <formula>$AB$40=FALSE</formula>
    </cfRule>
  </conditionalFormatting>
  <pageMargins left="0.70866141732283472" right="0.70866141732283472" top="0.74803149606299213" bottom="0.74803149606299213" header="0.31496062992125984" footer="0.31496062992125984"/>
  <pageSetup paperSize="9" scale="18"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785D4-392C-4DF6-90EA-ED7AD2D9226B}">
  <sheetPr>
    <pageSetUpPr fitToPage="1"/>
  </sheetPr>
  <dimension ref="B2:P18"/>
  <sheetViews>
    <sheetView showGridLines="0" tabSelected="1" zoomScale="70" zoomScaleNormal="70" workbookViewId="0">
      <selection activeCell="D11" sqref="D11"/>
    </sheetView>
  </sheetViews>
  <sheetFormatPr baseColWidth="10" defaultColWidth="9.1796875" defaultRowHeight="13.5" x14ac:dyDescent="0.3"/>
  <cols>
    <col min="1" max="1" width="2.1796875" style="21" customWidth="1"/>
    <col min="2" max="2" width="25" style="21" customWidth="1"/>
    <col min="3" max="3" width="42.81640625" style="21" customWidth="1"/>
    <col min="4" max="4" width="20.7265625" style="21" customWidth="1"/>
    <col min="5" max="7" width="25.7265625" style="21" customWidth="1"/>
    <col min="8" max="8" width="20.7265625" style="21" customWidth="1"/>
    <col min="9" max="12" width="25.7265625" style="21" customWidth="1"/>
    <col min="13" max="13" width="19.26953125" style="21" bestFit="1" customWidth="1"/>
    <col min="14" max="14" width="12.26953125" style="21" bestFit="1" customWidth="1"/>
    <col min="15" max="15" width="26.81640625" style="21" customWidth="1"/>
    <col min="16" max="16384" width="9.1796875" style="21"/>
  </cols>
  <sheetData>
    <row r="2" spans="2:16" ht="21" customHeight="1" x14ac:dyDescent="0.3">
      <c r="B2" s="216" t="s">
        <v>5</v>
      </c>
      <c r="C2" s="217" t="str">
        <f>'Project Infor'!C10</f>
        <v>ZEV-ATE0012-1001</v>
      </c>
      <c r="D2" s="216" t="str">
        <f>'Project Infor'!C11</f>
        <v>Lote 2: Núcleo Estructural Java</v>
      </c>
      <c r="E2" s="218"/>
      <c r="F2" s="218"/>
      <c r="G2" s="216"/>
      <c r="H2" s="216"/>
      <c r="I2" s="216"/>
      <c r="J2" s="216"/>
    </row>
    <row r="3" spans="2:16" ht="9" customHeight="1" x14ac:dyDescent="0.3">
      <c r="C3" s="22"/>
      <c r="D3" s="22"/>
    </row>
    <row r="4" spans="2:16" ht="15" customHeight="1" x14ac:dyDescent="0.3">
      <c r="C4" s="23"/>
      <c r="D4" s="24"/>
      <c r="E4" s="24"/>
      <c r="F4" s="24"/>
      <c r="G4" s="24"/>
      <c r="H4" s="24"/>
      <c r="I4" s="24"/>
      <c r="J4" s="24"/>
      <c r="K4" s="24"/>
      <c r="L4" s="24"/>
      <c r="M4" s="24"/>
      <c r="N4" s="24"/>
      <c r="O4" s="24"/>
      <c r="P4" s="24"/>
    </row>
    <row r="5" spans="2:16" s="86" customFormat="1" ht="37" customHeight="1" x14ac:dyDescent="0.3">
      <c r="B5" s="164"/>
      <c r="C5" s="204"/>
      <c r="D5" s="205" t="s">
        <v>58</v>
      </c>
      <c r="E5" s="206" t="s">
        <v>59</v>
      </c>
      <c r="F5" s="207" t="s">
        <v>60</v>
      </c>
      <c r="G5" s="206" t="s">
        <v>61</v>
      </c>
      <c r="H5" s="206" t="s">
        <v>62</v>
      </c>
      <c r="I5" s="206" t="s">
        <v>63</v>
      </c>
      <c r="J5" s="206" t="s">
        <v>64</v>
      </c>
      <c r="K5" s="206" t="s">
        <v>65</v>
      </c>
      <c r="L5" s="205" t="s">
        <v>188</v>
      </c>
      <c r="M5" s="208" t="s">
        <v>189</v>
      </c>
      <c r="N5" s="208" t="s">
        <v>67</v>
      </c>
      <c r="O5" s="88"/>
      <c r="P5" s="88"/>
    </row>
    <row r="6" spans="2:16" s="89" customFormat="1" ht="36.75" customHeight="1" x14ac:dyDescent="0.3">
      <c r="B6" s="306" t="s">
        <v>190</v>
      </c>
      <c r="C6" s="307"/>
      <c r="D6" s="202">
        <f>'Cost Overview'!F12</f>
        <v>465000</v>
      </c>
      <c r="E6" s="202">
        <f>'Cost Overview'!G12</f>
        <v>356584.84</v>
      </c>
      <c r="F6" s="202">
        <f>'Cost Overview'!H12</f>
        <v>14256</v>
      </c>
      <c r="G6" s="202">
        <f>'Cost Overview'!I12</f>
        <v>3565.85</v>
      </c>
      <c r="H6" s="202">
        <f>'Cost Overview'!J12</f>
        <v>0</v>
      </c>
      <c r="I6" s="202">
        <f>'Cost Overview'!K12</f>
        <v>0</v>
      </c>
      <c r="J6" s="202">
        <f>'Cost Overview'!L12</f>
        <v>0</v>
      </c>
      <c r="K6" s="202">
        <f>SUM(E6,G6,H6,I6,J6)</f>
        <v>360150.69</v>
      </c>
      <c r="L6" s="202">
        <f>D6-K6</f>
        <v>104849.31</v>
      </c>
      <c r="M6" s="203">
        <f>IF(D6=0,0,(D6-E6-H6-I6-G6-J6)/D6)</f>
        <v>0.22548238709677412</v>
      </c>
      <c r="N6" s="203">
        <f>IF(D6=0,0,(D6-E6/UTILIZACION-G6/UTILIZACION-H6/UTILIZACION-I6-J6)/D6)</f>
        <v>0.16718536246964966</v>
      </c>
      <c r="O6" s="24"/>
      <c r="P6" s="22"/>
    </row>
    <row r="7" spans="2:16" s="89" customFormat="1" ht="36.75" customHeight="1" x14ac:dyDescent="0.3">
      <c r="B7" s="308" t="s">
        <v>191</v>
      </c>
      <c r="C7" s="308"/>
      <c r="D7" s="209">
        <f>'Cost Overview'!F8</f>
        <v>465000</v>
      </c>
      <c r="E7" s="209">
        <f>'Cost Overview'!G8</f>
        <v>356584.84</v>
      </c>
      <c r="F7" s="209">
        <f>'Cost Overview'!H8</f>
        <v>14256</v>
      </c>
      <c r="G7" s="209">
        <f>'Cost Overview'!I8</f>
        <v>3565.85</v>
      </c>
      <c r="H7" s="209">
        <f>'Cost Overview'!J8</f>
        <v>0</v>
      </c>
      <c r="I7" s="209">
        <f>'Cost Overview'!K8</f>
        <v>0</v>
      </c>
      <c r="J7" s="209">
        <f>'Cost Overview'!L8</f>
        <v>0</v>
      </c>
      <c r="K7" s="209">
        <f>SUM(E7,G7,H7,I7,J7)</f>
        <v>360150.69</v>
      </c>
      <c r="L7" s="209">
        <f>D7-K7</f>
        <v>104849.31</v>
      </c>
      <c r="M7" s="210">
        <f>IF(D7=0,0,(D7-E7-H7-I7-G7-J7)/D7)</f>
        <v>0.22548238709677412</v>
      </c>
      <c r="N7" s="210">
        <f>IF(D7=0,0,(D7-E7/UTILIZACION-G7/UTILIZACION-H7/UTILIZACION-I7-J7)/D7)</f>
        <v>0.16718536246964966</v>
      </c>
      <c r="O7" s="24"/>
      <c r="P7" s="22"/>
    </row>
    <row r="8" spans="2:16" s="89" customFormat="1" ht="36.75" customHeight="1" x14ac:dyDescent="0.3">
      <c r="B8" s="308" t="s">
        <v>192</v>
      </c>
      <c r="C8" s="308"/>
      <c r="D8" s="209">
        <f>D7</f>
        <v>465000</v>
      </c>
      <c r="E8" s="209">
        <f>SUM('Cost Planning'!F40:BO41)</f>
        <v>340933.67999999982</v>
      </c>
      <c r="F8" s="209">
        <f>SUM('Cost Planning'!F9:BO9)</f>
        <v>14256</v>
      </c>
      <c r="G8" s="209">
        <f>SUM('Cost Planning'!H47:BO47)</f>
        <v>3565.85</v>
      </c>
      <c r="H8" s="209">
        <f>SUM('Cost Planning'!H48:BO48)</f>
        <v>0</v>
      </c>
      <c r="I8" s="209">
        <f>SUM('Cost Planning'!F61:BO61)</f>
        <v>0</v>
      </c>
      <c r="J8" s="209">
        <f>SUM('Cost Planning'!F77:BO77)</f>
        <v>0</v>
      </c>
      <c r="K8" s="209">
        <f>SUM(E8,G8,H8,I8,J8)</f>
        <v>344499.5299999998</v>
      </c>
      <c r="L8" s="209">
        <f>D8-K8</f>
        <v>120500.4700000002</v>
      </c>
      <c r="M8" s="210">
        <f>IF(D8=0,0,(D8-E8-H8-I8-G8-J8)/D8)</f>
        <v>0.25914079569892512</v>
      </c>
      <c r="N8" s="210">
        <f>IF(D8=0,0,(D8-E8/UTILIZACION-G8/UTILIZACION-H8/UTILIZACION-I8-J8)/D8)</f>
        <v>0.20337719967626361</v>
      </c>
      <c r="O8" s="24"/>
      <c r="P8" s="22"/>
    </row>
    <row r="9" spans="2:16" ht="20.149999999999999" customHeight="1" x14ac:dyDescent="0.3">
      <c r="B9" s="309" t="s">
        <v>193</v>
      </c>
      <c r="C9" s="309"/>
      <c r="D9" s="211">
        <f>IF(D8=0,1,(D8-D7)/D8)</f>
        <v>0</v>
      </c>
      <c r="E9" s="211">
        <f t="shared" ref="E9:L9" si="0">IF(E8=0,1,(E8-E7)/E8)</f>
        <v>-4.5906758170680628E-2</v>
      </c>
      <c r="F9" s="211">
        <f t="shared" si="0"/>
        <v>0</v>
      </c>
      <c r="G9" s="211">
        <f t="shared" si="0"/>
        <v>0</v>
      </c>
      <c r="H9" s="211">
        <f t="shared" si="0"/>
        <v>1</v>
      </c>
      <c r="I9" s="211">
        <f t="shared" si="0"/>
        <v>1</v>
      </c>
      <c r="J9" s="211">
        <f t="shared" si="0"/>
        <v>1</v>
      </c>
      <c r="K9" s="211">
        <f t="shared" si="0"/>
        <v>-4.5431585929885644E-2</v>
      </c>
      <c r="L9" s="211">
        <f t="shared" si="0"/>
        <v>0.12988463862423258</v>
      </c>
      <c r="M9" s="212">
        <f>M8-M7</f>
        <v>3.3658408602150997E-2</v>
      </c>
      <c r="N9" s="293"/>
      <c r="O9" s="24"/>
      <c r="P9" s="24"/>
    </row>
    <row r="10" spans="2:16" ht="18" customHeight="1" x14ac:dyDescent="0.3">
      <c r="B10" s="213"/>
      <c r="C10" s="213"/>
      <c r="D10" s="214"/>
      <c r="E10" s="214"/>
      <c r="F10" s="214"/>
      <c r="G10" s="214"/>
      <c r="H10" s="214"/>
      <c r="I10" s="214"/>
      <c r="J10" s="214"/>
      <c r="K10" s="214"/>
      <c r="L10" s="214"/>
      <c r="M10" s="215"/>
      <c r="N10" s="213"/>
      <c r="O10" s="24"/>
      <c r="P10" s="24"/>
    </row>
    <row r="11" spans="2:16" s="89" customFormat="1" ht="36.75" customHeight="1" x14ac:dyDescent="0.3">
      <c r="B11" s="307" t="s">
        <v>194</v>
      </c>
      <c r="C11" s="307"/>
      <c r="D11" s="202">
        <f>SUMIF('Monthly View'!$E$4:$BL$4,"Real",'Monthly View'!$E$18:$BL$18)+'Project Infor'!C45</f>
        <v>57549.499999999985</v>
      </c>
      <c r="E11" s="202">
        <f>SUMIF('Monthly View'!$E$4:$BL$4,"Real",'Monthly View'!$E$20:$BL$20)+'Project Infor'!C47</f>
        <v>42616.710000000006</v>
      </c>
      <c r="F11" s="202">
        <f>SUMIF('Monthly View'!$E$4:$BL$4,"Real",'Monthly View'!$E$19:$BL$19)+'Project Infor'!C46</f>
        <v>1782</v>
      </c>
      <c r="G11" s="202">
        <f>SUMIF('Monthly View'!$E$4:$BL$4,"Real",'Monthly View'!$E$21:$BL$21)</f>
        <v>0</v>
      </c>
      <c r="H11" s="202">
        <f>SUMIF('Monthly View'!$E$4:$BL$4,"Real",'Monthly View'!$E$22:$BL$22)</f>
        <v>0</v>
      </c>
      <c r="I11" s="202">
        <f>SUMIF('Monthly View'!$E$4:$BL$4,"Real",'Monthly View'!$E$23:$BL$23)+'Project Infor'!C48</f>
        <v>0</v>
      </c>
      <c r="J11" s="202">
        <f>SUMIF('Monthly View'!$E$4:$BL$4,"Real",'Monthly View'!$E$24:$BL$24)+'Project Infor'!C49</f>
        <v>0</v>
      </c>
      <c r="K11" s="202">
        <f>SUM(E11,G11,H11,I11,J11)</f>
        <v>42616.710000000006</v>
      </c>
      <c r="L11" s="202">
        <f>D11-K11</f>
        <v>14932.789999999979</v>
      </c>
      <c r="M11" s="203">
        <f>IF(D11=0,0,(D11-E11-H11-I11-G11-J11)/D11)</f>
        <v>0.25947731952493042</v>
      </c>
      <c r="N11" s="201">
        <f>IF(D11=0,0,(D11-E11/UTILIZACION-G11/UTILIZACION-H11/UTILIZACION-I11-J11)/D11)</f>
        <v>0.20373905325261343</v>
      </c>
      <c r="O11" s="24"/>
      <c r="P11" s="22"/>
    </row>
    <row r="12" spans="2:16" ht="20.149999999999999" customHeight="1" x14ac:dyDescent="0.3">
      <c r="B12" s="305" t="s">
        <v>195</v>
      </c>
      <c r="C12" s="305"/>
      <c r="D12" s="165">
        <f>IF(D11=0,1,(D11/D8))</f>
        <v>0.12376236559139782</v>
      </c>
      <c r="E12" s="165">
        <f>IF(E11=0,1,(E11/E8))</f>
        <v>0.12500000000000008</v>
      </c>
      <c r="F12" s="165">
        <f>IF(F11=0,1,(F11/F8))</f>
        <v>0.125</v>
      </c>
      <c r="G12" s="165"/>
      <c r="H12" s="165"/>
      <c r="I12" s="165"/>
      <c r="J12" s="165"/>
      <c r="K12" s="165"/>
      <c r="L12" s="165"/>
      <c r="M12" s="166"/>
      <c r="N12" s="167"/>
      <c r="O12" s="24"/>
      <c r="P12" s="24"/>
    </row>
    <row r="14" spans="2:16" ht="31.5" customHeight="1" x14ac:dyDescent="0.3">
      <c r="B14" s="310"/>
      <c r="C14" s="310"/>
      <c r="D14" s="310"/>
      <c r="E14" s="310"/>
      <c r="F14" s="168"/>
    </row>
    <row r="17" spans="2:16" ht="20.149999999999999" customHeight="1" x14ac:dyDescent="0.3">
      <c r="B17" s="65" t="s">
        <v>196</v>
      </c>
      <c r="C17" s="65"/>
      <c r="D17" s="65"/>
      <c r="E17" s="24"/>
      <c r="F17" s="24"/>
      <c r="G17" s="24"/>
      <c r="H17" s="24"/>
      <c r="I17" s="24"/>
      <c r="J17" s="24"/>
      <c r="K17" s="24"/>
      <c r="L17" s="24"/>
      <c r="M17" s="24"/>
      <c r="N17" s="24"/>
      <c r="O17" s="24"/>
      <c r="P17" s="24"/>
    </row>
    <row r="18" spans="2:16" ht="285.75" customHeight="1" x14ac:dyDescent="0.3">
      <c r="B18" s="302" t="s">
        <v>300</v>
      </c>
      <c r="C18" s="303"/>
      <c r="D18" s="303"/>
      <c r="E18" s="303"/>
      <c r="F18" s="303"/>
      <c r="G18" s="303"/>
      <c r="H18" s="303"/>
      <c r="I18" s="303"/>
      <c r="J18" s="304"/>
      <c r="K18" s="24"/>
      <c r="L18" s="24"/>
      <c r="M18" s="24"/>
      <c r="N18" s="24"/>
      <c r="O18" s="24"/>
      <c r="P18" s="24"/>
    </row>
  </sheetData>
  <mergeCells count="8">
    <mergeCell ref="B18:J18"/>
    <mergeCell ref="B12:C12"/>
    <mergeCell ref="B6:C6"/>
    <mergeCell ref="B7:C7"/>
    <mergeCell ref="B8:C8"/>
    <mergeCell ref="B11:C11"/>
    <mergeCell ref="B9:C9"/>
    <mergeCell ref="B14:E14"/>
  </mergeCells>
  <conditionalFormatting sqref="B14:F14">
    <cfRule type="expression" dxfId="4" priority="1">
      <formula>$F$14=0</formula>
    </cfRule>
  </conditionalFormatting>
  <pageMargins left="0.70866141732283472" right="0.70866141732283472" top="0.74803149606299213" bottom="0.74803149606299213" header="0.31496062992125984" footer="0.31496062992125984"/>
  <pageSetup paperSize="9" scale="2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B879A-A777-4312-B940-82B118838BFF}">
  <sheetPr>
    <pageSetUpPr fitToPage="1"/>
  </sheetPr>
  <dimension ref="B1:D25"/>
  <sheetViews>
    <sheetView showGridLines="0" zoomScale="60" zoomScaleNormal="60" workbookViewId="0">
      <selection activeCell="B40" sqref="B40"/>
    </sheetView>
  </sheetViews>
  <sheetFormatPr baseColWidth="10" defaultColWidth="11.453125" defaultRowHeight="13.5" x14ac:dyDescent="0.25"/>
  <cols>
    <col min="1" max="1" width="3.26953125" style="93" customWidth="1"/>
    <col min="2" max="2" width="195.7265625" style="93" customWidth="1"/>
    <col min="3" max="16384" width="11.453125" style="93"/>
  </cols>
  <sheetData>
    <row r="1" spans="2:4" ht="19.5" customHeight="1" x14ac:dyDescent="0.25"/>
    <row r="2" spans="2:4" ht="27.75" customHeight="1" x14ac:dyDescent="0.25">
      <c r="B2" s="324" t="s">
        <v>197</v>
      </c>
      <c r="C2" s="324"/>
      <c r="D2" s="324"/>
    </row>
    <row r="3" spans="2:4" ht="19.5" customHeight="1" x14ac:dyDescent="0.25"/>
    <row r="4" spans="2:4" ht="24" customHeight="1" x14ac:dyDescent="0.25">
      <c r="B4" s="174" t="s">
        <v>198</v>
      </c>
    </row>
    <row r="5" spans="2:4" ht="24" customHeight="1" x14ac:dyDescent="0.25">
      <c r="B5" s="175" t="s">
        <v>199</v>
      </c>
    </row>
    <row r="6" spans="2:4" ht="24" customHeight="1" x14ac:dyDescent="0.25">
      <c r="B6" s="175" t="s">
        <v>200</v>
      </c>
    </row>
    <row r="7" spans="2:4" ht="45" customHeight="1" x14ac:dyDescent="0.25">
      <c r="B7" s="175" t="s">
        <v>201</v>
      </c>
    </row>
    <row r="8" spans="2:4" ht="30" customHeight="1" x14ac:dyDescent="0.25">
      <c r="B8" s="175" t="s">
        <v>202</v>
      </c>
    </row>
    <row r="9" spans="2:4" ht="25" customHeight="1" x14ac:dyDescent="0.25">
      <c r="B9" s="175" t="s">
        <v>203</v>
      </c>
    </row>
    <row r="10" spans="2:4" ht="24" customHeight="1" x14ac:dyDescent="0.25">
      <c r="B10" s="176"/>
    </row>
    <row r="11" spans="2:4" ht="24" customHeight="1" x14ac:dyDescent="0.25">
      <c r="B11" s="174" t="s">
        <v>204</v>
      </c>
    </row>
    <row r="12" spans="2:4" ht="24" customHeight="1" x14ac:dyDescent="0.25">
      <c r="B12" s="175" t="s">
        <v>205</v>
      </c>
    </row>
    <row r="13" spans="2:4" ht="24" customHeight="1" x14ac:dyDescent="0.25">
      <c r="B13" s="175" t="s">
        <v>206</v>
      </c>
    </row>
    <row r="14" spans="2:4" ht="69" customHeight="1" x14ac:dyDescent="0.25">
      <c r="B14" s="175" t="s">
        <v>207</v>
      </c>
    </row>
    <row r="15" spans="2:4" ht="54" customHeight="1" x14ac:dyDescent="0.25">
      <c r="B15" s="175" t="s">
        <v>208</v>
      </c>
    </row>
    <row r="16" spans="2:4" ht="62.25" customHeight="1" x14ac:dyDescent="0.25">
      <c r="B16" s="175" t="s">
        <v>209</v>
      </c>
    </row>
    <row r="17" spans="2:2" ht="54.75" customHeight="1" x14ac:dyDescent="0.25">
      <c r="B17" s="175" t="s">
        <v>210</v>
      </c>
    </row>
    <row r="18" spans="2:2" ht="51.75" customHeight="1" x14ac:dyDescent="0.25">
      <c r="B18" s="175" t="s">
        <v>211</v>
      </c>
    </row>
    <row r="19" spans="2:2" ht="24" customHeight="1" x14ac:dyDescent="0.25"/>
    <row r="20" spans="2:2" ht="24" customHeight="1" x14ac:dyDescent="0.25">
      <c r="B20" s="174" t="s">
        <v>212</v>
      </c>
    </row>
    <row r="21" spans="2:2" ht="41.25" customHeight="1" x14ac:dyDescent="0.25">
      <c r="B21" s="175" t="s">
        <v>213</v>
      </c>
    </row>
    <row r="22" spans="2:2" ht="24" customHeight="1" x14ac:dyDescent="0.25">
      <c r="B22" s="175" t="s">
        <v>214</v>
      </c>
    </row>
    <row r="23" spans="2:2" ht="36" customHeight="1" x14ac:dyDescent="0.25">
      <c r="B23" s="175" t="s">
        <v>215</v>
      </c>
    </row>
    <row r="24" spans="2:2" ht="125.25" customHeight="1" x14ac:dyDescent="0.25">
      <c r="B24" s="175" t="s">
        <v>216</v>
      </c>
    </row>
    <row r="25" spans="2:2" ht="42.75" customHeight="1" x14ac:dyDescent="0.25">
      <c r="B25" s="175" t="s">
        <v>217</v>
      </c>
    </row>
  </sheetData>
  <mergeCells count="1">
    <mergeCell ref="B2:D2"/>
  </mergeCells>
  <pageMargins left="0.70866141732283472" right="0.70866141732283472" top="0.74803149606299213" bottom="0.74803149606299213" header="0.31496062992125984" footer="0.31496062992125984"/>
  <pageSetup paperSize="9" scale="3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A6068-3FFD-4F71-8290-3005C97D2856}">
  <sheetPr>
    <pageSetUpPr fitToPage="1"/>
  </sheetPr>
  <dimension ref="B2:X51"/>
  <sheetViews>
    <sheetView showGridLines="0" zoomScale="70" zoomScaleNormal="70" workbookViewId="0">
      <selection activeCell="K5" sqref="F5:K5"/>
    </sheetView>
  </sheetViews>
  <sheetFormatPr baseColWidth="10" defaultColWidth="9.1796875" defaultRowHeight="13.5" x14ac:dyDescent="0.3"/>
  <cols>
    <col min="1" max="1" width="2.1796875" style="240" customWidth="1"/>
    <col min="2" max="2" width="20.453125" style="240" customWidth="1"/>
    <col min="3" max="3" width="25.26953125" style="240" customWidth="1"/>
    <col min="4" max="4" width="23.7265625" style="240" customWidth="1"/>
    <col min="5" max="5" width="71.453125" style="240" customWidth="1"/>
    <col min="6" max="6" width="20.7265625" style="240" customWidth="1"/>
    <col min="7" max="7" width="10.7265625" style="240" customWidth="1"/>
    <col min="8" max="8" width="20.81640625" style="240" customWidth="1"/>
    <col min="9" max="9" width="24.1796875" style="240" customWidth="1"/>
    <col min="10" max="11" width="28.453125" style="240" customWidth="1"/>
    <col min="12" max="12" width="28" style="240" customWidth="1"/>
    <col min="13" max="13" width="16.7265625" style="240" customWidth="1"/>
    <col min="14" max="14" width="33.81640625" style="240" customWidth="1"/>
    <col min="15" max="15" width="28.81640625" style="240" bestFit="1" customWidth="1"/>
    <col min="16" max="16" width="11.7265625" style="240" customWidth="1"/>
    <col min="17" max="17" width="3.453125" style="240" customWidth="1"/>
    <col min="18" max="18" width="9.1796875" style="240" customWidth="1"/>
    <col min="19" max="19" width="14.26953125" style="240" customWidth="1"/>
    <col min="20" max="20" width="11.81640625" style="240" customWidth="1"/>
    <col min="21" max="23" width="9.1796875" style="240" customWidth="1"/>
    <col min="24" max="16384" width="9.1796875" style="240"/>
  </cols>
  <sheetData>
    <row r="2" spans="2:24" ht="21" customHeight="1" x14ac:dyDescent="0.3">
      <c r="B2" s="241" t="s">
        <v>5</v>
      </c>
      <c r="C2" s="242" t="str">
        <f>'Project Infor'!C10</f>
        <v>ZEV-ATE0012-1001</v>
      </c>
      <c r="D2" s="241" t="str">
        <f>'Project Infor'!C11</f>
        <v>Lote 2: Núcleo Estructural Java</v>
      </c>
      <c r="E2" s="243"/>
      <c r="F2" s="243"/>
      <c r="G2" s="243"/>
      <c r="H2" s="243"/>
    </row>
    <row r="3" spans="2:24" ht="9" customHeight="1" x14ac:dyDescent="0.3">
      <c r="D3" s="244"/>
      <c r="E3" s="244"/>
      <c r="F3" s="244"/>
      <c r="G3" s="244"/>
    </row>
    <row r="4" spans="2:24" ht="15" customHeight="1" thickBot="1" x14ac:dyDescent="0.35">
      <c r="D4" s="245"/>
      <c r="E4" s="246"/>
      <c r="F4" s="247"/>
      <c r="G4" s="247"/>
      <c r="H4" s="247"/>
      <c r="I4" s="247"/>
      <c r="J4" s="247"/>
      <c r="K4" s="247"/>
      <c r="N4" s="247"/>
      <c r="O4" s="247"/>
      <c r="P4" s="247"/>
      <c r="Q4" s="247"/>
    </row>
    <row r="5" spans="2:24" ht="37" customHeight="1" thickBot="1" x14ac:dyDescent="0.35">
      <c r="B5" s="248" t="s">
        <v>218</v>
      </c>
      <c r="C5" s="248"/>
      <c r="D5" s="248"/>
      <c r="E5" s="249">
        <f>'Cost Overview'!F8</f>
        <v>465000</v>
      </c>
      <c r="F5" s="326" t="s">
        <v>219</v>
      </c>
      <c r="G5" s="326"/>
      <c r="H5" s="326"/>
      <c r="I5" s="326"/>
      <c r="J5" s="250">
        <f>E5-F41</f>
        <v>465000</v>
      </c>
      <c r="K5" s="250"/>
      <c r="N5" s="251"/>
      <c r="O5" s="251"/>
      <c r="P5" s="251"/>
      <c r="Q5" s="247"/>
    </row>
    <row r="6" spans="2:24" ht="20.149999999999999" customHeight="1" x14ac:dyDescent="0.3">
      <c r="D6" s="245"/>
      <c r="E6" s="247"/>
      <c r="F6" s="247"/>
      <c r="G6" s="247"/>
      <c r="H6" s="247"/>
      <c r="I6" s="247"/>
      <c r="J6" s="247"/>
      <c r="K6" s="247"/>
      <c r="L6" s="245"/>
      <c r="M6" s="247"/>
      <c r="N6" s="247"/>
      <c r="O6" s="247"/>
      <c r="P6" s="247"/>
      <c r="Q6" s="247"/>
    </row>
    <row r="7" spans="2:24" s="252" customFormat="1" ht="31.5" customHeight="1" x14ac:dyDescent="0.3">
      <c r="B7" s="236" t="s">
        <v>220</v>
      </c>
      <c r="C7" s="236" t="s">
        <v>221</v>
      </c>
      <c r="D7" s="236" t="s">
        <v>222</v>
      </c>
      <c r="E7" s="236" t="s">
        <v>223</v>
      </c>
      <c r="F7" s="237" t="s">
        <v>224</v>
      </c>
      <c r="G7" s="237" t="s">
        <v>225</v>
      </c>
      <c r="H7" s="236" t="s">
        <v>226</v>
      </c>
      <c r="I7" s="236" t="s">
        <v>227</v>
      </c>
      <c r="J7" s="236" t="s">
        <v>228</v>
      </c>
      <c r="K7" s="236" t="s">
        <v>229</v>
      </c>
      <c r="L7" s="236" t="s">
        <v>230</v>
      </c>
      <c r="M7" s="237" t="s">
        <v>231</v>
      </c>
      <c r="N7" s="237" t="s">
        <v>232</v>
      </c>
      <c r="O7" s="237" t="s">
        <v>233</v>
      </c>
      <c r="P7" s="237" t="s">
        <v>234</v>
      </c>
      <c r="Q7" s="247"/>
      <c r="R7" s="240"/>
      <c r="S7" s="240"/>
      <c r="T7" s="240"/>
      <c r="U7" s="240"/>
      <c r="V7" s="240"/>
      <c r="W7" s="240"/>
      <c r="X7" s="240"/>
    </row>
    <row r="8" spans="2:24" s="253" customFormat="1" ht="20.149999999999999" customHeight="1" x14ac:dyDescent="0.3">
      <c r="B8" s="199"/>
      <c r="C8" s="226"/>
      <c r="D8" s="4" t="str">
        <f t="shared" ref="D8:D40" si="0">IF(C8=0," ","Z2")</f>
        <v xml:space="preserve"> </v>
      </c>
      <c r="E8" s="4"/>
      <c r="F8" s="5"/>
      <c r="G8" s="5"/>
      <c r="H8" s="8"/>
      <c r="I8" s="5" t="str">
        <f>IF(F8=0," ",F8+F8*H8)</f>
        <v xml:space="preserve"> </v>
      </c>
      <c r="J8" s="9"/>
      <c r="K8" s="9"/>
      <c r="L8" s="5"/>
      <c r="M8" s="55"/>
      <c r="N8" s="5"/>
      <c r="O8" s="5"/>
      <c r="P8" s="5"/>
      <c r="Q8" s="247"/>
      <c r="R8" s="240"/>
      <c r="S8" s="240"/>
      <c r="T8" s="240"/>
      <c r="U8" s="240"/>
      <c r="V8" s="240"/>
      <c r="W8" s="240"/>
      <c r="X8" s="240"/>
    </row>
    <row r="9" spans="2:24" s="253" customFormat="1" ht="20.149999999999999" customHeight="1" x14ac:dyDescent="0.3">
      <c r="B9" s="199"/>
      <c r="C9" s="55"/>
      <c r="D9" s="4" t="str">
        <f t="shared" si="0"/>
        <v xml:space="preserve"> </v>
      </c>
      <c r="E9" s="4"/>
      <c r="F9" s="5"/>
      <c r="G9" s="5"/>
      <c r="H9" s="8"/>
      <c r="I9" s="5" t="str">
        <f t="shared" ref="I9:I40" si="1">IF(F9=0," ",F9+F9*H9)</f>
        <v xml:space="preserve"> </v>
      </c>
      <c r="J9" s="9"/>
      <c r="K9" s="9"/>
      <c r="L9" s="5"/>
      <c r="M9" s="55"/>
      <c r="N9" s="5"/>
      <c r="O9" s="5"/>
      <c r="P9" s="5"/>
      <c r="Q9" s="247"/>
      <c r="R9" s="240"/>
      <c r="S9" s="240"/>
      <c r="T9" s="240"/>
      <c r="U9" s="240"/>
      <c r="V9" s="240"/>
      <c r="W9" s="240"/>
      <c r="X9" s="240"/>
    </row>
    <row r="10" spans="2:24" s="253" customFormat="1" ht="20.149999999999999" customHeight="1" x14ac:dyDescent="0.3">
      <c r="B10" s="199"/>
      <c r="C10" s="55"/>
      <c r="D10" s="4" t="str">
        <f t="shared" si="0"/>
        <v xml:space="preserve"> </v>
      </c>
      <c r="E10" s="4"/>
      <c r="F10" s="5"/>
      <c r="G10" s="5"/>
      <c r="H10" s="8"/>
      <c r="I10" s="5" t="str">
        <f t="shared" si="1"/>
        <v xml:space="preserve"> </v>
      </c>
      <c r="J10" s="9"/>
      <c r="K10" s="9"/>
      <c r="L10" s="5"/>
      <c r="M10" s="55"/>
      <c r="N10" s="5"/>
      <c r="O10" s="5"/>
      <c r="P10" s="5"/>
      <c r="Q10" s="247"/>
      <c r="R10" s="240"/>
      <c r="S10" s="240"/>
      <c r="T10" s="240"/>
      <c r="U10" s="240"/>
      <c r="V10" s="240"/>
      <c r="W10" s="240"/>
      <c r="X10" s="240"/>
    </row>
    <row r="11" spans="2:24" s="253" customFormat="1" ht="20.149999999999999" customHeight="1" x14ac:dyDescent="0.3">
      <c r="B11" s="199"/>
      <c r="C11" s="55"/>
      <c r="D11" s="4" t="str">
        <f t="shared" si="0"/>
        <v xml:space="preserve"> </v>
      </c>
      <c r="E11" s="4"/>
      <c r="F11" s="5"/>
      <c r="G11" s="5"/>
      <c r="H11" s="8"/>
      <c r="I11" s="5" t="str">
        <f t="shared" si="1"/>
        <v xml:space="preserve"> </v>
      </c>
      <c r="J11" s="9"/>
      <c r="K11" s="9"/>
      <c r="L11" s="5"/>
      <c r="M11" s="55"/>
      <c r="N11" s="5"/>
      <c r="O11" s="5"/>
      <c r="P11" s="5"/>
      <c r="Q11" s="247"/>
      <c r="R11" s="240"/>
      <c r="S11" s="240"/>
      <c r="T11" s="240"/>
      <c r="U11" s="240"/>
      <c r="V11" s="240"/>
      <c r="W11" s="240"/>
      <c r="X11" s="240"/>
    </row>
    <row r="12" spans="2:24" s="253" customFormat="1" ht="20.149999999999999" customHeight="1" x14ac:dyDescent="0.3">
      <c r="B12" s="199"/>
      <c r="C12" s="55"/>
      <c r="D12" s="4" t="str">
        <f t="shared" si="0"/>
        <v xml:space="preserve"> </v>
      </c>
      <c r="E12" s="4"/>
      <c r="F12" s="5"/>
      <c r="G12" s="5"/>
      <c r="H12" s="8"/>
      <c r="I12" s="5" t="str">
        <f t="shared" si="1"/>
        <v xml:space="preserve"> </v>
      </c>
      <c r="J12" s="9"/>
      <c r="K12" s="9"/>
      <c r="L12" s="5"/>
      <c r="M12" s="55"/>
      <c r="N12" s="5"/>
      <c r="O12" s="5"/>
      <c r="P12" s="5"/>
      <c r="Q12" s="247"/>
      <c r="R12" s="240"/>
      <c r="S12" s="240"/>
      <c r="T12" s="240"/>
      <c r="U12" s="240"/>
      <c r="V12" s="240"/>
      <c r="W12" s="240"/>
      <c r="X12" s="240"/>
    </row>
    <row r="13" spans="2:24" s="253" customFormat="1" ht="20.149999999999999" customHeight="1" x14ac:dyDescent="0.3">
      <c r="B13" s="199"/>
      <c r="C13" s="55"/>
      <c r="D13" s="4" t="str">
        <f t="shared" si="0"/>
        <v xml:space="preserve"> </v>
      </c>
      <c r="E13" s="4"/>
      <c r="F13" s="5"/>
      <c r="G13" s="5"/>
      <c r="H13" s="8"/>
      <c r="I13" s="5" t="str">
        <f t="shared" si="1"/>
        <v xml:space="preserve"> </v>
      </c>
      <c r="J13" s="9"/>
      <c r="K13" s="9"/>
      <c r="L13" s="5"/>
      <c r="M13" s="55"/>
      <c r="N13" s="5"/>
      <c r="O13" s="5"/>
      <c r="P13" s="5"/>
      <c r="Q13" s="247"/>
      <c r="R13" s="240"/>
      <c r="S13" s="240"/>
      <c r="T13" s="240"/>
      <c r="U13" s="240"/>
      <c r="V13" s="240"/>
      <c r="W13" s="240"/>
      <c r="X13" s="240"/>
    </row>
    <row r="14" spans="2:24" s="253" customFormat="1" ht="20.149999999999999" customHeight="1" x14ac:dyDescent="0.3">
      <c r="B14" s="199"/>
      <c r="C14" s="55"/>
      <c r="D14" s="4" t="str">
        <f t="shared" si="0"/>
        <v xml:space="preserve"> </v>
      </c>
      <c r="E14" s="4"/>
      <c r="F14" s="5"/>
      <c r="G14" s="5"/>
      <c r="H14" s="8"/>
      <c r="I14" s="5" t="str">
        <f t="shared" si="1"/>
        <v xml:space="preserve"> </v>
      </c>
      <c r="J14" s="9"/>
      <c r="K14" s="9"/>
      <c r="L14" s="5"/>
      <c r="M14" s="55"/>
      <c r="N14" s="5"/>
      <c r="O14" s="5"/>
      <c r="P14" s="5"/>
      <c r="Q14" s="247"/>
      <c r="R14" s="240"/>
      <c r="S14" s="240"/>
      <c r="T14" s="240"/>
      <c r="U14" s="240"/>
      <c r="V14" s="240"/>
      <c r="W14" s="240"/>
      <c r="X14" s="240"/>
    </row>
    <row r="15" spans="2:24" s="253" customFormat="1" ht="20.149999999999999" customHeight="1" x14ac:dyDescent="0.3">
      <c r="B15" s="199"/>
      <c r="C15" s="55"/>
      <c r="D15" s="4" t="str">
        <f t="shared" si="0"/>
        <v xml:space="preserve"> </v>
      </c>
      <c r="E15" s="4"/>
      <c r="F15" s="5"/>
      <c r="G15" s="5"/>
      <c r="H15" s="8"/>
      <c r="I15" s="5" t="str">
        <f t="shared" si="1"/>
        <v xml:space="preserve"> </v>
      </c>
      <c r="J15" s="9"/>
      <c r="K15" s="9"/>
      <c r="L15" s="5"/>
      <c r="M15" s="55"/>
      <c r="N15" s="5"/>
      <c r="O15" s="5"/>
      <c r="P15" s="5"/>
      <c r="Q15" s="247"/>
      <c r="R15" s="240"/>
      <c r="S15" s="240"/>
      <c r="T15" s="240"/>
      <c r="U15" s="240"/>
      <c r="V15" s="240"/>
      <c r="W15" s="240"/>
      <c r="X15" s="240"/>
    </row>
    <row r="16" spans="2:24" s="253" customFormat="1" ht="20.149999999999999" customHeight="1" x14ac:dyDescent="0.3">
      <c r="B16" s="199"/>
      <c r="C16" s="55"/>
      <c r="D16" s="4" t="str">
        <f t="shared" si="0"/>
        <v xml:space="preserve"> </v>
      </c>
      <c r="E16" s="4"/>
      <c r="F16" s="5"/>
      <c r="G16" s="5"/>
      <c r="H16" s="8"/>
      <c r="I16" s="5" t="str">
        <f t="shared" si="1"/>
        <v xml:space="preserve"> </v>
      </c>
      <c r="J16" s="9"/>
      <c r="K16" s="9"/>
      <c r="L16" s="5"/>
      <c r="M16" s="55"/>
      <c r="N16" s="5"/>
      <c r="O16" s="5"/>
      <c r="P16" s="5"/>
      <c r="Q16" s="247"/>
      <c r="R16" s="240"/>
      <c r="S16" s="240"/>
      <c r="T16" s="240"/>
      <c r="U16" s="240"/>
      <c r="V16" s="240"/>
      <c r="W16" s="240"/>
      <c r="X16" s="240"/>
    </row>
    <row r="17" spans="2:24" s="253" customFormat="1" ht="20.149999999999999" customHeight="1" x14ac:dyDescent="0.3">
      <c r="B17" s="199"/>
      <c r="C17" s="55"/>
      <c r="D17" s="4" t="str">
        <f t="shared" si="0"/>
        <v xml:space="preserve"> </v>
      </c>
      <c r="E17" s="4"/>
      <c r="F17" s="5"/>
      <c r="G17" s="5"/>
      <c r="H17" s="8"/>
      <c r="I17" s="5" t="str">
        <f t="shared" si="1"/>
        <v xml:space="preserve"> </v>
      </c>
      <c r="J17" s="9"/>
      <c r="K17" s="9"/>
      <c r="L17" s="5"/>
      <c r="M17" s="55"/>
      <c r="N17" s="5"/>
      <c r="O17" s="5"/>
      <c r="P17" s="5"/>
      <c r="Q17" s="247"/>
      <c r="R17" s="240"/>
      <c r="S17" s="240"/>
      <c r="T17" s="240"/>
      <c r="U17" s="240"/>
      <c r="V17" s="240"/>
      <c r="W17" s="240"/>
      <c r="X17" s="240"/>
    </row>
    <row r="18" spans="2:24" s="253" customFormat="1" ht="20.149999999999999" customHeight="1" x14ac:dyDescent="0.3">
      <c r="B18" s="199"/>
      <c r="C18" s="55"/>
      <c r="D18" s="4" t="str">
        <f t="shared" si="0"/>
        <v xml:space="preserve"> </v>
      </c>
      <c r="E18" s="4"/>
      <c r="F18" s="5"/>
      <c r="G18" s="5"/>
      <c r="H18" s="8"/>
      <c r="I18" s="5" t="str">
        <f t="shared" si="1"/>
        <v xml:space="preserve"> </v>
      </c>
      <c r="J18" s="9"/>
      <c r="K18" s="9"/>
      <c r="L18" s="5"/>
      <c r="M18" s="55"/>
      <c r="N18" s="5"/>
      <c r="O18" s="5"/>
      <c r="P18" s="5"/>
      <c r="Q18" s="247"/>
      <c r="R18" s="240"/>
      <c r="S18" s="240"/>
      <c r="T18" s="240"/>
      <c r="U18" s="240"/>
      <c r="V18" s="240"/>
      <c r="W18" s="240"/>
      <c r="X18" s="240"/>
    </row>
    <row r="19" spans="2:24" s="253" customFormat="1" ht="20.149999999999999" customHeight="1" x14ac:dyDescent="0.3">
      <c r="B19" s="199"/>
      <c r="C19" s="55"/>
      <c r="D19" s="4" t="str">
        <f t="shared" si="0"/>
        <v xml:space="preserve"> </v>
      </c>
      <c r="E19" s="4"/>
      <c r="F19" s="5"/>
      <c r="G19" s="5"/>
      <c r="H19" s="8"/>
      <c r="I19" s="5" t="str">
        <f t="shared" si="1"/>
        <v xml:space="preserve"> </v>
      </c>
      <c r="J19" s="9"/>
      <c r="K19" s="9"/>
      <c r="L19" s="5"/>
      <c r="M19" s="55"/>
      <c r="N19" s="5"/>
      <c r="O19" s="5"/>
      <c r="P19" s="5"/>
      <c r="Q19" s="247"/>
      <c r="R19" s="240"/>
      <c r="S19" s="240"/>
      <c r="T19" s="240"/>
      <c r="U19" s="240"/>
      <c r="V19" s="240"/>
      <c r="W19" s="240"/>
      <c r="X19" s="240"/>
    </row>
    <row r="20" spans="2:24" s="253" customFormat="1" ht="20.149999999999999" customHeight="1" x14ac:dyDescent="0.3">
      <c r="B20" s="199"/>
      <c r="C20" s="55"/>
      <c r="D20" s="4" t="str">
        <f t="shared" si="0"/>
        <v xml:space="preserve"> </v>
      </c>
      <c r="E20" s="4"/>
      <c r="F20" s="5"/>
      <c r="G20" s="5"/>
      <c r="H20" s="8"/>
      <c r="I20" s="5" t="str">
        <f t="shared" si="1"/>
        <v xml:space="preserve"> </v>
      </c>
      <c r="J20" s="9"/>
      <c r="K20" s="9"/>
      <c r="L20" s="5"/>
      <c r="M20" s="55"/>
      <c r="N20" s="5"/>
      <c r="O20" s="5"/>
      <c r="P20" s="5"/>
      <c r="Q20" s="247"/>
      <c r="R20" s="240"/>
      <c r="S20" s="240"/>
      <c r="T20" s="240"/>
      <c r="U20" s="240"/>
      <c r="V20" s="240"/>
      <c r="W20" s="240"/>
      <c r="X20" s="240"/>
    </row>
    <row r="21" spans="2:24" s="253" customFormat="1" ht="20.149999999999999" customHeight="1" x14ac:dyDescent="0.3">
      <c r="B21" s="200"/>
      <c r="C21" s="194"/>
      <c r="D21" s="195" t="str">
        <f t="shared" si="0"/>
        <v xml:space="preserve"> </v>
      </c>
      <c r="E21" s="195"/>
      <c r="F21" s="196"/>
      <c r="G21" s="196"/>
      <c r="H21" s="197"/>
      <c r="I21" s="196" t="str">
        <f t="shared" si="1"/>
        <v xml:space="preserve"> </v>
      </c>
      <c r="J21" s="198"/>
      <c r="K21" s="198"/>
      <c r="L21" s="196"/>
      <c r="M21" s="194"/>
      <c r="N21" s="196"/>
      <c r="O21" s="196"/>
      <c r="P21" s="196"/>
      <c r="Q21" s="247"/>
      <c r="R21" s="240"/>
      <c r="S21" s="240"/>
      <c r="T21" s="240"/>
      <c r="U21" s="240"/>
      <c r="V21" s="240"/>
      <c r="W21" s="240"/>
      <c r="X21" s="240"/>
    </row>
    <row r="22" spans="2:24" s="253" customFormat="1" ht="20.149999999999999" customHeight="1" x14ac:dyDescent="0.3">
      <c r="B22" s="199"/>
      <c r="C22" s="55"/>
      <c r="D22" s="4" t="str">
        <f t="shared" si="0"/>
        <v xml:space="preserve"> </v>
      </c>
      <c r="E22" s="4"/>
      <c r="F22" s="5"/>
      <c r="G22" s="5"/>
      <c r="H22" s="8"/>
      <c r="I22" s="5" t="str">
        <f t="shared" si="1"/>
        <v xml:space="preserve"> </v>
      </c>
      <c r="J22" s="9"/>
      <c r="K22" s="9"/>
      <c r="L22" s="5"/>
      <c r="M22" s="55"/>
      <c r="N22" s="5"/>
      <c r="O22" s="5"/>
      <c r="P22" s="5"/>
      <c r="Q22" s="247"/>
      <c r="R22" s="240"/>
      <c r="S22" s="240"/>
      <c r="T22" s="240"/>
      <c r="U22" s="240"/>
      <c r="V22" s="240"/>
      <c r="W22" s="240"/>
      <c r="X22" s="240"/>
    </row>
    <row r="23" spans="2:24" s="253" customFormat="1" ht="20.149999999999999" customHeight="1" x14ac:dyDescent="0.3">
      <c r="B23" s="199"/>
      <c r="C23" s="55"/>
      <c r="D23" s="4" t="str">
        <f t="shared" si="0"/>
        <v xml:space="preserve"> </v>
      </c>
      <c r="E23" s="4"/>
      <c r="F23" s="5"/>
      <c r="G23" s="5"/>
      <c r="H23" s="8"/>
      <c r="I23" s="5" t="str">
        <f t="shared" si="1"/>
        <v xml:space="preserve"> </v>
      </c>
      <c r="J23" s="9"/>
      <c r="K23" s="9"/>
      <c r="L23" s="5"/>
      <c r="M23" s="55"/>
      <c r="N23" s="5"/>
      <c r="O23" s="5"/>
      <c r="P23" s="5"/>
      <c r="Q23" s="247"/>
      <c r="R23" s="240"/>
      <c r="S23" s="240"/>
      <c r="T23" s="240"/>
      <c r="U23" s="240"/>
      <c r="V23" s="240"/>
      <c r="W23" s="240"/>
      <c r="X23" s="240"/>
    </row>
    <row r="24" spans="2:24" s="253" customFormat="1" ht="20.149999999999999" customHeight="1" x14ac:dyDescent="0.3">
      <c r="B24" s="199"/>
      <c r="C24" s="55"/>
      <c r="D24" s="4" t="str">
        <f t="shared" si="0"/>
        <v xml:space="preserve"> </v>
      </c>
      <c r="E24" s="4"/>
      <c r="F24" s="5"/>
      <c r="G24" s="5"/>
      <c r="H24" s="8"/>
      <c r="I24" s="5" t="str">
        <f t="shared" si="1"/>
        <v xml:space="preserve"> </v>
      </c>
      <c r="J24" s="9"/>
      <c r="K24" s="9"/>
      <c r="L24" s="5"/>
      <c r="M24" s="55"/>
      <c r="N24" s="5"/>
      <c r="O24" s="5"/>
      <c r="P24" s="5"/>
      <c r="Q24" s="247"/>
      <c r="R24" s="240"/>
      <c r="S24" s="240"/>
      <c r="T24" s="240"/>
      <c r="U24" s="240"/>
      <c r="V24" s="240"/>
      <c r="W24" s="240"/>
      <c r="X24" s="240"/>
    </row>
    <row r="25" spans="2:24" s="253" customFormat="1" ht="20.149999999999999" customHeight="1" x14ac:dyDescent="0.3">
      <c r="B25" s="199"/>
      <c r="C25" s="55"/>
      <c r="D25" s="4" t="str">
        <f t="shared" si="0"/>
        <v xml:space="preserve"> </v>
      </c>
      <c r="E25" s="4"/>
      <c r="F25" s="5"/>
      <c r="G25" s="5"/>
      <c r="H25" s="8"/>
      <c r="I25" s="5" t="str">
        <f t="shared" si="1"/>
        <v xml:space="preserve"> </v>
      </c>
      <c r="J25" s="9"/>
      <c r="K25" s="9"/>
      <c r="L25" s="5"/>
      <c r="M25" s="55"/>
      <c r="N25" s="5"/>
      <c r="O25" s="5"/>
      <c r="P25" s="5"/>
      <c r="Q25" s="247"/>
      <c r="R25" s="240"/>
      <c r="S25" s="240"/>
      <c r="T25" s="240"/>
      <c r="U25" s="240"/>
      <c r="V25" s="240"/>
      <c r="W25" s="240"/>
      <c r="X25" s="240"/>
    </row>
    <row r="26" spans="2:24" s="253" customFormat="1" ht="20.149999999999999" customHeight="1" x14ac:dyDescent="0.3">
      <c r="B26" s="199"/>
      <c r="C26" s="55"/>
      <c r="D26" s="4" t="str">
        <f t="shared" si="0"/>
        <v xml:space="preserve"> </v>
      </c>
      <c r="E26" s="4"/>
      <c r="F26" s="5"/>
      <c r="G26" s="5"/>
      <c r="H26" s="8"/>
      <c r="I26" s="5" t="str">
        <f t="shared" si="1"/>
        <v xml:space="preserve"> </v>
      </c>
      <c r="J26" s="9"/>
      <c r="K26" s="9"/>
      <c r="L26" s="5"/>
      <c r="M26" s="55"/>
      <c r="N26" s="5"/>
      <c r="O26" s="5"/>
      <c r="P26" s="5"/>
      <c r="Q26" s="247"/>
      <c r="R26" s="240"/>
      <c r="S26" s="240"/>
      <c r="T26" s="240"/>
      <c r="U26" s="240"/>
      <c r="V26" s="240"/>
      <c r="W26" s="240"/>
      <c r="X26" s="240"/>
    </row>
    <row r="27" spans="2:24" s="253" customFormat="1" ht="20.149999999999999" customHeight="1" x14ac:dyDescent="0.3">
      <c r="B27" s="199"/>
      <c r="C27" s="55"/>
      <c r="D27" s="4" t="str">
        <f t="shared" si="0"/>
        <v xml:space="preserve"> </v>
      </c>
      <c r="E27" s="4"/>
      <c r="F27" s="5"/>
      <c r="G27" s="5"/>
      <c r="H27" s="8"/>
      <c r="I27" s="5" t="str">
        <f t="shared" si="1"/>
        <v xml:space="preserve"> </v>
      </c>
      <c r="J27" s="9"/>
      <c r="K27" s="9"/>
      <c r="L27" s="5"/>
      <c r="M27" s="55"/>
      <c r="N27" s="5"/>
      <c r="O27" s="5"/>
      <c r="P27" s="5"/>
      <c r="Q27" s="247"/>
      <c r="R27" s="240"/>
      <c r="S27" s="240"/>
      <c r="T27" s="240"/>
      <c r="U27" s="240"/>
      <c r="V27" s="240"/>
      <c r="W27" s="240"/>
      <c r="X27" s="240"/>
    </row>
    <row r="28" spans="2:24" s="253" customFormat="1" ht="20.149999999999999" customHeight="1" x14ac:dyDescent="0.3">
      <c r="B28" s="199"/>
      <c r="C28" s="55"/>
      <c r="D28" s="4" t="str">
        <f t="shared" si="0"/>
        <v xml:space="preserve"> </v>
      </c>
      <c r="E28" s="4"/>
      <c r="F28" s="5"/>
      <c r="G28" s="5"/>
      <c r="H28" s="8"/>
      <c r="I28" s="5" t="str">
        <f t="shared" si="1"/>
        <v xml:space="preserve"> </v>
      </c>
      <c r="J28" s="9"/>
      <c r="K28" s="9"/>
      <c r="L28" s="5"/>
      <c r="M28" s="55"/>
      <c r="N28" s="5"/>
      <c r="O28" s="5"/>
      <c r="P28" s="5"/>
      <c r="Q28" s="247"/>
      <c r="R28" s="240"/>
      <c r="S28" s="240"/>
      <c r="T28" s="240"/>
      <c r="U28" s="240"/>
      <c r="V28" s="240"/>
      <c r="W28" s="240"/>
      <c r="X28" s="240"/>
    </row>
    <row r="29" spans="2:24" s="253" customFormat="1" ht="20.149999999999999" customHeight="1" x14ac:dyDescent="0.3">
      <c r="B29" s="199"/>
      <c r="C29" s="55"/>
      <c r="D29" s="4" t="str">
        <f t="shared" si="0"/>
        <v xml:space="preserve"> </v>
      </c>
      <c r="E29" s="4"/>
      <c r="F29" s="5"/>
      <c r="G29" s="5"/>
      <c r="H29" s="8"/>
      <c r="I29" s="5" t="str">
        <f t="shared" si="1"/>
        <v xml:space="preserve"> </v>
      </c>
      <c r="J29" s="9"/>
      <c r="K29" s="9"/>
      <c r="L29" s="5"/>
      <c r="M29" s="55"/>
      <c r="N29" s="5"/>
      <c r="O29" s="5"/>
      <c r="P29" s="5"/>
      <c r="Q29" s="247"/>
      <c r="R29" s="240"/>
      <c r="S29" s="240"/>
      <c r="T29" s="240"/>
      <c r="U29" s="240"/>
      <c r="V29" s="240"/>
      <c r="W29" s="240"/>
      <c r="X29" s="240"/>
    </row>
    <row r="30" spans="2:24" s="253" customFormat="1" ht="20.149999999999999" customHeight="1" x14ac:dyDescent="0.3">
      <c r="B30" s="199"/>
      <c r="C30" s="55"/>
      <c r="D30" s="4" t="str">
        <f t="shared" si="0"/>
        <v xml:space="preserve"> </v>
      </c>
      <c r="E30" s="4"/>
      <c r="F30" s="5"/>
      <c r="G30" s="5"/>
      <c r="H30" s="8"/>
      <c r="I30" s="5" t="str">
        <f t="shared" si="1"/>
        <v xml:space="preserve"> </v>
      </c>
      <c r="J30" s="9"/>
      <c r="K30" s="9"/>
      <c r="L30" s="5"/>
      <c r="M30" s="55"/>
      <c r="N30" s="5"/>
      <c r="O30" s="5"/>
      <c r="P30" s="5"/>
      <c r="Q30" s="247"/>
      <c r="R30" s="240"/>
      <c r="S30" s="240"/>
      <c r="T30" s="240"/>
      <c r="U30" s="240"/>
      <c r="V30" s="240"/>
      <c r="W30" s="240"/>
      <c r="X30" s="240"/>
    </row>
    <row r="31" spans="2:24" s="253" customFormat="1" ht="20.149999999999999" customHeight="1" x14ac:dyDescent="0.3">
      <c r="B31" s="199"/>
      <c r="C31" s="55"/>
      <c r="D31" s="4" t="str">
        <f t="shared" si="0"/>
        <v xml:space="preserve"> </v>
      </c>
      <c r="E31" s="4"/>
      <c r="F31" s="5"/>
      <c r="G31" s="5"/>
      <c r="H31" s="8"/>
      <c r="I31" s="5" t="str">
        <f t="shared" si="1"/>
        <v xml:space="preserve"> </v>
      </c>
      <c r="J31" s="9"/>
      <c r="K31" s="9"/>
      <c r="L31" s="5"/>
      <c r="M31" s="55"/>
      <c r="N31" s="5"/>
      <c r="O31" s="5"/>
      <c r="P31" s="5"/>
      <c r="Q31" s="247"/>
      <c r="R31" s="240"/>
      <c r="S31" s="240"/>
      <c r="T31" s="240"/>
      <c r="U31" s="240"/>
      <c r="V31" s="240"/>
      <c r="W31" s="240"/>
      <c r="X31" s="240"/>
    </row>
    <row r="32" spans="2:24" s="253" customFormat="1" ht="20.149999999999999" customHeight="1" x14ac:dyDescent="0.3">
      <c r="B32" s="199"/>
      <c r="C32" s="55"/>
      <c r="D32" s="4" t="str">
        <f t="shared" si="0"/>
        <v xml:space="preserve"> </v>
      </c>
      <c r="E32" s="4"/>
      <c r="F32" s="5"/>
      <c r="G32" s="5"/>
      <c r="H32" s="8"/>
      <c r="I32" s="5" t="str">
        <f t="shared" si="1"/>
        <v xml:space="preserve"> </v>
      </c>
      <c r="J32" s="9"/>
      <c r="K32" s="9"/>
      <c r="L32" s="5"/>
      <c r="M32" s="55"/>
      <c r="N32" s="5"/>
      <c r="O32" s="5"/>
      <c r="P32" s="5"/>
      <c r="Q32" s="247"/>
      <c r="R32" s="240"/>
      <c r="S32" s="240"/>
      <c r="T32" s="240"/>
      <c r="U32" s="240"/>
      <c r="V32" s="240"/>
      <c r="W32" s="240"/>
      <c r="X32" s="240"/>
    </row>
    <row r="33" spans="2:24" s="253" customFormat="1" ht="20.149999999999999" customHeight="1" x14ac:dyDescent="0.3">
      <c r="B33" s="199"/>
      <c r="C33" s="55"/>
      <c r="D33" s="4" t="str">
        <f t="shared" si="0"/>
        <v xml:space="preserve"> </v>
      </c>
      <c r="E33" s="4"/>
      <c r="F33" s="5"/>
      <c r="G33" s="5"/>
      <c r="H33" s="8"/>
      <c r="I33" s="5" t="str">
        <f t="shared" si="1"/>
        <v xml:space="preserve"> </v>
      </c>
      <c r="J33" s="9"/>
      <c r="K33" s="9"/>
      <c r="L33" s="5"/>
      <c r="M33" s="55"/>
      <c r="N33" s="5"/>
      <c r="O33" s="5"/>
      <c r="P33" s="5"/>
      <c r="Q33" s="247"/>
      <c r="R33" s="240"/>
      <c r="S33" s="240"/>
      <c r="T33" s="240"/>
      <c r="U33" s="240"/>
      <c r="V33" s="240"/>
      <c r="W33" s="240"/>
      <c r="X33" s="240"/>
    </row>
    <row r="34" spans="2:24" s="253" customFormat="1" ht="20.149999999999999" customHeight="1" x14ac:dyDescent="0.3">
      <c r="B34" s="199"/>
      <c r="C34" s="55"/>
      <c r="D34" s="4" t="str">
        <f t="shared" si="0"/>
        <v xml:space="preserve"> </v>
      </c>
      <c r="E34" s="4"/>
      <c r="F34" s="5"/>
      <c r="G34" s="5"/>
      <c r="H34" s="8"/>
      <c r="I34" s="5" t="str">
        <f t="shared" si="1"/>
        <v xml:space="preserve"> </v>
      </c>
      <c r="J34" s="9"/>
      <c r="K34" s="9"/>
      <c r="L34" s="5"/>
      <c r="M34" s="55"/>
      <c r="N34" s="5"/>
      <c r="O34" s="5"/>
      <c r="P34" s="5"/>
      <c r="Q34" s="247"/>
      <c r="R34" s="240"/>
      <c r="S34" s="240"/>
      <c r="T34" s="240"/>
      <c r="U34" s="240"/>
      <c r="V34" s="240"/>
      <c r="W34" s="240"/>
      <c r="X34" s="240"/>
    </row>
    <row r="35" spans="2:24" s="253" customFormat="1" ht="20.149999999999999" customHeight="1" x14ac:dyDescent="0.3">
      <c r="B35" s="199"/>
      <c r="C35" s="55"/>
      <c r="D35" s="4" t="str">
        <f t="shared" si="0"/>
        <v xml:space="preserve"> </v>
      </c>
      <c r="E35" s="4"/>
      <c r="F35" s="5"/>
      <c r="G35" s="5"/>
      <c r="H35" s="8"/>
      <c r="I35" s="5" t="str">
        <f t="shared" si="1"/>
        <v xml:space="preserve"> </v>
      </c>
      <c r="J35" s="9"/>
      <c r="K35" s="9"/>
      <c r="L35" s="5"/>
      <c r="M35" s="55"/>
      <c r="N35" s="5"/>
      <c r="O35" s="5"/>
      <c r="P35" s="5"/>
      <c r="Q35" s="247"/>
      <c r="R35" s="240"/>
      <c r="S35" s="240"/>
      <c r="T35" s="240"/>
      <c r="U35" s="240"/>
      <c r="V35" s="240"/>
      <c r="W35" s="240"/>
      <c r="X35" s="240"/>
    </row>
    <row r="36" spans="2:24" s="253" customFormat="1" ht="20.149999999999999" customHeight="1" x14ac:dyDescent="0.3">
      <c r="B36" s="199"/>
      <c r="C36" s="55"/>
      <c r="D36" s="4" t="str">
        <f t="shared" si="0"/>
        <v xml:space="preserve"> </v>
      </c>
      <c r="E36" s="4"/>
      <c r="F36" s="5"/>
      <c r="G36" s="5"/>
      <c r="H36" s="8"/>
      <c r="I36" s="5" t="str">
        <f t="shared" si="1"/>
        <v xml:space="preserve"> </v>
      </c>
      <c r="J36" s="9"/>
      <c r="K36" s="9"/>
      <c r="L36" s="5"/>
      <c r="M36" s="55"/>
      <c r="N36" s="5"/>
      <c r="O36" s="5"/>
      <c r="P36" s="5"/>
      <c r="Q36" s="247"/>
      <c r="R36" s="240"/>
      <c r="S36" s="240"/>
      <c r="T36" s="240"/>
      <c r="U36" s="240"/>
      <c r="V36" s="240"/>
      <c r="W36" s="240"/>
      <c r="X36" s="240"/>
    </row>
    <row r="37" spans="2:24" s="253" customFormat="1" ht="20.149999999999999" customHeight="1" x14ac:dyDescent="0.3">
      <c r="B37" s="199"/>
      <c r="C37" s="55"/>
      <c r="D37" s="4" t="str">
        <f>IF(C37=0," ","Z2")</f>
        <v xml:space="preserve"> </v>
      </c>
      <c r="E37" s="4"/>
      <c r="F37" s="5"/>
      <c r="G37" s="5"/>
      <c r="H37" s="8"/>
      <c r="I37" s="5" t="str">
        <f t="shared" si="1"/>
        <v xml:space="preserve"> </v>
      </c>
      <c r="J37" s="9"/>
      <c r="K37" s="9"/>
      <c r="L37" s="5"/>
      <c r="M37" s="55"/>
      <c r="N37" s="5"/>
      <c r="O37" s="5"/>
      <c r="P37" s="5"/>
      <c r="Q37" s="247"/>
      <c r="R37" s="240"/>
      <c r="S37" s="240"/>
      <c r="T37" s="240"/>
      <c r="U37" s="240"/>
      <c r="V37" s="240"/>
      <c r="W37" s="240"/>
      <c r="X37" s="240"/>
    </row>
    <row r="38" spans="2:24" s="253" customFormat="1" ht="20.149999999999999" customHeight="1" x14ac:dyDescent="0.3">
      <c r="B38" s="200"/>
      <c r="C38" s="194"/>
      <c r="D38" s="195" t="str">
        <f t="shared" si="0"/>
        <v xml:space="preserve"> </v>
      </c>
      <c r="E38" s="195"/>
      <c r="F38" s="196"/>
      <c r="G38" s="196"/>
      <c r="H38" s="197"/>
      <c r="I38" s="196" t="str">
        <f t="shared" si="1"/>
        <v xml:space="preserve"> </v>
      </c>
      <c r="J38" s="198"/>
      <c r="K38" s="198"/>
      <c r="L38" s="196"/>
      <c r="M38" s="194"/>
      <c r="N38" s="196"/>
      <c r="O38" s="196"/>
      <c r="P38" s="196"/>
      <c r="Q38" s="247"/>
      <c r="R38" s="240"/>
      <c r="S38" s="240"/>
      <c r="T38" s="240"/>
      <c r="U38" s="240"/>
      <c r="V38" s="240"/>
      <c r="W38" s="240"/>
      <c r="X38" s="240"/>
    </row>
    <row r="39" spans="2:24" s="253" customFormat="1" ht="20.149999999999999" customHeight="1" x14ac:dyDescent="0.3">
      <c r="B39" s="199"/>
      <c r="C39" s="55"/>
      <c r="D39" s="4" t="str">
        <f t="shared" si="0"/>
        <v xml:space="preserve"> </v>
      </c>
      <c r="E39" s="4"/>
      <c r="F39" s="5"/>
      <c r="G39" s="5"/>
      <c r="H39" s="8"/>
      <c r="I39" s="5" t="str">
        <f t="shared" si="1"/>
        <v xml:space="preserve"> </v>
      </c>
      <c r="J39" s="9"/>
      <c r="K39" s="9"/>
      <c r="L39" s="5"/>
      <c r="M39" s="55"/>
      <c r="N39" s="5"/>
      <c r="O39" s="5"/>
      <c r="P39" s="5"/>
      <c r="Q39" s="247"/>
      <c r="R39" s="240"/>
      <c r="S39" s="240"/>
      <c r="T39" s="240"/>
      <c r="U39" s="240"/>
      <c r="V39" s="240"/>
      <c r="W39" s="240"/>
      <c r="X39" s="240"/>
    </row>
    <row r="40" spans="2:24" s="253" customFormat="1" ht="20.149999999999999" customHeight="1" x14ac:dyDescent="0.3">
      <c r="B40" s="193"/>
      <c r="C40" s="221"/>
      <c r="D40" s="222" t="str">
        <f t="shared" si="0"/>
        <v xml:space="preserve"> </v>
      </c>
      <c r="E40" s="222"/>
      <c r="F40" s="223"/>
      <c r="G40" s="223"/>
      <c r="H40" s="224"/>
      <c r="I40" s="223" t="str">
        <f t="shared" si="1"/>
        <v xml:space="preserve"> </v>
      </c>
      <c r="J40" s="225"/>
      <c r="K40" s="225"/>
      <c r="L40" s="223"/>
      <c r="M40" s="221"/>
      <c r="N40" s="223"/>
      <c r="O40" s="223"/>
      <c r="P40" s="223"/>
      <c r="Q40" s="247"/>
      <c r="R40" s="240"/>
      <c r="S40" s="240"/>
      <c r="T40" s="240"/>
      <c r="U40" s="240"/>
      <c r="V40" s="240"/>
      <c r="W40" s="240"/>
      <c r="X40" s="240"/>
    </row>
    <row r="41" spans="2:24" s="254" customFormat="1" ht="20.149999999999999" customHeight="1" x14ac:dyDescent="0.3">
      <c r="B41" s="325" t="s">
        <v>235</v>
      </c>
      <c r="C41" s="325"/>
      <c r="D41" s="325"/>
      <c r="E41" s="325"/>
      <c r="F41" s="255">
        <f>SUM(F8:F40)</f>
        <v>0</v>
      </c>
      <c r="G41" s="255"/>
      <c r="H41" s="255"/>
      <c r="I41" s="255">
        <f>SUM(I8:I40)</f>
        <v>0</v>
      </c>
      <c r="J41" s="256"/>
      <c r="K41" s="256"/>
      <c r="L41" s="256"/>
      <c r="M41" s="256"/>
      <c r="N41" s="255"/>
      <c r="O41" s="255"/>
      <c r="P41" s="255"/>
      <c r="Q41" s="244"/>
      <c r="R41" s="240"/>
      <c r="S41" s="240"/>
      <c r="T41" s="240"/>
      <c r="U41" s="240"/>
      <c r="V41" s="240"/>
      <c r="W41" s="240"/>
      <c r="X41" s="240"/>
    </row>
    <row r="42" spans="2:24" ht="20.149999999999999" customHeight="1" x14ac:dyDescent="0.3">
      <c r="D42" s="245"/>
      <c r="E42" s="247"/>
      <c r="F42" s="247"/>
      <c r="G42" s="247"/>
      <c r="H42" s="247"/>
      <c r="I42" s="247"/>
      <c r="J42" s="247"/>
      <c r="K42" s="247"/>
      <c r="L42" s="245"/>
      <c r="M42" s="247"/>
      <c r="N42" s="247"/>
      <c r="O42" s="247"/>
      <c r="P42" s="247"/>
      <c r="Q42" s="247"/>
    </row>
    <row r="43" spans="2:24" s="257" customFormat="1" ht="20.149999999999999" customHeight="1" x14ac:dyDescent="0.35">
      <c r="D43" s="258"/>
      <c r="E43" s="258"/>
      <c r="F43" s="258"/>
      <c r="G43" s="258"/>
      <c r="H43" s="258"/>
      <c r="I43" s="258"/>
      <c r="J43" s="258"/>
      <c r="K43" s="258"/>
      <c r="L43" s="258"/>
      <c r="M43" s="258"/>
      <c r="N43" s="258"/>
      <c r="O43" s="258"/>
      <c r="P43" s="258"/>
      <c r="Q43" s="258"/>
      <c r="R43" s="240"/>
      <c r="S43" s="240"/>
      <c r="T43" s="240"/>
      <c r="U43" s="240"/>
      <c r="V43" s="240"/>
      <c r="W43" s="240"/>
      <c r="X43" s="240"/>
    </row>
    <row r="44" spans="2:24" s="257" customFormat="1" ht="20.149999999999999" customHeight="1" x14ac:dyDescent="0.35">
      <c r="D44" s="258"/>
      <c r="E44" s="258"/>
      <c r="F44" s="258"/>
      <c r="G44" s="258"/>
      <c r="H44" s="258"/>
      <c r="I44" s="258"/>
      <c r="J44" s="258"/>
      <c r="K44" s="258"/>
      <c r="L44" s="258"/>
      <c r="M44" s="258"/>
      <c r="N44" s="258"/>
      <c r="O44" s="258"/>
      <c r="P44" s="258"/>
      <c r="Q44" s="258"/>
      <c r="R44" s="240"/>
      <c r="S44" s="240"/>
      <c r="T44" s="240"/>
      <c r="U44" s="240"/>
      <c r="V44" s="240"/>
      <c r="W44" s="240"/>
    </row>
    <row r="45" spans="2:24" s="257" customFormat="1" ht="20.149999999999999" customHeight="1" x14ac:dyDescent="0.35">
      <c r="D45" s="258"/>
      <c r="E45" s="258"/>
      <c r="F45" s="258"/>
      <c r="G45" s="258"/>
      <c r="H45" s="258"/>
      <c r="I45" s="258"/>
      <c r="J45" s="258"/>
      <c r="K45" s="258"/>
      <c r="L45" s="258"/>
      <c r="M45" s="258"/>
      <c r="N45" s="258"/>
      <c r="O45" s="258"/>
      <c r="P45" s="258"/>
      <c r="Q45" s="258"/>
      <c r="R45" s="240"/>
      <c r="S45" s="240"/>
      <c r="T45" s="240"/>
      <c r="U45" s="240"/>
      <c r="V45" s="240"/>
      <c r="W45" s="240"/>
    </row>
    <row r="46" spans="2:24" s="257" customFormat="1" ht="20.149999999999999" customHeight="1" x14ac:dyDescent="0.35">
      <c r="D46" s="258"/>
      <c r="E46" s="258"/>
      <c r="F46" s="258"/>
      <c r="G46" s="258"/>
      <c r="H46" s="258"/>
      <c r="I46" s="258"/>
      <c r="J46" s="258"/>
      <c r="K46" s="258"/>
      <c r="L46" s="258"/>
      <c r="M46" s="258"/>
      <c r="N46" s="258"/>
      <c r="O46" s="258"/>
      <c r="P46" s="258"/>
      <c r="Q46" s="258"/>
      <c r="R46" s="240"/>
      <c r="S46" s="240"/>
      <c r="T46" s="240"/>
      <c r="U46" s="240"/>
      <c r="V46" s="240"/>
      <c r="W46" s="240"/>
    </row>
    <row r="47" spans="2:24" ht="20.149999999999999" customHeight="1" x14ac:dyDescent="0.3">
      <c r="D47" s="247"/>
      <c r="E47" s="247"/>
      <c r="F47" s="247"/>
      <c r="G47" s="247"/>
      <c r="H47" s="247"/>
      <c r="I47" s="247"/>
      <c r="J47" s="247"/>
      <c r="K47" s="247"/>
      <c r="L47" s="247"/>
      <c r="M47" s="247"/>
      <c r="N47" s="247"/>
      <c r="O47" s="247"/>
      <c r="P47" s="247"/>
      <c r="Q47" s="247"/>
    </row>
    <row r="48" spans="2:24" ht="20.149999999999999" customHeight="1" x14ac:dyDescent="0.3"/>
    <row r="50" spans="2:19" ht="20.149999999999999" customHeight="1" x14ac:dyDescent="0.3">
      <c r="B50" s="12" t="s">
        <v>236</v>
      </c>
      <c r="C50" s="12"/>
      <c r="D50" s="12"/>
      <c r="E50" s="247"/>
      <c r="F50" s="247"/>
      <c r="G50" s="247"/>
      <c r="H50" s="247"/>
      <c r="I50" s="247"/>
      <c r="J50" s="247"/>
      <c r="K50" s="247"/>
      <c r="L50" s="12"/>
      <c r="M50" s="247"/>
      <c r="N50" s="247"/>
      <c r="O50" s="247"/>
      <c r="P50" s="247"/>
      <c r="Q50" s="247"/>
      <c r="R50" s="247"/>
      <c r="S50" s="247"/>
    </row>
    <row r="51" spans="2:19" ht="285.75" customHeight="1" x14ac:dyDescent="0.3">
      <c r="B51" s="302" t="s">
        <v>85</v>
      </c>
      <c r="C51" s="303"/>
      <c r="D51" s="303"/>
      <c r="E51" s="303"/>
      <c r="F51" s="303"/>
      <c r="G51" s="303"/>
      <c r="H51" s="303"/>
      <c r="I51" s="303"/>
      <c r="J51" s="304"/>
      <c r="K51" s="259"/>
      <c r="L51" s="259"/>
      <c r="M51" s="259"/>
      <c r="N51" s="247"/>
      <c r="O51" s="247"/>
      <c r="P51" s="247"/>
      <c r="Q51" s="247"/>
      <c r="R51" s="247"/>
      <c r="S51" s="247"/>
    </row>
  </sheetData>
  <autoFilter ref="B7:E7" xr:uid="{F0215733-3491-41E7-AEDA-44D9E214180D}"/>
  <mergeCells count="3">
    <mergeCell ref="B41:E41"/>
    <mergeCell ref="F5:I5"/>
    <mergeCell ref="B51:J51"/>
  </mergeCells>
  <phoneticPr fontId="3" type="noConversion"/>
  <conditionalFormatting sqref="F5:G5 J5:K5">
    <cfRule type="expression" dxfId="3" priority="1">
      <formula>$E$5=$F$41</formula>
    </cfRule>
  </conditionalFormatting>
  <dataValidations count="2">
    <dataValidation type="list" allowBlank="1" showInputMessage="1" showErrorMessage="1" sqref="B8:B40" xr:uid="{ED64D782-A4BB-47D5-A125-5F40ABADBC38}">
      <formula1>"FACTURA,ABONO,"</formula1>
    </dataValidation>
    <dataValidation type="list" allowBlank="1" showInputMessage="1" showErrorMessage="1" sqref="P8:P40" xr:uid="{8F27DDB5-360F-4834-9A6A-3978B9BC3B73}">
      <formula1>"SI,NO,"</formula1>
    </dataValidation>
  </dataValidations>
  <pageMargins left="0.70866141732283472" right="0.70866141732283472" top="0.74803149606299213" bottom="0.74803149606299213" header="0.31496062992125984" footer="0.31496062992125984"/>
  <pageSetup paperSize="9" scale="20"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D0F48-C59F-4074-A12D-98D50DF1D070}">
  <sheetPr>
    <pageSetUpPr fitToPage="1"/>
  </sheetPr>
  <dimension ref="B2:AN20"/>
  <sheetViews>
    <sheetView showGridLines="0" zoomScale="70" zoomScaleNormal="70" workbookViewId="0">
      <selection activeCell="C5" sqref="C5"/>
    </sheetView>
  </sheetViews>
  <sheetFormatPr baseColWidth="10" defaultColWidth="9.1796875" defaultRowHeight="13.5" x14ac:dyDescent="0.3"/>
  <cols>
    <col min="1" max="1" width="2.1796875" style="21" customWidth="1"/>
    <col min="2" max="2" width="20.453125" style="21" customWidth="1"/>
    <col min="3" max="3" width="23.453125" style="21" bestFit="1" customWidth="1"/>
    <col min="4" max="28" width="17.7265625" style="21" customWidth="1"/>
    <col min="29" max="16384" width="9.1796875" style="21"/>
  </cols>
  <sheetData>
    <row r="2" spans="2:40" ht="21" customHeight="1" x14ac:dyDescent="0.3">
      <c r="B2" s="216" t="s">
        <v>5</v>
      </c>
      <c r="C2" s="217" t="str">
        <f>'Project Infor'!C10</f>
        <v>ZEV-ATE0012-1001</v>
      </c>
      <c r="D2" s="216" t="str">
        <f>'Project Infor'!C11</f>
        <v>Lote 2: Núcleo Estructural Java</v>
      </c>
      <c r="E2" s="218"/>
      <c r="F2" s="218"/>
      <c r="G2" s="218"/>
      <c r="H2" s="218"/>
      <c r="I2" s="218"/>
      <c r="J2" s="218"/>
    </row>
    <row r="3" spans="2:40" ht="21" customHeight="1" x14ac:dyDescent="0.3"/>
    <row r="4" spans="2:40" s="86" customFormat="1" ht="25" customHeight="1" x14ac:dyDescent="0.3">
      <c r="B4" s="145" t="s">
        <v>237</v>
      </c>
      <c r="C4" s="146">
        <v>44197</v>
      </c>
      <c r="D4" s="146">
        <f t="shared" ref="D4:N4" si="0">EOMONTH(C4,1)</f>
        <v>44255</v>
      </c>
      <c r="E4" s="146">
        <f t="shared" si="0"/>
        <v>44286</v>
      </c>
      <c r="F4" s="146">
        <f t="shared" si="0"/>
        <v>44316</v>
      </c>
      <c r="G4" s="146">
        <f t="shared" si="0"/>
        <v>44347</v>
      </c>
      <c r="H4" s="146">
        <f t="shared" si="0"/>
        <v>44377</v>
      </c>
      <c r="I4" s="146">
        <f t="shared" si="0"/>
        <v>44408</v>
      </c>
      <c r="J4" s="146">
        <f t="shared" si="0"/>
        <v>44439</v>
      </c>
      <c r="K4" s="146">
        <f t="shared" si="0"/>
        <v>44469</v>
      </c>
      <c r="L4" s="146">
        <f t="shared" si="0"/>
        <v>44500</v>
      </c>
      <c r="M4" s="146">
        <f t="shared" si="0"/>
        <v>44530</v>
      </c>
      <c r="N4" s="146">
        <f t="shared" si="0"/>
        <v>44561</v>
      </c>
      <c r="O4" s="146">
        <f t="shared" ref="O4" si="1">EOMONTH(N4,1)</f>
        <v>44592</v>
      </c>
      <c r="P4" s="146">
        <f t="shared" ref="P4" si="2">EOMONTH(O4,1)</f>
        <v>44620</v>
      </c>
      <c r="Q4" s="146">
        <f t="shared" ref="Q4" si="3">EOMONTH(P4,1)</f>
        <v>44651</v>
      </c>
      <c r="R4" s="146">
        <f t="shared" ref="R4" si="4">EOMONTH(Q4,1)</f>
        <v>44681</v>
      </c>
      <c r="S4" s="146">
        <f t="shared" ref="S4" si="5">EOMONTH(R4,1)</f>
        <v>44712</v>
      </c>
      <c r="T4" s="146">
        <f t="shared" ref="T4" si="6">EOMONTH(S4,1)</f>
        <v>44742</v>
      </c>
      <c r="U4" s="146">
        <f t="shared" ref="U4" si="7">EOMONTH(T4,1)</f>
        <v>44773</v>
      </c>
      <c r="V4" s="146">
        <f t="shared" ref="V4" si="8">EOMONTH(U4,1)</f>
        <v>44804</v>
      </c>
      <c r="W4" s="146">
        <f t="shared" ref="W4" si="9">EOMONTH(V4,1)</f>
        <v>44834</v>
      </c>
      <c r="X4" s="146">
        <f t="shared" ref="X4" si="10">EOMONTH(W4,1)</f>
        <v>44865</v>
      </c>
      <c r="Y4" s="146">
        <f t="shared" ref="Y4" si="11">EOMONTH(X4,1)</f>
        <v>44895</v>
      </c>
      <c r="Z4" s="146">
        <f t="shared" ref="Z4" si="12">EOMONTH(Y4,1)</f>
        <v>44926</v>
      </c>
      <c r="AC4" s="21"/>
      <c r="AD4" s="21"/>
      <c r="AE4" s="21"/>
      <c r="AF4" s="21"/>
      <c r="AG4" s="21"/>
      <c r="AH4" s="21"/>
      <c r="AI4" s="21"/>
      <c r="AJ4" s="21"/>
      <c r="AK4" s="21"/>
      <c r="AL4" s="21"/>
      <c r="AM4" s="21"/>
      <c r="AN4" s="21"/>
    </row>
    <row r="5" spans="2:40" s="67" customFormat="1" ht="25" customHeight="1" x14ac:dyDescent="0.3">
      <c r="B5" s="191">
        <v>44197</v>
      </c>
      <c r="C5" s="192"/>
      <c r="D5" s="192"/>
      <c r="E5" s="192"/>
      <c r="F5" s="192"/>
      <c r="G5" s="192"/>
      <c r="H5" s="192"/>
      <c r="I5" s="192"/>
      <c r="J5" s="192"/>
      <c r="K5" s="192"/>
      <c r="L5" s="192"/>
      <c r="M5" s="192"/>
      <c r="N5" s="192"/>
      <c r="O5" s="192"/>
      <c r="P5" s="192"/>
      <c r="Q5" s="192"/>
      <c r="R5" s="192"/>
      <c r="S5" s="192"/>
      <c r="T5" s="192"/>
      <c r="U5" s="192"/>
      <c r="V5" s="192"/>
      <c r="W5" s="192"/>
      <c r="X5" s="192"/>
      <c r="Y5" s="192"/>
      <c r="Z5" s="192"/>
      <c r="AC5" s="21"/>
      <c r="AD5" s="21"/>
      <c r="AE5" s="21"/>
      <c r="AF5" s="21"/>
      <c r="AG5" s="21"/>
      <c r="AH5" s="21"/>
      <c r="AI5" s="21"/>
      <c r="AJ5" s="21"/>
      <c r="AK5" s="21"/>
      <c r="AL5" s="21"/>
      <c r="AM5" s="21"/>
      <c r="AN5" s="21"/>
    </row>
    <row r="6" spans="2:40" s="67" customFormat="1" ht="25" customHeight="1" x14ac:dyDescent="0.3">
      <c r="B6" s="191">
        <f>EOMONTH(B5,1)</f>
        <v>44255</v>
      </c>
      <c r="C6" s="192"/>
      <c r="D6" s="192"/>
      <c r="E6" s="192"/>
      <c r="F6" s="192"/>
      <c r="G6" s="192"/>
      <c r="H6" s="192"/>
      <c r="I6" s="192"/>
      <c r="J6" s="192"/>
      <c r="K6" s="192"/>
      <c r="L6" s="192"/>
      <c r="M6" s="192"/>
      <c r="N6" s="192"/>
      <c r="O6" s="192"/>
      <c r="P6" s="192"/>
      <c r="Q6" s="192"/>
      <c r="R6" s="192"/>
      <c r="S6" s="192"/>
      <c r="T6" s="192"/>
      <c r="U6" s="192"/>
      <c r="V6" s="192"/>
      <c r="W6" s="192"/>
      <c r="X6" s="192"/>
      <c r="Y6" s="192"/>
      <c r="Z6" s="192"/>
      <c r="AC6" s="21"/>
      <c r="AD6" s="21"/>
      <c r="AE6" s="21"/>
      <c r="AF6" s="21"/>
      <c r="AG6" s="21"/>
      <c r="AH6" s="21"/>
      <c r="AI6" s="21"/>
      <c r="AJ6" s="21"/>
      <c r="AK6" s="21"/>
      <c r="AL6" s="21"/>
      <c r="AM6" s="21"/>
      <c r="AN6" s="21"/>
    </row>
    <row r="7" spans="2:40" s="67" customFormat="1" ht="25" customHeight="1" x14ac:dyDescent="0.3">
      <c r="B7" s="191">
        <f t="shared" ref="B7:B16" si="13">EOMONTH(B6,1)</f>
        <v>44286</v>
      </c>
      <c r="C7" s="192"/>
      <c r="D7" s="192"/>
      <c r="E7" s="192"/>
      <c r="F7" s="192"/>
      <c r="G7" s="192"/>
      <c r="H7" s="192"/>
      <c r="I7" s="192"/>
      <c r="J7" s="192"/>
      <c r="K7" s="192"/>
      <c r="L7" s="192"/>
      <c r="M7" s="192"/>
      <c r="N7" s="192"/>
      <c r="O7" s="192"/>
      <c r="P7" s="192"/>
      <c r="Q7" s="192"/>
      <c r="R7" s="192"/>
      <c r="S7" s="192"/>
      <c r="T7" s="192"/>
      <c r="U7" s="192"/>
      <c r="V7" s="192"/>
      <c r="W7" s="192"/>
      <c r="X7" s="192"/>
      <c r="Y7" s="192"/>
      <c r="Z7" s="192"/>
      <c r="AC7" s="21"/>
      <c r="AD7" s="21"/>
      <c r="AE7" s="21"/>
      <c r="AF7" s="21"/>
      <c r="AG7" s="21"/>
      <c r="AH7" s="21"/>
      <c r="AI7" s="21"/>
      <c r="AJ7" s="21"/>
      <c r="AK7" s="21"/>
      <c r="AL7" s="21"/>
      <c r="AM7" s="21"/>
      <c r="AN7" s="21"/>
    </row>
    <row r="8" spans="2:40" s="67" customFormat="1" ht="25" customHeight="1" x14ac:dyDescent="0.3">
      <c r="B8" s="191">
        <f t="shared" si="13"/>
        <v>44316</v>
      </c>
      <c r="C8" s="192"/>
      <c r="D8" s="192"/>
      <c r="E8" s="192"/>
      <c r="F8" s="192"/>
      <c r="G8" s="192"/>
      <c r="H8" s="192"/>
      <c r="I8" s="192"/>
      <c r="J8" s="192"/>
      <c r="K8" s="192"/>
      <c r="L8" s="192"/>
      <c r="M8" s="192"/>
      <c r="N8" s="192"/>
      <c r="O8" s="192"/>
      <c r="P8" s="192"/>
      <c r="Q8" s="192"/>
      <c r="R8" s="192"/>
      <c r="S8" s="192"/>
      <c r="T8" s="192"/>
      <c r="U8" s="192"/>
      <c r="V8" s="192"/>
      <c r="W8" s="192"/>
      <c r="X8" s="192"/>
      <c r="Y8" s="192"/>
      <c r="Z8" s="192"/>
      <c r="AC8" s="21"/>
      <c r="AD8" s="21"/>
      <c r="AE8" s="21"/>
      <c r="AF8" s="21"/>
      <c r="AG8" s="21"/>
      <c r="AH8" s="21"/>
      <c r="AI8" s="21"/>
      <c r="AJ8" s="21"/>
      <c r="AK8" s="21"/>
      <c r="AL8" s="21"/>
      <c r="AM8" s="21"/>
      <c r="AN8" s="21"/>
    </row>
    <row r="9" spans="2:40" ht="25" customHeight="1" x14ac:dyDescent="0.3">
      <c r="B9" s="191">
        <f t="shared" si="13"/>
        <v>44347</v>
      </c>
      <c r="C9" s="192"/>
      <c r="D9" s="192"/>
      <c r="E9" s="192"/>
      <c r="F9" s="192"/>
      <c r="G9" s="192"/>
      <c r="H9" s="192"/>
      <c r="I9" s="192"/>
      <c r="J9" s="192"/>
      <c r="K9" s="192"/>
      <c r="L9" s="192"/>
      <c r="M9" s="192"/>
      <c r="N9" s="192"/>
      <c r="O9" s="192"/>
      <c r="P9" s="192"/>
      <c r="Q9" s="192"/>
      <c r="R9" s="192"/>
      <c r="S9" s="192"/>
      <c r="T9" s="192"/>
      <c r="U9" s="192"/>
      <c r="V9" s="192"/>
      <c r="W9" s="192"/>
      <c r="X9" s="192"/>
      <c r="Y9" s="192"/>
      <c r="Z9" s="192"/>
    </row>
    <row r="10" spans="2:40" ht="25" customHeight="1" x14ac:dyDescent="0.3">
      <c r="B10" s="191">
        <f t="shared" si="13"/>
        <v>44377</v>
      </c>
      <c r="C10" s="192"/>
      <c r="D10" s="192"/>
      <c r="E10" s="192"/>
      <c r="F10" s="192"/>
      <c r="G10" s="192"/>
      <c r="H10" s="192"/>
      <c r="I10" s="192"/>
      <c r="J10" s="192"/>
      <c r="K10" s="192"/>
      <c r="L10" s="192"/>
      <c r="M10" s="192"/>
      <c r="N10" s="192"/>
      <c r="O10" s="192"/>
      <c r="P10" s="192"/>
      <c r="Q10" s="192"/>
      <c r="R10" s="192"/>
      <c r="S10" s="192"/>
      <c r="T10" s="192"/>
      <c r="U10" s="192"/>
      <c r="V10" s="192"/>
      <c r="W10" s="192"/>
      <c r="X10" s="192"/>
      <c r="Y10" s="192"/>
      <c r="Z10" s="192"/>
    </row>
    <row r="11" spans="2:40" ht="25" customHeight="1" x14ac:dyDescent="0.3">
      <c r="B11" s="191">
        <f t="shared" si="13"/>
        <v>44408</v>
      </c>
      <c r="C11" s="192"/>
      <c r="D11" s="192"/>
      <c r="E11" s="192"/>
      <c r="F11" s="192"/>
      <c r="G11" s="192"/>
      <c r="H11" s="192"/>
      <c r="I11" s="192"/>
      <c r="J11" s="192"/>
      <c r="K11" s="192"/>
      <c r="L11" s="192"/>
      <c r="M11" s="192"/>
      <c r="N11" s="192"/>
      <c r="O11" s="192"/>
      <c r="P11" s="192"/>
      <c r="Q11" s="192"/>
      <c r="R11" s="192"/>
      <c r="S11" s="192"/>
      <c r="T11" s="192"/>
      <c r="U11" s="192"/>
      <c r="V11" s="192"/>
      <c r="W11" s="192"/>
      <c r="X11" s="192"/>
      <c r="Y11" s="192"/>
      <c r="Z11" s="192"/>
    </row>
    <row r="12" spans="2:40" ht="25" customHeight="1" x14ac:dyDescent="0.3">
      <c r="B12" s="191">
        <f t="shared" si="13"/>
        <v>44439</v>
      </c>
      <c r="C12" s="192"/>
      <c r="D12" s="192"/>
      <c r="E12" s="192"/>
      <c r="F12" s="192"/>
      <c r="G12" s="192"/>
      <c r="H12" s="192"/>
      <c r="I12" s="192"/>
      <c r="J12" s="192"/>
      <c r="K12" s="192"/>
      <c r="L12" s="192"/>
      <c r="M12" s="192"/>
      <c r="N12" s="192"/>
      <c r="O12" s="192"/>
      <c r="P12" s="192"/>
      <c r="Q12" s="192"/>
      <c r="R12" s="192"/>
      <c r="S12" s="192"/>
      <c r="T12" s="192"/>
      <c r="U12" s="192"/>
      <c r="V12" s="192"/>
      <c r="W12" s="192"/>
      <c r="X12" s="192"/>
      <c r="Y12" s="192"/>
      <c r="Z12" s="192"/>
    </row>
    <row r="13" spans="2:40" s="67" customFormat="1" ht="25" customHeight="1" x14ac:dyDescent="0.3">
      <c r="B13" s="191">
        <f t="shared" si="13"/>
        <v>44469</v>
      </c>
      <c r="C13" s="192"/>
      <c r="D13" s="192"/>
      <c r="E13" s="192"/>
      <c r="F13" s="192"/>
      <c r="G13" s="192"/>
      <c r="H13" s="192"/>
      <c r="I13" s="192"/>
      <c r="J13" s="192"/>
      <c r="K13" s="192"/>
      <c r="L13" s="192"/>
      <c r="M13" s="192"/>
      <c r="N13" s="192"/>
      <c r="O13" s="192"/>
      <c r="P13" s="192"/>
      <c r="Q13" s="192"/>
      <c r="R13" s="192"/>
      <c r="S13" s="192"/>
      <c r="T13" s="192"/>
      <c r="U13" s="192"/>
      <c r="V13" s="192"/>
      <c r="W13" s="192"/>
      <c r="X13" s="192"/>
      <c r="Y13" s="192"/>
      <c r="Z13" s="192"/>
      <c r="AC13" s="21"/>
      <c r="AD13" s="21"/>
      <c r="AE13" s="21"/>
      <c r="AF13" s="21"/>
      <c r="AG13" s="21"/>
      <c r="AH13" s="21"/>
      <c r="AI13" s="21"/>
      <c r="AJ13" s="21"/>
      <c r="AK13" s="21"/>
      <c r="AL13" s="21"/>
      <c r="AM13" s="21"/>
      <c r="AN13" s="21"/>
    </row>
    <row r="14" spans="2:40" s="67" customFormat="1" ht="25" customHeight="1" x14ac:dyDescent="0.3">
      <c r="B14" s="191">
        <f t="shared" si="13"/>
        <v>44500</v>
      </c>
      <c r="C14" s="192"/>
      <c r="D14" s="192"/>
      <c r="E14" s="192"/>
      <c r="F14" s="192"/>
      <c r="G14" s="192"/>
      <c r="H14" s="192"/>
      <c r="I14" s="192"/>
      <c r="J14" s="192"/>
      <c r="K14" s="192"/>
      <c r="L14" s="192"/>
      <c r="M14" s="192"/>
      <c r="N14" s="192"/>
      <c r="O14" s="192"/>
      <c r="P14" s="192"/>
      <c r="Q14" s="192"/>
      <c r="R14" s="192"/>
      <c r="S14" s="192"/>
      <c r="T14" s="192"/>
      <c r="U14" s="192"/>
      <c r="V14" s="192"/>
      <c r="W14" s="192"/>
      <c r="X14" s="192"/>
      <c r="Y14" s="192"/>
      <c r="Z14" s="192"/>
      <c r="AC14" s="21"/>
      <c r="AD14" s="21"/>
      <c r="AE14" s="21"/>
      <c r="AF14" s="21"/>
      <c r="AG14" s="21"/>
      <c r="AH14" s="21"/>
      <c r="AI14" s="21"/>
      <c r="AJ14" s="21"/>
      <c r="AK14" s="21"/>
      <c r="AL14" s="21"/>
      <c r="AM14" s="21"/>
      <c r="AN14" s="21"/>
    </row>
    <row r="15" spans="2:40" s="67" customFormat="1" ht="25" customHeight="1" x14ac:dyDescent="0.3">
      <c r="B15" s="191">
        <f t="shared" si="13"/>
        <v>44530</v>
      </c>
      <c r="C15" s="192"/>
      <c r="D15" s="192"/>
      <c r="E15" s="192"/>
      <c r="F15" s="192"/>
      <c r="G15" s="192"/>
      <c r="H15" s="192"/>
      <c r="I15" s="192"/>
      <c r="J15" s="192"/>
      <c r="K15" s="192"/>
      <c r="L15" s="192"/>
      <c r="M15" s="192"/>
      <c r="N15" s="192"/>
      <c r="O15" s="192"/>
      <c r="P15" s="192"/>
      <c r="Q15" s="192"/>
      <c r="R15" s="192"/>
      <c r="S15" s="192"/>
      <c r="T15" s="192"/>
      <c r="U15" s="192"/>
      <c r="V15" s="192"/>
      <c r="W15" s="192"/>
      <c r="X15" s="192"/>
      <c r="Y15" s="192"/>
      <c r="Z15" s="192"/>
      <c r="AC15" s="21"/>
      <c r="AD15" s="21"/>
      <c r="AE15" s="21"/>
      <c r="AF15" s="21"/>
      <c r="AG15" s="21"/>
      <c r="AH15" s="21"/>
      <c r="AI15" s="21"/>
      <c r="AJ15" s="21"/>
      <c r="AK15" s="21"/>
      <c r="AL15" s="21"/>
      <c r="AM15" s="21"/>
      <c r="AN15" s="21"/>
    </row>
    <row r="16" spans="2:40" s="67" customFormat="1" ht="25" customHeight="1" x14ac:dyDescent="0.3">
      <c r="B16" s="191">
        <f t="shared" si="13"/>
        <v>44561</v>
      </c>
      <c r="C16" s="192"/>
      <c r="D16" s="192"/>
      <c r="E16" s="192"/>
      <c r="F16" s="192"/>
      <c r="G16" s="192"/>
      <c r="H16" s="192"/>
      <c r="I16" s="192"/>
      <c r="J16" s="192"/>
      <c r="K16" s="192"/>
      <c r="L16" s="192"/>
      <c r="M16" s="192"/>
      <c r="N16" s="192"/>
      <c r="O16" s="192"/>
      <c r="P16" s="192"/>
      <c r="Q16" s="192"/>
      <c r="R16" s="192"/>
      <c r="S16" s="192"/>
      <c r="T16" s="192"/>
      <c r="U16" s="192"/>
      <c r="V16" s="192"/>
      <c r="W16" s="192"/>
      <c r="X16" s="192"/>
      <c r="Y16" s="192"/>
      <c r="Z16" s="192"/>
      <c r="AC16" s="21"/>
      <c r="AD16" s="21"/>
      <c r="AE16" s="21"/>
      <c r="AF16" s="21"/>
      <c r="AG16" s="21"/>
      <c r="AH16" s="21"/>
      <c r="AI16" s="21"/>
      <c r="AJ16" s="21"/>
      <c r="AK16" s="21"/>
      <c r="AL16" s="21"/>
      <c r="AM16" s="21"/>
      <c r="AN16" s="21"/>
    </row>
    <row r="17" spans="2:28" ht="25" customHeight="1" x14ac:dyDescent="0.3"/>
    <row r="18" spans="2:28" ht="25" customHeight="1" x14ac:dyDescent="0.3"/>
    <row r="19" spans="2:28" ht="20.149999999999999" customHeight="1" x14ac:dyDescent="0.3">
      <c r="B19" s="65" t="s">
        <v>238</v>
      </c>
      <c r="C19" s="65"/>
      <c r="D19" s="65"/>
      <c r="E19" s="24"/>
      <c r="F19" s="24"/>
      <c r="G19" s="24"/>
      <c r="H19" s="24"/>
      <c r="I19" s="24"/>
      <c r="J19" s="24"/>
      <c r="K19" s="65"/>
      <c r="L19" s="24"/>
      <c r="M19" s="24"/>
      <c r="N19" s="24"/>
      <c r="O19" s="24"/>
      <c r="P19" s="24"/>
      <c r="Q19" s="24"/>
      <c r="R19" s="24"/>
      <c r="S19" s="24"/>
      <c r="T19" s="24"/>
      <c r="U19" s="24"/>
      <c r="V19" s="24"/>
      <c r="W19" s="65"/>
      <c r="X19" s="24"/>
      <c r="Y19" s="24"/>
      <c r="Z19" s="24"/>
      <c r="AA19" s="24"/>
      <c r="AB19" s="24"/>
    </row>
    <row r="20" spans="2:28" ht="285.75" customHeight="1" x14ac:dyDescent="0.3">
      <c r="B20" s="302" t="s">
        <v>85</v>
      </c>
      <c r="C20" s="303"/>
      <c r="D20" s="303"/>
      <c r="E20" s="303"/>
      <c r="F20" s="303"/>
      <c r="G20" s="303"/>
      <c r="H20" s="303"/>
      <c r="I20" s="303"/>
      <c r="J20" s="304"/>
      <c r="K20" s="173"/>
      <c r="L20" s="173"/>
      <c r="M20" s="24"/>
      <c r="N20" s="24"/>
      <c r="O20" s="24"/>
      <c r="P20" s="24"/>
      <c r="Q20" s="24"/>
      <c r="R20" s="24"/>
      <c r="S20" s="24"/>
      <c r="T20" s="24"/>
      <c r="U20" s="24"/>
      <c r="V20" s="24"/>
      <c r="W20" s="173"/>
      <c r="X20" s="173"/>
      <c r="Y20" s="24"/>
      <c r="Z20" s="24"/>
      <c r="AA20" s="24"/>
      <c r="AB20" s="24"/>
    </row>
  </sheetData>
  <mergeCells count="1">
    <mergeCell ref="B20:J20"/>
  </mergeCells>
  <conditionalFormatting sqref="C5:Z16">
    <cfRule type="expression" dxfId="2" priority="46">
      <formula>$D$4="Fin"</formula>
    </cfRule>
  </conditionalFormatting>
  <pageMargins left="0.70866141732283472" right="0.70866141732283472" top="0.74803149606299213" bottom="0.74803149606299213" header="0.31496062992125984" footer="0.31496062992125984"/>
  <pageSetup paperSize="9" scale="19"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0009C-52C2-4470-9957-DA0E1D26A9F0}">
  <sheetPr>
    <pageSetUpPr fitToPage="1"/>
  </sheetPr>
  <dimension ref="B2:W56"/>
  <sheetViews>
    <sheetView showGridLines="0" topLeftCell="C1" zoomScale="55" zoomScaleNormal="55" workbookViewId="0">
      <selection activeCell="K12" sqref="K12"/>
    </sheetView>
  </sheetViews>
  <sheetFormatPr baseColWidth="10" defaultColWidth="9.1796875" defaultRowHeight="13.5" x14ac:dyDescent="0.3"/>
  <cols>
    <col min="1" max="1" width="2.1796875" style="21" customWidth="1"/>
    <col min="2" max="2" width="39.81640625" style="21" bestFit="1" customWidth="1"/>
    <col min="3" max="3" width="25.26953125" style="21" customWidth="1"/>
    <col min="4" max="4" width="27.54296875" style="21" customWidth="1"/>
    <col min="5" max="5" width="71.453125" style="21" customWidth="1"/>
    <col min="6" max="6" width="20.7265625" style="21" customWidth="1"/>
    <col min="7" max="7" width="10.7265625" style="21" customWidth="1"/>
    <col min="8" max="8" width="20.81640625" style="21" customWidth="1"/>
    <col min="9" max="9" width="24.1796875" style="21" customWidth="1"/>
    <col min="10" max="10" width="38.26953125" style="21" customWidth="1"/>
    <col min="11" max="11" width="28" style="21" customWidth="1"/>
    <col min="12" max="12" width="16.7265625" style="21" customWidth="1"/>
    <col min="13" max="13" width="33.81640625" style="21" customWidth="1"/>
    <col min="14" max="14" width="28.81640625" style="21" bestFit="1" customWidth="1"/>
    <col min="15" max="15" width="11.7265625" style="21" customWidth="1"/>
    <col min="16" max="16" width="3.453125" style="21" customWidth="1"/>
    <col min="17" max="17" width="9.1796875" style="21" customWidth="1"/>
    <col min="18" max="18" width="14.26953125" style="21" customWidth="1"/>
    <col min="19" max="19" width="11.81640625" style="21" customWidth="1"/>
    <col min="20" max="22" width="9.1796875" style="21" customWidth="1"/>
    <col min="23" max="16384" width="9.1796875" style="21"/>
  </cols>
  <sheetData>
    <row r="2" spans="2:23" ht="21" customHeight="1" x14ac:dyDescent="0.3">
      <c r="B2" s="95" t="s">
        <v>5</v>
      </c>
      <c r="C2" s="111" t="str">
        <f>'Project Infor'!C10</f>
        <v>ZEV-ATE0012-1001</v>
      </c>
      <c r="D2" s="216" t="str">
        <f>'Project Infor'!C11</f>
        <v>Lote 2: Núcleo Estructural Java</v>
      </c>
      <c r="E2" s="218"/>
      <c r="F2" s="218"/>
      <c r="G2" s="218"/>
      <c r="H2" s="218"/>
    </row>
    <row r="3" spans="2:23" ht="9" customHeight="1" x14ac:dyDescent="0.3">
      <c r="D3" s="22"/>
      <c r="E3" s="22"/>
      <c r="F3" s="22"/>
      <c r="G3" s="22"/>
    </row>
    <row r="4" spans="2:23" ht="30.75" customHeight="1" x14ac:dyDescent="0.3">
      <c r="B4" s="77" t="s">
        <v>229</v>
      </c>
      <c r="C4" s="315" t="s">
        <v>239</v>
      </c>
      <c r="D4" s="315"/>
      <c r="E4" s="22"/>
      <c r="F4" s="328" t="s">
        <v>240</v>
      </c>
      <c r="G4" s="333"/>
      <c r="H4" s="228" t="s">
        <v>241</v>
      </c>
      <c r="I4" s="228" t="s">
        <v>242</v>
      </c>
      <c r="J4" s="228" t="s">
        <v>243</v>
      </c>
      <c r="K4" s="328" t="s">
        <v>244</v>
      </c>
      <c r="L4" s="328"/>
      <c r="M4" s="328"/>
      <c r="N4" s="328"/>
    </row>
    <row r="5" spans="2:23" ht="18" customHeight="1" x14ac:dyDescent="0.3">
      <c r="B5" s="77" t="s">
        <v>245</v>
      </c>
      <c r="C5" s="327" t="s">
        <v>246</v>
      </c>
      <c r="D5" s="327"/>
      <c r="E5" s="22"/>
      <c r="F5" s="327" t="s">
        <v>247</v>
      </c>
      <c r="G5" s="327"/>
      <c r="H5" s="230">
        <v>0.5</v>
      </c>
      <c r="I5" s="231">
        <v>5000</v>
      </c>
      <c r="J5" s="289" t="s">
        <v>246</v>
      </c>
      <c r="K5" s="327"/>
      <c r="L5" s="327"/>
      <c r="M5" s="327"/>
      <c r="N5" s="327"/>
    </row>
    <row r="6" spans="2:23" ht="18" customHeight="1" x14ac:dyDescent="0.3">
      <c r="B6" s="77" t="s">
        <v>248</v>
      </c>
      <c r="C6" s="327" t="s">
        <v>249</v>
      </c>
      <c r="D6" s="327"/>
      <c r="E6" s="22"/>
      <c r="F6" s="327" t="s">
        <v>250</v>
      </c>
      <c r="G6" s="327"/>
      <c r="H6" s="230">
        <v>0.1</v>
      </c>
      <c r="I6" s="231">
        <v>1000</v>
      </c>
      <c r="J6" s="289"/>
      <c r="K6" s="327"/>
      <c r="L6" s="327"/>
      <c r="M6" s="327"/>
      <c r="N6" s="327"/>
    </row>
    <row r="7" spans="2:23" ht="18" customHeight="1" x14ac:dyDescent="0.3">
      <c r="B7" s="77" t="s">
        <v>251</v>
      </c>
      <c r="C7" s="332">
        <v>10000</v>
      </c>
      <c r="D7" s="332"/>
      <c r="E7" s="229" t="s">
        <v>252</v>
      </c>
      <c r="F7" s="327" t="s">
        <v>253</v>
      </c>
      <c r="G7" s="327"/>
      <c r="H7" s="230">
        <v>0.2</v>
      </c>
      <c r="I7" s="231">
        <v>2000</v>
      </c>
      <c r="J7" s="289"/>
      <c r="K7" s="327"/>
      <c r="L7" s="327"/>
      <c r="M7" s="327"/>
      <c r="N7" s="327"/>
    </row>
    <row r="8" spans="2:23" ht="18" customHeight="1" x14ac:dyDescent="0.3">
      <c r="D8" s="22"/>
      <c r="E8" s="22"/>
      <c r="F8" s="327" t="s">
        <v>254</v>
      </c>
      <c r="G8" s="327"/>
      <c r="H8" s="230">
        <v>0.1</v>
      </c>
      <c r="I8" s="231">
        <v>1000</v>
      </c>
      <c r="J8" s="289"/>
      <c r="K8" s="327"/>
      <c r="L8" s="327"/>
      <c r="M8" s="327"/>
      <c r="N8" s="327"/>
    </row>
    <row r="9" spans="2:23" ht="18" customHeight="1" x14ac:dyDescent="0.3">
      <c r="D9" s="22"/>
      <c r="E9" s="56"/>
      <c r="F9" s="327" t="s">
        <v>255</v>
      </c>
      <c r="G9" s="327"/>
      <c r="H9" s="230">
        <v>0.1</v>
      </c>
      <c r="I9" s="231">
        <v>1000</v>
      </c>
      <c r="J9" s="289"/>
      <c r="K9" s="327"/>
      <c r="L9" s="327"/>
      <c r="M9" s="327"/>
      <c r="N9" s="327"/>
      <c r="O9" s="24"/>
      <c r="P9" s="24"/>
    </row>
    <row r="10" spans="2:23" ht="23.25" customHeight="1" x14ac:dyDescent="0.3">
      <c r="C10" s="310" t="s">
        <v>219</v>
      </c>
      <c r="D10" s="310"/>
      <c r="M10" s="24"/>
      <c r="N10" s="24"/>
      <c r="O10" s="24"/>
      <c r="P10" s="24"/>
    </row>
    <row r="11" spans="2:23" ht="20.149999999999999" customHeight="1" x14ac:dyDescent="0.3">
      <c r="D11" s="23"/>
      <c r="F11" s="24"/>
      <c r="G11" s="24"/>
      <c r="H11" s="24"/>
      <c r="I11" s="24"/>
      <c r="J11" s="24"/>
      <c r="K11" s="23"/>
      <c r="L11" s="24"/>
      <c r="M11" s="24"/>
      <c r="N11" s="24"/>
      <c r="O11" s="24"/>
      <c r="P11" s="24"/>
    </row>
    <row r="12" spans="2:23" s="86" customFormat="1" ht="31.5" customHeight="1" x14ac:dyDescent="0.3">
      <c r="B12" s="42" t="s">
        <v>220</v>
      </c>
      <c r="C12" s="42" t="s">
        <v>221</v>
      </c>
      <c r="D12" s="42" t="s">
        <v>256</v>
      </c>
      <c r="E12" s="42" t="s">
        <v>223</v>
      </c>
      <c r="F12" s="43" t="s">
        <v>224</v>
      </c>
      <c r="G12" s="43" t="s">
        <v>225</v>
      </c>
      <c r="H12" s="42" t="s">
        <v>226</v>
      </c>
      <c r="I12" s="42" t="s">
        <v>227</v>
      </c>
      <c r="J12" s="42" t="s">
        <v>229</v>
      </c>
      <c r="K12" s="42" t="s">
        <v>257</v>
      </c>
      <c r="L12" s="43" t="s">
        <v>231</v>
      </c>
      <c r="M12" s="43" t="s">
        <v>232</v>
      </c>
      <c r="N12" s="43" t="s">
        <v>233</v>
      </c>
      <c r="O12" s="43" t="s">
        <v>234</v>
      </c>
      <c r="P12" s="24"/>
      <c r="Q12" s="21"/>
      <c r="R12" s="21"/>
      <c r="S12" s="21"/>
      <c r="T12" s="21"/>
      <c r="U12" s="21"/>
      <c r="V12" s="21"/>
      <c r="W12" s="21"/>
    </row>
    <row r="13" spans="2:23" s="67" customFormat="1" ht="20.149999999999999" customHeight="1" x14ac:dyDescent="0.3">
      <c r="B13" s="199" t="s">
        <v>258</v>
      </c>
      <c r="C13" s="226">
        <v>44286</v>
      </c>
      <c r="D13" s="4" t="s">
        <v>247</v>
      </c>
      <c r="E13" s="4" t="s">
        <v>259</v>
      </c>
      <c r="F13" s="5">
        <v>3000</v>
      </c>
      <c r="G13" s="5" t="s">
        <v>260</v>
      </c>
      <c r="H13" s="8">
        <v>0.21</v>
      </c>
      <c r="I13" s="5">
        <f>IF(F13=0," ",F13+F13*H13)</f>
        <v>3630</v>
      </c>
      <c r="J13" s="9" t="s">
        <v>261</v>
      </c>
      <c r="K13" s="5"/>
      <c r="L13" s="55"/>
      <c r="M13" s="5" t="s">
        <v>262</v>
      </c>
      <c r="N13" s="5"/>
      <c r="O13" s="5"/>
      <c r="P13" s="24"/>
      <c r="Q13" s="21"/>
      <c r="R13" s="21"/>
      <c r="S13" s="21"/>
      <c r="T13" s="21"/>
      <c r="U13" s="21"/>
      <c r="V13" s="21"/>
      <c r="W13" s="21"/>
    </row>
    <row r="14" spans="2:23" s="67" customFormat="1" ht="20.149999999999999" customHeight="1" x14ac:dyDescent="0.3">
      <c r="B14" s="199"/>
      <c r="C14" s="55"/>
      <c r="D14" s="4" t="str">
        <f t="shared" ref="D14:D45" si="0">IF(C14=0," ","Z2")</f>
        <v xml:space="preserve"> </v>
      </c>
      <c r="E14" s="4"/>
      <c r="F14" s="5"/>
      <c r="G14" s="5"/>
      <c r="H14" s="8"/>
      <c r="I14" s="5" t="str">
        <f t="shared" ref="I14:I45" si="1">IF(F14=0," ",F14+F14*H14)</f>
        <v xml:space="preserve"> </v>
      </c>
      <c r="J14" s="9"/>
      <c r="K14" s="5"/>
      <c r="L14" s="55"/>
      <c r="M14" s="5"/>
      <c r="N14" s="5"/>
      <c r="O14" s="5"/>
      <c r="P14" s="24"/>
      <c r="Q14" s="21"/>
      <c r="R14" s="21"/>
      <c r="S14" s="21"/>
      <c r="T14" s="21"/>
      <c r="U14" s="21"/>
      <c r="V14" s="21"/>
      <c r="W14" s="21"/>
    </row>
    <row r="15" spans="2:23" s="67" customFormat="1" ht="20.149999999999999" customHeight="1" x14ac:dyDescent="0.3">
      <c r="B15" s="199"/>
      <c r="C15" s="55"/>
      <c r="D15" s="4" t="str">
        <f t="shared" si="0"/>
        <v xml:space="preserve"> </v>
      </c>
      <c r="E15" s="4"/>
      <c r="F15" s="5"/>
      <c r="G15" s="5"/>
      <c r="H15" s="8"/>
      <c r="I15" s="5" t="str">
        <f t="shared" si="1"/>
        <v xml:space="preserve"> </v>
      </c>
      <c r="J15" s="9"/>
      <c r="K15" s="5"/>
      <c r="L15" s="55"/>
      <c r="M15" s="5"/>
      <c r="N15" s="5"/>
      <c r="O15" s="5"/>
      <c r="P15" s="24"/>
      <c r="Q15" s="21"/>
      <c r="R15" s="21"/>
      <c r="S15" s="21"/>
      <c r="T15" s="21"/>
      <c r="U15" s="21"/>
      <c r="V15" s="21"/>
      <c r="W15" s="21"/>
    </row>
    <row r="16" spans="2:23" s="67" customFormat="1" ht="20.149999999999999" customHeight="1" x14ac:dyDescent="0.3">
      <c r="B16" s="199"/>
      <c r="C16" s="55"/>
      <c r="D16" s="4" t="str">
        <f t="shared" si="0"/>
        <v xml:space="preserve"> </v>
      </c>
      <c r="E16" s="4"/>
      <c r="F16" s="5"/>
      <c r="G16" s="5"/>
      <c r="H16" s="8"/>
      <c r="I16" s="5" t="str">
        <f t="shared" si="1"/>
        <v xml:space="preserve"> </v>
      </c>
      <c r="J16" s="9"/>
      <c r="K16" s="5"/>
      <c r="L16" s="55"/>
      <c r="M16" s="5"/>
      <c r="N16" s="5"/>
      <c r="O16" s="5"/>
      <c r="P16" s="24"/>
      <c r="Q16" s="21"/>
      <c r="R16" s="21"/>
      <c r="S16" s="21"/>
      <c r="T16" s="21"/>
      <c r="U16" s="21"/>
      <c r="V16" s="21"/>
      <c r="W16" s="21"/>
    </row>
    <row r="17" spans="2:23" s="67" customFormat="1" ht="20.149999999999999" customHeight="1" x14ac:dyDescent="0.3">
      <c r="B17" s="199"/>
      <c r="C17" s="55"/>
      <c r="D17" s="4" t="str">
        <f t="shared" si="0"/>
        <v xml:space="preserve"> </v>
      </c>
      <c r="E17" s="4"/>
      <c r="F17" s="5"/>
      <c r="G17" s="5"/>
      <c r="H17" s="8"/>
      <c r="I17" s="5" t="str">
        <f t="shared" si="1"/>
        <v xml:space="preserve"> </v>
      </c>
      <c r="J17" s="9"/>
      <c r="K17" s="5"/>
      <c r="L17" s="55"/>
      <c r="M17" s="5"/>
      <c r="N17" s="5"/>
      <c r="O17" s="5"/>
      <c r="P17" s="24"/>
      <c r="Q17" s="21"/>
      <c r="R17" s="21"/>
      <c r="S17" s="21"/>
      <c r="T17" s="21"/>
      <c r="U17" s="21"/>
      <c r="V17" s="21"/>
      <c r="W17" s="21"/>
    </row>
    <row r="18" spans="2:23" s="67" customFormat="1" ht="20.149999999999999" customHeight="1" x14ac:dyDescent="0.3">
      <c r="B18" s="199"/>
      <c r="C18" s="55"/>
      <c r="D18" s="4" t="str">
        <f t="shared" si="0"/>
        <v xml:space="preserve"> </v>
      </c>
      <c r="E18" s="4"/>
      <c r="F18" s="5"/>
      <c r="G18" s="5"/>
      <c r="H18" s="8"/>
      <c r="I18" s="5" t="str">
        <f t="shared" si="1"/>
        <v xml:space="preserve"> </v>
      </c>
      <c r="J18" s="9"/>
      <c r="K18" s="5"/>
      <c r="L18" s="55"/>
      <c r="M18" s="5"/>
      <c r="N18" s="5"/>
      <c r="O18" s="5"/>
      <c r="P18" s="24"/>
      <c r="Q18" s="21"/>
      <c r="R18" s="21"/>
      <c r="S18" s="21"/>
      <c r="T18" s="21"/>
      <c r="U18" s="21"/>
      <c r="V18" s="21"/>
      <c r="W18" s="21"/>
    </row>
    <row r="19" spans="2:23" s="67" customFormat="1" ht="20.149999999999999" customHeight="1" x14ac:dyDescent="0.3">
      <c r="B19" s="199"/>
      <c r="C19" s="55"/>
      <c r="D19" s="4" t="str">
        <f t="shared" si="0"/>
        <v xml:space="preserve"> </v>
      </c>
      <c r="E19" s="4"/>
      <c r="F19" s="5"/>
      <c r="G19" s="5"/>
      <c r="H19" s="8"/>
      <c r="I19" s="5" t="str">
        <f t="shared" si="1"/>
        <v xml:space="preserve"> </v>
      </c>
      <c r="J19" s="9"/>
      <c r="K19" s="5"/>
      <c r="L19" s="55"/>
      <c r="M19" s="5"/>
      <c r="N19" s="5"/>
      <c r="O19" s="5"/>
      <c r="P19" s="24"/>
      <c r="Q19" s="21"/>
      <c r="R19" s="21"/>
      <c r="S19" s="21"/>
      <c r="T19" s="21"/>
      <c r="U19" s="21"/>
      <c r="V19" s="21"/>
      <c r="W19" s="21"/>
    </row>
    <row r="20" spans="2:23" s="67" customFormat="1" ht="20.149999999999999" customHeight="1" x14ac:dyDescent="0.3">
      <c r="B20" s="199"/>
      <c r="C20" s="55"/>
      <c r="D20" s="4" t="str">
        <f t="shared" si="0"/>
        <v xml:space="preserve"> </v>
      </c>
      <c r="E20" s="4"/>
      <c r="F20" s="5"/>
      <c r="G20" s="5"/>
      <c r="H20" s="8"/>
      <c r="I20" s="5" t="str">
        <f t="shared" si="1"/>
        <v xml:space="preserve"> </v>
      </c>
      <c r="J20" s="9"/>
      <c r="K20" s="5"/>
      <c r="L20" s="55"/>
      <c r="M20" s="5"/>
      <c r="N20" s="5"/>
      <c r="O20" s="5"/>
      <c r="P20" s="24"/>
      <c r="Q20" s="21"/>
      <c r="R20" s="21"/>
      <c r="S20" s="21"/>
      <c r="T20" s="21"/>
      <c r="U20" s="21"/>
      <c r="V20" s="21"/>
      <c r="W20" s="21"/>
    </row>
    <row r="21" spans="2:23" s="67" customFormat="1" ht="20.149999999999999" customHeight="1" x14ac:dyDescent="0.3">
      <c r="B21" s="199"/>
      <c r="C21" s="55"/>
      <c r="D21" s="4" t="str">
        <f t="shared" si="0"/>
        <v xml:space="preserve"> </v>
      </c>
      <c r="E21" s="4"/>
      <c r="F21" s="5"/>
      <c r="G21" s="5"/>
      <c r="H21" s="8"/>
      <c r="I21" s="5" t="str">
        <f t="shared" si="1"/>
        <v xml:space="preserve"> </v>
      </c>
      <c r="J21" s="9"/>
      <c r="K21" s="5"/>
      <c r="L21" s="55"/>
      <c r="M21" s="5"/>
      <c r="N21" s="5"/>
      <c r="O21" s="5"/>
      <c r="P21" s="24"/>
      <c r="Q21" s="21"/>
      <c r="R21" s="21"/>
      <c r="S21" s="21"/>
      <c r="T21" s="21"/>
      <c r="U21" s="21"/>
      <c r="V21" s="21"/>
      <c r="W21" s="21"/>
    </row>
    <row r="22" spans="2:23" s="67" customFormat="1" ht="20.149999999999999" customHeight="1" x14ac:dyDescent="0.3">
      <c r="B22" s="199"/>
      <c r="C22" s="55"/>
      <c r="D22" s="4" t="str">
        <f t="shared" si="0"/>
        <v xml:space="preserve"> </v>
      </c>
      <c r="E22" s="4"/>
      <c r="F22" s="5"/>
      <c r="G22" s="5"/>
      <c r="H22" s="8"/>
      <c r="I22" s="5" t="str">
        <f t="shared" si="1"/>
        <v xml:space="preserve"> </v>
      </c>
      <c r="J22" s="9"/>
      <c r="K22" s="5"/>
      <c r="L22" s="55"/>
      <c r="M22" s="5"/>
      <c r="N22" s="5"/>
      <c r="O22" s="5"/>
      <c r="P22" s="24"/>
      <c r="Q22" s="21"/>
      <c r="R22" s="21"/>
      <c r="S22" s="21"/>
      <c r="T22" s="21"/>
      <c r="U22" s="21"/>
      <c r="V22" s="21"/>
      <c r="W22" s="21"/>
    </row>
    <row r="23" spans="2:23" s="67" customFormat="1" ht="20.149999999999999" customHeight="1" x14ac:dyDescent="0.3">
      <c r="B23" s="199"/>
      <c r="C23" s="55"/>
      <c r="D23" s="4" t="str">
        <f t="shared" si="0"/>
        <v xml:space="preserve"> </v>
      </c>
      <c r="E23" s="4"/>
      <c r="F23" s="5"/>
      <c r="G23" s="5"/>
      <c r="H23" s="8"/>
      <c r="I23" s="5" t="str">
        <f t="shared" si="1"/>
        <v xml:space="preserve"> </v>
      </c>
      <c r="J23" s="9"/>
      <c r="K23" s="5"/>
      <c r="L23" s="55"/>
      <c r="M23" s="5"/>
      <c r="N23" s="5"/>
      <c r="O23" s="5"/>
      <c r="P23" s="24"/>
      <c r="Q23" s="21"/>
      <c r="R23" s="21"/>
      <c r="S23" s="21"/>
      <c r="T23" s="21"/>
      <c r="U23" s="21"/>
      <c r="V23" s="21"/>
      <c r="W23" s="21"/>
    </row>
    <row r="24" spans="2:23" s="67" customFormat="1" ht="20.149999999999999" customHeight="1" x14ac:dyDescent="0.3">
      <c r="B24" s="199"/>
      <c r="C24" s="55"/>
      <c r="D24" s="4" t="str">
        <f t="shared" si="0"/>
        <v xml:space="preserve"> </v>
      </c>
      <c r="E24" s="4"/>
      <c r="F24" s="5"/>
      <c r="G24" s="5"/>
      <c r="H24" s="8"/>
      <c r="I24" s="5" t="str">
        <f t="shared" si="1"/>
        <v xml:space="preserve"> </v>
      </c>
      <c r="J24" s="9"/>
      <c r="K24" s="5"/>
      <c r="L24" s="55"/>
      <c r="M24" s="5"/>
      <c r="N24" s="5"/>
      <c r="O24" s="5"/>
      <c r="P24" s="24"/>
      <c r="Q24" s="21"/>
      <c r="R24" s="21"/>
      <c r="S24" s="21"/>
      <c r="T24" s="21"/>
      <c r="U24" s="21"/>
      <c r="V24" s="21"/>
      <c r="W24" s="21"/>
    </row>
    <row r="25" spans="2:23" s="67" customFormat="1" ht="20.149999999999999" customHeight="1" x14ac:dyDescent="0.3">
      <c r="B25" s="199"/>
      <c r="C25" s="55"/>
      <c r="D25" s="4" t="str">
        <f t="shared" si="0"/>
        <v xml:space="preserve"> </v>
      </c>
      <c r="E25" s="4"/>
      <c r="F25" s="5"/>
      <c r="G25" s="5"/>
      <c r="H25" s="8"/>
      <c r="I25" s="5" t="str">
        <f t="shared" si="1"/>
        <v xml:space="preserve"> </v>
      </c>
      <c r="J25" s="9"/>
      <c r="K25" s="5"/>
      <c r="L25" s="55"/>
      <c r="M25" s="5"/>
      <c r="N25" s="5"/>
      <c r="O25" s="5"/>
      <c r="P25" s="24"/>
      <c r="Q25" s="21"/>
      <c r="R25" s="21"/>
      <c r="S25" s="21"/>
      <c r="T25" s="21"/>
      <c r="U25" s="21"/>
      <c r="V25" s="21"/>
      <c r="W25" s="21"/>
    </row>
    <row r="26" spans="2:23" s="67" customFormat="1" ht="20.149999999999999" customHeight="1" x14ac:dyDescent="0.3">
      <c r="B26" s="200"/>
      <c r="C26" s="194"/>
      <c r="D26" s="195" t="str">
        <f t="shared" si="0"/>
        <v xml:space="preserve"> </v>
      </c>
      <c r="E26" s="195"/>
      <c r="F26" s="196"/>
      <c r="G26" s="196"/>
      <c r="H26" s="197"/>
      <c r="I26" s="196" t="str">
        <f t="shared" si="1"/>
        <v xml:space="preserve"> </v>
      </c>
      <c r="J26" s="198"/>
      <c r="K26" s="196"/>
      <c r="L26" s="194"/>
      <c r="M26" s="196"/>
      <c r="N26" s="196"/>
      <c r="O26" s="196"/>
      <c r="P26" s="24"/>
      <c r="Q26" s="21"/>
      <c r="R26" s="21"/>
      <c r="S26" s="21"/>
      <c r="T26" s="21"/>
      <c r="U26" s="21"/>
      <c r="V26" s="21"/>
      <c r="W26" s="21"/>
    </row>
    <row r="27" spans="2:23" s="67" customFormat="1" ht="20.149999999999999" customHeight="1" x14ac:dyDescent="0.3">
      <c r="B27" s="199"/>
      <c r="C27" s="55"/>
      <c r="D27" s="4" t="str">
        <f t="shared" si="0"/>
        <v xml:space="preserve"> </v>
      </c>
      <c r="E27" s="4"/>
      <c r="F27" s="5"/>
      <c r="G27" s="5"/>
      <c r="H27" s="8"/>
      <c r="I27" s="5" t="str">
        <f t="shared" si="1"/>
        <v xml:space="preserve"> </v>
      </c>
      <c r="J27" s="9"/>
      <c r="K27" s="5"/>
      <c r="L27" s="55"/>
      <c r="M27" s="5"/>
      <c r="N27" s="5"/>
      <c r="O27" s="5"/>
      <c r="P27" s="24"/>
      <c r="Q27" s="21"/>
      <c r="R27" s="21"/>
      <c r="S27" s="21"/>
      <c r="T27" s="21"/>
      <c r="U27" s="21"/>
      <c r="V27" s="21"/>
      <c r="W27" s="21"/>
    </row>
    <row r="28" spans="2:23" s="67" customFormat="1" ht="20.149999999999999" customHeight="1" x14ac:dyDescent="0.3">
      <c r="B28" s="199"/>
      <c r="C28" s="55"/>
      <c r="D28" s="4" t="str">
        <f t="shared" si="0"/>
        <v xml:space="preserve"> </v>
      </c>
      <c r="E28" s="4"/>
      <c r="F28" s="5"/>
      <c r="G28" s="5"/>
      <c r="H28" s="8"/>
      <c r="I28" s="5" t="str">
        <f t="shared" si="1"/>
        <v xml:space="preserve"> </v>
      </c>
      <c r="J28" s="9"/>
      <c r="K28" s="5"/>
      <c r="L28" s="55"/>
      <c r="M28" s="5"/>
      <c r="N28" s="5"/>
      <c r="O28" s="5"/>
      <c r="P28" s="24"/>
      <c r="Q28" s="21"/>
      <c r="R28" s="21"/>
      <c r="S28" s="21"/>
      <c r="T28" s="21"/>
      <c r="U28" s="21"/>
      <c r="V28" s="21"/>
      <c r="W28" s="21"/>
    </row>
    <row r="29" spans="2:23" s="67" customFormat="1" ht="20.149999999999999" customHeight="1" x14ac:dyDescent="0.3">
      <c r="B29" s="199"/>
      <c r="C29" s="55"/>
      <c r="D29" s="4" t="str">
        <f t="shared" si="0"/>
        <v xml:space="preserve"> </v>
      </c>
      <c r="E29" s="4"/>
      <c r="F29" s="5"/>
      <c r="G29" s="5"/>
      <c r="H29" s="8"/>
      <c r="I29" s="5" t="str">
        <f t="shared" si="1"/>
        <v xml:space="preserve"> </v>
      </c>
      <c r="J29" s="9"/>
      <c r="K29" s="5"/>
      <c r="L29" s="55"/>
      <c r="M29" s="5"/>
      <c r="N29" s="5"/>
      <c r="O29" s="5"/>
      <c r="P29" s="24"/>
      <c r="Q29" s="21"/>
      <c r="R29" s="21"/>
      <c r="S29" s="21"/>
      <c r="T29" s="21"/>
      <c r="U29" s="21"/>
      <c r="V29" s="21"/>
      <c r="W29" s="21"/>
    </row>
    <row r="30" spans="2:23" s="67" customFormat="1" ht="20.149999999999999" customHeight="1" x14ac:dyDescent="0.3">
      <c r="B30" s="199"/>
      <c r="C30" s="55"/>
      <c r="D30" s="4" t="str">
        <f t="shared" si="0"/>
        <v xml:space="preserve"> </v>
      </c>
      <c r="E30" s="4"/>
      <c r="F30" s="5"/>
      <c r="G30" s="5"/>
      <c r="H30" s="8"/>
      <c r="I30" s="5" t="str">
        <f t="shared" si="1"/>
        <v xml:space="preserve"> </v>
      </c>
      <c r="J30" s="9"/>
      <c r="K30" s="5"/>
      <c r="L30" s="55"/>
      <c r="M30" s="5"/>
      <c r="N30" s="5"/>
      <c r="O30" s="5"/>
      <c r="P30" s="24"/>
      <c r="Q30" s="21"/>
      <c r="R30" s="21"/>
      <c r="S30" s="21"/>
      <c r="T30" s="21"/>
      <c r="U30" s="21"/>
      <c r="V30" s="21"/>
      <c r="W30" s="21"/>
    </row>
    <row r="31" spans="2:23" s="67" customFormat="1" ht="20.149999999999999" customHeight="1" x14ac:dyDescent="0.3">
      <c r="B31" s="199"/>
      <c r="C31" s="55"/>
      <c r="D31" s="4" t="str">
        <f t="shared" si="0"/>
        <v xml:space="preserve"> </v>
      </c>
      <c r="E31" s="4"/>
      <c r="F31" s="5"/>
      <c r="G31" s="5"/>
      <c r="H31" s="8"/>
      <c r="I31" s="5" t="str">
        <f t="shared" si="1"/>
        <v xml:space="preserve"> </v>
      </c>
      <c r="J31" s="9"/>
      <c r="K31" s="5"/>
      <c r="L31" s="55"/>
      <c r="M31" s="5"/>
      <c r="N31" s="5"/>
      <c r="O31" s="5"/>
      <c r="P31" s="24"/>
      <c r="Q31" s="21"/>
      <c r="R31" s="21"/>
      <c r="S31" s="21"/>
      <c r="T31" s="21"/>
      <c r="U31" s="21"/>
      <c r="V31" s="21"/>
      <c r="W31" s="21"/>
    </row>
    <row r="32" spans="2:23" s="67" customFormat="1" ht="20.149999999999999" customHeight="1" x14ac:dyDescent="0.3">
      <c r="B32" s="199"/>
      <c r="C32" s="55"/>
      <c r="D32" s="4" t="str">
        <f t="shared" si="0"/>
        <v xml:space="preserve"> </v>
      </c>
      <c r="E32" s="4"/>
      <c r="F32" s="5"/>
      <c r="G32" s="5"/>
      <c r="H32" s="8"/>
      <c r="I32" s="5" t="str">
        <f t="shared" si="1"/>
        <v xml:space="preserve"> </v>
      </c>
      <c r="J32" s="9"/>
      <c r="K32" s="5"/>
      <c r="L32" s="55"/>
      <c r="M32" s="5"/>
      <c r="N32" s="5"/>
      <c r="O32" s="5"/>
      <c r="P32" s="24"/>
      <c r="Q32" s="21"/>
      <c r="R32" s="21"/>
      <c r="S32" s="21"/>
      <c r="T32" s="21"/>
      <c r="U32" s="21"/>
      <c r="V32" s="21"/>
      <c r="W32" s="21"/>
    </row>
    <row r="33" spans="2:23" s="67" customFormat="1" ht="20.149999999999999" customHeight="1" x14ac:dyDescent="0.3">
      <c r="B33" s="199"/>
      <c r="C33" s="55"/>
      <c r="D33" s="4" t="str">
        <f t="shared" si="0"/>
        <v xml:space="preserve"> </v>
      </c>
      <c r="E33" s="4"/>
      <c r="F33" s="5"/>
      <c r="G33" s="5"/>
      <c r="H33" s="8"/>
      <c r="I33" s="5" t="str">
        <f t="shared" si="1"/>
        <v xml:space="preserve"> </v>
      </c>
      <c r="J33" s="9"/>
      <c r="K33" s="5"/>
      <c r="L33" s="55"/>
      <c r="M33" s="5"/>
      <c r="N33" s="5"/>
      <c r="O33" s="5"/>
      <c r="P33" s="24"/>
      <c r="Q33" s="21"/>
      <c r="R33" s="21"/>
      <c r="S33" s="21"/>
      <c r="T33" s="21"/>
      <c r="U33" s="21"/>
      <c r="V33" s="21"/>
      <c r="W33" s="21"/>
    </row>
    <row r="34" spans="2:23" s="67" customFormat="1" ht="20.149999999999999" customHeight="1" x14ac:dyDescent="0.3">
      <c r="B34" s="199"/>
      <c r="C34" s="55"/>
      <c r="D34" s="4" t="str">
        <f t="shared" si="0"/>
        <v xml:space="preserve"> </v>
      </c>
      <c r="E34" s="4"/>
      <c r="F34" s="5"/>
      <c r="G34" s="5"/>
      <c r="H34" s="8"/>
      <c r="I34" s="5" t="str">
        <f t="shared" si="1"/>
        <v xml:space="preserve"> </v>
      </c>
      <c r="J34" s="9"/>
      <c r="K34" s="5"/>
      <c r="L34" s="55"/>
      <c r="M34" s="5"/>
      <c r="N34" s="5"/>
      <c r="O34" s="5"/>
      <c r="P34" s="24"/>
      <c r="Q34" s="21"/>
      <c r="R34" s="21"/>
      <c r="S34" s="21"/>
      <c r="T34" s="21"/>
      <c r="U34" s="21"/>
      <c r="V34" s="21"/>
      <c r="W34" s="21"/>
    </row>
    <row r="35" spans="2:23" s="67" customFormat="1" ht="20.149999999999999" customHeight="1" x14ac:dyDescent="0.3">
      <c r="B35" s="199"/>
      <c r="C35" s="55"/>
      <c r="D35" s="4" t="str">
        <f t="shared" si="0"/>
        <v xml:space="preserve"> </v>
      </c>
      <c r="E35" s="4"/>
      <c r="F35" s="5"/>
      <c r="G35" s="5"/>
      <c r="H35" s="8"/>
      <c r="I35" s="5" t="str">
        <f t="shared" si="1"/>
        <v xml:space="preserve"> </v>
      </c>
      <c r="J35" s="9"/>
      <c r="K35" s="5"/>
      <c r="L35" s="55"/>
      <c r="M35" s="5"/>
      <c r="N35" s="5"/>
      <c r="O35" s="5"/>
      <c r="P35" s="24"/>
      <c r="Q35" s="21"/>
      <c r="R35" s="21"/>
      <c r="S35" s="21"/>
      <c r="T35" s="21"/>
      <c r="U35" s="21"/>
      <c r="V35" s="21"/>
      <c r="W35" s="21"/>
    </row>
    <row r="36" spans="2:23" s="67" customFormat="1" ht="20.149999999999999" customHeight="1" x14ac:dyDescent="0.3">
      <c r="B36" s="199"/>
      <c r="C36" s="55"/>
      <c r="D36" s="4" t="str">
        <f t="shared" si="0"/>
        <v xml:space="preserve"> </v>
      </c>
      <c r="E36" s="4"/>
      <c r="F36" s="5"/>
      <c r="G36" s="5"/>
      <c r="H36" s="8"/>
      <c r="I36" s="5" t="str">
        <f t="shared" si="1"/>
        <v xml:space="preserve"> </v>
      </c>
      <c r="J36" s="9"/>
      <c r="K36" s="5"/>
      <c r="L36" s="55"/>
      <c r="M36" s="5"/>
      <c r="N36" s="5"/>
      <c r="O36" s="5"/>
      <c r="P36" s="24"/>
      <c r="Q36" s="21"/>
      <c r="R36" s="21"/>
      <c r="S36" s="21"/>
      <c r="T36" s="21"/>
      <c r="U36" s="21"/>
      <c r="V36" s="21"/>
      <c r="W36" s="21"/>
    </row>
    <row r="37" spans="2:23" s="67" customFormat="1" ht="20.149999999999999" customHeight="1" x14ac:dyDescent="0.3">
      <c r="B37" s="199"/>
      <c r="C37" s="55"/>
      <c r="D37" s="4" t="str">
        <f t="shared" si="0"/>
        <v xml:space="preserve"> </v>
      </c>
      <c r="E37" s="4"/>
      <c r="F37" s="5"/>
      <c r="G37" s="5"/>
      <c r="H37" s="8"/>
      <c r="I37" s="5" t="str">
        <f t="shared" si="1"/>
        <v xml:space="preserve"> </v>
      </c>
      <c r="J37" s="9"/>
      <c r="K37" s="5"/>
      <c r="L37" s="55"/>
      <c r="M37" s="5"/>
      <c r="N37" s="5"/>
      <c r="O37" s="5"/>
      <c r="P37" s="24"/>
      <c r="Q37" s="21"/>
      <c r="R37" s="21"/>
      <c r="S37" s="21"/>
      <c r="T37" s="21"/>
      <c r="U37" s="21"/>
      <c r="V37" s="21"/>
      <c r="W37" s="21"/>
    </row>
    <row r="38" spans="2:23" s="67" customFormat="1" ht="20.149999999999999" customHeight="1" x14ac:dyDescent="0.3">
      <c r="B38" s="199"/>
      <c r="C38" s="55"/>
      <c r="D38" s="4" t="str">
        <f t="shared" si="0"/>
        <v xml:space="preserve"> </v>
      </c>
      <c r="E38" s="4"/>
      <c r="F38" s="5"/>
      <c r="G38" s="5"/>
      <c r="H38" s="8"/>
      <c r="I38" s="5" t="str">
        <f t="shared" si="1"/>
        <v xml:space="preserve"> </v>
      </c>
      <c r="J38" s="9"/>
      <c r="K38" s="5"/>
      <c r="L38" s="55"/>
      <c r="M38" s="5"/>
      <c r="N38" s="5"/>
      <c r="O38" s="5"/>
      <c r="P38" s="24"/>
      <c r="Q38" s="21"/>
      <c r="R38" s="21"/>
      <c r="S38" s="21"/>
      <c r="T38" s="21"/>
      <c r="U38" s="21"/>
      <c r="V38" s="21"/>
      <c r="W38" s="21"/>
    </row>
    <row r="39" spans="2:23" s="67" customFormat="1" ht="20.149999999999999" customHeight="1" x14ac:dyDescent="0.3">
      <c r="B39" s="199"/>
      <c r="C39" s="55"/>
      <c r="D39" s="4" t="str">
        <f t="shared" si="0"/>
        <v xml:space="preserve"> </v>
      </c>
      <c r="E39" s="4"/>
      <c r="F39" s="5"/>
      <c r="G39" s="5"/>
      <c r="H39" s="8"/>
      <c r="I39" s="5" t="str">
        <f t="shared" si="1"/>
        <v xml:space="preserve"> </v>
      </c>
      <c r="J39" s="9"/>
      <c r="K39" s="5"/>
      <c r="L39" s="55"/>
      <c r="M39" s="5"/>
      <c r="N39" s="5"/>
      <c r="O39" s="5"/>
      <c r="P39" s="24"/>
      <c r="Q39" s="21"/>
      <c r="R39" s="21"/>
      <c r="S39" s="21"/>
      <c r="T39" s="21"/>
      <c r="U39" s="21"/>
      <c r="V39" s="21"/>
      <c r="W39" s="21"/>
    </row>
    <row r="40" spans="2:23" s="67" customFormat="1" ht="20.149999999999999" customHeight="1" x14ac:dyDescent="0.3">
      <c r="B40" s="199"/>
      <c r="C40" s="55"/>
      <c r="D40" s="4" t="str">
        <f t="shared" si="0"/>
        <v xml:space="preserve"> </v>
      </c>
      <c r="E40" s="4"/>
      <c r="F40" s="5"/>
      <c r="G40" s="5"/>
      <c r="H40" s="8"/>
      <c r="I40" s="5" t="str">
        <f t="shared" si="1"/>
        <v xml:space="preserve"> </v>
      </c>
      <c r="J40" s="9"/>
      <c r="K40" s="5"/>
      <c r="L40" s="55"/>
      <c r="M40" s="5"/>
      <c r="N40" s="5"/>
      <c r="O40" s="5"/>
      <c r="P40" s="24"/>
      <c r="Q40" s="21"/>
      <c r="R40" s="21"/>
      <c r="S40" s="21"/>
      <c r="T40" s="21"/>
      <c r="U40" s="21"/>
      <c r="V40" s="21"/>
      <c r="W40" s="21"/>
    </row>
    <row r="41" spans="2:23" s="67" customFormat="1" ht="20.149999999999999" customHeight="1" x14ac:dyDescent="0.3">
      <c r="B41" s="199"/>
      <c r="C41" s="55"/>
      <c r="D41" s="4" t="str">
        <f t="shared" si="0"/>
        <v xml:space="preserve"> </v>
      </c>
      <c r="E41" s="4"/>
      <c r="F41" s="5"/>
      <c r="G41" s="5"/>
      <c r="H41" s="8"/>
      <c r="I41" s="5" t="str">
        <f t="shared" si="1"/>
        <v xml:space="preserve"> </v>
      </c>
      <c r="J41" s="9"/>
      <c r="K41" s="5"/>
      <c r="L41" s="55"/>
      <c r="M41" s="5"/>
      <c r="N41" s="5"/>
      <c r="O41" s="5"/>
      <c r="P41" s="24"/>
      <c r="Q41" s="21"/>
      <c r="R41" s="21"/>
      <c r="S41" s="21"/>
      <c r="T41" s="21"/>
      <c r="U41" s="21"/>
      <c r="V41" s="21"/>
      <c r="W41" s="21"/>
    </row>
    <row r="42" spans="2:23" s="67" customFormat="1" ht="20.149999999999999" customHeight="1" x14ac:dyDescent="0.3">
      <c r="B42" s="199"/>
      <c r="C42" s="55"/>
      <c r="D42" s="4" t="str">
        <f>IF(C42=0," ","Z2")</f>
        <v xml:space="preserve"> </v>
      </c>
      <c r="E42" s="4"/>
      <c r="F42" s="5"/>
      <c r="G42" s="5"/>
      <c r="H42" s="8"/>
      <c r="I42" s="5" t="str">
        <f t="shared" si="1"/>
        <v xml:space="preserve"> </v>
      </c>
      <c r="J42" s="9"/>
      <c r="K42" s="5"/>
      <c r="L42" s="55"/>
      <c r="M42" s="5"/>
      <c r="N42" s="5"/>
      <c r="O42" s="5"/>
      <c r="P42" s="24"/>
      <c r="Q42" s="21"/>
      <c r="R42" s="21"/>
      <c r="S42" s="21"/>
      <c r="T42" s="21"/>
      <c r="U42" s="21"/>
      <c r="V42" s="21"/>
      <c r="W42" s="21"/>
    </row>
    <row r="43" spans="2:23" s="67" customFormat="1" ht="20.149999999999999" customHeight="1" x14ac:dyDescent="0.3">
      <c r="B43" s="200"/>
      <c r="C43" s="194"/>
      <c r="D43" s="195" t="str">
        <f t="shared" si="0"/>
        <v xml:space="preserve"> </v>
      </c>
      <c r="E43" s="195"/>
      <c r="F43" s="196"/>
      <c r="G43" s="196"/>
      <c r="H43" s="197"/>
      <c r="I43" s="196" t="str">
        <f t="shared" si="1"/>
        <v xml:space="preserve"> </v>
      </c>
      <c r="J43" s="198"/>
      <c r="K43" s="196"/>
      <c r="L43" s="194"/>
      <c r="M43" s="196"/>
      <c r="N43" s="196"/>
      <c r="O43" s="196"/>
      <c r="P43" s="24"/>
      <c r="Q43" s="21"/>
      <c r="R43" s="21"/>
      <c r="S43" s="21"/>
      <c r="T43" s="21"/>
      <c r="U43" s="21"/>
      <c r="V43" s="21"/>
      <c r="W43" s="21"/>
    </row>
    <row r="44" spans="2:23" s="67" customFormat="1" ht="20.149999999999999" customHeight="1" x14ac:dyDescent="0.3">
      <c r="B44" s="199"/>
      <c r="C44" s="55"/>
      <c r="D44" s="4" t="str">
        <f t="shared" si="0"/>
        <v xml:space="preserve"> </v>
      </c>
      <c r="E44" s="4"/>
      <c r="F44" s="5"/>
      <c r="G44" s="5"/>
      <c r="H44" s="8"/>
      <c r="I44" s="5" t="str">
        <f t="shared" si="1"/>
        <v xml:space="preserve"> </v>
      </c>
      <c r="J44" s="9"/>
      <c r="K44" s="5"/>
      <c r="L44" s="55"/>
      <c r="M44" s="5"/>
      <c r="N44" s="5"/>
      <c r="O44" s="5"/>
      <c r="P44" s="24"/>
      <c r="Q44" s="21"/>
      <c r="R44" s="21"/>
      <c r="S44" s="21"/>
      <c r="T44" s="21"/>
      <c r="U44" s="21"/>
      <c r="V44" s="21"/>
      <c r="W44" s="21"/>
    </row>
    <row r="45" spans="2:23" s="67" customFormat="1" ht="20.149999999999999" customHeight="1" x14ac:dyDescent="0.3">
      <c r="B45" s="193"/>
      <c r="C45" s="221"/>
      <c r="D45" s="222" t="str">
        <f t="shared" si="0"/>
        <v xml:space="preserve"> </v>
      </c>
      <c r="E45" s="222"/>
      <c r="F45" s="223"/>
      <c r="G45" s="223"/>
      <c r="H45" s="224"/>
      <c r="I45" s="223" t="str">
        <f t="shared" si="1"/>
        <v xml:space="preserve"> </v>
      </c>
      <c r="J45" s="225"/>
      <c r="K45" s="223"/>
      <c r="L45" s="221"/>
      <c r="M45" s="223"/>
      <c r="N45" s="223"/>
      <c r="O45" s="223"/>
      <c r="P45" s="24"/>
      <c r="Q45" s="21"/>
      <c r="R45" s="21"/>
      <c r="S45" s="21"/>
      <c r="T45" s="21"/>
      <c r="U45" s="21"/>
      <c r="V45" s="21"/>
      <c r="W45" s="21"/>
    </row>
    <row r="46" spans="2:23" s="89" customFormat="1" ht="20.149999999999999" customHeight="1" x14ac:dyDescent="0.3">
      <c r="B46" s="329" t="s">
        <v>235</v>
      </c>
      <c r="C46" s="329"/>
      <c r="D46" s="329"/>
      <c r="E46" s="329"/>
      <c r="F46" s="219">
        <f>SUM(F13:F45)</f>
        <v>3000</v>
      </c>
      <c r="G46" s="219"/>
      <c r="H46" s="219"/>
      <c r="I46" s="219">
        <f>SUM(I13:I45)</f>
        <v>3630</v>
      </c>
      <c r="J46" s="220"/>
      <c r="K46" s="220"/>
      <c r="L46" s="220"/>
      <c r="M46" s="219"/>
      <c r="N46" s="219"/>
      <c r="O46" s="219"/>
      <c r="P46" s="22"/>
      <c r="Q46" s="21"/>
      <c r="R46" s="21"/>
      <c r="S46" s="21"/>
      <c r="T46" s="21"/>
      <c r="U46" s="21"/>
      <c r="V46" s="21"/>
      <c r="W46" s="21"/>
    </row>
    <row r="47" spans="2:23" ht="20.149999999999999" customHeight="1" x14ac:dyDescent="0.3">
      <c r="D47" s="23"/>
      <c r="E47" s="24"/>
      <c r="F47" s="24"/>
      <c r="G47" s="24"/>
      <c r="H47" s="24"/>
      <c r="I47" s="24"/>
      <c r="J47" s="24"/>
      <c r="K47" s="23"/>
      <c r="L47" s="24"/>
      <c r="M47" s="24"/>
      <c r="N47" s="24"/>
      <c r="O47" s="24"/>
      <c r="P47" s="24"/>
    </row>
    <row r="48" spans="2:23" s="52" customFormat="1" ht="20.149999999999999" customHeight="1" x14ac:dyDescent="0.35">
      <c r="D48" s="53"/>
      <c r="E48" s="53"/>
      <c r="F48" s="53"/>
      <c r="G48" s="53"/>
      <c r="H48" s="53"/>
      <c r="I48" s="53"/>
      <c r="J48" s="53"/>
      <c r="K48" s="53"/>
      <c r="L48" s="53"/>
      <c r="M48" s="53"/>
      <c r="N48" s="53"/>
      <c r="O48" s="53"/>
      <c r="P48" s="53"/>
      <c r="Q48" s="21"/>
      <c r="R48" s="21"/>
      <c r="S48" s="21"/>
      <c r="T48" s="21"/>
      <c r="U48" s="21"/>
      <c r="V48" s="21"/>
      <c r="W48" s="21"/>
    </row>
    <row r="49" spans="2:22" s="52" customFormat="1" ht="20.149999999999999" customHeight="1" x14ac:dyDescent="0.35">
      <c r="D49" s="53"/>
      <c r="E49" s="53"/>
      <c r="F49" s="53"/>
      <c r="G49" s="53"/>
      <c r="H49" s="53"/>
      <c r="I49" s="53"/>
      <c r="J49" s="53"/>
      <c r="K49" s="53"/>
      <c r="L49" s="53"/>
      <c r="M49" s="53"/>
      <c r="N49" s="53"/>
      <c r="O49" s="53"/>
      <c r="P49" s="53"/>
      <c r="Q49" s="21"/>
      <c r="R49" s="21"/>
      <c r="S49" s="21"/>
      <c r="T49" s="21"/>
      <c r="U49" s="21"/>
      <c r="V49" s="21"/>
    </row>
    <row r="50" spans="2:22" s="52" customFormat="1" ht="20.149999999999999" customHeight="1" x14ac:dyDescent="0.35">
      <c r="D50" s="53"/>
      <c r="E50" s="53"/>
      <c r="F50" s="53"/>
      <c r="G50" s="53"/>
      <c r="H50" s="53"/>
      <c r="I50" s="53"/>
      <c r="J50" s="53"/>
      <c r="K50" s="53"/>
      <c r="L50" s="53"/>
      <c r="M50" s="53"/>
      <c r="N50" s="53"/>
      <c r="O50" s="53"/>
      <c r="P50" s="53"/>
      <c r="Q50" s="21"/>
      <c r="R50" s="21"/>
      <c r="S50" s="21"/>
      <c r="T50" s="21"/>
      <c r="U50" s="21"/>
      <c r="V50" s="21"/>
    </row>
    <row r="51" spans="2:22" s="52" customFormat="1" ht="20.149999999999999" customHeight="1" x14ac:dyDescent="0.35">
      <c r="D51" s="53"/>
      <c r="E51" s="53"/>
      <c r="F51" s="53"/>
      <c r="G51" s="53"/>
      <c r="H51" s="53"/>
      <c r="I51" s="53"/>
      <c r="J51" s="53"/>
      <c r="K51" s="53"/>
      <c r="L51" s="53"/>
      <c r="M51" s="53"/>
      <c r="N51" s="53"/>
      <c r="O51" s="53"/>
      <c r="P51" s="53"/>
      <c r="Q51" s="21"/>
      <c r="R51" s="21"/>
      <c r="S51" s="21"/>
      <c r="T51" s="21"/>
      <c r="U51" s="21"/>
      <c r="V51" s="21"/>
    </row>
    <row r="52" spans="2:22" ht="20.149999999999999" customHeight="1" x14ac:dyDescent="0.3">
      <c r="D52" s="24"/>
      <c r="E52" s="24"/>
      <c r="F52" s="24"/>
      <c r="G52" s="24"/>
      <c r="H52" s="24"/>
      <c r="I52" s="24"/>
      <c r="J52" s="24"/>
      <c r="K52" s="24"/>
      <c r="L52" s="24"/>
      <c r="M52" s="24"/>
      <c r="N52" s="24"/>
      <c r="O52" s="24"/>
      <c r="P52" s="24"/>
    </row>
    <row r="53" spans="2:22" ht="20.149999999999999" customHeight="1" x14ac:dyDescent="0.3"/>
    <row r="55" spans="2:22" ht="20.149999999999999" customHeight="1" x14ac:dyDescent="0.3">
      <c r="B55" s="65" t="s">
        <v>263</v>
      </c>
      <c r="C55" s="65"/>
      <c r="D55" s="65"/>
      <c r="E55" s="24"/>
      <c r="F55" s="24"/>
      <c r="G55" s="24"/>
      <c r="H55" s="24"/>
      <c r="I55" s="24"/>
      <c r="J55" s="24"/>
      <c r="K55" s="65"/>
      <c r="L55" s="24"/>
      <c r="M55" s="24"/>
      <c r="N55" s="24"/>
      <c r="O55" s="24"/>
      <c r="P55" s="24"/>
      <c r="Q55" s="24"/>
      <c r="R55" s="24"/>
    </row>
    <row r="56" spans="2:22" ht="285.75" customHeight="1" x14ac:dyDescent="0.3">
      <c r="B56" s="330" t="s">
        <v>85</v>
      </c>
      <c r="C56" s="331"/>
      <c r="D56" s="331"/>
      <c r="E56" s="331"/>
      <c r="F56" s="331"/>
      <c r="G56" s="331"/>
      <c r="H56" s="331"/>
      <c r="I56" s="331"/>
      <c r="J56" s="173"/>
      <c r="K56" s="173"/>
      <c r="L56" s="173"/>
      <c r="M56" s="24"/>
      <c r="N56" s="24"/>
      <c r="O56" s="24"/>
      <c r="P56" s="24"/>
      <c r="Q56" s="24"/>
      <c r="R56" s="24"/>
    </row>
  </sheetData>
  <autoFilter ref="B12:E12" xr:uid="{F0215733-3491-41E7-AEDA-44D9E214180D}"/>
  <mergeCells count="19">
    <mergeCell ref="B46:E46"/>
    <mergeCell ref="B56:I56"/>
    <mergeCell ref="C4:D4"/>
    <mergeCell ref="C5:D5"/>
    <mergeCell ref="C6:D6"/>
    <mergeCell ref="C7:D7"/>
    <mergeCell ref="F5:G5"/>
    <mergeCell ref="F4:G4"/>
    <mergeCell ref="C10:D10"/>
    <mergeCell ref="K4:N4"/>
    <mergeCell ref="K5:N5"/>
    <mergeCell ref="K6:N6"/>
    <mergeCell ref="K7:N7"/>
    <mergeCell ref="K8:N8"/>
    <mergeCell ref="K9:N9"/>
    <mergeCell ref="F6:G6"/>
    <mergeCell ref="F7:G7"/>
    <mergeCell ref="F8:G8"/>
    <mergeCell ref="F9:G9"/>
  </mergeCells>
  <phoneticPr fontId="3" type="noConversion"/>
  <conditionalFormatting sqref="C10">
    <cfRule type="expression" dxfId="1" priority="2">
      <formula>$C$7=$F$46</formula>
    </cfRule>
  </conditionalFormatting>
  <conditionalFormatting sqref="E7">
    <cfRule type="expression" dxfId="0" priority="1">
      <formula>$C$7=SUM($I$5:$I$9)</formula>
    </cfRule>
  </conditionalFormatting>
  <dataValidations count="2">
    <dataValidation type="list" allowBlank="1" showInputMessage="1" showErrorMessage="1" sqref="O13:O45" xr:uid="{37C50EA8-4964-4713-9A2A-CF035C1FF52F}">
      <formula1>"SI,NO,"</formula1>
    </dataValidation>
    <dataValidation type="list" allowBlank="1" showInputMessage="1" showErrorMessage="1" sqref="B13:B45" xr:uid="{96C109B2-8606-41FB-86BD-712C10190E05}">
      <formula1>"FACTURA,ABONO,"</formula1>
    </dataValidation>
  </dataValidations>
  <pageMargins left="0.70866141732283472" right="0.70866141732283472" top="0.74803149606299213" bottom="0.74803149606299213" header="0.31496062992125984" footer="0.31496062992125984"/>
  <pageSetup paperSize="9" scale="20"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E4143-9F76-47A5-8C87-6051B1408D3E}">
  <sheetPr>
    <pageSetUpPr fitToPage="1"/>
  </sheetPr>
  <dimension ref="A2:AO67"/>
  <sheetViews>
    <sheetView showGridLines="0" topLeftCell="B1" zoomScale="55" zoomScaleNormal="55" workbookViewId="0">
      <selection activeCell="C2" sqref="C2"/>
    </sheetView>
  </sheetViews>
  <sheetFormatPr baseColWidth="10" defaultColWidth="9.1796875" defaultRowHeight="13.5" x14ac:dyDescent="0.25"/>
  <cols>
    <col min="1" max="1" width="2.1796875" style="93" customWidth="1"/>
    <col min="2" max="2" width="25.7265625" style="93" customWidth="1"/>
    <col min="3" max="3" width="28.453125" style="93" customWidth="1"/>
    <col min="4" max="28" width="14.7265625" style="93" customWidth="1"/>
    <col min="29" max="29" width="11.26953125" style="93" customWidth="1"/>
    <col min="30" max="16384" width="9.1796875" style="93"/>
  </cols>
  <sheetData>
    <row r="2" spans="1:41" ht="21" customHeight="1" x14ac:dyDescent="0.25">
      <c r="B2" s="19" t="s">
        <v>5</v>
      </c>
      <c r="C2" s="111" t="str">
        <f>'Project Infor'!C10</f>
        <v>ZEV-ATE0012-1001</v>
      </c>
      <c r="D2" s="216" t="str">
        <f>'Project Infor'!C11</f>
        <v>Lote 2: Núcleo Estructural Java</v>
      </c>
      <c r="E2" s="96"/>
      <c r="F2" s="96"/>
      <c r="G2" s="96"/>
      <c r="H2" s="96"/>
      <c r="I2" s="96"/>
      <c r="J2" s="96"/>
      <c r="K2" s="96"/>
    </row>
    <row r="3" spans="1:41" ht="9" customHeight="1" x14ac:dyDescent="0.25">
      <c r="B3" s="64"/>
      <c r="C3" s="64"/>
      <c r="D3" s="64"/>
      <c r="E3" s="64"/>
    </row>
    <row r="4" spans="1:41" ht="15" customHeight="1" x14ac:dyDescent="0.25">
      <c r="B4" s="98"/>
      <c r="C4" s="98"/>
      <c r="D4" s="99"/>
      <c r="E4" s="99"/>
      <c r="F4" s="99"/>
      <c r="G4" s="99"/>
      <c r="H4" s="99"/>
      <c r="I4" s="99"/>
      <c r="J4" s="99"/>
      <c r="K4" s="99"/>
      <c r="L4" s="99"/>
      <c r="M4" s="99"/>
    </row>
    <row r="5" spans="1:41" ht="20.149999999999999" customHeight="1" x14ac:dyDescent="0.25">
      <c r="B5" s="334" t="s">
        <v>264</v>
      </c>
      <c r="C5" s="334"/>
      <c r="D5" s="335" t="s">
        <v>265</v>
      </c>
      <c r="E5" s="335"/>
      <c r="F5" s="335"/>
      <c r="G5" s="335"/>
      <c r="H5" s="99"/>
      <c r="I5" s="99"/>
      <c r="J5" s="99"/>
      <c r="K5" s="99"/>
      <c r="L5" s="99"/>
      <c r="M5" s="99"/>
      <c r="N5" s="99"/>
      <c r="O5" s="99"/>
      <c r="P5" s="99"/>
      <c r="Q5" s="99"/>
      <c r="R5" s="99"/>
    </row>
    <row r="6" spans="1:41" s="103" customFormat="1" ht="35.15" customHeight="1" x14ac:dyDescent="0.25">
      <c r="B6" s="291" t="s">
        <v>266</v>
      </c>
      <c r="C6" s="291" t="s">
        <v>267</v>
      </c>
      <c r="D6" s="234">
        <f>'Project Infor'!$C$8</f>
        <v>46023</v>
      </c>
      <c r="E6" s="234">
        <f t="shared" ref="E6:AB6" si="0">EOMONTH(D6,1)</f>
        <v>46081</v>
      </c>
      <c r="F6" s="234">
        <f t="shared" si="0"/>
        <v>46112</v>
      </c>
      <c r="G6" s="234">
        <f t="shared" si="0"/>
        <v>46142</v>
      </c>
      <c r="H6" s="234">
        <f t="shared" si="0"/>
        <v>46173</v>
      </c>
      <c r="I6" s="234">
        <f t="shared" si="0"/>
        <v>46203</v>
      </c>
      <c r="J6" s="234">
        <f t="shared" si="0"/>
        <v>46234</v>
      </c>
      <c r="K6" s="234">
        <f t="shared" si="0"/>
        <v>46265</v>
      </c>
      <c r="L6" s="234">
        <f t="shared" si="0"/>
        <v>46295</v>
      </c>
      <c r="M6" s="234">
        <f t="shared" si="0"/>
        <v>46326</v>
      </c>
      <c r="N6" s="234">
        <f t="shared" si="0"/>
        <v>46356</v>
      </c>
      <c r="O6" s="234">
        <f t="shared" si="0"/>
        <v>46387</v>
      </c>
      <c r="P6" s="234">
        <f t="shared" si="0"/>
        <v>46418</v>
      </c>
      <c r="Q6" s="234">
        <f t="shared" si="0"/>
        <v>46446</v>
      </c>
      <c r="R6" s="234">
        <f t="shared" si="0"/>
        <v>46477</v>
      </c>
      <c r="S6" s="234">
        <f t="shared" si="0"/>
        <v>46507</v>
      </c>
      <c r="T6" s="234">
        <f t="shared" si="0"/>
        <v>46538</v>
      </c>
      <c r="U6" s="234">
        <f t="shared" si="0"/>
        <v>46568</v>
      </c>
      <c r="V6" s="234">
        <f t="shared" si="0"/>
        <v>46599</v>
      </c>
      <c r="W6" s="234">
        <f t="shared" si="0"/>
        <v>46630</v>
      </c>
      <c r="X6" s="234">
        <f t="shared" si="0"/>
        <v>46660</v>
      </c>
      <c r="Y6" s="234">
        <f t="shared" si="0"/>
        <v>46691</v>
      </c>
      <c r="Z6" s="234">
        <f t="shared" si="0"/>
        <v>46721</v>
      </c>
      <c r="AA6" s="234">
        <f t="shared" si="0"/>
        <v>46752</v>
      </c>
      <c r="AB6" s="234">
        <f t="shared" si="0"/>
        <v>46783</v>
      </c>
      <c r="AD6" s="93"/>
      <c r="AE6" s="93"/>
      <c r="AF6" s="93"/>
      <c r="AG6" s="93"/>
      <c r="AH6" s="93"/>
      <c r="AI6" s="93"/>
      <c r="AJ6" s="93"/>
      <c r="AK6" s="93"/>
      <c r="AL6" s="93"/>
      <c r="AM6" s="93"/>
      <c r="AN6" s="93"/>
      <c r="AO6" s="93"/>
    </row>
    <row r="7" spans="1:41" s="104" customFormat="1" ht="20.149999999999999" customHeight="1" x14ac:dyDescent="0.25">
      <c r="B7" s="233">
        <v>8.5</v>
      </c>
      <c r="C7" s="261" t="str">
        <f>IF(B7=0,"",CONCATENATE("Jornadas de ",B7," horas: "))</f>
        <v xml:space="preserve">Jornadas de 8,5 horas: </v>
      </c>
      <c r="D7" s="235">
        <v>16</v>
      </c>
      <c r="E7" s="235">
        <v>16</v>
      </c>
      <c r="F7" s="235">
        <v>16</v>
      </c>
      <c r="G7" s="235">
        <v>16</v>
      </c>
      <c r="H7" s="235"/>
      <c r="I7" s="235"/>
      <c r="J7" s="235">
        <v>16</v>
      </c>
      <c r="K7" s="235"/>
      <c r="L7" s="235"/>
      <c r="M7" s="235"/>
      <c r="N7" s="235"/>
      <c r="O7" s="235"/>
      <c r="P7" s="235"/>
      <c r="Q7" s="235"/>
      <c r="R7" s="235"/>
      <c r="S7" s="235"/>
      <c r="T7" s="235"/>
      <c r="U7" s="235"/>
      <c r="V7" s="235"/>
      <c r="W7" s="235"/>
      <c r="X7" s="235"/>
      <c r="Y7" s="235"/>
      <c r="Z7" s="235"/>
      <c r="AA7" s="235"/>
      <c r="AB7" s="235"/>
      <c r="AD7" s="93"/>
      <c r="AE7" s="93"/>
      <c r="AF7" s="93"/>
      <c r="AG7" s="93"/>
      <c r="AH7" s="93"/>
      <c r="AI7" s="93"/>
      <c r="AJ7" s="93"/>
      <c r="AK7" s="93"/>
      <c r="AL7" s="93"/>
      <c r="AM7" s="93"/>
      <c r="AN7" s="93"/>
      <c r="AO7" s="93"/>
    </row>
    <row r="8" spans="1:41" s="104" customFormat="1" ht="20.149999999999999" customHeight="1" x14ac:dyDescent="0.25">
      <c r="B8" s="233">
        <v>7</v>
      </c>
      <c r="C8" s="261" t="str">
        <f t="shared" ref="C8:C11" si="1">IF(B8=0,"",CONCATENATE("Jornadas de ",B8," horas: "))</f>
        <v xml:space="preserve">Jornadas de 7 horas: </v>
      </c>
      <c r="D8" s="235">
        <v>3</v>
      </c>
      <c r="E8" s="235">
        <v>2</v>
      </c>
      <c r="F8" s="235">
        <v>1</v>
      </c>
      <c r="G8" s="235">
        <v>4</v>
      </c>
      <c r="H8" s="235">
        <v>22</v>
      </c>
      <c r="I8" s="235">
        <v>22</v>
      </c>
      <c r="J8" s="235">
        <v>5</v>
      </c>
      <c r="K8" s="235"/>
      <c r="L8" s="235"/>
      <c r="M8" s="235"/>
      <c r="N8" s="235"/>
      <c r="O8" s="235"/>
      <c r="P8" s="235"/>
      <c r="Q8" s="235"/>
      <c r="R8" s="235"/>
      <c r="S8" s="235"/>
      <c r="T8" s="235"/>
      <c r="U8" s="235"/>
      <c r="V8" s="235"/>
      <c r="W8" s="235"/>
      <c r="X8" s="235"/>
      <c r="Y8" s="235"/>
      <c r="Z8" s="235"/>
      <c r="AA8" s="235"/>
      <c r="AB8" s="235"/>
      <c r="AD8" s="93"/>
      <c r="AE8" s="93"/>
      <c r="AF8" s="93"/>
      <c r="AG8" s="93"/>
      <c r="AH8" s="93"/>
      <c r="AI8" s="93"/>
      <c r="AJ8" s="93"/>
      <c r="AK8" s="93"/>
      <c r="AL8" s="93"/>
      <c r="AM8" s="93"/>
      <c r="AN8" s="93"/>
      <c r="AO8" s="93"/>
    </row>
    <row r="9" spans="1:41" s="104" customFormat="1" ht="20.149999999999999" customHeight="1" x14ac:dyDescent="0.25">
      <c r="B9" s="233">
        <v>6</v>
      </c>
      <c r="C9" s="261" t="str">
        <f t="shared" si="1"/>
        <v xml:space="preserve">Jornadas de 6 horas: </v>
      </c>
      <c r="D9" s="235">
        <v>1</v>
      </c>
      <c r="E9" s="235">
        <v>3</v>
      </c>
      <c r="F9" s="235">
        <v>1</v>
      </c>
      <c r="G9" s="235">
        <v>2</v>
      </c>
      <c r="H9" s="235"/>
      <c r="I9" s="235"/>
      <c r="J9" s="235">
        <v>9</v>
      </c>
      <c r="K9" s="235"/>
      <c r="L9" s="235"/>
      <c r="M9" s="235"/>
      <c r="N9" s="235"/>
      <c r="O9" s="235"/>
      <c r="P9" s="235"/>
      <c r="Q9" s="235"/>
      <c r="R9" s="235"/>
      <c r="S9" s="235"/>
      <c r="T9" s="235"/>
      <c r="U9" s="235"/>
      <c r="V9" s="235"/>
      <c r="W9" s="235"/>
      <c r="X9" s="235"/>
      <c r="Y9" s="235"/>
      <c r="Z9" s="235"/>
      <c r="AA9" s="235"/>
      <c r="AB9" s="235"/>
      <c r="AD9" s="93"/>
      <c r="AE9" s="93"/>
      <c r="AF9" s="93"/>
      <c r="AG9" s="93"/>
      <c r="AH9" s="93"/>
      <c r="AI9" s="93"/>
      <c r="AJ9" s="93"/>
      <c r="AK9" s="93"/>
      <c r="AL9" s="93"/>
      <c r="AM9" s="93"/>
      <c r="AN9" s="93"/>
      <c r="AO9" s="93"/>
    </row>
    <row r="10" spans="1:41" s="104" customFormat="1" ht="20.149999999999999" customHeight="1" x14ac:dyDescent="0.25">
      <c r="B10" s="233">
        <v>7.25</v>
      </c>
      <c r="C10" s="261" t="str">
        <f t="shared" si="1"/>
        <v xml:space="preserve">Jornadas de 7,25 horas: </v>
      </c>
      <c r="D10" s="235"/>
      <c r="E10" s="235"/>
      <c r="F10" s="235"/>
      <c r="G10" s="235"/>
      <c r="H10" s="235"/>
      <c r="I10" s="235"/>
      <c r="J10" s="235"/>
      <c r="K10" s="235"/>
      <c r="L10" s="235"/>
      <c r="M10" s="235"/>
      <c r="N10" s="235"/>
      <c r="O10" s="235"/>
      <c r="P10" s="235"/>
      <c r="Q10" s="235"/>
      <c r="R10" s="235"/>
      <c r="S10" s="235"/>
      <c r="T10" s="235"/>
      <c r="U10" s="235"/>
      <c r="V10" s="235"/>
      <c r="W10" s="235"/>
      <c r="X10" s="235"/>
      <c r="Y10" s="235"/>
      <c r="Z10" s="235"/>
      <c r="AA10" s="235"/>
      <c r="AB10" s="235"/>
      <c r="AD10" s="93"/>
      <c r="AE10" s="93"/>
      <c r="AF10" s="93"/>
      <c r="AG10" s="93"/>
      <c r="AH10" s="93"/>
      <c r="AI10" s="93"/>
      <c r="AJ10" s="93"/>
      <c r="AK10" s="93"/>
      <c r="AL10" s="93"/>
      <c r="AM10" s="93"/>
      <c r="AN10" s="93"/>
      <c r="AO10" s="93"/>
    </row>
    <row r="11" spans="1:41" s="104" customFormat="1" ht="20.149999999999999" customHeight="1" x14ac:dyDescent="0.25">
      <c r="B11" s="233">
        <v>5.25</v>
      </c>
      <c r="C11" s="261" t="str">
        <f t="shared" si="1"/>
        <v xml:space="preserve">Jornadas de 5,25 horas: </v>
      </c>
      <c r="D11" s="235">
        <v>2</v>
      </c>
      <c r="E11" s="235"/>
      <c r="F11" s="235">
        <v>2</v>
      </c>
      <c r="G11" s="235"/>
      <c r="H11" s="235"/>
      <c r="I11" s="235"/>
      <c r="J11" s="235"/>
      <c r="K11" s="235"/>
      <c r="L11" s="235"/>
      <c r="M11" s="235"/>
      <c r="N11" s="235"/>
      <c r="O11" s="235"/>
      <c r="P11" s="235"/>
      <c r="Q11" s="235"/>
      <c r="R11" s="235"/>
      <c r="S11" s="235"/>
      <c r="T11" s="235"/>
      <c r="U11" s="235"/>
      <c r="V11" s="235"/>
      <c r="W11" s="235"/>
      <c r="X11" s="235"/>
      <c r="Y11" s="235"/>
      <c r="Z11" s="235"/>
      <c r="AA11" s="235"/>
      <c r="AB11" s="235"/>
      <c r="AD11" s="93"/>
      <c r="AE11" s="93"/>
      <c r="AF11" s="93"/>
      <c r="AG11" s="93"/>
      <c r="AH11" s="93"/>
      <c r="AI11" s="93"/>
      <c r="AJ11" s="93"/>
      <c r="AK11" s="93"/>
      <c r="AL11" s="93"/>
      <c r="AM11" s="93"/>
      <c r="AN11" s="93"/>
      <c r="AO11" s="93"/>
    </row>
    <row r="12" spans="1:41" s="104" customFormat="1" ht="20.149999999999999" customHeight="1" x14ac:dyDescent="0.25">
      <c r="B12" s="262"/>
      <c r="C12" s="262" t="s">
        <v>268</v>
      </c>
      <c r="D12" s="263">
        <f>SUMPRODUCT(D7:D11,$B$7:$B$11)</f>
        <v>173.5</v>
      </c>
      <c r="E12" s="263">
        <f>SUMPRODUCT(E7:E11,$B$7:$B$11)</f>
        <v>168</v>
      </c>
      <c r="F12" s="263">
        <f t="shared" ref="F12" si="2">SUMPRODUCT(F7:F11,$B$7:$B$11)</f>
        <v>159.5</v>
      </c>
      <c r="G12" s="263">
        <f t="shared" ref="G12" si="3">SUMPRODUCT(G7:G11,$B$7:$B$11)</f>
        <v>176</v>
      </c>
      <c r="H12" s="263">
        <f t="shared" ref="H12" si="4">SUMPRODUCT(H7:H11,$B$7:$B$11)</f>
        <v>154</v>
      </c>
      <c r="I12" s="263">
        <f>SUMPRODUCT(I7:I11,$B$7:$B$11)</f>
        <v>154</v>
      </c>
      <c r="J12" s="263">
        <f t="shared" ref="J12" si="5">SUMPRODUCT(J7:J11,$B$7:$B$11)</f>
        <v>225</v>
      </c>
      <c r="K12" s="263">
        <f t="shared" ref="K12" si="6">SUMPRODUCT(K7:K11,$B$7:$B$11)</f>
        <v>0</v>
      </c>
      <c r="L12" s="263">
        <f>SUMPRODUCT(L7:L11,$B$7:$B$11)</f>
        <v>0</v>
      </c>
      <c r="M12" s="263">
        <f t="shared" ref="M12" si="7">SUMPRODUCT(M7:M11,$B$7:$B$11)</f>
        <v>0</v>
      </c>
      <c r="N12" s="263">
        <f t="shared" ref="N12" si="8">SUMPRODUCT(N7:N11,$B$7:$B$11)</f>
        <v>0</v>
      </c>
      <c r="O12" s="263">
        <f t="shared" ref="O12" si="9">SUMPRODUCT(O7:O11,$B$7:$B$11)</f>
        <v>0</v>
      </c>
      <c r="P12" s="263">
        <f t="shared" ref="P12" si="10">SUMPRODUCT(P7:P11,$B$7:$B$11)</f>
        <v>0</v>
      </c>
      <c r="Q12" s="263">
        <f t="shared" ref="Q12" si="11">SUMPRODUCT(Q7:Q11,$B$7:$B$11)</f>
        <v>0</v>
      </c>
      <c r="R12" s="263">
        <f t="shared" ref="R12" si="12">SUMPRODUCT(R7:R11,$B$7:$B$11)</f>
        <v>0</v>
      </c>
      <c r="S12" s="263">
        <f t="shared" ref="S12" si="13">SUMPRODUCT(S7:S11,$B$7:$B$11)</f>
        <v>0</v>
      </c>
      <c r="T12" s="263">
        <f t="shared" ref="T12" si="14">SUMPRODUCT(T7:T11,$B$7:$B$11)</f>
        <v>0</v>
      </c>
      <c r="U12" s="263">
        <f t="shared" ref="U12" si="15">SUMPRODUCT(U7:U11,$B$7:$B$11)</f>
        <v>0</v>
      </c>
      <c r="V12" s="263">
        <f t="shared" ref="V12" si="16">SUMPRODUCT(V7:V11,$B$7:$B$11)</f>
        <v>0</v>
      </c>
      <c r="W12" s="263">
        <f t="shared" ref="W12" si="17">SUMPRODUCT(W7:W11,$B$7:$B$11)</f>
        <v>0</v>
      </c>
      <c r="X12" s="263">
        <f t="shared" ref="X12" si="18">SUMPRODUCT(X7:X11,$B$7:$B$11)</f>
        <v>0</v>
      </c>
      <c r="Y12" s="263">
        <f t="shared" ref="Y12" si="19">SUMPRODUCT(Y7:Y11,$B$7:$B$11)</f>
        <v>0</v>
      </c>
      <c r="Z12" s="263">
        <f t="shared" ref="Z12" si="20">SUMPRODUCT(Z7:Z11,$B$7:$B$11)</f>
        <v>0</v>
      </c>
      <c r="AA12" s="263">
        <f t="shared" ref="AA12" si="21">SUMPRODUCT(AA7:AA11,$B$7:$B$11)</f>
        <v>0</v>
      </c>
      <c r="AB12" s="263">
        <f>SUMPRODUCT(AB7:AB11,$B$7:$B$11)</f>
        <v>0</v>
      </c>
    </row>
    <row r="13" spans="1:41" s="104" customFormat="1" ht="20.149999999999999" customHeight="1" x14ac:dyDescent="0.25">
      <c r="B13" s="182"/>
      <c r="C13" s="182"/>
      <c r="D13" s="182"/>
      <c r="E13" s="182"/>
      <c r="F13" s="182"/>
      <c r="G13" s="182"/>
      <c r="H13" s="182"/>
      <c r="I13" s="182"/>
      <c r="J13" s="182"/>
      <c r="K13" s="182"/>
      <c r="L13" s="182"/>
      <c r="M13" s="182"/>
      <c r="N13" s="182"/>
      <c r="O13" s="182"/>
      <c r="P13" s="182"/>
      <c r="Q13" s="182"/>
      <c r="R13" s="182"/>
      <c r="S13" s="182"/>
      <c r="T13" s="182"/>
      <c r="U13" s="182"/>
      <c r="V13" s="182"/>
      <c r="W13" s="182"/>
      <c r="X13" s="182"/>
      <c r="Y13" s="182"/>
      <c r="Z13" s="182"/>
      <c r="AA13" s="182"/>
      <c r="AB13" s="182"/>
    </row>
    <row r="14" spans="1:41" x14ac:dyDescent="0.25">
      <c r="A14" s="104"/>
      <c r="D14" s="99"/>
      <c r="E14" s="99"/>
      <c r="F14" s="99"/>
      <c r="G14" s="99"/>
      <c r="H14" s="99"/>
      <c r="I14" s="99"/>
      <c r="J14" s="99"/>
      <c r="K14" s="99"/>
      <c r="L14" s="99"/>
      <c r="M14" s="99"/>
    </row>
    <row r="15" spans="1:41" ht="20.149999999999999" customHeight="1" x14ac:dyDescent="0.25">
      <c r="B15" s="334" t="s">
        <v>269</v>
      </c>
      <c r="C15" s="334"/>
      <c r="D15" s="335" t="s">
        <v>265</v>
      </c>
      <c r="E15" s="335"/>
      <c r="F15" s="335"/>
      <c r="G15" s="335"/>
      <c r="H15" s="99"/>
      <c r="I15" s="99"/>
      <c r="J15" s="99"/>
      <c r="K15" s="99"/>
      <c r="L15" s="99"/>
      <c r="M15" s="99"/>
      <c r="N15" s="99"/>
      <c r="O15" s="99"/>
      <c r="P15" s="99"/>
      <c r="Q15" s="99"/>
      <c r="R15" s="99"/>
    </row>
    <row r="16" spans="1:41" s="103" customFormat="1" ht="35.15" customHeight="1" x14ac:dyDescent="0.25">
      <c r="B16" s="291" t="s">
        <v>266</v>
      </c>
      <c r="C16" s="291" t="s">
        <v>267</v>
      </c>
      <c r="D16" s="234">
        <f>'Project Infor'!$C$8</f>
        <v>46023</v>
      </c>
      <c r="E16" s="234">
        <f t="shared" ref="E16" si="22">EOMONTH(D16,1)</f>
        <v>46081</v>
      </c>
      <c r="F16" s="234">
        <f t="shared" ref="F16" si="23">EOMONTH(E16,1)</f>
        <v>46112</v>
      </c>
      <c r="G16" s="234">
        <f t="shared" ref="G16" si="24">EOMONTH(F16,1)</f>
        <v>46142</v>
      </c>
      <c r="H16" s="234">
        <f t="shared" ref="H16" si="25">EOMONTH(G16,1)</f>
        <v>46173</v>
      </c>
      <c r="I16" s="234">
        <f t="shared" ref="I16" si="26">EOMONTH(H16,1)</f>
        <v>46203</v>
      </c>
      <c r="J16" s="234">
        <f t="shared" ref="J16" si="27">EOMONTH(I16,1)</f>
        <v>46234</v>
      </c>
      <c r="K16" s="234">
        <f t="shared" ref="K16" si="28">EOMONTH(J16,1)</f>
        <v>46265</v>
      </c>
      <c r="L16" s="234">
        <f t="shared" ref="L16" si="29">EOMONTH(K16,1)</f>
        <v>46295</v>
      </c>
      <c r="M16" s="234">
        <f t="shared" ref="M16" si="30">EOMONTH(L16,1)</f>
        <v>46326</v>
      </c>
      <c r="N16" s="234">
        <f t="shared" ref="N16" si="31">EOMONTH(M16,1)</f>
        <v>46356</v>
      </c>
      <c r="O16" s="234">
        <f t="shared" ref="O16" si="32">EOMONTH(N16,1)</f>
        <v>46387</v>
      </c>
      <c r="P16" s="234">
        <f t="shared" ref="P16" si="33">EOMONTH(O16,1)</f>
        <v>46418</v>
      </c>
      <c r="Q16" s="234">
        <f t="shared" ref="Q16" si="34">EOMONTH(P16,1)</f>
        <v>46446</v>
      </c>
      <c r="R16" s="234">
        <f t="shared" ref="R16" si="35">EOMONTH(Q16,1)</f>
        <v>46477</v>
      </c>
      <c r="S16" s="234">
        <f t="shared" ref="S16" si="36">EOMONTH(R16,1)</f>
        <v>46507</v>
      </c>
      <c r="T16" s="234">
        <f t="shared" ref="T16" si="37">EOMONTH(S16,1)</f>
        <v>46538</v>
      </c>
      <c r="U16" s="234">
        <f t="shared" ref="U16" si="38">EOMONTH(T16,1)</f>
        <v>46568</v>
      </c>
      <c r="V16" s="234">
        <f t="shared" ref="V16" si="39">EOMONTH(U16,1)</f>
        <v>46599</v>
      </c>
      <c r="W16" s="234">
        <f t="shared" ref="W16" si="40">EOMONTH(V16,1)</f>
        <v>46630</v>
      </c>
      <c r="X16" s="234">
        <f t="shared" ref="X16" si="41">EOMONTH(W16,1)</f>
        <v>46660</v>
      </c>
      <c r="Y16" s="234">
        <f t="shared" ref="Y16" si="42">EOMONTH(X16,1)</f>
        <v>46691</v>
      </c>
      <c r="Z16" s="234">
        <f t="shared" ref="Z16" si="43">EOMONTH(Y16,1)</f>
        <v>46721</v>
      </c>
      <c r="AA16" s="234">
        <f t="shared" ref="AA16" si="44">EOMONTH(Z16,1)</f>
        <v>46752</v>
      </c>
      <c r="AB16" s="234">
        <f t="shared" ref="AB16" si="45">EOMONTH(AA16,1)</f>
        <v>46783</v>
      </c>
      <c r="AD16" s="93"/>
      <c r="AE16" s="93"/>
      <c r="AF16" s="93"/>
      <c r="AG16" s="93"/>
      <c r="AH16" s="93"/>
      <c r="AI16" s="93"/>
      <c r="AJ16" s="93"/>
      <c r="AK16" s="93"/>
      <c r="AL16" s="93"/>
      <c r="AM16" s="93"/>
      <c r="AN16" s="93"/>
      <c r="AO16" s="93"/>
    </row>
    <row r="17" spans="1:41" s="104" customFormat="1" ht="20.149999999999999" customHeight="1" x14ac:dyDescent="0.25">
      <c r="B17" s="233">
        <v>8</v>
      </c>
      <c r="C17" s="261" t="str">
        <f>IF(B17=0,"",CONCATENATE("Jornadas de ",B17," horas: "))</f>
        <v xml:space="preserve">Jornadas de 8 horas: </v>
      </c>
      <c r="D17" s="235">
        <v>16</v>
      </c>
      <c r="E17" s="235"/>
      <c r="F17" s="235"/>
      <c r="G17" s="235"/>
      <c r="H17" s="235"/>
      <c r="I17" s="235"/>
      <c r="J17" s="235"/>
      <c r="K17" s="235"/>
      <c r="L17" s="235"/>
      <c r="M17" s="235"/>
      <c r="N17" s="235"/>
      <c r="O17" s="235"/>
      <c r="P17" s="235"/>
      <c r="Q17" s="235"/>
      <c r="R17" s="235"/>
      <c r="S17" s="235"/>
      <c r="T17" s="235"/>
      <c r="U17" s="235"/>
      <c r="V17" s="235"/>
      <c r="W17" s="235"/>
      <c r="X17" s="235"/>
      <c r="Y17" s="235"/>
      <c r="Z17" s="235"/>
      <c r="AA17" s="235"/>
      <c r="AB17" s="235"/>
      <c r="AD17" s="93"/>
      <c r="AE17" s="93"/>
      <c r="AF17" s="93"/>
      <c r="AG17" s="93"/>
      <c r="AH17" s="93"/>
      <c r="AI17" s="93"/>
      <c r="AJ17" s="93"/>
      <c r="AK17" s="93"/>
      <c r="AL17" s="93"/>
      <c r="AM17" s="93"/>
      <c r="AN17" s="93"/>
      <c r="AO17" s="93"/>
    </row>
    <row r="18" spans="1:41" s="104" customFormat="1" ht="20.149999999999999" customHeight="1" x14ac:dyDescent="0.25">
      <c r="B18" s="233">
        <v>6</v>
      </c>
      <c r="C18" s="261" t="str">
        <f t="shared" ref="C18:C21" si="46">IF(B18=0,"",CONCATENATE("Jornadas de ",B18," horas: "))</f>
        <v xml:space="preserve">Jornadas de 6 horas: </v>
      </c>
      <c r="D18" s="235">
        <v>3</v>
      </c>
      <c r="E18" s="235"/>
      <c r="F18" s="235"/>
      <c r="G18" s="235"/>
      <c r="H18" s="235"/>
      <c r="I18" s="235"/>
      <c r="J18" s="235"/>
      <c r="K18" s="235"/>
      <c r="L18" s="235"/>
      <c r="M18" s="235"/>
      <c r="N18" s="235"/>
      <c r="O18" s="235"/>
      <c r="P18" s="235"/>
      <c r="Q18" s="235"/>
      <c r="R18" s="235"/>
      <c r="S18" s="235"/>
      <c r="T18" s="235"/>
      <c r="U18" s="235"/>
      <c r="V18" s="235"/>
      <c r="W18" s="235"/>
      <c r="X18" s="235"/>
      <c r="Y18" s="235"/>
      <c r="Z18" s="235"/>
      <c r="AA18" s="235"/>
      <c r="AB18" s="235"/>
      <c r="AD18" s="93"/>
      <c r="AE18" s="93"/>
      <c r="AF18" s="93"/>
      <c r="AG18" s="93"/>
      <c r="AH18" s="93"/>
      <c r="AI18" s="93"/>
      <c r="AJ18" s="93"/>
      <c r="AK18" s="93"/>
      <c r="AL18" s="93"/>
      <c r="AM18" s="93"/>
      <c r="AN18" s="93"/>
      <c r="AO18" s="93"/>
    </row>
    <row r="19" spans="1:41" s="104" customFormat="1" ht="20.149999999999999" customHeight="1" x14ac:dyDescent="0.25">
      <c r="B19" s="233"/>
      <c r="C19" s="261" t="str">
        <f t="shared" si="46"/>
        <v/>
      </c>
      <c r="D19" s="235"/>
      <c r="E19" s="235"/>
      <c r="F19" s="235"/>
      <c r="G19" s="235"/>
      <c r="H19" s="235"/>
      <c r="I19" s="235"/>
      <c r="J19" s="235"/>
      <c r="K19" s="235"/>
      <c r="L19" s="235"/>
      <c r="M19" s="235"/>
      <c r="N19" s="235"/>
      <c r="O19" s="235"/>
      <c r="P19" s="235"/>
      <c r="Q19" s="235"/>
      <c r="R19" s="235"/>
      <c r="S19" s="235"/>
      <c r="T19" s="235"/>
      <c r="U19" s="235"/>
      <c r="V19" s="235"/>
      <c r="W19" s="235"/>
      <c r="X19" s="235"/>
      <c r="Y19" s="235"/>
      <c r="Z19" s="235"/>
      <c r="AA19" s="235"/>
      <c r="AB19" s="235"/>
      <c r="AD19" s="93"/>
      <c r="AE19" s="93"/>
      <c r="AF19" s="93"/>
      <c r="AG19" s="93"/>
      <c r="AH19" s="93"/>
      <c r="AI19" s="93"/>
      <c r="AJ19" s="93"/>
      <c r="AK19" s="93"/>
      <c r="AL19" s="93"/>
      <c r="AM19" s="93"/>
      <c r="AN19" s="93"/>
      <c r="AO19" s="93"/>
    </row>
    <row r="20" spans="1:41" s="104" customFormat="1" ht="20.149999999999999" customHeight="1" x14ac:dyDescent="0.25">
      <c r="B20" s="233"/>
      <c r="C20" s="261"/>
      <c r="D20" s="235"/>
      <c r="E20" s="235"/>
      <c r="F20" s="235"/>
      <c r="G20" s="235"/>
      <c r="H20" s="235"/>
      <c r="I20" s="235"/>
      <c r="J20" s="235"/>
      <c r="K20" s="235"/>
      <c r="L20" s="235"/>
      <c r="M20" s="235"/>
      <c r="N20" s="235"/>
      <c r="O20" s="235"/>
      <c r="P20" s="235"/>
      <c r="Q20" s="235"/>
      <c r="R20" s="235"/>
      <c r="S20" s="235"/>
      <c r="T20" s="235"/>
      <c r="U20" s="235"/>
      <c r="V20" s="235"/>
      <c r="W20" s="235"/>
      <c r="X20" s="235"/>
      <c r="Y20" s="235"/>
      <c r="Z20" s="235"/>
      <c r="AA20" s="235"/>
      <c r="AB20" s="235"/>
      <c r="AD20" s="93"/>
      <c r="AE20" s="93"/>
      <c r="AF20" s="93"/>
      <c r="AG20" s="93"/>
      <c r="AH20" s="93"/>
      <c r="AI20" s="93"/>
      <c r="AJ20" s="93"/>
      <c r="AK20" s="93"/>
      <c r="AL20" s="93"/>
      <c r="AM20" s="93"/>
      <c r="AN20" s="93"/>
      <c r="AO20" s="93"/>
    </row>
    <row r="21" spans="1:41" s="104" customFormat="1" ht="20.149999999999999" customHeight="1" x14ac:dyDescent="0.25">
      <c r="B21" s="233"/>
      <c r="C21" s="261" t="str">
        <f t="shared" si="46"/>
        <v/>
      </c>
      <c r="D21" s="235"/>
      <c r="E21" s="235"/>
      <c r="F21" s="235"/>
      <c r="G21" s="235"/>
      <c r="H21" s="235"/>
      <c r="I21" s="235"/>
      <c r="J21" s="235"/>
      <c r="K21" s="235"/>
      <c r="L21" s="235"/>
      <c r="M21" s="235"/>
      <c r="N21" s="235"/>
      <c r="O21" s="235"/>
      <c r="P21" s="235"/>
      <c r="Q21" s="235"/>
      <c r="R21" s="235"/>
      <c r="S21" s="235"/>
      <c r="T21" s="235"/>
      <c r="U21" s="235"/>
      <c r="V21" s="235"/>
      <c r="W21" s="235"/>
      <c r="X21" s="235"/>
      <c r="Y21" s="235"/>
      <c r="Z21" s="235"/>
      <c r="AA21" s="235"/>
      <c r="AB21" s="235"/>
      <c r="AD21" s="93"/>
      <c r="AE21" s="93"/>
      <c r="AF21" s="93"/>
      <c r="AG21" s="93"/>
      <c r="AH21" s="93"/>
      <c r="AI21" s="93"/>
      <c r="AJ21" s="93"/>
      <c r="AK21" s="93"/>
      <c r="AL21" s="93"/>
      <c r="AM21" s="93"/>
      <c r="AN21" s="93"/>
      <c r="AO21" s="93"/>
    </row>
    <row r="22" spans="1:41" s="104" customFormat="1" ht="20.149999999999999" customHeight="1" x14ac:dyDescent="0.25">
      <c r="B22" s="262"/>
      <c r="C22" s="262" t="s">
        <v>268</v>
      </c>
      <c r="D22" s="263">
        <f t="shared" ref="D22:AB22" si="47">SUMPRODUCT(D17:D21,$B$17:$B$21)</f>
        <v>146</v>
      </c>
      <c r="E22" s="263">
        <f t="shared" si="47"/>
        <v>0</v>
      </c>
      <c r="F22" s="263">
        <f t="shared" si="47"/>
        <v>0</v>
      </c>
      <c r="G22" s="263">
        <f t="shared" si="47"/>
        <v>0</v>
      </c>
      <c r="H22" s="263">
        <f t="shared" si="47"/>
        <v>0</v>
      </c>
      <c r="I22" s="263">
        <f t="shared" si="47"/>
        <v>0</v>
      </c>
      <c r="J22" s="263">
        <f t="shared" si="47"/>
        <v>0</v>
      </c>
      <c r="K22" s="263">
        <f t="shared" si="47"/>
        <v>0</v>
      </c>
      <c r="L22" s="263">
        <f t="shared" si="47"/>
        <v>0</v>
      </c>
      <c r="M22" s="263">
        <f t="shared" si="47"/>
        <v>0</v>
      </c>
      <c r="N22" s="263">
        <f t="shared" si="47"/>
        <v>0</v>
      </c>
      <c r="O22" s="263">
        <f t="shared" si="47"/>
        <v>0</v>
      </c>
      <c r="P22" s="263">
        <f t="shared" si="47"/>
        <v>0</v>
      </c>
      <c r="Q22" s="263">
        <f t="shared" si="47"/>
        <v>0</v>
      </c>
      <c r="R22" s="263">
        <f t="shared" si="47"/>
        <v>0</v>
      </c>
      <c r="S22" s="263">
        <f t="shared" si="47"/>
        <v>0</v>
      </c>
      <c r="T22" s="263">
        <f t="shared" si="47"/>
        <v>0</v>
      </c>
      <c r="U22" s="263">
        <f t="shared" si="47"/>
        <v>0</v>
      </c>
      <c r="V22" s="263">
        <f t="shared" si="47"/>
        <v>0</v>
      </c>
      <c r="W22" s="263">
        <f t="shared" si="47"/>
        <v>0</v>
      </c>
      <c r="X22" s="263">
        <f t="shared" si="47"/>
        <v>0</v>
      </c>
      <c r="Y22" s="263">
        <f t="shared" si="47"/>
        <v>0</v>
      </c>
      <c r="Z22" s="263">
        <f t="shared" si="47"/>
        <v>0</v>
      </c>
      <c r="AA22" s="263">
        <f t="shared" si="47"/>
        <v>0</v>
      </c>
      <c r="AB22" s="263">
        <f t="shared" si="47"/>
        <v>0</v>
      </c>
    </row>
    <row r="23" spans="1:41" s="104" customFormat="1" ht="20.149999999999999" customHeight="1" x14ac:dyDescent="0.25">
      <c r="B23" s="182"/>
      <c r="C23" s="182"/>
      <c r="D23" s="182"/>
      <c r="E23" s="182"/>
      <c r="F23" s="182"/>
      <c r="G23" s="182"/>
      <c r="H23" s="182"/>
      <c r="I23" s="182"/>
      <c r="J23" s="182"/>
      <c r="K23" s="182"/>
      <c r="L23" s="182"/>
      <c r="M23" s="182"/>
      <c r="N23" s="182"/>
      <c r="O23" s="182"/>
      <c r="P23" s="182"/>
      <c r="Q23" s="182"/>
      <c r="R23" s="182"/>
      <c r="S23" s="182"/>
      <c r="T23" s="182"/>
      <c r="U23" s="182"/>
      <c r="V23" s="182"/>
      <c r="W23" s="182"/>
      <c r="X23" s="182"/>
      <c r="Y23" s="182"/>
      <c r="Z23" s="182"/>
      <c r="AA23" s="182"/>
      <c r="AB23" s="182"/>
    </row>
    <row r="24" spans="1:41" x14ac:dyDescent="0.25">
      <c r="A24" s="104"/>
      <c r="D24" s="99"/>
      <c r="E24" s="99"/>
      <c r="F24" s="99"/>
      <c r="G24" s="99"/>
      <c r="H24" s="99"/>
      <c r="I24" s="99"/>
      <c r="J24" s="99"/>
      <c r="K24" s="99"/>
      <c r="L24" s="99"/>
      <c r="M24" s="99"/>
    </row>
    <row r="25" spans="1:41" ht="20.149999999999999" customHeight="1" x14ac:dyDescent="0.25">
      <c r="B25" s="334" t="s">
        <v>270</v>
      </c>
      <c r="C25" s="334"/>
      <c r="D25" s="335" t="s">
        <v>265</v>
      </c>
      <c r="E25" s="335"/>
      <c r="F25" s="335"/>
      <c r="G25" s="335"/>
      <c r="H25" s="99"/>
      <c r="I25" s="99"/>
      <c r="J25" s="99"/>
      <c r="K25" s="99"/>
      <c r="L25" s="99"/>
      <c r="M25" s="99"/>
      <c r="N25" s="99"/>
      <c r="O25" s="99"/>
      <c r="P25" s="99"/>
      <c r="Q25" s="99"/>
      <c r="R25" s="99"/>
    </row>
    <row r="26" spans="1:41" s="103" customFormat="1" ht="35.15" customHeight="1" x14ac:dyDescent="0.25">
      <c r="B26" s="291" t="s">
        <v>266</v>
      </c>
      <c r="C26" s="291" t="s">
        <v>267</v>
      </c>
      <c r="D26" s="234">
        <f>'Project Infor'!$C$8</f>
        <v>46023</v>
      </c>
      <c r="E26" s="234">
        <f t="shared" ref="E26" si="48">EOMONTH(D26,1)</f>
        <v>46081</v>
      </c>
      <c r="F26" s="234">
        <f t="shared" ref="F26" si="49">EOMONTH(E26,1)</f>
        <v>46112</v>
      </c>
      <c r="G26" s="234">
        <f t="shared" ref="G26" si="50">EOMONTH(F26,1)</f>
        <v>46142</v>
      </c>
      <c r="H26" s="234">
        <f t="shared" ref="H26" si="51">EOMONTH(G26,1)</f>
        <v>46173</v>
      </c>
      <c r="I26" s="234">
        <f t="shared" ref="I26" si="52">EOMONTH(H26,1)</f>
        <v>46203</v>
      </c>
      <c r="J26" s="234">
        <f t="shared" ref="J26" si="53">EOMONTH(I26,1)</f>
        <v>46234</v>
      </c>
      <c r="K26" s="234">
        <f t="shared" ref="K26" si="54">EOMONTH(J26,1)</f>
        <v>46265</v>
      </c>
      <c r="L26" s="234">
        <f t="shared" ref="L26" si="55">EOMONTH(K26,1)</f>
        <v>46295</v>
      </c>
      <c r="M26" s="234">
        <f t="shared" ref="M26" si="56">EOMONTH(L26,1)</f>
        <v>46326</v>
      </c>
      <c r="N26" s="234">
        <f t="shared" ref="N26" si="57">EOMONTH(M26,1)</f>
        <v>46356</v>
      </c>
      <c r="O26" s="234">
        <f t="shared" ref="O26" si="58">EOMONTH(N26,1)</f>
        <v>46387</v>
      </c>
      <c r="P26" s="234">
        <f t="shared" ref="P26" si="59">EOMONTH(O26,1)</f>
        <v>46418</v>
      </c>
      <c r="Q26" s="234">
        <f t="shared" ref="Q26" si="60">EOMONTH(P26,1)</f>
        <v>46446</v>
      </c>
      <c r="R26" s="234">
        <f t="shared" ref="R26" si="61">EOMONTH(Q26,1)</f>
        <v>46477</v>
      </c>
      <c r="S26" s="234">
        <f t="shared" ref="S26" si="62">EOMONTH(R26,1)</f>
        <v>46507</v>
      </c>
      <c r="T26" s="234">
        <f t="shared" ref="T26" si="63">EOMONTH(S26,1)</f>
        <v>46538</v>
      </c>
      <c r="U26" s="234">
        <f t="shared" ref="U26" si="64">EOMONTH(T26,1)</f>
        <v>46568</v>
      </c>
      <c r="V26" s="234">
        <f t="shared" ref="V26" si="65">EOMONTH(U26,1)</f>
        <v>46599</v>
      </c>
      <c r="W26" s="234">
        <f t="shared" ref="W26" si="66">EOMONTH(V26,1)</f>
        <v>46630</v>
      </c>
      <c r="X26" s="234">
        <f t="shared" ref="X26" si="67">EOMONTH(W26,1)</f>
        <v>46660</v>
      </c>
      <c r="Y26" s="234">
        <f t="shared" ref="Y26" si="68">EOMONTH(X26,1)</f>
        <v>46691</v>
      </c>
      <c r="Z26" s="234">
        <f t="shared" ref="Z26" si="69">EOMONTH(Y26,1)</f>
        <v>46721</v>
      </c>
      <c r="AA26" s="234">
        <f t="shared" ref="AA26" si="70">EOMONTH(Z26,1)</f>
        <v>46752</v>
      </c>
      <c r="AB26" s="234">
        <f t="shared" ref="AB26" si="71">EOMONTH(AA26,1)</f>
        <v>46783</v>
      </c>
      <c r="AD26" s="93"/>
      <c r="AE26" s="93"/>
      <c r="AF26" s="93"/>
      <c r="AG26" s="93"/>
      <c r="AH26" s="93"/>
      <c r="AI26" s="93"/>
      <c r="AJ26" s="93"/>
      <c r="AK26" s="93"/>
      <c r="AL26" s="93"/>
      <c r="AM26" s="93"/>
      <c r="AN26" s="93"/>
      <c r="AO26" s="93"/>
    </row>
    <row r="27" spans="1:41" s="104" customFormat="1" ht="20.149999999999999" customHeight="1" x14ac:dyDescent="0.25">
      <c r="B27" s="233">
        <v>7</v>
      </c>
      <c r="C27" s="261" t="str">
        <f>IF(B27=0,"",CONCATENATE("Jornadas de ",B27," horas: "))</f>
        <v xml:space="preserve">Jornadas de 7 horas: </v>
      </c>
      <c r="D27" s="235">
        <v>22</v>
      </c>
      <c r="E27" s="235">
        <v>20</v>
      </c>
      <c r="F27" s="235">
        <v>21</v>
      </c>
      <c r="G27" s="235">
        <v>21</v>
      </c>
      <c r="H27" s="235">
        <v>22</v>
      </c>
      <c r="I27" s="235">
        <v>22</v>
      </c>
      <c r="J27" s="235">
        <v>22</v>
      </c>
      <c r="K27" s="235">
        <v>21</v>
      </c>
      <c r="L27" s="235">
        <v>22</v>
      </c>
      <c r="M27" s="235">
        <v>16</v>
      </c>
      <c r="N27" s="235"/>
      <c r="O27" s="235"/>
      <c r="P27" s="235"/>
      <c r="Q27" s="235"/>
      <c r="R27" s="235"/>
      <c r="S27" s="235"/>
      <c r="T27" s="235"/>
      <c r="U27" s="235"/>
      <c r="V27" s="235"/>
      <c r="W27" s="235"/>
      <c r="X27" s="235"/>
      <c r="Y27" s="235"/>
      <c r="Z27" s="235"/>
      <c r="AA27" s="235"/>
      <c r="AB27" s="235"/>
      <c r="AD27" s="93"/>
      <c r="AE27" s="93"/>
      <c r="AF27" s="93"/>
      <c r="AG27" s="93"/>
      <c r="AH27" s="93"/>
      <c r="AI27" s="93"/>
      <c r="AJ27" s="93"/>
      <c r="AK27" s="93"/>
      <c r="AL27" s="93"/>
      <c r="AM27" s="93"/>
      <c r="AN27" s="93"/>
      <c r="AO27" s="93"/>
    </row>
    <row r="28" spans="1:41" s="104" customFormat="1" ht="20.149999999999999" customHeight="1" x14ac:dyDescent="0.25">
      <c r="B28" s="233"/>
      <c r="C28" s="261" t="str">
        <f t="shared" ref="C28:C31" si="72">IF(B28=0,"",CONCATENATE("Jornadas de ",B28," horas: "))</f>
        <v/>
      </c>
      <c r="D28" s="235"/>
      <c r="E28" s="235"/>
      <c r="F28" s="235"/>
      <c r="G28" s="235"/>
      <c r="H28" s="235"/>
      <c r="I28" s="235"/>
      <c r="J28" s="235"/>
      <c r="K28" s="235"/>
      <c r="L28" s="235"/>
      <c r="M28" s="235"/>
      <c r="N28" s="235"/>
      <c r="O28" s="235"/>
      <c r="P28" s="235"/>
      <c r="Q28" s="235"/>
      <c r="R28" s="235"/>
      <c r="S28" s="235"/>
      <c r="T28" s="235"/>
      <c r="U28" s="235"/>
      <c r="V28" s="235"/>
      <c r="W28" s="235"/>
      <c r="X28" s="235"/>
      <c r="Y28" s="235"/>
      <c r="Z28" s="235"/>
      <c r="AA28" s="235"/>
      <c r="AB28" s="235"/>
      <c r="AD28" s="93"/>
      <c r="AE28" s="93"/>
      <c r="AF28" s="93"/>
      <c r="AG28" s="93"/>
      <c r="AH28" s="93"/>
      <c r="AI28" s="93"/>
      <c r="AJ28" s="93"/>
      <c r="AK28" s="93"/>
      <c r="AL28" s="93"/>
      <c r="AM28" s="93"/>
      <c r="AN28" s="93"/>
      <c r="AO28" s="93"/>
    </row>
    <row r="29" spans="1:41" s="104" customFormat="1" ht="20.149999999999999" customHeight="1" x14ac:dyDescent="0.25">
      <c r="B29" s="233"/>
      <c r="C29" s="261" t="str">
        <f t="shared" si="72"/>
        <v/>
      </c>
      <c r="D29" s="235"/>
      <c r="E29" s="235"/>
      <c r="F29" s="235"/>
      <c r="G29" s="235"/>
      <c r="H29" s="235"/>
      <c r="I29" s="235"/>
      <c r="J29" s="235"/>
      <c r="K29" s="235"/>
      <c r="L29" s="235"/>
      <c r="M29" s="235"/>
      <c r="N29" s="235"/>
      <c r="O29" s="235"/>
      <c r="P29" s="235"/>
      <c r="Q29" s="235"/>
      <c r="R29" s="235"/>
      <c r="S29" s="235"/>
      <c r="T29" s="235"/>
      <c r="U29" s="235"/>
      <c r="V29" s="235"/>
      <c r="W29" s="235"/>
      <c r="X29" s="235"/>
      <c r="Y29" s="235"/>
      <c r="Z29" s="235"/>
      <c r="AA29" s="235"/>
      <c r="AB29" s="235"/>
      <c r="AD29" s="93"/>
      <c r="AE29" s="93"/>
      <c r="AF29" s="93"/>
      <c r="AG29" s="93"/>
      <c r="AH29" s="93"/>
      <c r="AI29" s="93"/>
      <c r="AJ29" s="93"/>
      <c r="AK29" s="93"/>
      <c r="AL29" s="93"/>
      <c r="AM29" s="93"/>
      <c r="AN29" s="93"/>
      <c r="AO29" s="93"/>
    </row>
    <row r="30" spans="1:41" s="104" customFormat="1" ht="20.149999999999999" customHeight="1" x14ac:dyDescent="0.25">
      <c r="B30" s="233"/>
      <c r="C30" s="261"/>
      <c r="D30" s="235"/>
      <c r="E30" s="235"/>
      <c r="F30" s="235"/>
      <c r="G30" s="235"/>
      <c r="H30" s="235"/>
      <c r="I30" s="235"/>
      <c r="J30" s="235"/>
      <c r="K30" s="235"/>
      <c r="L30" s="235"/>
      <c r="M30" s="235"/>
      <c r="N30" s="235"/>
      <c r="O30" s="235"/>
      <c r="P30" s="235"/>
      <c r="Q30" s="235"/>
      <c r="R30" s="235"/>
      <c r="S30" s="235"/>
      <c r="T30" s="235"/>
      <c r="U30" s="235"/>
      <c r="V30" s="235"/>
      <c r="W30" s="235"/>
      <c r="X30" s="235"/>
      <c r="Y30" s="235"/>
      <c r="Z30" s="235"/>
      <c r="AA30" s="235"/>
      <c r="AB30" s="235"/>
      <c r="AD30" s="93"/>
      <c r="AE30" s="93"/>
      <c r="AF30" s="93"/>
      <c r="AG30" s="93"/>
      <c r="AH30" s="93"/>
      <c r="AI30" s="93"/>
      <c r="AJ30" s="93"/>
      <c r="AK30" s="93"/>
      <c r="AL30" s="93"/>
      <c r="AM30" s="93"/>
      <c r="AN30" s="93"/>
      <c r="AO30" s="93"/>
    </row>
    <row r="31" spans="1:41" s="104" customFormat="1" ht="20.149999999999999" customHeight="1" x14ac:dyDescent="0.25">
      <c r="B31" s="233"/>
      <c r="C31" s="261" t="str">
        <f t="shared" si="72"/>
        <v/>
      </c>
      <c r="D31" s="235"/>
      <c r="E31" s="235"/>
      <c r="F31" s="235"/>
      <c r="G31" s="235"/>
      <c r="H31" s="235"/>
      <c r="I31" s="235"/>
      <c r="J31" s="235"/>
      <c r="K31" s="235"/>
      <c r="L31" s="235"/>
      <c r="M31" s="235"/>
      <c r="N31" s="235"/>
      <c r="O31" s="235"/>
      <c r="P31" s="235"/>
      <c r="Q31" s="235"/>
      <c r="R31" s="235"/>
      <c r="S31" s="235"/>
      <c r="T31" s="235"/>
      <c r="U31" s="235"/>
      <c r="V31" s="235"/>
      <c r="W31" s="235"/>
      <c r="X31" s="235"/>
      <c r="Y31" s="235"/>
      <c r="Z31" s="235"/>
      <c r="AA31" s="235"/>
      <c r="AB31" s="235"/>
      <c r="AD31" s="93"/>
      <c r="AE31" s="93"/>
      <c r="AF31" s="93"/>
      <c r="AG31" s="93"/>
      <c r="AH31" s="93"/>
      <c r="AI31" s="93"/>
      <c r="AJ31" s="93"/>
      <c r="AK31" s="93"/>
      <c r="AL31" s="93"/>
      <c r="AM31" s="93"/>
      <c r="AN31" s="93"/>
      <c r="AO31" s="93"/>
    </row>
    <row r="32" spans="1:41" s="104" customFormat="1" ht="20.149999999999999" customHeight="1" x14ac:dyDescent="0.25">
      <c r="B32" s="262"/>
      <c r="C32" s="262" t="s">
        <v>268</v>
      </c>
      <c r="D32" s="263">
        <f t="shared" ref="D32:AB32" si="73">SUMPRODUCT(D27:D31,$B$27:$B$31)</f>
        <v>154</v>
      </c>
      <c r="E32" s="263">
        <f t="shared" si="73"/>
        <v>140</v>
      </c>
      <c r="F32" s="263">
        <f t="shared" si="73"/>
        <v>147</v>
      </c>
      <c r="G32" s="263">
        <f t="shared" si="73"/>
        <v>147</v>
      </c>
      <c r="H32" s="263">
        <f t="shared" si="73"/>
        <v>154</v>
      </c>
      <c r="I32" s="263">
        <f t="shared" si="73"/>
        <v>154</v>
      </c>
      <c r="J32" s="263">
        <f t="shared" si="73"/>
        <v>154</v>
      </c>
      <c r="K32" s="263">
        <f t="shared" si="73"/>
        <v>147</v>
      </c>
      <c r="L32" s="263">
        <f t="shared" si="73"/>
        <v>154</v>
      </c>
      <c r="M32" s="263">
        <f t="shared" si="73"/>
        <v>112</v>
      </c>
      <c r="N32" s="263">
        <f t="shared" si="73"/>
        <v>0</v>
      </c>
      <c r="O32" s="263">
        <f t="shared" si="73"/>
        <v>0</v>
      </c>
      <c r="P32" s="263">
        <f t="shared" si="73"/>
        <v>0</v>
      </c>
      <c r="Q32" s="263">
        <f t="shared" si="73"/>
        <v>0</v>
      </c>
      <c r="R32" s="263">
        <f t="shared" si="73"/>
        <v>0</v>
      </c>
      <c r="S32" s="263">
        <f t="shared" si="73"/>
        <v>0</v>
      </c>
      <c r="T32" s="263">
        <f t="shared" si="73"/>
        <v>0</v>
      </c>
      <c r="U32" s="263">
        <f t="shared" si="73"/>
        <v>0</v>
      </c>
      <c r="V32" s="263">
        <f t="shared" si="73"/>
        <v>0</v>
      </c>
      <c r="W32" s="263">
        <f t="shared" si="73"/>
        <v>0</v>
      </c>
      <c r="X32" s="263">
        <f t="shared" si="73"/>
        <v>0</v>
      </c>
      <c r="Y32" s="263">
        <f t="shared" si="73"/>
        <v>0</v>
      </c>
      <c r="Z32" s="263">
        <f t="shared" si="73"/>
        <v>0</v>
      </c>
      <c r="AA32" s="263">
        <f t="shared" si="73"/>
        <v>0</v>
      </c>
      <c r="AB32" s="263">
        <f t="shared" si="73"/>
        <v>0</v>
      </c>
    </row>
    <row r="33" spans="1:41" s="104" customFormat="1" ht="20.149999999999999" customHeight="1" x14ac:dyDescent="0.25">
      <c r="B33" s="182"/>
      <c r="C33" s="182"/>
      <c r="D33" s="182"/>
      <c r="E33" s="182"/>
      <c r="F33" s="182"/>
      <c r="G33" s="182"/>
      <c r="H33" s="182"/>
      <c r="I33" s="182"/>
      <c r="J33" s="182"/>
      <c r="K33" s="182"/>
      <c r="L33" s="182"/>
      <c r="M33" s="182"/>
      <c r="N33" s="182"/>
      <c r="O33" s="182"/>
      <c r="P33" s="182"/>
      <c r="Q33" s="182"/>
      <c r="R33" s="182"/>
      <c r="S33" s="182"/>
      <c r="T33" s="182"/>
      <c r="U33" s="182"/>
      <c r="V33" s="182"/>
      <c r="W33" s="182"/>
      <c r="X33" s="182"/>
      <c r="Y33" s="182"/>
      <c r="Z33" s="182"/>
      <c r="AA33" s="182"/>
      <c r="AB33" s="182"/>
    </row>
    <row r="34" spans="1:41" x14ac:dyDescent="0.25">
      <c r="A34" s="104"/>
      <c r="D34" s="99"/>
      <c r="E34" s="99"/>
      <c r="F34" s="99"/>
      <c r="G34" s="99"/>
      <c r="H34" s="99"/>
      <c r="I34" s="99"/>
      <c r="J34" s="99"/>
      <c r="K34" s="99"/>
      <c r="L34" s="99"/>
      <c r="M34" s="99"/>
    </row>
    <row r="35" spans="1:41" ht="20.149999999999999" customHeight="1" x14ac:dyDescent="0.25">
      <c r="B35" s="334" t="s">
        <v>271</v>
      </c>
      <c r="C35" s="334"/>
      <c r="D35" s="335" t="s">
        <v>265</v>
      </c>
      <c r="E35" s="335"/>
      <c r="F35" s="335"/>
      <c r="G35" s="335"/>
      <c r="H35" s="99"/>
      <c r="I35" s="99"/>
      <c r="J35" s="99"/>
      <c r="K35" s="99"/>
      <c r="L35" s="99"/>
      <c r="M35" s="99"/>
      <c r="N35" s="99"/>
      <c r="O35" s="99"/>
      <c r="P35" s="99"/>
      <c r="Q35" s="99"/>
      <c r="R35" s="99"/>
    </row>
    <row r="36" spans="1:41" s="103" customFormat="1" ht="35.15" customHeight="1" x14ac:dyDescent="0.25">
      <c r="B36" s="291" t="s">
        <v>266</v>
      </c>
      <c r="C36" s="291" t="s">
        <v>267</v>
      </c>
      <c r="D36" s="234">
        <f>'Project Infor'!$C$8</f>
        <v>46023</v>
      </c>
      <c r="E36" s="234">
        <f t="shared" ref="E36" si="74">EOMONTH(D36,1)</f>
        <v>46081</v>
      </c>
      <c r="F36" s="234">
        <f t="shared" ref="F36" si="75">EOMONTH(E36,1)</f>
        <v>46112</v>
      </c>
      <c r="G36" s="234">
        <f t="shared" ref="G36" si="76">EOMONTH(F36,1)</f>
        <v>46142</v>
      </c>
      <c r="H36" s="234">
        <f t="shared" ref="H36" si="77">EOMONTH(G36,1)</f>
        <v>46173</v>
      </c>
      <c r="I36" s="234">
        <f t="shared" ref="I36" si="78">EOMONTH(H36,1)</f>
        <v>46203</v>
      </c>
      <c r="J36" s="234">
        <f t="shared" ref="J36" si="79">EOMONTH(I36,1)</f>
        <v>46234</v>
      </c>
      <c r="K36" s="234">
        <f t="shared" ref="K36" si="80">EOMONTH(J36,1)</f>
        <v>46265</v>
      </c>
      <c r="L36" s="234">
        <f t="shared" ref="L36" si="81">EOMONTH(K36,1)</f>
        <v>46295</v>
      </c>
      <c r="M36" s="234">
        <f t="shared" ref="M36" si="82">EOMONTH(L36,1)</f>
        <v>46326</v>
      </c>
      <c r="N36" s="234">
        <f t="shared" ref="N36" si="83">EOMONTH(M36,1)</f>
        <v>46356</v>
      </c>
      <c r="O36" s="234">
        <f t="shared" ref="O36" si="84">EOMONTH(N36,1)</f>
        <v>46387</v>
      </c>
      <c r="P36" s="234">
        <f t="shared" ref="P36" si="85">EOMONTH(O36,1)</f>
        <v>46418</v>
      </c>
      <c r="Q36" s="234">
        <f t="shared" ref="Q36" si="86">EOMONTH(P36,1)</f>
        <v>46446</v>
      </c>
      <c r="R36" s="234">
        <f t="shared" ref="R36" si="87">EOMONTH(Q36,1)</f>
        <v>46477</v>
      </c>
      <c r="S36" s="234">
        <f t="shared" ref="S36" si="88">EOMONTH(R36,1)</f>
        <v>46507</v>
      </c>
      <c r="T36" s="234">
        <f t="shared" ref="T36" si="89">EOMONTH(S36,1)</f>
        <v>46538</v>
      </c>
      <c r="U36" s="234">
        <f t="shared" ref="U36" si="90">EOMONTH(T36,1)</f>
        <v>46568</v>
      </c>
      <c r="V36" s="234">
        <f t="shared" ref="V36" si="91">EOMONTH(U36,1)</f>
        <v>46599</v>
      </c>
      <c r="W36" s="234">
        <f t="shared" ref="W36" si="92">EOMONTH(V36,1)</f>
        <v>46630</v>
      </c>
      <c r="X36" s="234">
        <f t="shared" ref="X36" si="93">EOMONTH(W36,1)</f>
        <v>46660</v>
      </c>
      <c r="Y36" s="234">
        <f t="shared" ref="Y36" si="94">EOMONTH(X36,1)</f>
        <v>46691</v>
      </c>
      <c r="Z36" s="234">
        <f t="shared" ref="Z36" si="95">EOMONTH(Y36,1)</f>
        <v>46721</v>
      </c>
      <c r="AA36" s="234">
        <f t="shared" ref="AA36" si="96">EOMONTH(Z36,1)</f>
        <v>46752</v>
      </c>
      <c r="AB36" s="234">
        <f t="shared" ref="AB36" si="97">EOMONTH(AA36,1)</f>
        <v>46783</v>
      </c>
      <c r="AD36" s="93"/>
      <c r="AE36" s="93"/>
      <c r="AF36" s="93"/>
      <c r="AG36" s="93"/>
      <c r="AH36" s="93"/>
      <c r="AI36" s="93"/>
      <c r="AJ36" s="93"/>
      <c r="AK36" s="93"/>
      <c r="AL36" s="93"/>
      <c r="AM36" s="93"/>
      <c r="AN36" s="93"/>
      <c r="AO36" s="93"/>
    </row>
    <row r="37" spans="1:41" s="104" customFormat="1" ht="20.149999999999999" customHeight="1" x14ac:dyDescent="0.25">
      <c r="B37" s="233">
        <v>7</v>
      </c>
      <c r="C37" s="261" t="str">
        <f>IF(B37=0,"",CONCATENATE("Jornadas de ",B37," horas: "))</f>
        <v xml:space="preserve">Jornadas de 7 horas: </v>
      </c>
      <c r="D37" s="235">
        <v>22</v>
      </c>
      <c r="E37" s="235">
        <v>20</v>
      </c>
      <c r="F37" s="235"/>
      <c r="G37" s="235"/>
      <c r="H37" s="235"/>
      <c r="I37" s="235"/>
      <c r="J37" s="235"/>
      <c r="K37" s="235"/>
      <c r="L37" s="235"/>
      <c r="M37" s="235"/>
      <c r="N37" s="235"/>
      <c r="O37" s="235"/>
      <c r="P37" s="235"/>
      <c r="Q37" s="235"/>
      <c r="R37" s="235"/>
      <c r="S37" s="235"/>
      <c r="T37" s="235"/>
      <c r="U37" s="235"/>
      <c r="V37" s="235"/>
      <c r="W37" s="235"/>
      <c r="X37" s="235"/>
      <c r="Y37" s="235"/>
      <c r="Z37" s="235"/>
      <c r="AA37" s="235"/>
      <c r="AB37" s="235"/>
      <c r="AD37" s="93"/>
      <c r="AE37" s="93"/>
      <c r="AF37" s="93"/>
      <c r="AG37" s="93"/>
      <c r="AH37" s="93"/>
      <c r="AI37" s="93"/>
      <c r="AJ37" s="93"/>
      <c r="AK37" s="93"/>
      <c r="AL37" s="93"/>
      <c r="AM37" s="93"/>
      <c r="AN37" s="93"/>
      <c r="AO37" s="93"/>
    </row>
    <row r="38" spans="1:41" s="104" customFormat="1" ht="20.149999999999999" customHeight="1" x14ac:dyDescent="0.25">
      <c r="B38" s="233"/>
      <c r="C38" s="261" t="str">
        <f t="shared" ref="C38:C41" si="98">IF(B38=0,"",CONCATENATE("Jornadas de ",B38," horas: "))</f>
        <v/>
      </c>
      <c r="D38" s="235"/>
      <c r="E38" s="235"/>
      <c r="F38" s="235"/>
      <c r="G38" s="235"/>
      <c r="H38" s="235"/>
      <c r="I38" s="235"/>
      <c r="J38" s="235"/>
      <c r="K38" s="235"/>
      <c r="L38" s="235"/>
      <c r="M38" s="235"/>
      <c r="N38" s="235"/>
      <c r="O38" s="235"/>
      <c r="P38" s="235"/>
      <c r="Q38" s="235"/>
      <c r="R38" s="235"/>
      <c r="S38" s="235"/>
      <c r="T38" s="235"/>
      <c r="U38" s="235"/>
      <c r="V38" s="235"/>
      <c r="W38" s="235"/>
      <c r="X38" s="235"/>
      <c r="Y38" s="235"/>
      <c r="Z38" s="235"/>
      <c r="AA38" s="235"/>
      <c r="AB38" s="235"/>
      <c r="AD38" s="93"/>
      <c r="AE38" s="93"/>
      <c r="AF38" s="93"/>
      <c r="AG38" s="93"/>
      <c r="AH38" s="93"/>
      <c r="AI38" s="93"/>
      <c r="AJ38" s="93"/>
      <c r="AK38" s="93"/>
      <c r="AL38" s="93"/>
      <c r="AM38" s="93"/>
      <c r="AN38" s="93"/>
      <c r="AO38" s="93"/>
    </row>
    <row r="39" spans="1:41" s="104" customFormat="1" ht="20.149999999999999" customHeight="1" x14ac:dyDescent="0.25">
      <c r="B39" s="233"/>
      <c r="C39" s="261" t="str">
        <f t="shared" si="98"/>
        <v/>
      </c>
      <c r="D39" s="235"/>
      <c r="E39" s="235"/>
      <c r="F39" s="235"/>
      <c r="G39" s="235"/>
      <c r="H39" s="235"/>
      <c r="I39" s="235"/>
      <c r="J39" s="235"/>
      <c r="K39" s="235"/>
      <c r="L39" s="235"/>
      <c r="M39" s="235"/>
      <c r="N39" s="235"/>
      <c r="O39" s="235"/>
      <c r="P39" s="235"/>
      <c r="Q39" s="235"/>
      <c r="R39" s="235"/>
      <c r="S39" s="235"/>
      <c r="T39" s="235"/>
      <c r="U39" s="235"/>
      <c r="V39" s="235"/>
      <c r="W39" s="235"/>
      <c r="X39" s="235"/>
      <c r="Y39" s="235"/>
      <c r="Z39" s="235"/>
      <c r="AA39" s="235"/>
      <c r="AB39" s="235"/>
      <c r="AD39" s="93"/>
      <c r="AE39" s="93"/>
      <c r="AF39" s="93"/>
      <c r="AG39" s="93"/>
      <c r="AH39" s="93"/>
      <c r="AI39" s="93"/>
      <c r="AJ39" s="93"/>
      <c r="AK39" s="93"/>
      <c r="AL39" s="93"/>
      <c r="AM39" s="93"/>
      <c r="AN39" s="93"/>
      <c r="AO39" s="93"/>
    </row>
    <row r="40" spans="1:41" s="104" customFormat="1" ht="20.149999999999999" customHeight="1" x14ac:dyDescent="0.25">
      <c r="B40" s="233"/>
      <c r="C40" s="261"/>
      <c r="D40" s="235"/>
      <c r="E40" s="235"/>
      <c r="F40" s="235"/>
      <c r="G40" s="235"/>
      <c r="H40" s="235"/>
      <c r="I40" s="235"/>
      <c r="J40" s="235"/>
      <c r="K40" s="235"/>
      <c r="L40" s="235"/>
      <c r="M40" s="235"/>
      <c r="N40" s="235"/>
      <c r="O40" s="235"/>
      <c r="P40" s="235"/>
      <c r="Q40" s="235"/>
      <c r="R40" s="235"/>
      <c r="S40" s="235"/>
      <c r="T40" s="235"/>
      <c r="U40" s="235"/>
      <c r="V40" s="235"/>
      <c r="W40" s="235"/>
      <c r="X40" s="235"/>
      <c r="Y40" s="235"/>
      <c r="Z40" s="235"/>
      <c r="AA40" s="235"/>
      <c r="AB40" s="235"/>
      <c r="AD40" s="93"/>
      <c r="AE40" s="93"/>
      <c r="AF40" s="93"/>
      <c r="AG40" s="93"/>
      <c r="AH40" s="93"/>
      <c r="AI40" s="93"/>
      <c r="AJ40" s="93"/>
      <c r="AK40" s="93"/>
      <c r="AL40" s="93"/>
      <c r="AM40" s="93"/>
      <c r="AN40" s="93"/>
      <c r="AO40" s="93"/>
    </row>
    <row r="41" spans="1:41" s="104" customFormat="1" ht="20.149999999999999" customHeight="1" x14ac:dyDescent="0.25">
      <c r="B41" s="232"/>
      <c r="C41" s="264" t="str">
        <f t="shared" si="98"/>
        <v/>
      </c>
      <c r="D41" s="260"/>
      <c r="E41" s="260"/>
      <c r="F41" s="260"/>
      <c r="G41" s="260"/>
      <c r="H41" s="260"/>
      <c r="I41" s="260"/>
      <c r="J41" s="260"/>
      <c r="K41" s="260"/>
      <c r="L41" s="260"/>
      <c r="M41" s="260"/>
      <c r="N41" s="260"/>
      <c r="O41" s="260"/>
      <c r="P41" s="260"/>
      <c r="Q41" s="260"/>
      <c r="R41" s="260"/>
      <c r="S41" s="260"/>
      <c r="T41" s="260"/>
      <c r="U41" s="260"/>
      <c r="V41" s="260"/>
      <c r="W41" s="260"/>
      <c r="X41" s="260"/>
      <c r="Y41" s="260"/>
      <c r="Z41" s="260"/>
      <c r="AA41" s="260"/>
      <c r="AB41" s="260"/>
      <c r="AD41" s="93"/>
      <c r="AE41" s="93"/>
      <c r="AF41" s="93"/>
      <c r="AG41" s="93"/>
      <c r="AH41" s="93"/>
      <c r="AI41" s="93"/>
      <c r="AJ41" s="93"/>
      <c r="AK41" s="93"/>
      <c r="AL41" s="93"/>
      <c r="AM41" s="93"/>
      <c r="AN41" s="93"/>
      <c r="AO41" s="93"/>
    </row>
    <row r="42" spans="1:41" s="104" customFormat="1" ht="20.149999999999999" customHeight="1" x14ac:dyDescent="0.25">
      <c r="B42" s="262"/>
      <c r="C42" s="262" t="s">
        <v>268</v>
      </c>
      <c r="D42" s="263">
        <f t="shared" ref="D42:AB42" si="99">SUMPRODUCT(D37:D41,$B$37:$B$41)</f>
        <v>154</v>
      </c>
      <c r="E42" s="263">
        <f t="shared" si="99"/>
        <v>140</v>
      </c>
      <c r="F42" s="263">
        <f t="shared" si="99"/>
        <v>0</v>
      </c>
      <c r="G42" s="263">
        <f t="shared" si="99"/>
        <v>0</v>
      </c>
      <c r="H42" s="263">
        <f t="shared" si="99"/>
        <v>0</v>
      </c>
      <c r="I42" s="263">
        <f t="shared" si="99"/>
        <v>0</v>
      </c>
      <c r="J42" s="263">
        <f t="shared" si="99"/>
        <v>0</v>
      </c>
      <c r="K42" s="263">
        <f t="shared" si="99"/>
        <v>0</v>
      </c>
      <c r="L42" s="263">
        <f t="shared" si="99"/>
        <v>0</v>
      </c>
      <c r="M42" s="263">
        <f t="shared" si="99"/>
        <v>0</v>
      </c>
      <c r="N42" s="263">
        <f t="shared" si="99"/>
        <v>0</v>
      </c>
      <c r="O42" s="263">
        <f t="shared" si="99"/>
        <v>0</v>
      </c>
      <c r="P42" s="263">
        <f t="shared" si="99"/>
        <v>0</v>
      </c>
      <c r="Q42" s="263">
        <f t="shared" si="99"/>
        <v>0</v>
      </c>
      <c r="R42" s="263">
        <f t="shared" si="99"/>
        <v>0</v>
      </c>
      <c r="S42" s="263">
        <f t="shared" si="99"/>
        <v>0</v>
      </c>
      <c r="T42" s="263">
        <f t="shared" si="99"/>
        <v>0</v>
      </c>
      <c r="U42" s="263">
        <f t="shared" si="99"/>
        <v>0</v>
      </c>
      <c r="V42" s="263">
        <f t="shared" si="99"/>
        <v>0</v>
      </c>
      <c r="W42" s="263">
        <f t="shared" si="99"/>
        <v>0</v>
      </c>
      <c r="X42" s="263">
        <f t="shared" si="99"/>
        <v>0</v>
      </c>
      <c r="Y42" s="263">
        <f t="shared" si="99"/>
        <v>0</v>
      </c>
      <c r="Z42" s="263">
        <f t="shared" si="99"/>
        <v>0</v>
      </c>
      <c r="AA42" s="263">
        <f t="shared" si="99"/>
        <v>0</v>
      </c>
      <c r="AB42" s="263">
        <f t="shared" si="99"/>
        <v>0</v>
      </c>
    </row>
    <row r="43" spans="1:41" s="104" customFormat="1" ht="20.149999999999999" customHeight="1" x14ac:dyDescent="0.25">
      <c r="B43" s="182"/>
      <c r="C43" s="182"/>
      <c r="D43" s="182"/>
      <c r="E43" s="182"/>
      <c r="F43" s="182"/>
      <c r="G43" s="182"/>
      <c r="H43" s="182"/>
      <c r="I43" s="182"/>
      <c r="J43" s="182"/>
      <c r="K43" s="182"/>
      <c r="L43" s="182"/>
      <c r="M43" s="182"/>
      <c r="N43" s="182"/>
      <c r="O43" s="182"/>
      <c r="P43" s="182"/>
      <c r="Q43" s="182"/>
      <c r="R43" s="182"/>
      <c r="S43" s="182"/>
      <c r="T43" s="182"/>
      <c r="U43" s="182"/>
      <c r="V43" s="182"/>
      <c r="W43" s="182"/>
      <c r="X43" s="182"/>
      <c r="Y43" s="182"/>
      <c r="Z43" s="182"/>
      <c r="AA43" s="182"/>
      <c r="AB43" s="182"/>
    </row>
    <row r="44" spans="1:41" x14ac:dyDescent="0.25">
      <c r="A44" s="104"/>
      <c r="D44" s="99"/>
      <c r="E44" s="99"/>
      <c r="F44" s="99"/>
      <c r="G44" s="99"/>
      <c r="H44" s="99"/>
      <c r="I44" s="99"/>
      <c r="J44" s="99"/>
      <c r="K44" s="99"/>
      <c r="L44" s="99"/>
      <c r="M44" s="99"/>
    </row>
    <row r="45" spans="1:41" ht="20.149999999999999" customHeight="1" x14ac:dyDescent="0.25">
      <c r="B45" s="334" t="s">
        <v>272</v>
      </c>
      <c r="C45" s="334"/>
      <c r="D45" s="335" t="s">
        <v>265</v>
      </c>
      <c r="E45" s="335"/>
      <c r="F45" s="335"/>
      <c r="G45" s="335"/>
      <c r="H45" s="99"/>
      <c r="I45" s="99"/>
      <c r="J45" s="99"/>
      <c r="K45" s="99"/>
      <c r="L45" s="99"/>
      <c r="M45" s="99"/>
      <c r="N45" s="99"/>
      <c r="O45" s="99"/>
      <c r="P45" s="99"/>
      <c r="Q45" s="99"/>
      <c r="R45" s="99"/>
    </row>
    <row r="46" spans="1:41" s="103" customFormat="1" ht="35.15" customHeight="1" x14ac:dyDescent="0.25">
      <c r="B46" s="291" t="s">
        <v>266</v>
      </c>
      <c r="C46" s="291" t="s">
        <v>267</v>
      </c>
      <c r="D46" s="234">
        <f>'Project Infor'!$C$8</f>
        <v>46023</v>
      </c>
      <c r="E46" s="234">
        <f t="shared" ref="E46" si="100">EOMONTH(D46,1)</f>
        <v>46081</v>
      </c>
      <c r="F46" s="234">
        <f t="shared" ref="F46" si="101">EOMONTH(E46,1)</f>
        <v>46112</v>
      </c>
      <c r="G46" s="234">
        <f t="shared" ref="G46" si="102">EOMONTH(F46,1)</f>
        <v>46142</v>
      </c>
      <c r="H46" s="234">
        <f t="shared" ref="H46" si="103">EOMONTH(G46,1)</f>
        <v>46173</v>
      </c>
      <c r="I46" s="234">
        <f t="shared" ref="I46" si="104">EOMONTH(H46,1)</f>
        <v>46203</v>
      </c>
      <c r="J46" s="234">
        <f t="shared" ref="J46" si="105">EOMONTH(I46,1)</f>
        <v>46234</v>
      </c>
      <c r="K46" s="234">
        <f t="shared" ref="K46" si="106">EOMONTH(J46,1)</f>
        <v>46265</v>
      </c>
      <c r="L46" s="234">
        <f t="shared" ref="L46" si="107">EOMONTH(K46,1)</f>
        <v>46295</v>
      </c>
      <c r="M46" s="234">
        <f t="shared" ref="M46" si="108">EOMONTH(L46,1)</f>
        <v>46326</v>
      </c>
      <c r="N46" s="234">
        <f t="shared" ref="N46" si="109">EOMONTH(M46,1)</f>
        <v>46356</v>
      </c>
      <c r="O46" s="234">
        <f t="shared" ref="O46" si="110">EOMONTH(N46,1)</f>
        <v>46387</v>
      </c>
      <c r="P46" s="234">
        <f t="shared" ref="P46" si="111">EOMONTH(O46,1)</f>
        <v>46418</v>
      </c>
      <c r="Q46" s="234">
        <f t="shared" ref="Q46" si="112">EOMONTH(P46,1)</f>
        <v>46446</v>
      </c>
      <c r="R46" s="234">
        <f t="shared" ref="R46" si="113">EOMONTH(Q46,1)</f>
        <v>46477</v>
      </c>
      <c r="S46" s="234">
        <f t="shared" ref="S46" si="114">EOMONTH(R46,1)</f>
        <v>46507</v>
      </c>
      <c r="T46" s="234">
        <f t="shared" ref="T46" si="115">EOMONTH(S46,1)</f>
        <v>46538</v>
      </c>
      <c r="U46" s="234">
        <f t="shared" ref="U46" si="116">EOMONTH(T46,1)</f>
        <v>46568</v>
      </c>
      <c r="V46" s="234">
        <f t="shared" ref="V46" si="117">EOMONTH(U46,1)</f>
        <v>46599</v>
      </c>
      <c r="W46" s="234">
        <f t="shared" ref="W46" si="118">EOMONTH(V46,1)</f>
        <v>46630</v>
      </c>
      <c r="X46" s="234">
        <f t="shared" ref="X46" si="119">EOMONTH(W46,1)</f>
        <v>46660</v>
      </c>
      <c r="Y46" s="234">
        <f t="shared" ref="Y46" si="120">EOMONTH(X46,1)</f>
        <v>46691</v>
      </c>
      <c r="Z46" s="234">
        <f t="shared" ref="Z46" si="121">EOMONTH(Y46,1)</f>
        <v>46721</v>
      </c>
      <c r="AA46" s="234">
        <f t="shared" ref="AA46" si="122">EOMONTH(Z46,1)</f>
        <v>46752</v>
      </c>
      <c r="AB46" s="234">
        <f t="shared" ref="AB46" si="123">EOMONTH(AA46,1)</f>
        <v>46783</v>
      </c>
      <c r="AD46" s="93"/>
      <c r="AE46" s="93"/>
      <c r="AF46" s="93"/>
      <c r="AG46" s="93"/>
      <c r="AH46" s="93"/>
      <c r="AI46" s="93"/>
      <c r="AJ46" s="93"/>
      <c r="AK46" s="93"/>
      <c r="AL46" s="93"/>
      <c r="AM46" s="93"/>
      <c r="AN46" s="93"/>
      <c r="AO46" s="93"/>
    </row>
    <row r="47" spans="1:41" s="104" customFormat="1" ht="20.149999999999999" customHeight="1" x14ac:dyDescent="0.25">
      <c r="B47" s="233">
        <v>7</v>
      </c>
      <c r="C47" s="261" t="str">
        <f>IF(B47=0,"",CONCATENATE("Jornadas de ",B47," horas: "))</f>
        <v xml:space="preserve">Jornadas de 7 horas: </v>
      </c>
      <c r="D47" s="235">
        <v>22</v>
      </c>
      <c r="E47" s="235">
        <v>20</v>
      </c>
      <c r="F47" s="235"/>
      <c r="G47" s="235"/>
      <c r="H47" s="235"/>
      <c r="I47" s="235"/>
      <c r="J47" s="235"/>
      <c r="K47" s="235"/>
      <c r="L47" s="235"/>
      <c r="M47" s="235"/>
      <c r="N47" s="235"/>
      <c r="O47" s="235"/>
      <c r="P47" s="235"/>
      <c r="Q47" s="235"/>
      <c r="R47" s="235"/>
      <c r="S47" s="235"/>
      <c r="T47" s="235"/>
      <c r="U47" s="235"/>
      <c r="V47" s="235"/>
      <c r="W47" s="235"/>
      <c r="X47" s="235"/>
      <c r="Y47" s="235"/>
      <c r="Z47" s="235"/>
      <c r="AA47" s="235"/>
      <c r="AB47" s="235"/>
      <c r="AD47" s="93"/>
      <c r="AE47" s="93"/>
      <c r="AF47" s="93"/>
      <c r="AG47" s="93"/>
      <c r="AH47" s="93"/>
      <c r="AI47" s="93"/>
      <c r="AJ47" s="93"/>
      <c r="AK47" s="93"/>
      <c r="AL47" s="93"/>
      <c r="AM47" s="93"/>
      <c r="AN47" s="93"/>
      <c r="AO47" s="93"/>
    </row>
    <row r="48" spans="1:41" s="104" customFormat="1" ht="20.149999999999999" customHeight="1" x14ac:dyDescent="0.25">
      <c r="B48" s="233"/>
      <c r="C48" s="261" t="str">
        <f t="shared" ref="C48:C51" si="124">IF(B48=0,"",CONCATENATE("Jornadas de ",B48," horas: "))</f>
        <v/>
      </c>
      <c r="D48" s="235"/>
      <c r="E48" s="235"/>
      <c r="F48" s="235"/>
      <c r="G48" s="235"/>
      <c r="H48" s="235"/>
      <c r="I48" s="235"/>
      <c r="J48" s="235"/>
      <c r="K48" s="235"/>
      <c r="L48" s="235"/>
      <c r="M48" s="235"/>
      <c r="N48" s="235"/>
      <c r="O48" s="235"/>
      <c r="P48" s="235"/>
      <c r="Q48" s="235"/>
      <c r="R48" s="235"/>
      <c r="S48" s="235"/>
      <c r="T48" s="235"/>
      <c r="U48" s="235"/>
      <c r="V48" s="235"/>
      <c r="W48" s="235"/>
      <c r="X48" s="235"/>
      <c r="Y48" s="235"/>
      <c r="Z48" s="235"/>
      <c r="AA48" s="235"/>
      <c r="AB48" s="235"/>
      <c r="AD48" s="93"/>
      <c r="AE48" s="93"/>
      <c r="AF48" s="93"/>
      <c r="AG48" s="93"/>
      <c r="AH48" s="93"/>
      <c r="AI48" s="93"/>
      <c r="AJ48" s="93"/>
      <c r="AK48" s="93"/>
      <c r="AL48" s="93"/>
      <c r="AM48" s="93"/>
      <c r="AN48" s="93"/>
      <c r="AO48" s="93"/>
    </row>
    <row r="49" spans="1:41" s="104" customFormat="1" ht="20.149999999999999" customHeight="1" x14ac:dyDescent="0.25">
      <c r="B49" s="233"/>
      <c r="C49" s="261" t="str">
        <f t="shared" si="124"/>
        <v/>
      </c>
      <c r="D49" s="235"/>
      <c r="E49" s="235"/>
      <c r="F49" s="235"/>
      <c r="G49" s="235"/>
      <c r="H49" s="235"/>
      <c r="I49" s="235"/>
      <c r="J49" s="235"/>
      <c r="K49" s="235"/>
      <c r="L49" s="235"/>
      <c r="M49" s="235"/>
      <c r="N49" s="235"/>
      <c r="O49" s="235"/>
      <c r="P49" s="235"/>
      <c r="Q49" s="235"/>
      <c r="R49" s="235"/>
      <c r="S49" s="235"/>
      <c r="T49" s="235"/>
      <c r="U49" s="235"/>
      <c r="V49" s="235"/>
      <c r="W49" s="235"/>
      <c r="X49" s="235"/>
      <c r="Y49" s="235"/>
      <c r="Z49" s="235"/>
      <c r="AA49" s="235"/>
      <c r="AB49" s="235"/>
      <c r="AD49" s="93"/>
      <c r="AE49" s="93"/>
      <c r="AF49" s="93"/>
      <c r="AG49" s="93"/>
      <c r="AH49" s="93"/>
      <c r="AI49" s="93"/>
      <c r="AJ49" s="93"/>
      <c r="AK49" s="93"/>
      <c r="AL49" s="93"/>
      <c r="AM49" s="93"/>
      <c r="AN49" s="93"/>
      <c r="AO49" s="93"/>
    </row>
    <row r="50" spans="1:41" s="104" customFormat="1" ht="20.149999999999999" customHeight="1" x14ac:dyDescent="0.25">
      <c r="B50" s="233"/>
      <c r="C50" s="261"/>
      <c r="D50" s="235"/>
      <c r="E50" s="235"/>
      <c r="F50" s="235"/>
      <c r="G50" s="235"/>
      <c r="H50" s="235"/>
      <c r="I50" s="235"/>
      <c r="J50" s="235"/>
      <c r="K50" s="235"/>
      <c r="L50" s="235"/>
      <c r="M50" s="235"/>
      <c r="N50" s="235"/>
      <c r="O50" s="235"/>
      <c r="P50" s="235"/>
      <c r="Q50" s="235"/>
      <c r="R50" s="235"/>
      <c r="S50" s="235"/>
      <c r="T50" s="235"/>
      <c r="U50" s="235"/>
      <c r="V50" s="235"/>
      <c r="W50" s="235"/>
      <c r="X50" s="235"/>
      <c r="Y50" s="235"/>
      <c r="Z50" s="235"/>
      <c r="AA50" s="235"/>
      <c r="AB50" s="235"/>
      <c r="AD50" s="93"/>
      <c r="AE50" s="93"/>
      <c r="AF50" s="93"/>
      <c r="AG50" s="93"/>
      <c r="AH50" s="93"/>
      <c r="AI50" s="93"/>
      <c r="AJ50" s="93"/>
      <c r="AK50" s="93"/>
      <c r="AL50" s="93"/>
      <c r="AM50" s="93"/>
      <c r="AN50" s="93"/>
      <c r="AO50" s="93"/>
    </row>
    <row r="51" spans="1:41" s="104" customFormat="1" ht="20.149999999999999" customHeight="1" x14ac:dyDescent="0.25">
      <c r="B51" s="233"/>
      <c r="C51" s="261" t="str">
        <f t="shared" si="124"/>
        <v/>
      </c>
      <c r="D51" s="235"/>
      <c r="E51" s="235"/>
      <c r="F51" s="235"/>
      <c r="G51" s="235"/>
      <c r="H51" s="235"/>
      <c r="I51" s="235"/>
      <c r="J51" s="235"/>
      <c r="K51" s="235"/>
      <c r="L51" s="235"/>
      <c r="M51" s="235"/>
      <c r="N51" s="235"/>
      <c r="O51" s="235"/>
      <c r="P51" s="235"/>
      <c r="Q51" s="235"/>
      <c r="R51" s="235"/>
      <c r="S51" s="235"/>
      <c r="T51" s="235"/>
      <c r="U51" s="235"/>
      <c r="V51" s="235"/>
      <c r="W51" s="235"/>
      <c r="X51" s="235"/>
      <c r="Y51" s="235"/>
      <c r="Z51" s="235"/>
      <c r="AA51" s="235"/>
      <c r="AB51" s="235"/>
      <c r="AD51" s="93"/>
      <c r="AE51" s="93"/>
      <c r="AF51" s="93"/>
      <c r="AG51" s="93"/>
      <c r="AH51" s="93"/>
      <c r="AI51" s="93"/>
      <c r="AJ51" s="93"/>
      <c r="AK51" s="93"/>
      <c r="AL51" s="93"/>
      <c r="AM51" s="93"/>
      <c r="AN51" s="93"/>
      <c r="AO51" s="93"/>
    </row>
    <row r="52" spans="1:41" s="104" customFormat="1" ht="20.149999999999999" customHeight="1" x14ac:dyDescent="0.25">
      <c r="B52" s="262"/>
      <c r="C52" s="262" t="s">
        <v>268</v>
      </c>
      <c r="D52" s="263">
        <f>SUMPRODUCT(D47:D51,$B$47:$B$51)</f>
        <v>154</v>
      </c>
      <c r="E52" s="263">
        <f t="shared" ref="E52:AB52" si="125">SUMPRODUCT(E47:E51,$B$47:$B$51)</f>
        <v>140</v>
      </c>
      <c r="F52" s="263">
        <f t="shared" si="125"/>
        <v>0</v>
      </c>
      <c r="G52" s="263">
        <f t="shared" si="125"/>
        <v>0</v>
      </c>
      <c r="H52" s="263">
        <f t="shared" si="125"/>
        <v>0</v>
      </c>
      <c r="I52" s="263">
        <f t="shared" si="125"/>
        <v>0</v>
      </c>
      <c r="J52" s="263">
        <f t="shared" si="125"/>
        <v>0</v>
      </c>
      <c r="K52" s="263">
        <f t="shared" si="125"/>
        <v>0</v>
      </c>
      <c r="L52" s="263">
        <f t="shared" si="125"/>
        <v>0</v>
      </c>
      <c r="M52" s="263">
        <f>SUMPRODUCT(M47:M51,$B$47:$B$51)</f>
        <v>0</v>
      </c>
      <c r="N52" s="263">
        <f t="shared" si="125"/>
        <v>0</v>
      </c>
      <c r="O52" s="263">
        <f t="shared" si="125"/>
        <v>0</v>
      </c>
      <c r="P52" s="263">
        <f t="shared" si="125"/>
        <v>0</v>
      </c>
      <c r="Q52" s="263">
        <f t="shared" si="125"/>
        <v>0</v>
      </c>
      <c r="R52" s="263">
        <f t="shared" si="125"/>
        <v>0</v>
      </c>
      <c r="S52" s="263">
        <f>SUMPRODUCT(S47:S51,$B$47:$B$51)</f>
        <v>0</v>
      </c>
      <c r="T52" s="263">
        <f t="shared" si="125"/>
        <v>0</v>
      </c>
      <c r="U52" s="263">
        <f>SUMPRODUCT(U47:U51,$B$47:$B$51)</f>
        <v>0</v>
      </c>
      <c r="V52" s="263">
        <f t="shared" si="125"/>
        <v>0</v>
      </c>
      <c r="W52" s="263">
        <f t="shared" si="125"/>
        <v>0</v>
      </c>
      <c r="X52" s="263">
        <f t="shared" si="125"/>
        <v>0</v>
      </c>
      <c r="Y52" s="263">
        <f t="shared" si="125"/>
        <v>0</v>
      </c>
      <c r="Z52" s="263">
        <f t="shared" si="125"/>
        <v>0</v>
      </c>
      <c r="AA52" s="263">
        <f>SUMPRODUCT(AA47:AA51,$B$47:$B$51)</f>
        <v>0</v>
      </c>
      <c r="AB52" s="263">
        <f t="shared" si="125"/>
        <v>0</v>
      </c>
    </row>
    <row r="53" spans="1:41" s="104" customFormat="1" ht="20.149999999999999" customHeight="1" x14ac:dyDescent="0.25">
      <c r="B53" s="182"/>
      <c r="C53" s="182"/>
      <c r="D53" s="182"/>
      <c r="E53" s="182"/>
      <c r="F53" s="182"/>
      <c r="G53" s="182"/>
      <c r="H53" s="182"/>
      <c r="I53" s="182"/>
      <c r="J53" s="182"/>
      <c r="K53" s="182"/>
      <c r="L53" s="182"/>
      <c r="M53" s="182"/>
      <c r="N53" s="182"/>
      <c r="O53" s="182"/>
      <c r="P53" s="182"/>
      <c r="Q53" s="182"/>
      <c r="R53" s="182"/>
      <c r="S53" s="182"/>
      <c r="T53" s="182"/>
      <c r="U53" s="182"/>
      <c r="V53" s="182"/>
      <c r="W53" s="182"/>
      <c r="X53" s="182"/>
      <c r="Y53" s="182"/>
      <c r="Z53" s="182"/>
      <c r="AA53" s="182"/>
      <c r="AB53" s="182"/>
    </row>
    <row r="54" spans="1:41" x14ac:dyDescent="0.25">
      <c r="A54" s="104"/>
      <c r="D54" s="99"/>
      <c r="E54" s="99"/>
      <c r="F54" s="99"/>
      <c r="G54" s="99"/>
      <c r="H54" s="99"/>
      <c r="I54" s="99"/>
      <c r="J54" s="99"/>
      <c r="K54" s="99"/>
      <c r="L54" s="99"/>
      <c r="M54" s="99"/>
    </row>
    <row r="55" spans="1:41" ht="20.149999999999999" customHeight="1" x14ac:dyDescent="0.25">
      <c r="B55" s="334" t="s">
        <v>273</v>
      </c>
      <c r="C55" s="334"/>
      <c r="D55" s="335" t="s">
        <v>265</v>
      </c>
      <c r="E55" s="335"/>
      <c r="F55" s="335"/>
      <c r="G55" s="335"/>
      <c r="H55" s="99"/>
      <c r="I55" s="99"/>
      <c r="J55" s="99"/>
      <c r="K55" s="99"/>
      <c r="L55" s="99"/>
      <c r="M55" s="99"/>
      <c r="N55" s="99"/>
      <c r="O55" s="99"/>
      <c r="P55" s="99"/>
      <c r="Q55" s="99"/>
      <c r="R55" s="99"/>
    </row>
    <row r="56" spans="1:41" s="103" customFormat="1" ht="35.15" customHeight="1" x14ac:dyDescent="0.25">
      <c r="B56" s="291" t="s">
        <v>266</v>
      </c>
      <c r="C56" s="291" t="s">
        <v>267</v>
      </c>
      <c r="D56" s="234">
        <f>'Project Infor'!$C$8</f>
        <v>46023</v>
      </c>
      <c r="E56" s="234">
        <f t="shared" ref="E56" si="126">EOMONTH(D56,1)</f>
        <v>46081</v>
      </c>
      <c r="F56" s="234">
        <f t="shared" ref="F56" si="127">EOMONTH(E56,1)</f>
        <v>46112</v>
      </c>
      <c r="G56" s="234">
        <f t="shared" ref="G56" si="128">EOMONTH(F56,1)</f>
        <v>46142</v>
      </c>
      <c r="H56" s="234">
        <f t="shared" ref="H56" si="129">EOMONTH(G56,1)</f>
        <v>46173</v>
      </c>
      <c r="I56" s="234">
        <f t="shared" ref="I56" si="130">EOMONTH(H56,1)</f>
        <v>46203</v>
      </c>
      <c r="J56" s="234">
        <f t="shared" ref="J56" si="131">EOMONTH(I56,1)</f>
        <v>46234</v>
      </c>
      <c r="K56" s="234">
        <f t="shared" ref="K56" si="132">EOMONTH(J56,1)</f>
        <v>46265</v>
      </c>
      <c r="L56" s="234">
        <f t="shared" ref="L56" si="133">EOMONTH(K56,1)</f>
        <v>46295</v>
      </c>
      <c r="M56" s="234">
        <f t="shared" ref="M56" si="134">EOMONTH(L56,1)</f>
        <v>46326</v>
      </c>
      <c r="N56" s="234">
        <f t="shared" ref="N56" si="135">EOMONTH(M56,1)</f>
        <v>46356</v>
      </c>
      <c r="O56" s="234">
        <f t="shared" ref="O56" si="136">EOMONTH(N56,1)</f>
        <v>46387</v>
      </c>
      <c r="P56" s="234">
        <f t="shared" ref="P56" si="137">EOMONTH(O56,1)</f>
        <v>46418</v>
      </c>
      <c r="Q56" s="234">
        <f t="shared" ref="Q56" si="138">EOMONTH(P56,1)</f>
        <v>46446</v>
      </c>
      <c r="R56" s="234">
        <f t="shared" ref="R56" si="139">EOMONTH(Q56,1)</f>
        <v>46477</v>
      </c>
      <c r="S56" s="234">
        <f t="shared" ref="S56" si="140">EOMONTH(R56,1)</f>
        <v>46507</v>
      </c>
      <c r="T56" s="234">
        <f t="shared" ref="T56" si="141">EOMONTH(S56,1)</f>
        <v>46538</v>
      </c>
      <c r="U56" s="234">
        <f t="shared" ref="U56" si="142">EOMONTH(T56,1)</f>
        <v>46568</v>
      </c>
      <c r="V56" s="234">
        <f t="shared" ref="V56" si="143">EOMONTH(U56,1)</f>
        <v>46599</v>
      </c>
      <c r="W56" s="234">
        <f t="shared" ref="W56" si="144">EOMONTH(V56,1)</f>
        <v>46630</v>
      </c>
      <c r="X56" s="234">
        <f t="shared" ref="X56" si="145">EOMONTH(W56,1)</f>
        <v>46660</v>
      </c>
      <c r="Y56" s="234">
        <f t="shared" ref="Y56" si="146">EOMONTH(X56,1)</f>
        <v>46691</v>
      </c>
      <c r="Z56" s="234">
        <f t="shared" ref="Z56" si="147">EOMONTH(Y56,1)</f>
        <v>46721</v>
      </c>
      <c r="AA56" s="234">
        <f t="shared" ref="AA56" si="148">EOMONTH(Z56,1)</f>
        <v>46752</v>
      </c>
      <c r="AB56" s="234">
        <f t="shared" ref="AB56" si="149">EOMONTH(AA56,1)</f>
        <v>46783</v>
      </c>
      <c r="AD56" s="93"/>
      <c r="AE56" s="93"/>
      <c r="AF56" s="93"/>
      <c r="AG56" s="93"/>
      <c r="AH56" s="93"/>
      <c r="AI56" s="93"/>
      <c r="AJ56" s="93"/>
      <c r="AK56" s="93"/>
      <c r="AL56" s="93"/>
      <c r="AM56" s="93"/>
      <c r="AN56" s="93"/>
      <c r="AO56" s="93"/>
    </row>
    <row r="57" spans="1:41" s="104" customFormat="1" ht="20.149999999999999" customHeight="1" x14ac:dyDescent="0.25">
      <c r="B57" s="233"/>
      <c r="C57" s="261"/>
      <c r="D57" s="235"/>
      <c r="E57" s="235"/>
      <c r="F57" s="235"/>
      <c r="G57" s="235"/>
      <c r="H57" s="235"/>
      <c r="I57" s="235"/>
      <c r="J57" s="235"/>
      <c r="K57" s="235"/>
      <c r="L57" s="235"/>
      <c r="M57" s="235"/>
      <c r="N57" s="235"/>
      <c r="O57" s="235"/>
      <c r="P57" s="235"/>
      <c r="Q57" s="235"/>
      <c r="R57" s="235"/>
      <c r="S57" s="235"/>
      <c r="T57" s="235"/>
      <c r="U57" s="235"/>
      <c r="V57" s="235"/>
      <c r="W57" s="235"/>
      <c r="X57" s="235"/>
      <c r="Y57" s="235"/>
      <c r="Z57" s="235"/>
      <c r="AA57" s="235"/>
      <c r="AB57" s="235"/>
      <c r="AD57" s="93"/>
      <c r="AE57" s="93"/>
      <c r="AF57" s="93"/>
      <c r="AG57" s="93"/>
      <c r="AH57" s="93"/>
      <c r="AI57" s="93"/>
      <c r="AJ57" s="93"/>
      <c r="AK57" s="93"/>
      <c r="AL57" s="93"/>
      <c r="AM57" s="93"/>
      <c r="AN57" s="93"/>
      <c r="AO57" s="93"/>
    </row>
    <row r="58" spans="1:41" s="104" customFormat="1" ht="20.149999999999999" customHeight="1" x14ac:dyDescent="0.25">
      <c r="B58" s="233"/>
      <c r="C58" s="261" t="str">
        <f t="shared" ref="C58:C61" si="150">IF(B58=0,"",CONCATENATE("Jornadas de ",B58," horas: "))</f>
        <v/>
      </c>
      <c r="D58" s="235"/>
      <c r="E58" s="235"/>
      <c r="F58" s="235"/>
      <c r="G58" s="235"/>
      <c r="H58" s="235"/>
      <c r="I58" s="235"/>
      <c r="J58" s="235"/>
      <c r="K58" s="235"/>
      <c r="L58" s="235"/>
      <c r="M58" s="235"/>
      <c r="N58" s="235"/>
      <c r="O58" s="235"/>
      <c r="P58" s="235"/>
      <c r="Q58" s="235"/>
      <c r="R58" s="235"/>
      <c r="S58" s="235"/>
      <c r="T58" s="235"/>
      <c r="U58" s="235"/>
      <c r="V58" s="235"/>
      <c r="W58" s="235"/>
      <c r="X58" s="235"/>
      <c r="Y58" s="235"/>
      <c r="Z58" s="235"/>
      <c r="AA58" s="235"/>
      <c r="AB58" s="235"/>
      <c r="AD58" s="93"/>
      <c r="AE58" s="93"/>
      <c r="AF58" s="93"/>
      <c r="AG58" s="93"/>
      <c r="AH58" s="93"/>
      <c r="AI58" s="93"/>
      <c r="AJ58" s="93"/>
      <c r="AK58" s="93"/>
      <c r="AL58" s="93"/>
      <c r="AM58" s="93"/>
      <c r="AN58" s="93"/>
      <c r="AO58" s="93"/>
    </row>
    <row r="59" spans="1:41" s="104" customFormat="1" ht="20.149999999999999" customHeight="1" x14ac:dyDescent="0.25">
      <c r="B59" s="233"/>
      <c r="C59" s="261" t="str">
        <f t="shared" si="150"/>
        <v/>
      </c>
      <c r="D59" s="235"/>
      <c r="E59" s="235"/>
      <c r="F59" s="235"/>
      <c r="G59" s="235"/>
      <c r="H59" s="235"/>
      <c r="I59" s="235"/>
      <c r="J59" s="235"/>
      <c r="K59" s="235"/>
      <c r="L59" s="235"/>
      <c r="M59" s="235"/>
      <c r="N59" s="235"/>
      <c r="O59" s="235"/>
      <c r="P59" s="235"/>
      <c r="Q59" s="235"/>
      <c r="R59" s="235"/>
      <c r="S59" s="235"/>
      <c r="T59" s="235"/>
      <c r="U59" s="235"/>
      <c r="V59" s="235"/>
      <c r="W59" s="235"/>
      <c r="X59" s="235"/>
      <c r="Y59" s="235"/>
      <c r="Z59" s="235"/>
      <c r="AA59" s="235"/>
      <c r="AB59" s="235"/>
      <c r="AD59" s="93"/>
      <c r="AE59" s="93"/>
      <c r="AF59" s="93"/>
      <c r="AG59" s="93"/>
      <c r="AH59" s="93"/>
      <c r="AI59" s="93"/>
      <c r="AJ59" s="93"/>
      <c r="AK59" s="93"/>
      <c r="AL59" s="93"/>
      <c r="AM59" s="93"/>
      <c r="AN59" s="93"/>
      <c r="AO59" s="93"/>
    </row>
    <row r="60" spans="1:41" s="104" customFormat="1" ht="20.149999999999999" customHeight="1" x14ac:dyDescent="0.25">
      <c r="B60" s="233"/>
      <c r="C60" s="261"/>
      <c r="D60" s="235"/>
      <c r="E60" s="235"/>
      <c r="F60" s="235"/>
      <c r="G60" s="235"/>
      <c r="H60" s="235"/>
      <c r="I60" s="235"/>
      <c r="J60" s="235"/>
      <c r="K60" s="235"/>
      <c r="L60" s="235"/>
      <c r="M60" s="235"/>
      <c r="N60" s="235"/>
      <c r="O60" s="235"/>
      <c r="P60" s="235"/>
      <c r="Q60" s="235"/>
      <c r="R60" s="235"/>
      <c r="S60" s="235"/>
      <c r="T60" s="235"/>
      <c r="U60" s="235"/>
      <c r="V60" s="235"/>
      <c r="W60" s="235"/>
      <c r="X60" s="235"/>
      <c r="Y60" s="235"/>
      <c r="Z60" s="235"/>
      <c r="AA60" s="235"/>
      <c r="AB60" s="235"/>
      <c r="AD60" s="93"/>
      <c r="AE60" s="93"/>
      <c r="AF60" s="93"/>
      <c r="AG60" s="93"/>
      <c r="AH60" s="93"/>
      <c r="AI60" s="93"/>
      <c r="AJ60" s="93"/>
      <c r="AK60" s="93"/>
      <c r="AL60" s="93"/>
      <c r="AM60" s="93"/>
      <c r="AN60" s="93"/>
      <c r="AO60" s="93"/>
    </row>
    <row r="61" spans="1:41" s="104" customFormat="1" ht="20.149999999999999" customHeight="1" x14ac:dyDescent="0.25">
      <c r="B61" s="233"/>
      <c r="C61" s="261" t="str">
        <f t="shared" si="150"/>
        <v/>
      </c>
      <c r="D61" s="235"/>
      <c r="E61" s="235"/>
      <c r="F61" s="235"/>
      <c r="G61" s="235"/>
      <c r="H61" s="235"/>
      <c r="I61" s="235"/>
      <c r="J61" s="235"/>
      <c r="K61" s="235"/>
      <c r="L61" s="235"/>
      <c r="M61" s="235"/>
      <c r="N61" s="235"/>
      <c r="O61" s="235"/>
      <c r="P61" s="235"/>
      <c r="Q61" s="235"/>
      <c r="R61" s="235"/>
      <c r="S61" s="235"/>
      <c r="T61" s="235"/>
      <c r="U61" s="235"/>
      <c r="V61" s="235"/>
      <c r="W61" s="235"/>
      <c r="X61" s="235"/>
      <c r="Y61" s="235"/>
      <c r="Z61" s="235"/>
      <c r="AA61" s="235"/>
      <c r="AB61" s="235"/>
      <c r="AD61" s="93"/>
      <c r="AE61" s="93"/>
      <c r="AF61" s="93"/>
      <c r="AG61" s="93"/>
      <c r="AH61" s="93"/>
      <c r="AI61" s="93"/>
      <c r="AJ61" s="93"/>
      <c r="AK61" s="93"/>
      <c r="AL61" s="93"/>
      <c r="AM61" s="93"/>
      <c r="AN61" s="93"/>
      <c r="AO61" s="93"/>
    </row>
    <row r="62" spans="1:41" s="104" customFormat="1" ht="20.149999999999999" customHeight="1" x14ac:dyDescent="0.25">
      <c r="B62" s="262"/>
      <c r="C62" s="262" t="s">
        <v>268</v>
      </c>
      <c r="D62" s="263">
        <f>SUMPRODUCT(D57:D61,$B$57:$B$61)</f>
        <v>0</v>
      </c>
      <c r="E62" s="263">
        <f t="shared" ref="E62:AA62" si="151">SUMPRODUCT(E57:E61,$B$57:$B$61)</f>
        <v>0</v>
      </c>
      <c r="F62" s="263">
        <f>SUMPRODUCT(F57:F61,$B$57:$B$61)</f>
        <v>0</v>
      </c>
      <c r="G62" s="263">
        <f t="shared" si="151"/>
        <v>0</v>
      </c>
      <c r="H62" s="263">
        <f t="shared" si="151"/>
        <v>0</v>
      </c>
      <c r="I62" s="263">
        <f t="shared" si="151"/>
        <v>0</v>
      </c>
      <c r="J62" s="263">
        <f t="shared" si="151"/>
        <v>0</v>
      </c>
      <c r="K62" s="263">
        <f>SUMPRODUCT(K57:K61,$B$57:$B$61)</f>
        <v>0</v>
      </c>
      <c r="L62" s="263">
        <f t="shared" si="151"/>
        <v>0</v>
      </c>
      <c r="M62" s="263">
        <f t="shared" si="151"/>
        <v>0</v>
      </c>
      <c r="N62" s="263">
        <f>SUMPRODUCT(N57:N61,$B$57:$B$61)</f>
        <v>0</v>
      </c>
      <c r="O62" s="263">
        <f t="shared" si="151"/>
        <v>0</v>
      </c>
      <c r="P62" s="263">
        <f>SUMPRODUCT(P57:P61,$B$57:$B$61)</f>
        <v>0</v>
      </c>
      <c r="Q62" s="263">
        <f t="shared" si="151"/>
        <v>0</v>
      </c>
      <c r="R62" s="263">
        <f t="shared" si="151"/>
        <v>0</v>
      </c>
      <c r="S62" s="263">
        <f t="shared" si="151"/>
        <v>0</v>
      </c>
      <c r="T62" s="263">
        <f t="shared" si="151"/>
        <v>0</v>
      </c>
      <c r="U62" s="263">
        <f t="shared" si="151"/>
        <v>0</v>
      </c>
      <c r="V62" s="263">
        <f t="shared" si="151"/>
        <v>0</v>
      </c>
      <c r="W62" s="263">
        <f t="shared" si="151"/>
        <v>0</v>
      </c>
      <c r="X62" s="263">
        <f t="shared" si="151"/>
        <v>0</v>
      </c>
      <c r="Y62" s="263">
        <f t="shared" si="151"/>
        <v>0</v>
      </c>
      <c r="Z62" s="263">
        <f>SUMPRODUCT(Z57:Z61,$B$57:$B$61)</f>
        <v>0</v>
      </c>
      <c r="AA62" s="263">
        <f t="shared" si="151"/>
        <v>0</v>
      </c>
      <c r="AB62" s="263">
        <f>SUMPRODUCT(AB57:AB61,$B$57:$B$61)</f>
        <v>0</v>
      </c>
    </row>
    <row r="63" spans="1:41" s="104" customFormat="1" ht="20.149999999999999" customHeight="1" x14ac:dyDescent="0.25">
      <c r="B63" s="182"/>
      <c r="C63" s="182"/>
      <c r="D63" s="182"/>
      <c r="E63" s="182"/>
      <c r="F63" s="182"/>
      <c r="G63" s="182"/>
      <c r="H63" s="182"/>
      <c r="I63" s="182"/>
      <c r="J63" s="182"/>
      <c r="K63" s="182"/>
      <c r="L63" s="182"/>
      <c r="M63" s="182"/>
      <c r="N63" s="182"/>
      <c r="O63" s="182"/>
      <c r="P63" s="182"/>
      <c r="Q63" s="182"/>
      <c r="R63" s="182"/>
      <c r="S63" s="182"/>
      <c r="T63" s="182"/>
      <c r="U63" s="182"/>
      <c r="V63" s="182"/>
      <c r="W63" s="182"/>
      <c r="X63" s="182"/>
      <c r="Y63" s="182"/>
      <c r="Z63" s="182"/>
      <c r="AA63" s="182"/>
      <c r="AB63" s="182"/>
    </row>
    <row r="64" spans="1:41" x14ac:dyDescent="0.25">
      <c r="D64" s="99"/>
      <c r="E64" s="99"/>
      <c r="F64" s="99"/>
      <c r="G64" s="99"/>
      <c r="H64" s="99"/>
      <c r="I64" s="99"/>
      <c r="J64" s="99"/>
      <c r="K64" s="99"/>
      <c r="L64" s="99"/>
      <c r="M64" s="99"/>
    </row>
    <row r="65" spans="4:13" x14ac:dyDescent="0.25">
      <c r="D65" s="99"/>
      <c r="E65" s="99"/>
      <c r="F65" s="99"/>
      <c r="G65" s="99"/>
      <c r="H65" s="99"/>
      <c r="I65" s="99"/>
      <c r="J65" s="99"/>
      <c r="K65" s="99"/>
      <c r="L65" s="99"/>
      <c r="M65" s="99"/>
    </row>
    <row r="66" spans="4:13" x14ac:dyDescent="0.25">
      <c r="F66" s="99"/>
      <c r="G66" s="99"/>
      <c r="H66" s="99"/>
    </row>
    <row r="67" spans="4:13" x14ac:dyDescent="0.25">
      <c r="F67" s="99"/>
      <c r="G67" s="99"/>
      <c r="H67" s="99"/>
    </row>
  </sheetData>
  <autoFilter ref="B6" xr:uid="{AE11830D-A66D-46D0-82B1-602EA893B248}"/>
  <mergeCells count="12">
    <mergeCell ref="B5:C5"/>
    <mergeCell ref="D5:G5"/>
    <mergeCell ref="B45:C45"/>
    <mergeCell ref="D45:G45"/>
    <mergeCell ref="B55:C55"/>
    <mergeCell ref="D55:G55"/>
    <mergeCell ref="B15:C15"/>
    <mergeCell ref="B25:C25"/>
    <mergeCell ref="B35:C35"/>
    <mergeCell ref="D15:G15"/>
    <mergeCell ref="D25:G25"/>
    <mergeCell ref="D35:G35"/>
  </mergeCells>
  <pageMargins left="0.70866141732283472" right="0.70866141732283472" top="0.74803149606299213" bottom="0.74803149606299213" header="0.31496062992125984" footer="0.31496062992125984"/>
  <pageSetup paperSize="9" scale="1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04B4C06FD53E4DA82687A05841D03F" ma:contentTypeVersion="9" ma:contentTypeDescription="Create a new document." ma:contentTypeScope="" ma:versionID="f48deddc6bffdc45fb3ed0ec71e33c6c">
  <xsd:schema xmlns:xsd="http://www.w3.org/2001/XMLSchema" xmlns:xs="http://www.w3.org/2001/XMLSchema" xmlns:p="http://schemas.microsoft.com/office/2006/metadata/properties" xmlns:ns2="7dc5af80-ab8f-4cff-b7cb-3463b3238b39" targetNamespace="http://schemas.microsoft.com/office/2006/metadata/properties" ma:root="true" ma:fieldsID="a8808579f8fa9f9643be1385777e037d" ns2:_="">
    <xsd:import namespace="7dc5af80-ab8f-4cff-b7cb-3463b3238b3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bjectDetectorVersion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c5af80-ab8f-4cff-b7cb-3463b3238b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6A1B76-9E34-462B-9C68-1BC8027D22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c5af80-ab8f-4cff-b7cb-3463b3238b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4A36B1-E557-480A-80A5-281FC452AC8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4453D5CC-2F3C-48AA-8382-954EB2322467}">
  <ds:schemaRefs>
    <ds:schemaRef ds:uri="http://schemas.microsoft.com/sharepoint/v3/contenttype/forms"/>
  </ds:schemaRefs>
</ds:datastoreItem>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5</vt:i4>
      </vt:variant>
    </vt:vector>
  </HeadingPairs>
  <TitlesOfParts>
    <vt:vector size="16" baseType="lpstr">
      <vt:lpstr>Project Infor</vt:lpstr>
      <vt:lpstr>Cost Overview</vt:lpstr>
      <vt:lpstr>Resources</vt:lpstr>
      <vt:lpstr>Cost Planning</vt:lpstr>
      <vt:lpstr>Monthly View</vt:lpstr>
      <vt:lpstr>Cost Summary</vt:lpstr>
      <vt:lpstr>Ayuda</vt:lpstr>
      <vt:lpstr>aux Billing Plan</vt:lpstr>
      <vt:lpstr>aux Forecast</vt:lpstr>
      <vt:lpstr>aux UTE</vt:lpstr>
      <vt:lpstr>aux Calendarios</vt:lpstr>
      <vt:lpstr>costerecursosbaselineactual</vt:lpstr>
      <vt:lpstr>FECHA</vt:lpstr>
      <vt:lpstr>FIN</vt:lpstr>
      <vt:lpstr>Inicio</vt:lpstr>
      <vt:lpstr>pedidobaselineactual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Ingelmo Agustin, M Jose</dc:creator>
  <cp:keywords/>
  <dc:description/>
  <cp:lastModifiedBy>Ortega Angulo, Alvaro</cp:lastModifiedBy>
  <cp:revision/>
  <dcterms:created xsi:type="dcterms:W3CDTF">2015-06-05T18:19:34Z</dcterms:created>
  <dcterms:modified xsi:type="dcterms:W3CDTF">2026-05-11T07:11:51Z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0x0101005104B4C06FD53E4DA82687A05841D03F</vt:lpwstr>
  </property>
</Properties>
</file>