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9-ep2\content\data\output\"/>
    </mc:Choice>
  </mc:AlternateContent>
  <xr:revisionPtr revIDLastSave="0" documentId="13_ncr:1_{74AE00AE-FEE9-413F-A984-A9CE5A16E86D}"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AO78" i="6" l="1" a="1"/>
  <c r="AO78" i="6" s="1"/>
  <c r="AV62" i="6" a="1"/>
  <c r="AV62" i="6" s="1"/>
  <c r="AX62" i="6" a="1"/>
  <c r="AX62" i="6" s="1"/>
  <c r="AF62" i="6" a="1"/>
  <c r="AF62" i="6" s="1"/>
  <c r="AW62" i="6" a="1"/>
  <c r="AW62" i="6" s="1"/>
  <c r="BG78" i="6" a="1"/>
  <c r="BG78" i="6" s="1"/>
  <c r="J78" i="6" a="1"/>
  <c r="J78" i="6" s="1"/>
  <c r="AO62" i="6" a="1"/>
  <c r="AO62" i="6" s="1"/>
  <c r="BO62" i="6" a="1"/>
  <c r="BO62" i="6" s="1"/>
  <c r="AN62" i="6" a="1"/>
  <c r="AN62" i="6" s="1"/>
  <c r="BN62" i="6" a="1"/>
  <c r="BN62" i="6" s="1"/>
  <c r="AM62" i="6" a="1"/>
  <c r="AM62" i="6" s="1"/>
  <c r="AG62" i="6" a="1"/>
  <c r="AG62" i="6" s="1"/>
  <c r="BG62" i="6" a="1"/>
  <c r="BG62" i="6" s="1"/>
  <c r="BF62" i="6" a="1"/>
  <c r="BF62" i="6" s="1"/>
  <c r="BE62" i="6" a="1"/>
  <c r="BE62" i="6" s="1"/>
  <c r="AW78" i="6" a="1"/>
  <c r="AW78" i="6" s="1"/>
  <c r="AT18" i="9" s="1"/>
  <c r="BC78" i="6" a="1"/>
  <c r="BC78" i="6" s="1"/>
  <c r="AK78" i="6" a="1"/>
  <c r="AK78" i="6" s="1"/>
  <c r="BM62" i="6" a="1"/>
  <c r="BM62" i="6" s="1"/>
  <c r="AU62" i="6" a="1"/>
  <c r="AU62" i="6" s="1"/>
  <c r="BF78" i="6" a="1"/>
  <c r="BF78" i="6"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AN78" i="6" a="1"/>
  <c r="AN78" i="6"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M18" i="9"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BE18" i="9" l="1"/>
  <c r="BE27" i="9" s="1"/>
  <c r="BC18" i="9"/>
  <c r="BC27" i="9" s="1"/>
  <c r="AH18" i="9"/>
  <c r="BF18" i="9"/>
  <c r="BF27" i="9" s="1"/>
  <c r="BA18" i="9"/>
  <c r="BA27" i="9" s="1"/>
  <c r="AP18" i="9"/>
  <c r="AC18" i="9"/>
  <c r="AU18" i="9"/>
  <c r="AS18" i="9"/>
  <c r="AL18" i="9"/>
  <c r="AK18" i="9"/>
  <c r="AR18" i="9"/>
  <c r="AZ18" i="9"/>
  <c r="AG18" i="9"/>
  <c r="AW18" i="9"/>
  <c r="BD18" i="9"/>
  <c r="BD27" i="9" s="1"/>
  <c r="AV18" i="9"/>
  <c r="AY18" i="9"/>
  <c r="AO18" i="9"/>
  <c r="BG18" i="9"/>
  <c r="BG27" i="9" s="1"/>
  <c r="AI18" i="9"/>
  <c r="AF18" i="9"/>
  <c r="AQ18" i="9"/>
  <c r="AX18" i="9"/>
  <c r="BJ18" i="9"/>
  <c r="BJ27" i="9" s="1"/>
  <c r="BI18" i="9"/>
  <c r="BI27" i="9" s="1"/>
  <c r="AE18" i="9"/>
  <c r="AN18" i="9"/>
  <c r="BH18" i="9"/>
  <c r="BH27" i="9" s="1"/>
  <c r="BB18" i="9"/>
  <c r="BB27" i="9" s="1"/>
  <c r="AD18" i="9"/>
  <c r="AJ18" i="9"/>
  <c r="BL18" i="9"/>
  <c r="BL27" i="9" s="1"/>
  <c r="BK18" i="9"/>
  <c r="BK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N41" i="6" a="1"/>
  <c r="N41" i="6" s="1"/>
  <c r="AE40" i="6" a="1"/>
  <c r="AE40" i="6" s="1"/>
  <c r="J40" i="6" a="1"/>
  <c r="J40" i="6" s="1"/>
  <c r="S40" i="6" a="1"/>
  <c r="S40" i="6" s="1"/>
  <c r="Q41" i="6" a="1"/>
  <c r="Q41" i="6" s="1"/>
  <c r="P41" i="6" a="1"/>
  <c r="P41" i="6" s="1"/>
  <c r="M41" i="6" a="1"/>
  <c r="M41" i="6" s="1"/>
  <c r="W40" i="6" a="1"/>
  <c r="W40" i="6" s="1"/>
  <c r="I41" i="6" a="1"/>
  <c r="I41" i="6" s="1"/>
  <c r="T41" i="6" a="1"/>
  <c r="T41" i="6" s="1"/>
  <c r="Q40" i="6" a="1"/>
  <c r="Q40"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X41" i="6" l="1"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5" i="9" l="1"/>
  <c r="G26" i="9" s="1"/>
  <c r="G27" i="9"/>
  <c r="P11" i="9"/>
  <c r="I34" i="9"/>
  <c r="H22" i="9"/>
  <c r="H24" i="9"/>
  <c r="I36" i="9"/>
  <c r="H21" i="9"/>
  <c r="I33" i="9"/>
  <c r="I31" i="9"/>
  <c r="H19" i="9"/>
  <c r="AO7" i="6"/>
  <c r="H38" i="9"/>
  <c r="H20" i="9"/>
  <c r="I32" i="9"/>
  <c r="H37" i="9"/>
  <c r="H23" i="9"/>
  <c r="I35" i="9"/>
  <c r="BE43" i="9"/>
  <c r="P9" i="9"/>
  <c r="Q9" i="9" s="1"/>
  <c r="P12" i="9"/>
  <c r="Q12" i="9" s="1"/>
  <c r="P8" i="9"/>
  <c r="Q8" i="9" s="1"/>
  <c r="Q4" i="9"/>
  <c r="P7" i="9"/>
  <c r="Q7" i="9" s="1"/>
  <c r="O40" i="9"/>
  <c r="O30" i="9" s="1"/>
  <c r="P6" i="9"/>
  <c r="O13" i="9"/>
  <c r="O14" i="9" s="1"/>
  <c r="P10" i="9"/>
  <c r="N15" i="9"/>
  <c r="N44" i="9"/>
  <c r="H25" i="9" l="1"/>
  <c r="H26" i="9" s="1"/>
  <c r="H27" i="9"/>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I25" i="9" l="1"/>
  <c r="I26" i="9" s="1"/>
  <c r="I27" i="9"/>
  <c r="R7" i="9"/>
  <c r="S7"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S10" i="9"/>
  <c r="T4" i="9"/>
  <c r="J27" i="9" l="1"/>
  <c r="R13" i="9"/>
  <c r="R15" i="9" s="1"/>
  <c r="L31" i="9"/>
  <c r="K19" i="9"/>
  <c r="K23" i="9"/>
  <c r="L35" i="9"/>
  <c r="K22" i="9"/>
  <c r="L34" i="9"/>
  <c r="AR7" i="6"/>
  <c r="L32" i="9"/>
  <c r="K20" i="9"/>
  <c r="K37" i="9"/>
  <c r="K38" i="9"/>
  <c r="L33" i="9"/>
  <c r="K21" i="9"/>
  <c r="J25" i="9"/>
  <c r="J26" i="9" s="1"/>
  <c r="K24" i="9"/>
  <c r="L36" i="9"/>
  <c r="BH43" i="9"/>
  <c r="Q15" i="9"/>
  <c r="R40" i="9"/>
  <c r="R30" i="9" s="1"/>
  <c r="S40" i="9"/>
  <c r="T7" i="9"/>
  <c r="T12" i="9"/>
  <c r="T11" i="9"/>
  <c r="T8" i="9"/>
  <c r="S13" i="9"/>
  <c r="S15" i="9" s="1"/>
  <c r="T9" i="9"/>
  <c r="T10" i="9"/>
  <c r="T6" i="9"/>
  <c r="U4" i="9"/>
  <c r="R14" i="9" l="1"/>
  <c r="K25" i="9"/>
  <c r="K26" i="9" s="1"/>
  <c r="K27"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W30" i="9" l="1"/>
  <c r="O27" i="9"/>
  <c r="O25" i="9"/>
  <c r="O26" i="9" s="1"/>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X30" i="9" l="1"/>
  <c r="P27"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Y30" i="9" l="1"/>
  <c r="Q27" i="9"/>
  <c r="R37" i="9"/>
  <c r="S32" i="9"/>
  <c r="R20" i="9"/>
  <c r="R38" i="9"/>
  <c r="S31" i="9"/>
  <c r="R19" i="9"/>
  <c r="S35" i="9"/>
  <c r="R23" i="9"/>
  <c r="R21" i="9"/>
  <c r="S33" i="9"/>
  <c r="S34" i="9"/>
  <c r="R22" i="9"/>
  <c r="R24" i="9"/>
  <c r="S36" i="9"/>
  <c r="Q25" i="9"/>
  <c r="Q26" i="9" s="1"/>
  <c r="AY7" i="6"/>
  <c r="AA4" i="9"/>
  <c r="Z40" i="9" s="1"/>
  <c r="X44" i="9"/>
  <c r="AA10" i="9"/>
  <c r="AB10" i="9" s="1"/>
  <c r="AC10" i="9" s="1"/>
  <c r="Y14" i="9"/>
  <c r="AA7" i="9"/>
  <c r="AA9" i="9"/>
  <c r="AA11" i="9"/>
  <c r="AA6" i="9"/>
  <c r="AA8" i="9"/>
  <c r="Z13" i="9"/>
  <c r="Z14" i="9" s="1"/>
  <c r="AA12" i="9"/>
  <c r="AB12" i="9" s="1"/>
  <c r="AC12" i="9" s="1"/>
  <c r="Z30" i="9" l="1"/>
  <c r="R27" i="9"/>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S27" i="9" l="1"/>
  <c r="AD9" i="9"/>
  <c r="AD7" i="9"/>
  <c r="AE7" i="9" s="1"/>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AB30" i="9" s="1"/>
  <c r="Z44" i="9"/>
  <c r="T27" i="9" l="1"/>
  <c r="AC13" i="9"/>
  <c r="AC14" i="9" s="1"/>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I11" i="9" s="1"/>
  <c r="AH4" i="9"/>
  <c r="AG40" i="9" s="1"/>
  <c r="AI10"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I9" i="9"/>
  <c r="AG30" i="9"/>
  <c r="AG44" i="9" s="1"/>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Y27"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O10" i="9" s="1"/>
  <c r="AN4" i="9"/>
  <c r="AN6" i="9"/>
  <c r="AN11" i="9"/>
  <c r="AN9" i="9"/>
  <c r="AN7" i="9"/>
  <c r="AD19" i="9"/>
  <c r="AE31" i="9"/>
  <c r="AD22" i="9"/>
  <c r="AE34" i="9"/>
  <c r="AD24" i="9"/>
  <c r="AE36" i="9"/>
  <c r="AD23" i="9"/>
  <c r="AE35" i="9"/>
  <c r="BK7" i="6"/>
  <c r="BL8" i="6"/>
  <c r="AC25" i="9"/>
  <c r="AC26" i="9" s="1"/>
  <c r="AD20" i="9"/>
  <c r="AE32" i="9"/>
  <c r="AD37" i="9"/>
  <c r="AD38" i="9"/>
  <c r="AD21" i="9"/>
  <c r="AE33" i="9"/>
  <c r="AM15" i="9" l="1"/>
  <c r="AD27" i="9"/>
  <c r="AO12" i="9"/>
  <c r="AN13" i="9"/>
  <c r="AN15" i="9" s="1"/>
  <c r="AO8" i="9"/>
  <c r="AM40" i="9"/>
  <c r="AM30" i="9" s="1"/>
  <c r="AM44" i="9" s="1"/>
  <c r="AO7" i="9"/>
  <c r="AP7" i="9" s="1"/>
  <c r="AO11" i="9"/>
  <c r="AD25" i="9"/>
  <c r="AD26" i="9" s="1"/>
  <c r="AP10" i="9"/>
  <c r="AO4" i="9"/>
  <c r="AN40" i="9" s="1"/>
  <c r="AO9" i="9"/>
  <c r="AP9" i="9" s="1"/>
  <c r="AO6" i="9"/>
  <c r="AF35" i="9"/>
  <c r="AE23" i="9"/>
  <c r="AF36" i="9"/>
  <c r="AE24" i="9"/>
  <c r="AE37" i="9"/>
  <c r="AF34" i="9"/>
  <c r="AE22" i="9"/>
  <c r="BL7" i="6"/>
  <c r="BM8" i="6"/>
  <c r="AE21" i="9"/>
  <c r="AF33" i="9"/>
  <c r="AE19" i="9"/>
  <c r="AF31" i="9"/>
  <c r="AE20" i="9"/>
  <c r="AF32" i="9"/>
  <c r="AE38" i="9"/>
  <c r="AN14" i="9" l="1"/>
  <c r="AE27" i="9"/>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I27" i="9" l="1"/>
  <c r="AR15"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V12" i="9"/>
  <c r="AW12" i="9" s="1"/>
  <c r="AV10" i="9"/>
  <c r="AW10" i="9" s="1"/>
  <c r="AU15" i="9"/>
  <c r="AV6" i="9"/>
  <c r="AU14" i="9"/>
  <c r="AV7" i="9"/>
  <c r="AW7" i="9" s="1"/>
  <c r="AL24" i="9"/>
  <c r="AM36" i="9"/>
  <c r="AL21" i="9"/>
  <c r="AM33" i="9"/>
  <c r="AL19" i="9"/>
  <c r="AM31" i="9"/>
  <c r="AM34" i="9"/>
  <c r="AL22" i="9"/>
  <c r="AL20" i="9"/>
  <c r="AL27" i="9" s="1"/>
  <c r="AM32" i="9"/>
  <c r="AL37" i="9"/>
  <c r="AL38" i="9"/>
  <c r="AL23" i="9"/>
  <c r="AM35" i="9"/>
  <c r="AK25" i="9"/>
  <c r="AK26" i="9" s="1"/>
  <c r="AL25" i="9" l="1"/>
  <c r="AL26" i="9" s="1"/>
  <c r="AU30" i="9"/>
  <c r="AU44" i="9" s="1"/>
  <c r="AW8" i="9"/>
  <c r="AV13" i="9"/>
  <c r="AV14" i="9" s="1"/>
  <c r="AW6" i="9"/>
  <c r="AW4" i="9"/>
  <c r="AV40" i="9" s="1"/>
  <c r="AX10" i="9"/>
  <c r="AM19" i="9"/>
  <c r="AN31" i="9"/>
  <c r="AN32" i="9"/>
  <c r="AM20" i="9"/>
  <c r="AM38" i="9"/>
  <c r="AM37" i="9"/>
  <c r="AN33" i="9"/>
  <c r="AM21" i="9"/>
  <c r="AN34" i="9"/>
  <c r="AM22" i="9"/>
  <c r="AM24" i="9"/>
  <c r="AN36" i="9"/>
  <c r="AN35" i="9"/>
  <c r="AM23" i="9"/>
  <c r="AM27" i="9" l="1"/>
  <c r="AV30" i="9"/>
  <c r="AV44" i="9" s="1"/>
  <c r="AV15" i="9"/>
  <c r="AX4" i="9"/>
  <c r="AW40" i="9" s="1"/>
  <c r="AX11" i="9"/>
  <c r="AY11" i="9" s="1"/>
  <c r="AX9" i="9"/>
  <c r="AY9" i="9" s="1"/>
  <c r="AY10" i="9"/>
  <c r="AW13" i="9"/>
  <c r="AW15" i="9" s="1"/>
  <c r="AX8" i="9"/>
  <c r="AX7" i="9"/>
  <c r="AY7" i="9" s="1"/>
  <c r="AX6" i="9"/>
  <c r="AW14" i="9"/>
  <c r="AX12" i="9"/>
  <c r="AY12" i="9" s="1"/>
  <c r="AN21" i="9"/>
  <c r="AO33" i="9"/>
  <c r="AO36" i="9"/>
  <c r="AN24" i="9"/>
  <c r="AO34" i="9"/>
  <c r="AN22" i="9"/>
  <c r="AM25" i="9"/>
  <c r="AM26" i="9" s="1"/>
  <c r="AN20" i="9"/>
  <c r="AN37" i="9"/>
  <c r="AO32" i="9"/>
  <c r="AN38" i="9"/>
  <c r="AN19" i="9"/>
  <c r="AO31" i="9"/>
  <c r="AN23" i="9"/>
  <c r="AO35" i="9"/>
  <c r="AN27" i="9" l="1"/>
  <c r="AW30" i="9"/>
  <c r="AW44" i="9" s="1"/>
  <c r="AY8" i="9"/>
  <c r="AX13" i="9"/>
  <c r="AY6" i="9"/>
  <c r="AX14" i="9"/>
  <c r="AX15" i="9"/>
  <c r="AY4" i="9"/>
  <c r="AX40" i="9" s="1"/>
  <c r="AZ11" i="9"/>
  <c r="AN25" i="9"/>
  <c r="AN26" i="9" s="1"/>
  <c r="AP34" i="9"/>
  <c r="AO22" i="9"/>
  <c r="AP36" i="9"/>
  <c r="AO24" i="9"/>
  <c r="AP35" i="9"/>
  <c r="AO23" i="9"/>
  <c r="AO21" i="9"/>
  <c r="AP33" i="9"/>
  <c r="AO20" i="9"/>
  <c r="AO37" i="9"/>
  <c r="AP32" i="9"/>
  <c r="AO38" i="9"/>
  <c r="AP31" i="9"/>
  <c r="AO19" i="9"/>
  <c r="AO27" i="9" l="1"/>
  <c r="AX30" i="9"/>
  <c r="AX44" i="9" s="1"/>
  <c r="AZ10" i="9"/>
  <c r="AZ4" i="9"/>
  <c r="AY40" i="9" s="1"/>
  <c r="BA5" i="9"/>
  <c r="AZ12" i="9"/>
  <c r="BA12" i="9" s="1"/>
  <c r="AZ8" i="9"/>
  <c r="AY13" i="9"/>
  <c r="AY14" i="9" s="1"/>
  <c r="AZ9" i="9"/>
  <c r="AY15" i="9"/>
  <c r="AZ6" i="9"/>
  <c r="AZ7" i="9"/>
  <c r="BA7" i="9" s="1"/>
  <c r="AP23" i="9"/>
  <c r="AQ35" i="9"/>
  <c r="AQ33" i="9"/>
  <c r="AP21" i="9"/>
  <c r="AP20" i="9"/>
  <c r="AQ32" i="9"/>
  <c r="AP37" i="9"/>
  <c r="AP38" i="9"/>
  <c r="AP24" i="9"/>
  <c r="AQ36" i="9"/>
  <c r="AO25" i="9"/>
  <c r="AO26" i="9" s="1"/>
  <c r="AQ31" i="9"/>
  <c r="AP19" i="9"/>
  <c r="AP22" i="9"/>
  <c r="AQ34" i="9"/>
  <c r="BA9" i="9" l="1"/>
  <c r="BA10" i="9"/>
  <c r="AP27" i="9"/>
  <c r="AY30" i="9"/>
  <c r="AY44" i="9" s="1"/>
  <c r="BA6" i="9"/>
  <c r="BA8" i="9"/>
  <c r="AZ13" i="9"/>
  <c r="AZ14" i="9" s="1"/>
  <c r="BA4" i="9"/>
  <c r="AZ40" i="9" s="1"/>
  <c r="AZ30" i="9" s="1"/>
  <c r="BB5" i="9"/>
  <c r="BA11" i="9"/>
  <c r="BB11" i="9" s="1"/>
  <c r="AQ20" i="9"/>
  <c r="AR32" i="9"/>
  <c r="AQ38" i="9"/>
  <c r="AR31" i="9"/>
  <c r="AQ19" i="9"/>
  <c r="AQ24" i="9"/>
  <c r="AR36" i="9"/>
  <c r="AR33" i="9"/>
  <c r="AQ21" i="9"/>
  <c r="AQ37" i="9"/>
  <c r="AR34" i="9"/>
  <c r="AQ22" i="9"/>
  <c r="AR35" i="9"/>
  <c r="AQ23" i="9"/>
  <c r="AP25" i="9"/>
  <c r="AP26" i="9" s="1"/>
  <c r="AQ27" i="9" l="1"/>
  <c r="AZ15" i="9"/>
  <c r="BB9" i="9"/>
  <c r="BC5" i="9"/>
  <c r="BB4" i="9"/>
  <c r="BA40" i="9" s="1"/>
  <c r="BA30" i="9" s="1"/>
  <c r="BB8" i="9"/>
  <c r="BA13" i="9"/>
  <c r="BA14" i="9" s="1"/>
  <c r="BB12" i="9"/>
  <c r="BB7" i="9"/>
  <c r="BC7" i="9" s="1"/>
  <c r="BB10" i="9"/>
  <c r="BC10" i="9" s="1"/>
  <c r="BA15" i="9"/>
  <c r="BB6" i="9"/>
  <c r="AS33" i="9"/>
  <c r="AR21" i="9"/>
  <c r="AR19" i="9"/>
  <c r="AS31" i="9"/>
  <c r="AQ25" i="9"/>
  <c r="AQ26" i="9" s="1"/>
  <c r="AR22" i="9"/>
  <c r="AS34" i="9"/>
  <c r="AS32" i="9"/>
  <c r="AR20" i="9"/>
  <c r="AR37" i="9"/>
  <c r="AR38" i="9"/>
  <c r="AS36" i="9"/>
  <c r="AR24" i="9"/>
  <c r="AR23" i="9"/>
  <c r="AS35" i="9"/>
  <c r="AZ44" i="9"/>
  <c r="BC12" i="9" l="1"/>
  <c r="AR27" i="9"/>
  <c r="BC9" i="9"/>
  <c r="BD5" i="9"/>
  <c r="BC4" i="9"/>
  <c r="BB40" i="9" s="1"/>
  <c r="BB30" i="9" s="1"/>
  <c r="BC6" i="9"/>
  <c r="BB13" i="9"/>
  <c r="BB14" i="9" s="1"/>
  <c r="BC8" i="9"/>
  <c r="BC11" i="9"/>
  <c r="BD11" i="9" s="1"/>
  <c r="AT32" i="9"/>
  <c r="AS20" i="9"/>
  <c r="AS37" i="9"/>
  <c r="AS38" i="9"/>
  <c r="AR25" i="9"/>
  <c r="AR26" i="9" s="1"/>
  <c r="AT36" i="9"/>
  <c r="AS24" i="9"/>
  <c r="AT31" i="9"/>
  <c r="AS19" i="9"/>
  <c r="AT35" i="9"/>
  <c r="AS23" i="9"/>
  <c r="AT34" i="9"/>
  <c r="AS22" i="9"/>
  <c r="AT33" i="9"/>
  <c r="AS21" i="9"/>
  <c r="BA44" i="9"/>
  <c r="BD12" i="9" l="1"/>
  <c r="AS27" i="9"/>
  <c r="BD9" i="9"/>
  <c r="BB15" i="9"/>
  <c r="BD10" i="9"/>
  <c r="BD6" i="9"/>
  <c r="BD8" i="9"/>
  <c r="BC13" i="9"/>
  <c r="BC14" i="9" s="1"/>
  <c r="BD4" i="9"/>
  <c r="BC40" i="9" s="1"/>
  <c r="BC30" i="9" s="1"/>
  <c r="BE5" i="9"/>
  <c r="BE11" i="9" s="1"/>
  <c r="BD7" i="9"/>
  <c r="BE7" i="9" s="1"/>
  <c r="AT24" i="9"/>
  <c r="AU36" i="9"/>
  <c r="AU35" i="9"/>
  <c r="AT23" i="9"/>
  <c r="AT22" i="9"/>
  <c r="AU34" i="9"/>
  <c r="AU31" i="9"/>
  <c r="AT19" i="9"/>
  <c r="AU33" i="9"/>
  <c r="AT21" i="9"/>
  <c r="AS25" i="9"/>
  <c r="AS26" i="9" s="1"/>
  <c r="AT20" i="9"/>
  <c r="AU32" i="9"/>
  <c r="AT37" i="9"/>
  <c r="AT38" i="9"/>
  <c r="BB44" i="9"/>
  <c r="AT27" i="9" l="1"/>
  <c r="BC15" i="9"/>
  <c r="AT25" i="9"/>
  <c r="AT26" i="9" s="1"/>
  <c r="BE6" i="9"/>
  <c r="BE9" i="9"/>
  <c r="BE4" i="9"/>
  <c r="BD40" i="9" s="1"/>
  <c r="BD30" i="9" s="1"/>
  <c r="BF5" i="9"/>
  <c r="BF7" i="9" s="1"/>
  <c r="BE10" i="9"/>
  <c r="BD13" i="9"/>
  <c r="BD14" i="9" s="1"/>
  <c r="BE8" i="9"/>
  <c r="BE12" i="9"/>
  <c r="BF12" i="9" s="1"/>
  <c r="AU22" i="9"/>
  <c r="AV34" i="9"/>
  <c r="AV33" i="9"/>
  <c r="AU21" i="9"/>
  <c r="AV35" i="9"/>
  <c r="AU23" i="9"/>
  <c r="AU19" i="9"/>
  <c r="AV31" i="9"/>
  <c r="AU24" i="9"/>
  <c r="AV36" i="9"/>
  <c r="AV32" i="9"/>
  <c r="AU20" i="9"/>
  <c r="AU37" i="9"/>
  <c r="AU38" i="9"/>
  <c r="BC44" i="9"/>
  <c r="BF10" i="9" l="1"/>
  <c r="BF9" i="9"/>
  <c r="AU27" i="9"/>
  <c r="BD15" i="9"/>
  <c r="AU25" i="9"/>
  <c r="AU26" i="9" s="1"/>
  <c r="BF8" i="9"/>
  <c r="BE13" i="9"/>
  <c r="BE14" i="9" s="1"/>
  <c r="BF6" i="9"/>
  <c r="BF4" i="9"/>
  <c r="BE40" i="9" s="1"/>
  <c r="BE30" i="9" s="1"/>
  <c r="BG5" i="9"/>
  <c r="BF11" i="9"/>
  <c r="BG11" i="9" s="1"/>
  <c r="AW32" i="9"/>
  <c r="AV20" i="9"/>
  <c r="AV38" i="9"/>
  <c r="AW35" i="9"/>
  <c r="AV23" i="9"/>
  <c r="AV24" i="9"/>
  <c r="AW36" i="9"/>
  <c r="AV37" i="9"/>
  <c r="AV21" i="9"/>
  <c r="AW33" i="9"/>
  <c r="AW34" i="9"/>
  <c r="AV22" i="9"/>
  <c r="AW31" i="9"/>
  <c r="AV19" i="9"/>
  <c r="BD44" i="9"/>
  <c r="AV27" i="9" l="1"/>
  <c r="BE15" i="9"/>
  <c r="AV25" i="9"/>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AW27" i="9" l="1"/>
  <c r="BF15"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I10" i="9"/>
  <c r="BJ10" i="9" s="1"/>
  <c r="BI11" i="9"/>
  <c r="AZ35" i="9"/>
  <c r="AY23" i="9"/>
  <c r="AY20" i="9"/>
  <c r="AZ32" i="9"/>
  <c r="AY37" i="9"/>
  <c r="AY38" i="9"/>
  <c r="AZ31" i="9"/>
  <c r="AY19" i="9"/>
  <c r="AY21" i="9"/>
  <c r="AZ33" i="9"/>
  <c r="AX25" i="9"/>
  <c r="AX26" i="9" s="1"/>
  <c r="AY22" i="9"/>
  <c r="AZ34" i="9"/>
  <c r="AZ36" i="9"/>
  <c r="AY24" i="9"/>
  <c r="BG44" i="9"/>
  <c r="AY27" i="9" l="1"/>
  <c r="BJ9" i="9"/>
  <c r="BH15" i="9"/>
  <c r="BJ12" i="9"/>
  <c r="BJ11" i="9"/>
  <c r="BJ4" i="9"/>
  <c r="BI40" i="9" s="1"/>
  <c r="BI30" i="9" s="1"/>
  <c r="BK5" i="9"/>
  <c r="BJ8" i="9"/>
  <c r="BI13" i="9"/>
  <c r="BI14" i="9" s="1"/>
  <c r="BJ6" i="9"/>
  <c r="BJ7" i="9"/>
  <c r="AY25" i="9"/>
  <c r="AY26" i="9" s="1"/>
  <c r="BA33" i="9"/>
  <c r="AZ21" i="9"/>
  <c r="BA32" i="9"/>
  <c r="AZ20" i="9"/>
  <c r="AZ37" i="9"/>
  <c r="AZ38" i="9"/>
  <c r="BA31" i="9"/>
  <c r="AZ19" i="9"/>
  <c r="AZ24" i="9"/>
  <c r="BA36" i="9"/>
  <c r="BA34" i="9"/>
  <c r="AZ22" i="9"/>
  <c r="AZ23" i="9"/>
  <c r="BA35" i="9"/>
  <c r="BH44" i="9"/>
  <c r="BK7" i="9" l="1"/>
  <c r="AZ27" i="9"/>
  <c r="BI15" i="9"/>
  <c r="BJ13" i="9"/>
  <c r="BJ14" i="9" s="1"/>
  <c r="BK8" i="9"/>
  <c r="BK9" i="9"/>
  <c r="BK4" i="9"/>
  <c r="BJ40" i="9" s="1"/>
  <c r="BJ30" i="9" s="1"/>
  <c r="BL5" i="9"/>
  <c r="BL4" i="9" s="1"/>
  <c r="BK11" i="9"/>
  <c r="BJ15" i="9"/>
  <c r="BK6" i="9"/>
  <c r="BK10" i="9"/>
  <c r="BL10" i="9" s="1"/>
  <c r="BK12" i="9"/>
  <c r="BA22" i="9"/>
  <c r="BB34" i="9"/>
  <c r="BB36" i="9"/>
  <c r="BA24" i="9"/>
  <c r="BA20" i="9"/>
  <c r="BB32" i="9"/>
  <c r="BA37" i="9"/>
  <c r="BA38" i="9"/>
  <c r="AZ25" i="9"/>
  <c r="AZ26" i="9" s="1"/>
  <c r="BA19" i="9"/>
  <c r="BB31" i="9"/>
  <c r="BB33" i="9"/>
  <c r="BA21" i="9"/>
  <c r="BB35" i="9"/>
  <c r="BA23" i="9"/>
  <c r="BI44" i="9"/>
  <c r="BL11" i="9" l="1"/>
  <c r="BL12" i="9"/>
  <c r="BL9" i="9"/>
  <c r="BA25" i="9"/>
  <c r="BA26" i="9" s="1"/>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BL15" i="9" s="1"/>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<sst xmlns="http://schemas.openxmlformats.org/spreadsheetml/2006/main" count="524" uniqueCount="300">
  <si>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</si>
  <si>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</si>
  <si>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</si>
  <si>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</si>
  <si>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</si>
  <si>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</si>
  <si>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</si>
  <si>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</si>
  <si>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</si>
  <si>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</si>
  <si>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</si>
  <si>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</si>
  <si>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</si>
  <si>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</si>
  <si>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</si>
  <si>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</si>
  <si>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</si>
  <si>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</si>
  <si>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</si>
  <si>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</si>
  <si>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</si>
  <si>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</si>
  <si>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</si>
  <si>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</si>
  <si>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</si>
  <si>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</si>
  <si>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</si>
  <si>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</si>
  <si>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</si>
  <si>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</si>
  <si>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</si>
  <si>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</si>
  <si>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</si>
  <si>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</si>
  <si>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</si>
  <si>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</si>
  <si>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</si>
  <si>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</si>
  <si>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</si>
  <si>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</si>
  <si>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</si>
  <si>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</si>
  <si>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</si>
  <si>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</si>
  <si>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</si>
  <si>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</si>
  <si>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</si>
  <si>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</si>
  <si>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</si>
  <si>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</si>
  <si>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</si>
  <si>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</si>
  <si>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</si>
  <si>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</si>
  <si>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</si>
  <si>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</si>
  <si>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</si>
  <si>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</si>
  <si>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</si>
  <si>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</si>
  <si>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</si>
  <si>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</si>
  <si>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</si>
  <si>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</si>
  <si>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</si>
  <si>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</si>
  <si>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</si>
  <si>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</si>
  <si>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</si>
  <si>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</si>
  <si>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</si>
  <si>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</si>
  <si>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</si>
  <si>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</si>
  <si>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</si>
  <si>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</si>
  <si>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</si>
  <si>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</si>
  <si>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</si>
  <si>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</si>
  <si>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</si>
  <si>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</si>
  <si>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</si>
  <si>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</si>
  <si>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</si>
  <si>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</si>
  <si>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</si>
  <si>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</si>
  <si>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</si>
  <si>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</si>
  <si>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</si>
  <si>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</si>
  <si>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</si>
  <si>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</si>
  <si>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</si>
  <si>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</si>
  <si>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</si>
  <si>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</si>
  <si>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</si>
  <si>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</si>
  <si>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</si>
  <si>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</si>
  <si>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</si>
  <si>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</si>
  <si>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</si>
  <si>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</si>
  <si>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</si>
  <si>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</si>
  <si>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</si>
  <si>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</si>
  <si>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</si>
  <si>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</si>
  <si>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</si>
  <si>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</si>
  <si>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</si>
  <si>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</si>
  <si>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</si>
  <si>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</si>
  <si>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</si>
  <si>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</si>
  <si>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</si>
  <si>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</si>
  <si>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</si>
  <si>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</si>
  <si>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</si>
  <si>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</si>
  <si>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</si>
  <si>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</si>
  <si>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</si>
  <si>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</si>
  <si>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</si>
  <si>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</si>
  <si>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</si>
  <si>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</si>
  <si>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</si>
  <si>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</si>
  <si>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</si>
  <si>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</si>
  <si>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</si>
  <si>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</si>
  <si>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</si>
  <si>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</si>
  <si>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</si>
  <si>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</si>
  <si>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</si>
  <si>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</si>
  <si>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</si>
  <si>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</si>
  <si>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</si>
  <si>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</si>
  <si>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</si>
  <si>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</si>
  <si>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</si>
  <si>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</si>
  <si>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</si>
  <si>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</si>
  <si>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</si>
  <si>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</si>
  <si>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</si>
  <si>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</si>
  <si>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</si>
  <si>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</si>
  <si>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</si>
  <si>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</si>
  <si>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</si>
  <si>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</si>
  <si>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</si>
  <si>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</si>
  <si>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</si>
  <si>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</si>
  <si>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</si>
  <si>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</si>
  <si>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</si>
  <si>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</si>
  <si>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</si>
  <si>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</si>
  <si>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</si>
  <si>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</si>
  <si>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</si>
  <si>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</si>
  <si>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</si>
  <si>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</si>
  <si>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</si>
  <si>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</si>
  <si>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</si>
  <si>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</si>
  <si>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</si>
  <si>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</si>
  <si>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</si>
  <si>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</si>
  <si>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</si>
  <si>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</si>
  <si>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</si>
  <si>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</si>
  <si>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</si>
  <si>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</si>
  <si>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</si>
  <si>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</si>
  <si>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</si>
  <si>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</si>
  <si>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</si>
  <si>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</si>
  <si>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</si>
  <si>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</si>
  <si>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</si>
  <si>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</si>
  <si>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</si>
  <si>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</si>
  <si>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</si>
  <si>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</si>
  <si>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</si>
  <si>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</si>
  <si>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</si>
  <si>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</si>
  <si>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</si>
  <si>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</si>
  <si>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</si>
  <si>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</si>
  <si>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</si>
  <si>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</si>
  <si>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</si>
  <si>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</si>
  <si>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</si>
  <si>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</si>
  <si>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</si>
  <si>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</si>
  <si>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</si>
  <si>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</si>
  <si>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</si>
  <si>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</si>
  <si>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</si>
  <si>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</si>
  <si>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</si>
  <si>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</si>
  <si>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</si>
  <si>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</si>
  <si>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</si>
  <si>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</si>
  <si>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</si>
  <si>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</si>
  <si>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</si>
  <si>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</si>
  <si>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</si>
  <si>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</si>
  <si>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</si>
  <si>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</si>
  <si>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</si>
  <si>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</si>
  <si>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</si>
  <si>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</si>
  <si>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</si>
  <si>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</si>
  <si>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</si>
  <si>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</si>
  <si>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</si>
  <si>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</si>
  <si>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</si>
  <si>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</si>
  <si>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</si>
  <si>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</si>
  <si>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</si>
  <si>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</si>
  <si>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</si>
  <si>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</si>
  <si>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</si>
  <si>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</si>
  <si>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</si>
  <si>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</si>
  <si>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</si>
  <si>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</si>
  <si>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</si>
  <si>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</si>
  <si>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</si>
  <si>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</si>
  <si>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</si>
  <si>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</si>
  <si>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</si>
  <si>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</si>
  <si>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</si>
  <si>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</si>
  <si>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</si>
  <si>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</si>
  <si>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</si>
  <si>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</si>
  <si>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</si>
  <si>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</si>
  <si>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</si>
  <si>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</si>
  <si>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</si>
  <si>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</si>
  <si>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</si>
  <si>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</si>
  <si>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</si>
  <si>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</si>
  <si>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</si>
  <si>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</si>
  <si>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</si>
  <si>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</si>
  <si>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</si>
  <si>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RPA_VALIDACION: Generado por RPA: 2026-05-12 02:29:18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</si>
</sst>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46154</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279</v>
      </c>
      <c r="D10" s="290"/>
      <c r="H10" s="24"/>
      <c r="I10" s="24"/>
      <c r="J10" s="24"/>
      <c r="K10" s="24"/>
      <c r="L10" s="24"/>
      <c r="M10" s="24"/>
      <c r="N10" s="24"/>
      <c r="O10" s="24"/>
      <c r="P10" s="24"/>
    </row>
    <row r="11" spans="2:16" ht="18" customHeight="1" x14ac:dyDescent="0.3">
      <c r="B11" s="66" t="s">
        <v>6</v>
      </c>
      <c r="C11" s="318" t="s">
        <v>280</v>
      </c>
      <c r="D11" s="318"/>
      <c r="E11" s="318"/>
      <c r="F11" s="318"/>
      <c r="G11" s="318"/>
      <c r="H11" s="24"/>
      <c r="I11" s="24"/>
      <c r="J11" s="24"/>
      <c r="K11" s="24"/>
      <c r="L11" s="24"/>
      <c r="M11" s="24"/>
      <c r="N11" s="24"/>
      <c r="O11" s="24"/>
      <c r="P11" s="24"/>
    </row>
    <row r="12" spans="2:16" ht="18" customHeight="1" x14ac:dyDescent="0.3">
      <c r="B12" s="66" t="s">
        <v>7</v>
      </c>
      <c r="C12" s="315" t="s">
        <v>281</v>
      </c>
      <c r="D12" s="315"/>
      <c r="H12" s="24"/>
      <c r="I12" s="24"/>
      <c r="J12" s="24"/>
      <c r="K12" s="24"/>
      <c r="L12" s="24"/>
      <c r="M12" s="24"/>
      <c r="N12" s="24"/>
      <c r="O12" s="24"/>
      <c r="P12" s="24"/>
    </row>
    <row r="13" spans="2:16" ht="18" customHeight="1" x14ac:dyDescent="0.3">
      <c r="B13" s="66" t="s">
        <v>8</v>
      </c>
      <c r="C13" s="316" t="s">
        <v>282</v>
      </c>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283</v>
      </c>
      <c r="D16" s="11" t="s">
        <v>284</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285</v>
      </c>
      <c r="D18" s="11"/>
      <c r="E18" s="24"/>
      <c r="F18" s="24"/>
      <c r="G18" s="24"/>
      <c r="H18" s="24"/>
      <c r="I18" s="24"/>
      <c r="J18" s="24"/>
      <c r="K18" s="24"/>
      <c r="L18" s="24"/>
      <c r="M18" s="24"/>
      <c r="N18" s="24"/>
      <c r="O18" s="24"/>
      <c r="P18" s="24"/>
    </row>
    <row r="19" spans="2:16" ht="18" customHeight="1" x14ac:dyDescent="0.3">
      <c r="B19" s="66" t="s">
        <v>13</v>
      </c>
      <c r="C19" s="177" t="s">
        <v>286</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287</v>
      </c>
      <c r="D22" s="11" t="s">
        <v>288</v>
      </c>
      <c r="E22" s="70"/>
      <c r="F22" s="181"/>
      <c r="G22" s="181"/>
      <c r="H22" s="24"/>
      <c r="I22" s="24"/>
      <c r="J22" s="24"/>
      <c r="K22" s="24"/>
      <c r="L22" s="24"/>
      <c r="M22" s="24"/>
      <c r="N22" s="24"/>
      <c r="O22" s="24"/>
      <c r="P22" s="24"/>
    </row>
    <row r="23" spans="2:16" ht="18" customHeight="1" x14ac:dyDescent="0.3">
      <c r="B23" s="66" t="s">
        <v>17</v>
      </c>
      <c r="C23" s="11" t="s">
        <v>289</v>
      </c>
      <c r="D23" s="12" t="s">
        <v>290</v>
      </c>
      <c r="E23" s="70"/>
      <c r="F23" s="181"/>
      <c r="G23" s="181"/>
      <c r="H23" s="24"/>
      <c r="I23" s="24"/>
      <c r="J23" s="24"/>
      <c r="K23" s="24"/>
      <c r="L23" s="24"/>
      <c r="M23" s="24"/>
      <c r="N23" s="24"/>
      <c r="O23" s="24"/>
      <c r="P23" s="24"/>
    </row>
    <row r="24" spans="2:16" ht="18" customHeight="1" x14ac:dyDescent="0.3">
      <c r="B24" s="66" t="s">
        <v>18</v>
      </c>
      <c r="C24" s="12" t="s">
        <v>291</v>
      </c>
      <c r="D24" s="178" t="s">
        <v>292</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272</v>
      </c>
      <c r="C61" s="24"/>
      <c r="D61" s="24"/>
      <c r="E61" s="24"/>
      <c r="F61" s="24"/>
      <c r="G61" s="24"/>
      <c r="H61" s="24"/>
      <c r="I61" s="24"/>
      <c r="J61" s="24"/>
      <c r="K61" s="24"/>
      <c r="L61" s="24"/>
      <c r="M61" s="24"/>
      <c r="N61" s="24"/>
      <c r="O61" s="24"/>
      <c r="P61" s="24"/>
    </row>
    <row r="62" spans="2:16" ht="12.75" hidden="1" customHeight="1" x14ac:dyDescent="0.3">
      <c r="B62" s="21" t="s">
        <v>273</v>
      </c>
      <c r="C62" s="24"/>
      <c r="D62" s="24"/>
      <c r="E62" s="24"/>
      <c r="F62" s="24"/>
      <c r="G62" s="24"/>
      <c r="H62" s="24"/>
      <c r="I62" s="24"/>
      <c r="J62" s="24"/>
      <c r="K62" s="24"/>
      <c r="L62" s="24"/>
      <c r="M62" s="24"/>
      <c r="N62" s="24"/>
      <c r="O62" s="24"/>
      <c r="P62" s="24"/>
    </row>
    <row r="63" spans="2:16" hidden="1" x14ac:dyDescent="0.3">
      <c r="B63" s="21" t="s">
        <v>274</v>
      </c>
    </row>
    <row r="64" spans="2:16" ht="12.75" hidden="1" customHeight="1" x14ac:dyDescent="0.3">
      <c r="B64" s="21" t="s">
        <v>275</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276</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277</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278</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293</v>
      </c>
      <c r="C7" t="s">
        <v>101</v>
      </c>
      <c r="D7" t="s">
        <v>154</v>
      </c>
      <c r="E7" t="s">
        <v>294</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293</v>
      </c>
      <c r="C8" t="s">
        <v>101</v>
      </c>
      <c r="D8" t="s">
        <v>154</v>
      </c>
      <c r="E8" t="s">
        <v>294</v>
      </c>
      <c r="F8" s="284" t="s">
        <v>92</v>
      </c>
      <c r="G8">
        <v>44.790489000000001</v>
      </c>
      <c r="H8">
        <v>44.790489000000001</v>
      </c>
      <c r="I8">
        <v>44.790489000000001</v>
      </c>
      <c r="J8">
        <v>44.790489000000001</v>
      </c>
      <c r="K8">
        <v>44.790489000000001</v>
      </c>
      <c r="L8">
        <v>44.790489000000001</v>
      </c>
      <c r="M8">
        <v>44.790489000000001</v>
      </c>
      <c r="N8">
        <v>44.790489000000001</v>
      </c>
      <c r="O8">
        <v>44.790489000000001</v>
      </c>
      <c r="P8">
        <v>44.790489000000001</v>
      </c>
      <c r="Q8">
        <v>44.790489000000001</v>
      </c>
      <c r="R8">
        <v>44.790489000000001</v>
      </c>
      <c r="S8">
        <v>44.790489000000001</v>
      </c>
      <c r="T8">
        <v>44.790489000000001</v>
      </c>
      <c r="U8">
        <v>44.790489000000001</v>
      </c>
      <c r="V8">
        <v>44.790489000000001</v>
      </c>
      <c r="W8">
        <v>44.790489000000001</v>
      </c>
      <c r="X8">
        <v>44.790489000000001</v>
      </c>
      <c r="Y8">
        <v>44.790489000000001</v>
      </c>
      <c r="Z8">
        <v>44.790489000000001</v>
      </c>
      <c r="AA8">
        <v>44.790489000000001</v>
      </c>
      <c r="AB8">
        <v>44.790489000000001</v>
      </c>
      <c r="AC8">
        <v>44.790489000000001</v>
      </c>
      <c r="AD8">
        <v>44.790489000000001</v>
      </c>
      <c r="AE8">
        <v>44.790489000000001</v>
      </c>
      <c r="AF8">
        <v>44.790489000000001</v>
      </c>
      <c r="AG8">
        <v>44.790489000000001</v>
      </c>
      <c r="AH8">
        <v>44.790489000000001</v>
      </c>
      <c r="AI8">
        <v>44.790489000000001</v>
      </c>
      <c r="AJ8">
        <v>44.790489000000001</v>
      </c>
      <c r="AK8">
        <v>44.790489000000001</v>
      </c>
      <c r="AL8">
        <v>44.790489000000001</v>
      </c>
      <c r="AM8">
        <v>44.790489000000001</v>
      </c>
      <c r="AN8">
        <v>44.790489000000001</v>
      </c>
      <c r="AO8">
        <v>44.790489000000001</v>
      </c>
      <c r="AP8">
        <v>44.790489000000001</v>
      </c>
      <c r="AQ8">
        <v>44.790489000000001</v>
      </c>
      <c r="AR8">
        <v>44.790489000000001</v>
      </c>
      <c r="AS8">
        <v>44.790489000000001</v>
      </c>
      <c r="AT8">
        <v>44.790489000000001</v>
      </c>
      <c r="AU8">
        <v>44.790489000000001</v>
      </c>
      <c r="AV8">
        <v>44.790489000000001</v>
      </c>
      <c r="AW8">
        <v>44.790489000000001</v>
      </c>
      <c r="AX8">
        <v>44.790489000000001</v>
      </c>
      <c r="AY8">
        <v>44.790489000000001</v>
      </c>
      <c r="AZ8">
        <v>44.790489000000001</v>
      </c>
      <c r="BA8">
        <v>44.790489000000001</v>
      </c>
      <c r="BB8">
        <v>44.790489000000001</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295</v>
      </c>
      <c r="C9" t="s">
        <v>103</v>
      </c>
      <c r="D9" t="s">
        <v>154</v>
      </c>
      <c r="E9" t="s">
        <v>296</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295</v>
      </c>
      <c r="C10" t="s">
        <v>103</v>
      </c>
      <c r="D10" t="s">
        <v>154</v>
      </c>
      <c r="E10" t="s">
        <v>296</v>
      </c>
      <c r="F10" s="284" t="s">
        <v>92</v>
      </c>
      <c r="G10">
        <v>20.690362</v>
      </c>
      <c r="H10">
        <v>20.690362</v>
      </c>
      <c r="I10">
        <v>20.690362</v>
      </c>
      <c r="J10">
        <v>20.690362</v>
      </c>
      <c r="K10">
        <v>20.690362</v>
      </c>
      <c r="L10">
        <v>20.690362</v>
      </c>
      <c r="M10">
        <v>20.690362</v>
      </c>
      <c r="N10">
        <v>20.690362</v>
      </c>
      <c r="O10">
        <v>20.690362</v>
      </c>
      <c r="P10">
        <v>20.690362</v>
      </c>
      <c r="Q10">
        <v>20.690362</v>
      </c>
      <c r="R10">
        <v>20.690362</v>
      </c>
      <c r="S10">
        <v>20.690362</v>
      </c>
      <c r="T10">
        <v>20.690362</v>
      </c>
      <c r="U10">
        <v>20.690362</v>
      </c>
      <c r="V10">
        <v>20.690362</v>
      </c>
      <c r="W10">
        <v>20.690362</v>
      </c>
      <c r="X10">
        <v>20.690362</v>
      </c>
      <c r="Y10">
        <v>20.690362</v>
      </c>
      <c r="Z10">
        <v>20.690362</v>
      </c>
      <c r="AA10">
        <v>20.690362</v>
      </c>
      <c r="AB10">
        <v>20.690362</v>
      </c>
      <c r="AC10">
        <v>20.690362</v>
      </c>
      <c r="AD10">
        <v>20.690362</v>
      </c>
      <c r="AE10">
        <v>20.690362</v>
      </c>
      <c r="AF10">
        <v>20.690362</v>
      </c>
      <c r="AG10">
        <v>20.690362</v>
      </c>
      <c r="AH10">
        <v>20.690362</v>
      </c>
      <c r="AI10">
        <v>20.690362</v>
      </c>
      <c r="AJ10">
        <v>20.690362</v>
      </c>
      <c r="AK10">
        <v>20.690362</v>
      </c>
      <c r="AL10">
        <v>20.690362</v>
      </c>
      <c r="AM10">
        <v>20.690362</v>
      </c>
      <c r="AN10">
        <v>20.690362</v>
      </c>
      <c r="AO10">
        <v>20.690362</v>
      </c>
      <c r="AP10">
        <v>20.690362</v>
      </c>
      <c r="AQ10">
        <v>20.690362</v>
      </c>
      <c r="AR10">
        <v>20.690362</v>
      </c>
      <c r="AS10">
        <v>20.690362</v>
      </c>
      <c r="AT10">
        <v>20.690362</v>
      </c>
      <c r="AU10">
        <v>20.690362</v>
      </c>
      <c r="AV10">
        <v>20.690362</v>
      </c>
      <c r="AW10">
        <v>20.690362</v>
      </c>
      <c r="AX10">
        <v>20.690362</v>
      </c>
      <c r="AY10">
        <v>20.690362</v>
      </c>
      <c r="AZ10">
        <v>20.690362</v>
      </c>
      <c r="BA10">
        <v>20.690362</v>
      </c>
      <c r="BB10">
        <v>20.690362</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297</v>
      </c>
      <c r="C11" t="s">
        <v>101</v>
      </c>
      <c r="D11" t="s">
        <v>154</v>
      </c>
      <c r="E11" t="s">
        <v>298</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297</v>
      </c>
      <c r="C12" t="s">
        <v>101</v>
      </c>
      <c r="D12" t="s">
        <v>154</v>
      </c>
      <c r="E12" t="s">
        <v>298</v>
      </c>
      <c r="F12" s="284" t="s">
        <v>92</v>
      </c>
      <c r="G12">
        <v>27.279471000000001</v>
      </c>
      <c r="H12">
        <v>27.279471000000001</v>
      </c>
      <c r="I12">
        <v>27.279471000000001</v>
      </c>
      <c r="J12">
        <v>27.279471000000001</v>
      </c>
      <c r="K12">
        <v>27.279471000000001</v>
      </c>
      <c r="L12">
        <v>27.279471000000001</v>
      </c>
      <c r="M12">
        <v>27.279471000000001</v>
      </c>
      <c r="N12">
        <v>27.279471000000001</v>
      </c>
      <c r="O12">
        <v>27.279471000000001</v>
      </c>
      <c r="P12">
        <v>27.279471000000001</v>
      </c>
      <c r="Q12">
        <v>27.279471000000001</v>
      </c>
      <c r="R12">
        <v>27.279471000000001</v>
      </c>
      <c r="S12">
        <v>27.279471000000001</v>
      </c>
      <c r="T12">
        <v>27.279471000000001</v>
      </c>
      <c r="U12">
        <v>27.279471000000001</v>
      </c>
      <c r="V12">
        <v>27.279471000000001</v>
      </c>
      <c r="W12">
        <v>27.279471000000001</v>
      </c>
      <c r="X12">
        <v>27.279471000000001</v>
      </c>
      <c r="Y12">
        <v>27.279471000000001</v>
      </c>
      <c r="Z12">
        <v>27.279471000000001</v>
      </c>
      <c r="AA12">
        <v>27.279471000000001</v>
      </c>
      <c r="AB12">
        <v>27.279471000000001</v>
      </c>
      <c r="AC12">
        <v>27.279471000000001</v>
      </c>
      <c r="AD12">
        <v>27.279471000000001</v>
      </c>
      <c r="AE12">
        <v>27.279471000000001</v>
      </c>
      <c r="AF12">
        <v>27.279471000000001</v>
      </c>
      <c r="AG12">
        <v>27.279471000000001</v>
      </c>
      <c r="AH12">
        <v>27.279471000000001</v>
      </c>
      <c r="AI12">
        <v>27.279471000000001</v>
      </c>
      <c r="AJ12">
        <v>27.279471000000001</v>
      </c>
      <c r="AK12">
        <v>27.279471000000001</v>
      </c>
      <c r="AL12">
        <v>27.279471000000001</v>
      </c>
      <c r="AM12">
        <v>27.279471000000001</v>
      </c>
      <c r="AN12">
        <v>27.279471000000001</v>
      </c>
      <c r="AO12">
        <v>27.279471000000001</v>
      </c>
      <c r="AP12">
        <v>27.279471000000001</v>
      </c>
      <c r="AQ12">
        <v>27.279471000000001</v>
      </c>
      <c r="AR12">
        <v>27.279471000000001</v>
      </c>
      <c r="AS12">
        <v>27.279471000000001</v>
      </c>
      <c r="AT12">
        <v>27.279471000000001</v>
      </c>
      <c r="AU12">
        <v>27.279471000000001</v>
      </c>
      <c r="AV12">
        <v>27.279471000000001</v>
      </c>
      <c r="AW12">
        <v>27.279471000000001</v>
      </c>
      <c r="AX12">
        <v>27.279471000000001</v>
      </c>
      <c r="AY12">
        <v>27.279471000000001</v>
      </c>
      <c r="AZ12">
        <v>27.279471000000001</v>
      </c>
      <c r="BA12">
        <v>27.279471000000001</v>
      </c>
      <c r="BB12">
        <v>27.279471000000001</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ROUND(F5-SUM(F40:BO41),2)</f>
        <v>0</v>
      </c>
      <c r="K5" s="99"/>
      <c r="L5" s="275" t="s">
        <v>127</v>
      </c>
      <c r="M5" s="113"/>
      <c r="N5" s="114">
        <f>-(pedidobaselineactual-SUM(H44:BO44)-SUM(H62:BO62)-SUM(H78:BO78))</f>
        <v>4.8799993237480521E-4</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293</v>
      </c>
      <c r="C10" t="s">
        <v>101</v>
      </c>
      <c r="D10" t="s">
        <v>154</v>
      </c>
      <c r="E10" t="s">
        <v>294</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293</v>
      </c>
      <c r="C11" t="s">
        <v>101</v>
      </c>
      <c r="D11" t="s">
        <v>154</v>
      </c>
      <c r="E11" t="s">
        <v>294</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295</v>
      </c>
      <c r="C12" t="s">
        <v>103</v>
      </c>
      <c r="D12" t="s">
        <v>154</v>
      </c>
      <c r="E12" t="s">
        <v>296</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295</v>
      </c>
      <c r="C13" t="s">
        <v>103</v>
      </c>
      <c r="D13" t="s">
        <v>154</v>
      </c>
      <c r="E13" t="s">
        <v>296</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297</v>
      </c>
      <c r="C14" t="s">
        <v>101</v>
      </c>
      <c r="D14" t="s">
        <v>154</v>
      </c>
      <c r="E14" t="s">
        <v>298</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297</v>
      </c>
      <c r="C15" t="s">
        <v>101</v>
      </c>
      <c r="D15" t="s">
        <v>154</v>
      </c>
      <c r="E15" t="s">
        <v>298</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9687.5000101666647</v>
      </c>
      <c r="I44" s="282" cm="1">
        <f t="array" ref="I44">SUMPRODUCT(($G$10:$G$39="Horas/Jornadas Facturables")*1,I$10:I$39,Resources!H7:H36)</f>
        <v>9687.5000101666647</v>
      </c>
      <c r="J44" s="282" cm="1">
        <f t="array" ref="J44">SUMPRODUCT(($G$10:$G$39="Horas/Jornadas Facturables")*1,J$10:J$39,Resources!I7:I36)</f>
        <v>9687.5000101666647</v>
      </c>
      <c r="K44" s="282" cm="1">
        <f t="array" ref="K44">SUMPRODUCT(($G$10:$G$39="Horas/Jornadas Facturables")*1,K$10:K$39,Resources!J7:J36)</f>
        <v>9687.5000101666647</v>
      </c>
      <c r="L44" s="282" cm="1">
        <f t="array" ref="L44">SUMPRODUCT(($G$10:$G$39="Horas/Jornadas Facturables")*1,L$10:L$39,Resources!K7:K36)</f>
        <v>9687.5000101666647</v>
      </c>
      <c r="M44" s="282" cm="1">
        <f t="array" ref="M44">SUMPRODUCT(($G$10:$G$39="Horas/Jornadas Facturables")*1,M$10:M$39,Resources!L7:L36)</f>
        <v>9687.5000101666647</v>
      </c>
      <c r="N44" s="282" cm="1">
        <f t="array" ref="N44">SUMPRODUCT(($G$10:$G$39="Horas/Jornadas Facturables")*1,N$10:N$39,Resources!M7:M36)</f>
        <v>9687.5000101666647</v>
      </c>
      <c r="O44" s="282" cm="1">
        <f t="array" ref="O44">SUMPRODUCT(($G$10:$G$39="Horas/Jornadas Facturables")*1,O$10:O$39,Resources!N7:N36)</f>
        <v>9687.5000101666647</v>
      </c>
      <c r="P44" s="282" cm="1">
        <f t="array" ref="P44">SUMPRODUCT(($G$10:$G$39="Horas/Jornadas Facturables")*1,P$10:P$39,Resources!O7:O36)</f>
        <v>9687.5000101666647</v>
      </c>
      <c r="Q44" s="282" cm="1">
        <f t="array" ref="Q44">SUMPRODUCT(($G$10:$G$39="Horas/Jornadas Facturables")*1,Q$10:Q$39,Resources!P7:P36)</f>
        <v>9687.5000101666647</v>
      </c>
      <c r="R44" s="282" cm="1">
        <f t="array" ref="R44">SUMPRODUCT(($G$10:$G$39="Horas/Jornadas Facturables")*1,R$10:R$39,Resources!Q7:Q36)</f>
        <v>9687.5000101666647</v>
      </c>
      <c r="S44" s="282" cm="1">
        <f t="array" ref="S44">SUMPRODUCT(($G$10:$G$39="Horas/Jornadas Facturables")*1,S$10:S$39,Resources!R7:R36)</f>
        <v>9687.5000101666647</v>
      </c>
      <c r="T44" s="282" cm="1">
        <f t="array" ref="T44">SUMPRODUCT(($G$10:$G$39="Horas/Jornadas Facturables")*1,T$10:T$39,Resources!S7:S36)</f>
        <v>9687.5000101666647</v>
      </c>
      <c r="U44" s="282" cm="1">
        <f t="array" ref="U44">SUMPRODUCT(($G$10:$G$39="Horas/Jornadas Facturables")*1,U$10:U$39,Resources!T7:T36)</f>
        <v>9687.5000101666647</v>
      </c>
      <c r="V44" s="282" cm="1">
        <f t="array" ref="V44">SUMPRODUCT(($G$10:$G$39="Horas/Jornadas Facturables")*1,V$10:V$39,Resources!U7:U36)</f>
        <v>9687.5000101666647</v>
      </c>
      <c r="W44" s="282" cm="1">
        <f t="array" ref="W44">SUMPRODUCT(($G$10:$G$39="Horas/Jornadas Facturables")*1,W$10:W$39,Resources!V7:V36)</f>
        <v>9687.5000101666647</v>
      </c>
      <c r="X44" s="282" cm="1">
        <f t="array" ref="X44">SUMPRODUCT(($G$10:$G$39="Horas/Jornadas Facturables")*1,X$10:X$39,Resources!W7:W36)</f>
        <v>9687.5000101666647</v>
      </c>
      <c r="Y44" s="282" cm="1">
        <f t="array" ref="Y44">SUMPRODUCT(($G$10:$G$39="Horas/Jornadas Facturables")*1,Y$10:Y$39,Resources!X7:X36)</f>
        <v>9687.5000101666647</v>
      </c>
      <c r="Z44" s="282" cm="1">
        <f t="array" ref="Z44">SUMPRODUCT(($G$10:$G$39="Horas/Jornadas Facturables")*1,Z$10:Z$39,Resources!Y7:Y36)</f>
        <v>9687.5000101666647</v>
      </c>
      <c r="AA44" s="282" cm="1">
        <f t="array" ref="AA44">SUMPRODUCT(($G$10:$G$39="Horas/Jornadas Facturables")*1,AA$10:AA$39,Resources!Z7:Z36)</f>
        <v>9687.5000101666647</v>
      </c>
      <c r="AB44" s="282" cm="1">
        <f t="array" ref="AB44">SUMPRODUCT(($G$10:$G$39="Horas/Jornadas Facturables")*1,AB$10:AB$39,Resources!AA7:AA36)</f>
        <v>9687.5000101666647</v>
      </c>
      <c r="AC44" s="282" cm="1">
        <f t="array" ref="AC44">SUMPRODUCT(($G$10:$G$39="Horas/Jornadas Facturables")*1,AC$10:AC$39,Resources!AB7:AB36)</f>
        <v>9687.5000101666647</v>
      </c>
      <c r="AD44" s="282" cm="1">
        <f t="array" ref="AD44">SUMPRODUCT(($G$10:$G$39="Horas/Jornadas Facturables")*1,AD$10:AD$39,Resources!AC7:AC36)</f>
        <v>9687.5000101666647</v>
      </c>
      <c r="AE44" s="282" cm="1">
        <f t="array" ref="AE44">SUMPRODUCT(($G$10:$G$39="Horas/Jornadas Facturables")*1,AE$10:AE$39,Resources!AD7:AD36)</f>
        <v>9687.5000101666647</v>
      </c>
      <c r="AF44" s="282" cm="1">
        <f t="array" ref="AF44">SUMPRODUCT(($G$10:$G$39="Horas/Jornadas Facturables")*1,AF$10:AF$39,Resources!AE7:AE36)</f>
        <v>9687.5000101666647</v>
      </c>
      <c r="AG44" s="282" cm="1">
        <f t="array" ref="AG44">SUMPRODUCT(($G$10:$G$39="Horas/Jornadas Facturables")*1,AG$10:AG$39,Resources!AF7:AF36)</f>
        <v>9687.5000101666647</v>
      </c>
      <c r="AH44" s="282" cm="1">
        <f t="array" ref="AH44">SUMPRODUCT(($G$10:$G$39="Horas/Jornadas Facturables")*1,AH$10:AH$39,Resources!AG7:AG36)</f>
        <v>9687.5000101666647</v>
      </c>
      <c r="AI44" s="282" cm="1">
        <f t="array" ref="AI44">SUMPRODUCT(($G$10:$G$39="Horas/Jornadas Facturables")*1,AI$10:AI$39,Resources!AH7:AH36)</f>
        <v>9687.5000101666647</v>
      </c>
      <c r="AJ44" s="282" cm="1">
        <f t="array" ref="AJ44">SUMPRODUCT(($G$10:$G$39="Horas/Jornadas Facturables")*1,AJ$10:AJ$39,Resources!AI7:AI36)</f>
        <v>9687.5000101666647</v>
      </c>
      <c r="AK44" s="282" cm="1">
        <f t="array" ref="AK44">SUMPRODUCT(($G$10:$G$39="Horas/Jornadas Facturables")*1,AK$10:AK$39,Resources!AJ7:AJ36)</f>
        <v>9687.5000101666647</v>
      </c>
      <c r="AL44" s="282" cm="1">
        <f t="array" ref="AL44">SUMPRODUCT(($G$10:$G$39="Horas/Jornadas Facturables")*1,AL$10:AL$39,Resources!AK7:AK36)</f>
        <v>9687.5000101666647</v>
      </c>
      <c r="AM44" s="282" cm="1">
        <f t="array" ref="AM44">SUMPRODUCT(($G$10:$G$39="Horas/Jornadas Facturables")*1,AM$10:AM$39,Resources!AL7:AL36)</f>
        <v>9687.5000101666647</v>
      </c>
      <c r="AN44" s="282" cm="1">
        <f t="array" ref="AN44">SUMPRODUCT(($G$10:$G$39="Horas/Jornadas Facturables")*1,AN$10:AN$39,Resources!AM7:AM36)</f>
        <v>9687.5000101666647</v>
      </c>
      <c r="AO44" s="282" cm="1">
        <f t="array" ref="AO44">SUMPRODUCT(($G$10:$G$39="Horas/Jornadas Facturables")*1,AO$10:AO$39,Resources!AN7:AN36)</f>
        <v>9687.5000101666647</v>
      </c>
      <c r="AP44" s="282" cm="1">
        <f t="array" ref="AP44">SUMPRODUCT(($G$10:$G$39="Horas/Jornadas Facturables")*1,AP$10:AP$39,Resources!AO7:AO36)</f>
        <v>9687.5000101666647</v>
      </c>
      <c r="AQ44" s="282" cm="1">
        <f t="array" ref="AQ44">SUMPRODUCT(($G$10:$G$39="Horas/Jornadas Facturables")*1,AQ$10:AQ$39,Resources!AP7:AP36)</f>
        <v>9687.5000101666647</v>
      </c>
      <c r="AR44" s="282" cm="1">
        <f t="array" ref="AR44">SUMPRODUCT(($G$10:$G$39="Horas/Jornadas Facturables")*1,AR$10:AR$39,Resources!AQ7:AQ36)</f>
        <v>9687.5000101666647</v>
      </c>
      <c r="AS44" s="282" cm="1">
        <f t="array" ref="AS44">SUMPRODUCT(($G$10:$G$39="Horas/Jornadas Facturables")*1,AS$10:AS$39,Resources!AR7:AR36)</f>
        <v>9687.5000101666647</v>
      </c>
      <c r="AT44" s="282" cm="1">
        <f t="array" ref="AT44">SUMPRODUCT(($G$10:$G$39="Horas/Jornadas Facturables")*1,AT$10:AT$39,Resources!AS7:AS36)</f>
        <v>9687.5000101666647</v>
      </c>
      <c r="AU44" s="282" cm="1">
        <f t="array" ref="AU44">SUMPRODUCT(($G$10:$G$39="Horas/Jornadas Facturables")*1,AU$10:AU$39,Resources!AT7:AT36)</f>
        <v>9687.5000101666647</v>
      </c>
      <c r="AV44" s="282" cm="1">
        <f t="array" ref="AV44">SUMPRODUCT(($G$10:$G$39="Horas/Jornadas Facturables")*1,AV$10:AV$39,Resources!AU7:AU36)</f>
        <v>9687.5000101666647</v>
      </c>
      <c r="AW44" s="282" cm="1">
        <f t="array" ref="AW44">SUMPRODUCT(($G$10:$G$39="Horas/Jornadas Facturables")*1,AW$10:AW$39,Resources!AV7:AV36)</f>
        <v>9687.5000101666647</v>
      </c>
      <c r="AX44" s="282" cm="1">
        <f t="array" ref="AX44">SUMPRODUCT(($G$10:$G$39="Horas/Jornadas Facturables")*1,AX$10:AX$39,Resources!AW7:AW36)</f>
        <v>9687.5000101666647</v>
      </c>
      <c r="AY44" s="282" cm="1">
        <f t="array" ref="AY44">SUMPRODUCT(($G$10:$G$39="Horas/Jornadas Facturables")*1,AY$10:AY$39,Resources!AX7:AX36)</f>
        <v>9687.5000101666647</v>
      </c>
      <c r="AZ44" s="282" cm="1">
        <f t="array" ref="AZ44">SUMPRODUCT(($G$10:$G$39="Horas/Jornadas Facturables")*1,AZ$10:AZ$39,Resources!AY7:AY36)</f>
        <v>9687.5000101666647</v>
      </c>
      <c r="BA44" s="282" cm="1">
        <f t="array" ref="BA44">SUMPRODUCT(($G$10:$G$39="Horas/Jornadas Facturables")*1,BA$10:BA$39,Resources!AZ7:AZ36)</f>
        <v>9687.5000101666647</v>
      </c>
      <c r="BB44" s="282" cm="1">
        <f t="array" ref="BB44">SUMPRODUCT(($G$10:$G$39="Horas/Jornadas Facturables")*1,BB$10:BB$39,Resources!BA7:BA36)</f>
        <v>9687.5000101666647</v>
      </c>
      <c r="BC44" s="282" cm="1">
        <f t="array" ref="BC44">SUMPRODUCT(($G$10:$G$39="Horas/Jornadas Facturables")*1,BC$10:BC$39,Resources!BB7:BB36)</f>
        <v>9687.5000101666647</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ROUND(F50-SUM(F61:BO61),2)</f>
        <v>0</v>
      </c>
      <c r="K50" s="99"/>
      <c r="L50" s="296" t="str">
        <f>IF(J50&lt;-0.005,"(!) El coste de GASTOS planificado es mayor que el de la BASELINE","")</f>
        <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142</v>
      </c>
      <c r="C52" s="291" t="s">
        <v>143</v>
      </c>
      <c r="D52" s="291" t="s">
        <v>144</v>
      </c>
      <c r="E52" s="291"/>
      <c r="F52" s="101" t="s">
        <v>145</v>
      </c>
      <c r="G52" s="101" t="s">
        <v>146</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147</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148</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149</v>
      </c>
      <c r="E64" s="111"/>
      <c r="F64" s="278">
        <f>'Cost Overview'!L8</f>
        <v>0</v>
      </c>
      <c r="G64" s="279"/>
      <c r="H64" s="277" t="s">
        <v>126</v>
      </c>
      <c r="I64" s="276"/>
      <c r="J64" s="114">
        <f>ROUND(F64-SUM(F77:BO77),2)</f>
        <v>0</v>
      </c>
      <c r="K64" s="99"/>
      <c r="L64" s="296" t="str">
        <f>IF(J64&lt;-0.005,"(!) El coste de COMPRAS planificado es mayor que el de la BASELINE","")</f>
        <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150</v>
      </c>
      <c r="C66" s="291" t="s">
        <v>151</v>
      </c>
      <c r="D66" s="291" t="s">
        <v>152</v>
      </c>
      <c r="E66" s="291" t="s">
        <v>153</v>
      </c>
      <c r="F66" s="101" t="s">
        <v>145</v>
      </c>
      <c r="G66" s="101" t="s">
        <v>146</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155</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156</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157</v>
      </c>
    </row>
    <row r="89" spans="2:67" ht="14" x14ac:dyDescent="0.3">
      <c r="B89" s="21" t="s">
        <v>158</v>
      </c>
    </row>
    <row r="90" spans="2:67" ht="14" x14ac:dyDescent="0.3">
      <c r="B90" s="21" t="s">
        <v>159</v>
      </c>
    </row>
    <row r="91" spans="2:67" ht="14" x14ac:dyDescent="0.3">
      <c r="B91" s="21" t="s">
        <v>160</v>
      </c>
    </row>
    <row r="92" spans="2:67" ht="14" x14ac:dyDescent="0.3">
      <c r="B92" s="21" t="s">
        <v>161</v>
      </c>
    </row>
    <row r="93" spans="2:67" ht="14" x14ac:dyDescent="0.3">
      <c r="B93" s="21" t="s">
        <v>162</v>
      </c>
    </row>
    <row r="94" spans="2:67" ht="14" x14ac:dyDescent="0.3">
      <c r="B94" s="21" t="s">
        <v>163</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164</v>
      </c>
      <c r="J2" s="294"/>
      <c r="K2" s="294"/>
      <c r="L2" s="294"/>
      <c r="M2" s="168">
        <f>'Cost Planning'!N5</f>
        <v>4.8799993237480521E-4</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165</v>
      </c>
      <c r="C5" s="291"/>
      <c r="D5" s="145" t="s">
        <v>166</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167</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168</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169</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170</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171</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172</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173</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174</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175</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176</v>
      </c>
      <c r="C18" s="297"/>
      <c r="D18" s="150"/>
      <c r="E18" s="150">
        <f>'Cost Planning'!H44+'Cost Planning'!H62+'Cost Planning'!H78</f>
        <v>9687.5000101666647</v>
      </c>
      <c r="F18" s="150">
        <f>'Cost Planning'!I44+'Cost Planning'!I62+'Cost Planning'!I78</f>
        <v>9687.5000101666647</v>
      </c>
      <c r="G18" s="150">
        <f>'Cost Planning'!J44+'Cost Planning'!J62+'Cost Planning'!J78</f>
        <v>9687.5000101666647</v>
      </c>
      <c r="H18" s="150">
        <f>'Cost Planning'!K44+'Cost Planning'!K62+'Cost Planning'!K78</f>
        <v>9687.5000101666647</v>
      </c>
      <c r="I18" s="150">
        <f>'Cost Planning'!L44+'Cost Planning'!L62+'Cost Planning'!L78</f>
        <v>9687.5000101666647</v>
      </c>
      <c r="J18" s="150">
        <f>'Cost Planning'!M44+'Cost Planning'!M62+'Cost Planning'!M78</f>
        <v>9687.5000101666647</v>
      </c>
      <c r="K18" s="150">
        <f>'Cost Planning'!N44+'Cost Planning'!N62+'Cost Planning'!N78</f>
        <v>9687.5000101666647</v>
      </c>
      <c r="L18" s="150">
        <f>'Cost Planning'!O44+'Cost Planning'!O62+'Cost Planning'!O78</f>
        <v>9687.5000101666647</v>
      </c>
      <c r="M18" s="150">
        <f>'Cost Planning'!P44+'Cost Planning'!P62+'Cost Planning'!P78</f>
        <v>9687.5000101666647</v>
      </c>
      <c r="N18" s="150">
        <f>'Cost Planning'!Q44+'Cost Planning'!Q62+'Cost Planning'!Q78</f>
        <v>9687.5000101666647</v>
      </c>
      <c r="O18" s="150">
        <f>'Cost Planning'!R44+'Cost Planning'!R62+'Cost Planning'!R78</f>
        <v>9687.5000101666647</v>
      </c>
      <c r="P18" s="150">
        <f>'Cost Planning'!S44+'Cost Planning'!S62+'Cost Planning'!S78</f>
        <v>9687.5000101666647</v>
      </c>
      <c r="Q18" s="150">
        <f>'Cost Planning'!T44+'Cost Planning'!T62+'Cost Planning'!T78</f>
        <v>9687.5000101666647</v>
      </c>
      <c r="R18" s="150">
        <f>'Cost Planning'!U44+'Cost Planning'!U62+'Cost Planning'!U78</f>
        <v>9687.5000101666647</v>
      </c>
      <c r="S18" s="150">
        <f>'Cost Planning'!V44+'Cost Planning'!V62+'Cost Planning'!V78</f>
        <v>9687.5000101666647</v>
      </c>
      <c r="T18" s="150">
        <f>'Cost Planning'!W44+'Cost Planning'!W62+'Cost Planning'!W78</f>
        <v>9687.5000101666647</v>
      </c>
      <c r="U18" s="150">
        <f>'Cost Planning'!X44+'Cost Planning'!X62+'Cost Planning'!X78</f>
        <v>9687.5000101666647</v>
      </c>
      <c r="V18" s="150">
        <f>'Cost Planning'!Y44+'Cost Planning'!Y62+'Cost Planning'!Y78</f>
        <v>9687.5000101666647</v>
      </c>
      <c r="W18" s="150">
        <f>'Cost Planning'!Z44+'Cost Planning'!Z62+'Cost Planning'!Z78</f>
        <v>9687.5000101666647</v>
      </c>
      <c r="X18" s="150">
        <f>'Cost Planning'!AA44+'Cost Planning'!AA62+'Cost Planning'!AA78</f>
        <v>9687.5000101666647</v>
      </c>
      <c r="Y18" s="150">
        <f>'Cost Planning'!AB44+'Cost Planning'!AB62+'Cost Planning'!AB78</f>
        <v>9687.5000101666647</v>
      </c>
      <c r="Z18" s="150">
        <f>'Cost Planning'!AC44+'Cost Planning'!AC62+'Cost Planning'!AC78</f>
        <v>9687.5000101666647</v>
      </c>
      <c r="AA18" s="150">
        <f>'Cost Planning'!AD44+'Cost Planning'!AD62+'Cost Planning'!AD78</f>
        <v>9687.5000101666647</v>
      </c>
      <c r="AB18" s="150">
        <f>'Cost Planning'!AE44+'Cost Planning'!AE62+'Cost Planning'!AE78</f>
        <v>9687.5000101666647</v>
      </c>
      <c r="AC18" s="150">
        <f>'Cost Planning'!AF44+'Cost Planning'!AF62+'Cost Planning'!AF78</f>
        <v>9687.5000101666647</v>
      </c>
      <c r="AD18" s="150">
        <f>'Cost Planning'!AG44+'Cost Planning'!AG62+'Cost Planning'!AG78</f>
        <v>9687.5000101666647</v>
      </c>
      <c r="AE18" s="150">
        <f>'Cost Planning'!AH44+'Cost Planning'!AH62+'Cost Planning'!AH78</f>
        <v>9687.5000101666647</v>
      </c>
      <c r="AF18" s="150">
        <f>'Cost Planning'!AI44+'Cost Planning'!AI62+'Cost Planning'!AI78</f>
        <v>9687.5000101666647</v>
      </c>
      <c r="AG18" s="150">
        <f>'Cost Planning'!AJ44+'Cost Planning'!AJ62+'Cost Planning'!AJ78</f>
        <v>9687.5000101666647</v>
      </c>
      <c r="AH18" s="150">
        <f>'Cost Planning'!AK44+'Cost Planning'!AK62+'Cost Planning'!AK78</f>
        <v>9687.5000101666647</v>
      </c>
      <c r="AI18" s="150">
        <f>'Cost Planning'!AL44+'Cost Planning'!AL62+'Cost Planning'!AL78</f>
        <v>9687.5000101666647</v>
      </c>
      <c r="AJ18" s="150">
        <f>'Cost Planning'!AM44+'Cost Planning'!AM62+'Cost Planning'!AM78</f>
        <v>9687.5000101666647</v>
      </c>
      <c r="AK18" s="150">
        <f>'Cost Planning'!AN44+'Cost Planning'!AN62+'Cost Planning'!AN78</f>
        <v>9687.5000101666647</v>
      </c>
      <c r="AL18" s="150">
        <f>'Cost Planning'!AO44+'Cost Planning'!AO62+'Cost Planning'!AO78</f>
        <v>9687.5000101666647</v>
      </c>
      <c r="AM18" s="150">
        <f>'Cost Planning'!AP44+'Cost Planning'!AP62+'Cost Planning'!AP78</f>
        <v>9687.5000101666647</v>
      </c>
      <c r="AN18" s="150">
        <f>'Cost Planning'!AQ44+'Cost Planning'!AQ62+'Cost Planning'!AQ78</f>
        <v>9687.5000101666647</v>
      </c>
      <c r="AO18" s="150">
        <f>'Cost Planning'!AR44+'Cost Planning'!AR62+'Cost Planning'!AR78</f>
        <v>9687.5000101666647</v>
      </c>
      <c r="AP18" s="150">
        <f>'Cost Planning'!AS44+'Cost Planning'!AS62+'Cost Planning'!AS78</f>
        <v>9687.5000101666647</v>
      </c>
      <c r="AQ18" s="150">
        <f>'Cost Planning'!AT44+'Cost Planning'!AT62+'Cost Planning'!AT78</f>
        <v>9687.5000101666647</v>
      </c>
      <c r="AR18" s="150">
        <f>'Cost Planning'!AU44+'Cost Planning'!AU62+'Cost Planning'!AU78</f>
        <v>9687.5000101666647</v>
      </c>
      <c r="AS18" s="150">
        <f>'Cost Planning'!AV44+'Cost Planning'!AV62+'Cost Planning'!AV78</f>
        <v>9687.5000101666647</v>
      </c>
      <c r="AT18" s="150">
        <f>'Cost Planning'!AW44+'Cost Planning'!AW62+'Cost Planning'!AW78</f>
        <v>9687.5000101666647</v>
      </c>
      <c r="AU18" s="150">
        <f>'Cost Planning'!AX44+'Cost Planning'!AX62+'Cost Planning'!AX78</f>
        <v>9687.5000101666647</v>
      </c>
      <c r="AV18" s="150">
        <f>'Cost Planning'!AY44+'Cost Planning'!AY62+'Cost Planning'!AY78</f>
        <v>9687.5000101666647</v>
      </c>
      <c r="AW18" s="150">
        <f>'Cost Planning'!AZ44+'Cost Planning'!AZ62+'Cost Planning'!AZ78</f>
        <v>9687.5000101666647</v>
      </c>
      <c r="AX18" s="150">
        <f>'Cost Planning'!BA44+'Cost Planning'!BA62+'Cost Planning'!BA78</f>
        <v>9687.5000101666647</v>
      </c>
      <c r="AY18" s="150">
        <f>'Cost Planning'!BB44+'Cost Planning'!BB62+'Cost Planning'!BB78</f>
        <v>9687.5000101666647</v>
      </c>
      <c r="AZ18" s="150">
        <f>'Cost Planning'!BC44+'Cost Planning'!BC62+'Cost Planning'!BC78</f>
        <v>9687.5000101666647</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168</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169</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170</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171</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172</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173</v>
      </c>
      <c r="C26" s="300"/>
      <c r="D26" s="153"/>
      <c r="E26" s="153">
        <f>E18-E25</f>
        <v>2584.7150101666648</v>
      </c>
      <c r="F26" s="157">
        <f t="shared" ref="F26:Z26" si="150">F18-F25</f>
        <v>2584.7150101666648</v>
      </c>
      <c r="G26" s="157">
        <f t="shared" si="150"/>
        <v>2584.7150101666648</v>
      </c>
      <c r="H26" s="157">
        <f t="shared" si="150"/>
        <v>2584.7150101666648</v>
      </c>
      <c r="I26" s="157">
        <f t="shared" si="150"/>
        <v>2584.7150101666612</v>
      </c>
      <c r="J26" s="157">
        <f t="shared" si="150"/>
        <v>2584.7150101666612</v>
      </c>
      <c r="K26" s="157">
        <f t="shared" si="150"/>
        <v>2584.7150101666612</v>
      </c>
      <c r="L26" s="157">
        <f t="shared" si="150"/>
        <v>2584.7150101666612</v>
      </c>
      <c r="M26" s="157">
        <f t="shared" si="150"/>
        <v>2584.7150101666612</v>
      </c>
      <c r="N26" s="157">
        <f t="shared" si="150"/>
        <v>2584.7150101666612</v>
      </c>
      <c r="O26" s="157">
        <f t="shared" si="150"/>
        <v>2584.7150101666612</v>
      </c>
      <c r="P26" s="157">
        <f t="shared" si="150"/>
        <v>2584.7150101666612</v>
      </c>
      <c r="Q26" s="157">
        <f t="shared" si="150"/>
        <v>2371.6314601666654</v>
      </c>
      <c r="R26" s="157">
        <f t="shared" si="150"/>
        <v>2371.6314601666654</v>
      </c>
      <c r="S26" s="157">
        <f t="shared" si="150"/>
        <v>2371.6314601666654</v>
      </c>
      <c r="T26" s="157">
        <f t="shared" si="150"/>
        <v>2371.6314601666654</v>
      </c>
      <c r="U26" s="157">
        <f t="shared" si="150"/>
        <v>2371.6314601666654</v>
      </c>
      <c r="V26" s="153">
        <f t="shared" si="150"/>
        <v>2371.6314601666654</v>
      </c>
      <c r="W26" s="153">
        <f t="shared" si="150"/>
        <v>2371.6314601666654</v>
      </c>
      <c r="X26" s="153">
        <f t="shared" si="150"/>
        <v>2371.6314601666509</v>
      </c>
      <c r="Y26" s="153">
        <f t="shared" si="150"/>
        <v>2371.6314601666509</v>
      </c>
      <c r="Z26" s="153">
        <f t="shared" si="150"/>
        <v>2371.6314601666509</v>
      </c>
      <c r="AA26" s="153">
        <f>AA18-AA25</f>
        <v>2371.6314601666509</v>
      </c>
      <c r="AB26" s="153">
        <f>AB18-AB25</f>
        <v>2371.6314601666509</v>
      </c>
      <c r="AC26" s="153">
        <f t="shared" ref="AC26:BL26" si="151">AC18-AC25</f>
        <v>2152.1554036666621</v>
      </c>
      <c r="AD26" s="153">
        <f t="shared" si="151"/>
        <v>2152.1554036666621</v>
      </c>
      <c r="AE26" s="153">
        <f t="shared" si="151"/>
        <v>2152.1554036666621</v>
      </c>
      <c r="AF26" s="153">
        <f t="shared" si="151"/>
        <v>2152.1554036666621</v>
      </c>
      <c r="AG26" s="153">
        <f t="shared" si="151"/>
        <v>2152.1554036666621</v>
      </c>
      <c r="AH26" s="153">
        <f t="shared" si="151"/>
        <v>2152.1554036666621</v>
      </c>
      <c r="AI26" s="153">
        <f t="shared" si="151"/>
        <v>2152.1554036666621</v>
      </c>
      <c r="AJ26" s="153">
        <f t="shared" si="151"/>
        <v>2152.1554036666621</v>
      </c>
      <c r="AK26" s="153">
        <f t="shared" si="151"/>
        <v>2152.1554036666621</v>
      </c>
      <c r="AL26" s="153">
        <f t="shared" si="151"/>
        <v>2152.1554036666621</v>
      </c>
      <c r="AM26" s="153">
        <f t="shared" si="151"/>
        <v>2152.1554036666621</v>
      </c>
      <c r="AN26" s="153">
        <f t="shared" si="151"/>
        <v>2152.1554036666621</v>
      </c>
      <c r="AO26" s="153">
        <f t="shared" si="151"/>
        <v>1926.0950654716562</v>
      </c>
      <c r="AP26" s="153">
        <f t="shared" si="151"/>
        <v>1926.0950654716562</v>
      </c>
      <c r="AQ26" s="153">
        <f t="shared" si="151"/>
        <v>1926.0950654716562</v>
      </c>
      <c r="AR26" s="153">
        <f t="shared" si="151"/>
        <v>1926.0950654716562</v>
      </c>
      <c r="AS26" s="153">
        <f t="shared" si="151"/>
        <v>1926.0950654716562</v>
      </c>
      <c r="AT26" s="153">
        <f t="shared" si="151"/>
        <v>1926.0950654716562</v>
      </c>
      <c r="AU26" s="153">
        <f t="shared" si="151"/>
        <v>1926.0950654716562</v>
      </c>
      <c r="AV26" s="153">
        <f t="shared" si="151"/>
        <v>1926.0950654716562</v>
      </c>
      <c r="AW26" s="153">
        <f t="shared" si="151"/>
        <v>1926.0950654716562</v>
      </c>
      <c r="AX26" s="153">
        <f t="shared" si="151"/>
        <v>1926.0950654716562</v>
      </c>
      <c r="AY26" s="153">
        <f t="shared" si="151"/>
        <v>1926.0950654716562</v>
      </c>
      <c r="AZ26" s="153">
        <f t="shared" si="151"/>
        <v>-1639.7549345283442</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174</v>
      </c>
      <c r="C27" s="300"/>
      <c r="D27" s="154"/>
      <c r="E27" s="154">
        <f>IF(E18=0,0,(E18-SUM(E20,E21,E22,E23,E24))/E18)</f>
        <v>0.26680929109203655</v>
      </c>
      <c r="F27" s="154">
        <f t="shared" ref="F27:Z27" si="152">IF(F18=0,0,(F18-SUM(F20,F21,F22,F23,F24))/F18)</f>
        <v>0.26680929109203655</v>
      </c>
      <c r="G27" s="154">
        <f t="shared" si="152"/>
        <v>0.26680929109203655</v>
      </c>
      <c r="H27" s="154">
        <f t="shared" si="152"/>
        <v>0.26680929109203655</v>
      </c>
      <c r="I27" s="154">
        <f t="shared" si="152"/>
        <v>0.26680929109203616</v>
      </c>
      <c r="J27" s="154">
        <f t="shared" si="152"/>
        <v>0.26680929109203616</v>
      </c>
      <c r="K27" s="154">
        <f t="shared" si="152"/>
        <v>0.26680929109203616</v>
      </c>
      <c r="L27" s="154">
        <f t="shared" si="152"/>
        <v>0.26680929109203616</v>
      </c>
      <c r="M27" s="154">
        <f t="shared" si="152"/>
        <v>0.26680929109203616</v>
      </c>
      <c r="N27" s="154">
        <f t="shared" si="152"/>
        <v>0.26680929109203616</v>
      </c>
      <c r="O27" s="154">
        <f t="shared" si="152"/>
        <v>0.26680929109203616</v>
      </c>
      <c r="P27" s="154">
        <f t="shared" si="152"/>
        <v>0.26680929109203616</v>
      </c>
      <c r="Q27" s="154">
        <f t="shared" si="152"/>
        <v>0.24481356982479771</v>
      </c>
      <c r="R27" s="154">
        <f t="shared" si="152"/>
        <v>0.24481356982479771</v>
      </c>
      <c r="S27" s="154">
        <f t="shared" si="152"/>
        <v>0.24481356982479771</v>
      </c>
      <c r="T27" s="154">
        <f t="shared" si="152"/>
        <v>0.24481356982479771</v>
      </c>
      <c r="U27" s="154">
        <f t="shared" si="152"/>
        <v>0.24481356982479771</v>
      </c>
      <c r="V27" s="154">
        <f t="shared" si="152"/>
        <v>0.24481356982479771</v>
      </c>
      <c r="W27" s="154">
        <f t="shared" si="152"/>
        <v>0.24481356982479771</v>
      </c>
      <c r="X27" s="154">
        <f t="shared" si="152"/>
        <v>0.24481356982479621</v>
      </c>
      <c r="Y27" s="154">
        <f t="shared" si="152"/>
        <v>0.24481356982479621</v>
      </c>
      <c r="Z27" s="154">
        <f t="shared" si="152"/>
        <v>0.24481356982479621</v>
      </c>
      <c r="AA27" s="154">
        <f>IF(AA18=0,0,(AA18-SUM(AA20,AA21,AA22,AA23,AA24))/AA18)</f>
        <v>0.24481356982479621</v>
      </c>
      <c r="AB27" s="154">
        <f>IF(AB18=0,0,(AB18-SUM(AB20,AB21,AB22,AB23,AB24))/AB18)</f>
        <v>0.24481356982479621</v>
      </c>
      <c r="AC27" s="154">
        <f t="shared" ref="AC27:BL27" si="153">IF(AC18=0,0,(AC18-SUM(AC20,AC21,AC22,AC23,AC24))/AC18)</f>
        <v>0.22215797691954131</v>
      </c>
      <c r="AD27" s="154">
        <f t="shared" si="153"/>
        <v>0.22215797691954131</v>
      </c>
      <c r="AE27" s="154">
        <f t="shared" si="153"/>
        <v>0.22215797691954131</v>
      </c>
      <c r="AF27" s="154">
        <f t="shared" si="153"/>
        <v>0.22215797691954131</v>
      </c>
      <c r="AG27" s="154">
        <f t="shared" si="153"/>
        <v>0.22215797691954131</v>
      </c>
      <c r="AH27" s="154">
        <f t="shared" si="153"/>
        <v>0.22215797691954131</v>
      </c>
      <c r="AI27" s="154">
        <f t="shared" si="153"/>
        <v>0.22215797691954131</v>
      </c>
      <c r="AJ27" s="154">
        <f t="shared" si="153"/>
        <v>0.22215797691954131</v>
      </c>
      <c r="AK27" s="154">
        <f t="shared" si="153"/>
        <v>0.22215797691954131</v>
      </c>
      <c r="AL27" s="154">
        <f t="shared" si="153"/>
        <v>0.22215797691954131</v>
      </c>
      <c r="AM27" s="154">
        <f t="shared" si="153"/>
        <v>0.22215797691954131</v>
      </c>
      <c r="AN27" s="154">
        <f t="shared" si="153"/>
        <v>0.22215797691954131</v>
      </c>
      <c r="AO27" s="154">
        <f t="shared" si="153"/>
        <v>0.19882271622712694</v>
      </c>
      <c r="AP27" s="154">
        <f t="shared" si="153"/>
        <v>0.19882271622712694</v>
      </c>
      <c r="AQ27" s="154">
        <f t="shared" si="153"/>
        <v>0.19882271622712694</v>
      </c>
      <c r="AR27" s="154">
        <f t="shared" si="153"/>
        <v>0.19882271622712694</v>
      </c>
      <c r="AS27" s="154">
        <f t="shared" si="153"/>
        <v>0.19882271622712694</v>
      </c>
      <c r="AT27" s="154">
        <f t="shared" si="153"/>
        <v>0.19882271622712694</v>
      </c>
      <c r="AU27" s="154">
        <f t="shared" si="153"/>
        <v>0.19882271622712694</v>
      </c>
      <c r="AV27" s="154">
        <f t="shared" si="153"/>
        <v>0.19882271622712694</v>
      </c>
      <c r="AW27" s="154">
        <f t="shared" si="153"/>
        <v>0.19882271622712694</v>
      </c>
      <c r="AX27" s="154">
        <f t="shared" si="153"/>
        <v>0.19882271622712694</v>
      </c>
      <c r="AY27" s="154">
        <f t="shared" si="153"/>
        <v>0.19882271622712694</v>
      </c>
      <c r="AZ27" s="154">
        <f t="shared" si="153"/>
        <v>-0.16926502532206281</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177</v>
      </c>
      <c r="C29" s="291"/>
      <c r="D29" s="145" t="s">
        <v>178</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179</v>
      </c>
      <c r="C30" s="297"/>
      <c r="D30" s="150">
        <f>'Project Infor'!C45</f>
        <v>0</v>
      </c>
      <c r="E30" s="150">
        <f t="shared" ref="E30:AB30" ca="1" si="213">IF(E40,E40,D30+E18)</f>
        <v>9687.5000101666647</v>
      </c>
      <c r="F30" s="150">
        <f t="shared" ca="1" si="213"/>
        <v>19375.000020333329</v>
      </c>
      <c r="G30" s="150">
        <f t="shared" ca="1" si="213"/>
        <v>29062.500030499992</v>
      </c>
      <c r="H30" s="150">
        <f t="shared" ca="1" si="213"/>
        <v>38750.000040666659</v>
      </c>
      <c r="I30" s="150">
        <f t="shared" ca="1" si="213"/>
        <v>48437.500050833325</v>
      </c>
      <c r="J30" s="150">
        <f t="shared" ca="1" si="213"/>
        <v>58125.000060999992</v>
      </c>
      <c r="K30" s="150">
        <f t="shared" ca="1" si="213"/>
        <v>67812.500071166651</v>
      </c>
      <c r="L30" s="150">
        <f t="shared" ca="1" si="213"/>
        <v>77500.000081333317</v>
      </c>
      <c r="M30" s="150">
        <f t="shared" ca="1" si="213"/>
        <v>87187.500091499984</v>
      </c>
      <c r="N30" s="150">
        <f t="shared" ca="1" si="213"/>
        <v>96875.00010166665</v>
      </c>
      <c r="O30" s="150">
        <f t="shared" ca="1" si="213"/>
        <v>106562.50011183332</v>
      </c>
      <c r="P30" s="150">
        <f t="shared" ca="1" si="213"/>
        <v>116250.00012199998</v>
      </c>
      <c r="Q30" s="150">
        <f t="shared" ca="1" si="213"/>
        <v>125937.50013216665</v>
      </c>
      <c r="R30" s="150">
        <f t="shared" ca="1" si="213"/>
        <v>135625.0001423333</v>
      </c>
      <c r="S30" s="150">
        <f t="shared" ca="1" si="213"/>
        <v>145312.50015249997</v>
      </c>
      <c r="T30" s="150">
        <f t="shared" ca="1" si="213"/>
        <v>155000.00016266663</v>
      </c>
      <c r="U30" s="150">
        <f t="shared" ca="1" si="213"/>
        <v>164687.5001728333</v>
      </c>
      <c r="V30" s="150">
        <f t="shared" ca="1" si="213"/>
        <v>174375.00018299997</v>
      </c>
      <c r="W30" s="150">
        <f t="shared" ca="1" si="213"/>
        <v>184062.50019316663</v>
      </c>
      <c r="X30" s="150">
        <f t="shared" ca="1" si="213"/>
        <v>193750.0002033333</v>
      </c>
      <c r="Y30" s="150">
        <f t="shared" ca="1" si="213"/>
        <v>203437.50021349997</v>
      </c>
      <c r="Z30" s="150">
        <f t="shared" ca="1" si="213"/>
        <v>213125.00022366663</v>
      </c>
      <c r="AA30" s="150">
        <f t="shared" ca="1" si="213"/>
        <v>222812.5002338333</v>
      </c>
      <c r="AB30" s="150">
        <f t="shared" ca="1" si="213"/>
        <v>232500.00024399997</v>
      </c>
      <c r="AC30" s="150">
        <f t="shared" ref="AC30" ca="1" si="214">IF(AC40,AC40,AB30+AC18)</f>
        <v>242187.50025416663</v>
      </c>
      <c r="AD30" s="150">
        <f t="shared" ref="AD30" ca="1" si="215">IF(AD40,AD40,AC30+AD18)</f>
        <v>251875.0002643333</v>
      </c>
      <c r="AE30" s="150">
        <f t="shared" ref="AE30" ca="1" si="216">IF(AE40,AE40,AD30+AE18)</f>
        <v>261562.50027449997</v>
      </c>
      <c r="AF30" s="150">
        <f t="shared" ref="AF30" ca="1" si="217">IF(AF40,AF40,AE30+AF18)</f>
        <v>271250.0002846666</v>
      </c>
      <c r="AG30" s="150">
        <f t="shared" ref="AG30" ca="1" si="218">IF(AG40,AG40,AF30+AG18)</f>
        <v>280937.50029483327</v>
      </c>
      <c r="AH30" s="150">
        <f t="shared" ref="AH30" ca="1" si="219">IF(AH40,AH40,AG30+AH18)</f>
        <v>290625.00030499994</v>
      </c>
      <c r="AI30" s="150">
        <f t="shared" ref="AI30" ca="1" si="220">IF(AI40,AI40,AH30+AI18)</f>
        <v>300312.5003151666</v>
      </c>
      <c r="AJ30" s="150">
        <f t="shared" ref="AJ30" ca="1" si="221">IF(AJ40,AJ40,AI30+AJ18)</f>
        <v>310000.00032533327</v>
      </c>
      <c r="AK30" s="150">
        <f t="shared" ref="AK30" ca="1" si="222">IF(AK40,AK40,AJ30+AK18)</f>
        <v>319687.50033549994</v>
      </c>
      <c r="AL30" s="150">
        <f t="shared" ref="AL30" ca="1" si="223">IF(AL40,AL40,AK30+AL18)</f>
        <v>329375.0003456666</v>
      </c>
      <c r="AM30" s="150">
        <f t="shared" ref="AM30" ca="1" si="224">IF(AM40,AM40,AL30+AM18)</f>
        <v>339062.50035583327</v>
      </c>
      <c r="AN30" s="150">
        <f t="shared" ref="AN30" ca="1" si="225">IF(AN40,AN40,AM30+AN18)</f>
        <v>348750.00036599993</v>
      </c>
      <c r="AO30" s="150">
        <f t="shared" ref="AO30" ca="1" si="226">IF(AO40,AO40,AN30+AO18)</f>
        <v>358437.5003761666</v>
      </c>
      <c r="AP30" s="150">
        <f t="shared" ref="AP30" ca="1" si="227">IF(AP40,AP40,AO30+AP18)</f>
        <v>368125.00038633327</v>
      </c>
      <c r="AQ30" s="150">
        <f t="shared" ref="AQ30" ca="1" si="228">IF(AQ40,AQ40,AP30+AQ18)</f>
        <v>377812.50039649993</v>
      </c>
      <c r="AR30" s="150">
        <f t="shared" ref="AR30" ca="1" si="229">IF(AR40,AR40,AQ30+AR18)</f>
        <v>387500.0004066666</v>
      </c>
      <c r="AS30" s="150">
        <f t="shared" ref="AS30" ca="1" si="230">IF(AS40,AS40,AR30+AS18)</f>
        <v>397187.50041683327</v>
      </c>
      <c r="AT30" s="150">
        <f t="shared" ref="AT30" ca="1" si="231">IF(AT40,AT40,AS30+AT18)</f>
        <v>406875.00042699993</v>
      </c>
      <c r="AU30" s="150">
        <f t="shared" ref="AU30" ca="1" si="232">IF(AU40,AU40,AT30+AU18)</f>
        <v>416562.5004371666</v>
      </c>
      <c r="AV30" s="150">
        <f t="shared" ref="AV30" ca="1" si="233">IF(AV40,AV40,AU30+AV18)</f>
        <v>426250.00044733327</v>
      </c>
      <c r="AW30" s="150">
        <f t="shared" ref="AW30" ca="1" si="234">IF(AW40,AW40,AV30+AW18)</f>
        <v>435937.50045749993</v>
      </c>
      <c r="AX30" s="150">
        <f t="shared" ref="AX30" ca="1" si="235">IF(AX40,AX40,AW30+AX18)</f>
        <v>445625.0004676666</v>
      </c>
      <c r="AY30" s="150">
        <f t="shared" ref="AY30" ca="1" si="236">IF(AY40,AY40,AX30+AY18)</f>
        <v>455312.50047783327</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180</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169</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170</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171</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172</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181</v>
      </c>
      <c r="C38" s="299"/>
      <c r="D38" s="159">
        <f>D30-D32-D33-D34-D35-D36</f>
        <v>0</v>
      </c>
      <c r="E38" s="159">
        <f ca="1">E30-E32-E33-E34-E35-E36</f>
        <v>2584.7150101666648</v>
      </c>
      <c r="F38" s="159">
        <f t="shared" ref="F38:Z38" ca="1" si="252">F30-F32-F33-F34-F35-F36</f>
        <v>5169.4300203333296</v>
      </c>
      <c r="G38" s="159">
        <f t="shared" ca="1" si="252"/>
        <v>7754.1450304999926</v>
      </c>
      <c r="H38" s="159">
        <f t="shared" ca="1" si="252"/>
        <v>10338.860040666659</v>
      </c>
      <c r="I38" s="159">
        <f t="shared" ca="1" si="252"/>
        <v>12923.575050833322</v>
      </c>
      <c r="J38" s="159">
        <f t="shared" ca="1" si="252"/>
        <v>15508.290060999985</v>
      </c>
      <c r="K38" s="159">
        <f t="shared" ca="1" si="252"/>
        <v>18093.005071166641</v>
      </c>
      <c r="L38" s="159">
        <f t="shared" ca="1" si="252"/>
        <v>20677.720081333304</v>
      </c>
      <c r="M38" s="159">
        <f t="shared" ca="1" si="252"/>
        <v>23262.435091499967</v>
      </c>
      <c r="N38" s="159">
        <f t="shared" ca="1" si="252"/>
        <v>25847.15010166663</v>
      </c>
      <c r="O38" s="159">
        <f t="shared" ca="1" si="252"/>
        <v>28431.865111833293</v>
      </c>
      <c r="P38" s="159">
        <f t="shared" ca="1" si="252"/>
        <v>31016.580121999956</v>
      </c>
      <c r="Q38" s="159">
        <f t="shared" ca="1" si="252"/>
        <v>33388.211582166623</v>
      </c>
      <c r="R38" s="159">
        <f t="shared" ca="1" si="252"/>
        <v>35759.843042333276</v>
      </c>
      <c r="S38" s="159">
        <f t="shared" ca="1" si="252"/>
        <v>38131.474502499943</v>
      </c>
      <c r="T38" s="159">
        <f t="shared" ca="1" si="252"/>
        <v>40503.10596266661</v>
      </c>
      <c r="U38" s="159">
        <f t="shared" ca="1" si="252"/>
        <v>42874.737422833277</v>
      </c>
      <c r="V38" s="159">
        <f t="shared" ca="1" si="252"/>
        <v>45246.368882999945</v>
      </c>
      <c r="W38" s="159">
        <f t="shared" ca="1" si="252"/>
        <v>47618.000343166612</v>
      </c>
      <c r="X38" s="159">
        <f t="shared" ca="1" si="252"/>
        <v>49989.631803333265</v>
      </c>
      <c r="Y38" s="159">
        <f t="shared" ca="1" si="252"/>
        <v>52361.263263499917</v>
      </c>
      <c r="Z38" s="159">
        <f t="shared" ca="1" si="252"/>
        <v>54732.89472366657</v>
      </c>
      <c r="AA38" s="159">
        <f ca="1">AA30-AA32-AA33-AA34-AA35-AA36</f>
        <v>57104.526183833223</v>
      </c>
      <c r="AB38" s="159">
        <f ca="1">AB30-AB32-AB33-AB34-AB35-AB36</f>
        <v>59476.157643999875</v>
      </c>
      <c r="AC38" s="159">
        <f t="shared" ref="AC38:BL38" ca="1" si="253">AC30-AC32-AC33-AC34-AC35-AC36</f>
        <v>61628.313047666539</v>
      </c>
      <c r="AD38" s="159">
        <f t="shared" ca="1" si="253"/>
        <v>63780.468451333203</v>
      </c>
      <c r="AE38" s="159">
        <f t="shared" ca="1" si="253"/>
        <v>65932.623854999867</v>
      </c>
      <c r="AF38" s="159">
        <f t="shared" ca="1" si="253"/>
        <v>68084.779258666502</v>
      </c>
      <c r="AG38" s="159">
        <f t="shared" ca="1" si="253"/>
        <v>70236.934662333166</v>
      </c>
      <c r="AH38" s="159">
        <f t="shared" ca="1" si="253"/>
        <v>72389.09006599983</v>
      </c>
      <c r="AI38" s="159">
        <f t="shared" ca="1" si="253"/>
        <v>74541.245469666494</v>
      </c>
      <c r="AJ38" s="159">
        <f t="shared" ca="1" si="253"/>
        <v>76693.400873333158</v>
      </c>
      <c r="AK38" s="159">
        <f t="shared" ca="1" si="253"/>
        <v>78845.556276999821</v>
      </c>
      <c r="AL38" s="159">
        <f t="shared" ca="1" si="253"/>
        <v>80997.711680666485</v>
      </c>
      <c r="AM38" s="159">
        <f t="shared" ca="1" si="253"/>
        <v>83149.867084333149</v>
      </c>
      <c r="AN38" s="159">
        <f t="shared" ca="1" si="253"/>
        <v>85302.022487999813</v>
      </c>
      <c r="AO38" s="159">
        <f t="shared" ca="1" si="253"/>
        <v>87228.117553471471</v>
      </c>
      <c r="AP38" s="159">
        <f t="shared" ca="1" si="253"/>
        <v>89154.212618943129</v>
      </c>
      <c r="AQ38" s="159">
        <f t="shared" ca="1" si="253"/>
        <v>91080.307684414787</v>
      </c>
      <c r="AR38" s="159">
        <f t="shared" ca="1" si="253"/>
        <v>93006.402749886445</v>
      </c>
      <c r="AS38" s="159">
        <f t="shared" ca="1" si="253"/>
        <v>94932.497815358103</v>
      </c>
      <c r="AT38" s="159">
        <f t="shared" ca="1" si="253"/>
        <v>96858.592880829761</v>
      </c>
      <c r="AU38" s="159">
        <f t="shared" ca="1" si="253"/>
        <v>98784.687946301419</v>
      </c>
      <c r="AV38" s="159">
        <f t="shared" ca="1" si="253"/>
        <v>100710.78301177308</v>
      </c>
      <c r="AW38" s="159">
        <f t="shared" ca="1" si="253"/>
        <v>102636.87807724474</v>
      </c>
      <c r="AX38" s="159">
        <f t="shared" ca="1" si="253"/>
        <v>104562.97314271639</v>
      </c>
      <c r="AY38" s="159">
        <f t="shared" ca="1" si="253"/>
        <v>106489.06820818805</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182</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183</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184</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185</v>
      </c>
      <c r="C44" s="300"/>
      <c r="D44" s="160"/>
      <c r="E44" s="160">
        <f t="shared" ref="E44:Z44" ca="1" si="294">E43-E30</f>
        <v>-9687.5000101666647</v>
      </c>
      <c r="F44" s="160">
        <f t="shared" ca="1" si="294"/>
        <v>-19375.000020333329</v>
      </c>
      <c r="G44" s="160">
        <f t="shared" ca="1" si="294"/>
        <v>-29062.500030499992</v>
      </c>
      <c r="H44" s="160">
        <f t="shared" ca="1" si="294"/>
        <v>-38750.000040666659</v>
      </c>
      <c r="I44" s="160">
        <f t="shared" ca="1" si="294"/>
        <v>-48437.500050833325</v>
      </c>
      <c r="J44" s="160">
        <f t="shared" ca="1" si="294"/>
        <v>-58125.000060999992</v>
      </c>
      <c r="K44" s="160">
        <f t="shared" ca="1" si="294"/>
        <v>-67812.500071166651</v>
      </c>
      <c r="L44" s="160">
        <f t="shared" ca="1" si="294"/>
        <v>-77500.000081333317</v>
      </c>
      <c r="M44" s="160">
        <f t="shared" ca="1" si="294"/>
        <v>-87187.500091499984</v>
      </c>
      <c r="N44" s="160">
        <f t="shared" ca="1" si="294"/>
        <v>-96875.00010166665</v>
      </c>
      <c r="O44" s="160">
        <f t="shared" ca="1" si="294"/>
        <v>-106562.50011183332</v>
      </c>
      <c r="P44" s="160">
        <f t="shared" ca="1" si="294"/>
        <v>-116250.00012199998</v>
      </c>
      <c r="Q44" s="160">
        <f t="shared" ca="1" si="294"/>
        <v>-125937.50013216665</v>
      </c>
      <c r="R44" s="160">
        <f t="shared" ca="1" si="294"/>
        <v>-135625.0001423333</v>
      </c>
      <c r="S44" s="160">
        <f t="shared" ca="1" si="294"/>
        <v>-145312.50015249997</v>
      </c>
      <c r="T44" s="160">
        <f t="shared" ca="1" si="294"/>
        <v>-155000.00016266663</v>
      </c>
      <c r="U44" s="160">
        <f t="shared" ca="1" si="294"/>
        <v>-164687.5001728333</v>
      </c>
      <c r="V44" s="160">
        <f t="shared" ca="1" si="294"/>
        <v>-174375.00018299997</v>
      </c>
      <c r="W44" s="160">
        <f t="shared" ca="1" si="294"/>
        <v>-184062.50019316663</v>
      </c>
      <c r="X44" s="160">
        <f t="shared" ca="1" si="294"/>
        <v>-193750.0002033333</v>
      </c>
      <c r="Y44" s="160">
        <f t="shared" ca="1" si="294"/>
        <v>-203437.50021349997</v>
      </c>
      <c r="Z44" s="160">
        <f t="shared" ca="1" si="294"/>
        <v>-213125.00022366663</v>
      </c>
      <c r="AA44" s="160">
        <f ca="1">AA43-AA30</f>
        <v>-222812.5002338333</v>
      </c>
      <c r="AB44" s="160">
        <f ca="1">AB43-AB30</f>
        <v>-232500.00024399997</v>
      </c>
      <c r="AC44" s="160">
        <f t="shared" ref="AC44:BL44" ca="1" si="295">AC43-AC30</f>
        <v>-242187.50025416663</v>
      </c>
      <c r="AD44" s="160">
        <f t="shared" ca="1" si="295"/>
        <v>-251875.0002643333</v>
      </c>
      <c r="AE44" s="160">
        <f t="shared" ca="1" si="295"/>
        <v>-261562.50027449997</v>
      </c>
      <c r="AF44" s="160">
        <f t="shared" ca="1" si="295"/>
        <v>-271250.0002846666</v>
      </c>
      <c r="AG44" s="160">
        <f t="shared" ca="1" si="295"/>
        <v>-280937.50029483327</v>
      </c>
      <c r="AH44" s="160">
        <f t="shared" ca="1" si="295"/>
        <v>-290625.00030499994</v>
      </c>
      <c r="AI44" s="160">
        <f t="shared" ca="1" si="295"/>
        <v>-300312.5003151666</v>
      </c>
      <c r="AJ44" s="160">
        <f t="shared" ca="1" si="295"/>
        <v>-310000.00032533327</v>
      </c>
      <c r="AK44" s="160">
        <f t="shared" ca="1" si="295"/>
        <v>-319687.50033549994</v>
      </c>
      <c r="AL44" s="160">
        <f t="shared" ca="1" si="295"/>
        <v>-329375.0003456666</v>
      </c>
      <c r="AM44" s="160">
        <f t="shared" ca="1" si="295"/>
        <v>-339062.50035583327</v>
      </c>
      <c r="AN44" s="160">
        <f t="shared" ca="1" si="295"/>
        <v>-348750.00036599993</v>
      </c>
      <c r="AO44" s="160">
        <f t="shared" ca="1" si="295"/>
        <v>-358437.5003761666</v>
      </c>
      <c r="AP44" s="160">
        <f t="shared" ca="1" si="295"/>
        <v>-368125.00038633327</v>
      </c>
      <c r="AQ44" s="160">
        <f t="shared" ca="1" si="295"/>
        <v>-377812.50039649993</v>
      </c>
      <c r="AR44" s="160">
        <f t="shared" ca="1" si="295"/>
        <v>-387500.0004066666</v>
      </c>
      <c r="AS44" s="160">
        <f t="shared" ca="1" si="295"/>
        <v>-397187.50041683327</v>
      </c>
      <c r="AT44" s="160">
        <f t="shared" ca="1" si="295"/>
        <v>-406875.00042699993</v>
      </c>
      <c r="AU44" s="160">
        <f t="shared" ca="1" si="295"/>
        <v>-416562.5004371666</v>
      </c>
      <c r="AV44" s="160">
        <f t="shared" ca="1" si="295"/>
        <v>-426250.00044733327</v>
      </c>
      <c r="AW44" s="160">
        <f t="shared" ca="1" si="295"/>
        <v>-435937.50045749993</v>
      </c>
      <c r="AX44" s="160">
        <f t="shared" ca="1" si="295"/>
        <v>-445625.0004676666</v>
      </c>
      <c r="AY44" s="160">
        <f t="shared" ca="1" si="295"/>
        <v>-455312.50047783327</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186</v>
      </c>
      <c r="M5" s="208" t="s">
        <v>187</v>
      </c>
      <c r="N5" s="208" t="s">
        <v>67</v>
      </c>
      <c r="O5" s="88"/>
      <c r="P5" s="88"/>
    </row>
    <row r="6" spans="2:16" s="89" customFormat="1" ht="36.75" customHeight="1" x14ac:dyDescent="0.3">
      <c r="B6" s="306" t="s">
        <v>188</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189</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190</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191</v>
      </c>
      <c r="C9" s="309"/>
      <c r="D9" s="211">
        <f>IF(AND(D8=0,D7=0),0,IF(D8=0,1,(D8-D7)/D8))</f>
        <v>0</v>
      </c>
      <c r="E9" s="211">
        <f>IF(AND(E8=0,E7=0),0,IF(E8=0,1,(E8-E7)/E8))</f>
        <v>-7.8120534355124018E-9</v>
      </c>
      <c r="F9" s="211">
        <f>IF(AND(F8=0,F7=0),0,IF(F8=0,1,(F8-F7)/F8))</f>
        <v>0</v>
      </c>
      <c r="G9" s="211">
        <f>IF(AND(G8=0,G7=0),0,IF(G8=0,1,(G8-G7)/G8))</f>
        <v>0</v>
      </c>
      <c r="H9" s="211">
        <f>IF(AND(H8=0,H7=0),0,IF(H8=0,1,(H8-H7)/H8))</f>
        <v>0</v>
      </c>
      <c r="I9" s="211">
        <f>IF(AND(I8=0,I7=0),0,IF(I8=0,1,(I8-I7)/I8))</f>
        <v>0</v>
      </c>
      <c r="J9" s="211">
        <f>IF(AND(J8=0,J7=0),0,IF(J8=0,1,(J8-J7)/J8))</f>
        <v>0</v>
      </c>
      <c r="K9" s="211">
        <f>IF(AND(K8=0,K7=0),0,IF(K8=0,1,(K8-K7)/K8))</f>
        <v>-7.7347063368341113E-9</v>
      </c>
      <c r="L9" s="211">
        <f>IF(AND(L8=0,L7=0),0,IF(L8=0,1,(L8-L7)/L8))</f>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192</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193</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194</v>
      </c>
      <c r="C17" s="65"/>
      <c r="D17" s="65"/>
      <c r="E17" s="24"/>
      <c r="F17" s="24"/>
      <c r="G17" s="24"/>
      <c r="H17" s="24"/>
      <c r="I17" s="24"/>
      <c r="J17" s="24"/>
      <c r="K17" s="24"/>
      <c r="L17" s="24"/>
      <c r="M17" s="24"/>
      <c r="N17" s="24"/>
      <c r="O17" s="24"/>
      <c r="P17" s="24"/>
    </row>
    <row r="18" spans="2:16" ht="285.75" customHeight="1" x14ac:dyDescent="0.3">
      <c r="B18" s="302" t="s">
        <v>299</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195</v>
      </c>
      <c r="C2" s="324"/>
      <c r="D2" s="324"/>
    </row>
    <row r="3" spans="2:4" ht="19.5" customHeight="1" x14ac:dyDescent="0.25"/>
    <row r="4" spans="2:4" ht="24" customHeight="1" x14ac:dyDescent="0.25">
      <c r="B4" s="174" t="s">
        <v>196</v>
      </c>
    </row>
    <row r="5" spans="2:4" ht="24" customHeight="1" x14ac:dyDescent="0.25">
      <c r="B5" s="175" t="s">
        <v>197</v>
      </c>
    </row>
    <row r="6" spans="2:4" ht="24" customHeight="1" x14ac:dyDescent="0.25">
      <c r="B6" s="175" t="s">
        <v>198</v>
      </c>
    </row>
    <row r="7" spans="2:4" ht="45" customHeight="1" x14ac:dyDescent="0.25">
      <c r="B7" s="175" t="s">
        <v>199</v>
      </c>
    </row>
    <row r="8" spans="2:4" ht="30" customHeight="1" x14ac:dyDescent="0.25">
      <c r="B8" s="175" t="s">
        <v>200</v>
      </c>
    </row>
    <row r="9" spans="2:4" ht="25" customHeight="1" x14ac:dyDescent="0.25">
      <c r="B9" s="175" t="s">
        <v>201</v>
      </c>
    </row>
    <row r="10" spans="2:4" ht="24" customHeight="1" x14ac:dyDescent="0.25">
      <c r="B10" s="176"/>
    </row>
    <row r="11" spans="2:4" ht="24" customHeight="1" x14ac:dyDescent="0.25">
      <c r="B11" s="174" t="s">
        <v>202</v>
      </c>
    </row>
    <row r="12" spans="2:4" ht="24" customHeight="1" x14ac:dyDescent="0.25">
      <c r="B12" s="175" t="s">
        <v>203</v>
      </c>
    </row>
    <row r="13" spans="2:4" ht="24" customHeight="1" x14ac:dyDescent="0.25">
      <c r="B13" s="175" t="s">
        <v>204</v>
      </c>
    </row>
    <row r="14" spans="2:4" ht="69" customHeight="1" x14ac:dyDescent="0.25">
      <c r="B14" s="175" t="s">
        <v>205</v>
      </c>
    </row>
    <row r="15" spans="2:4" ht="54" customHeight="1" x14ac:dyDescent="0.25">
      <c r="B15" s="175" t="s">
        <v>206</v>
      </c>
    </row>
    <row r="16" spans="2:4" ht="62.25" customHeight="1" x14ac:dyDescent="0.25">
      <c r="B16" s="175" t="s">
        <v>207</v>
      </c>
    </row>
    <row r="17" spans="2:2" ht="54.75" customHeight="1" x14ac:dyDescent="0.25">
      <c r="B17" s="175" t="s">
        <v>208</v>
      </c>
    </row>
    <row r="18" spans="2:2" ht="51.75" customHeight="1" x14ac:dyDescent="0.25">
      <c r="B18" s="175" t="s">
        <v>209</v>
      </c>
    </row>
    <row r="19" spans="2:2" ht="24" customHeight="1" x14ac:dyDescent="0.25"/>
    <row r="20" spans="2:2" ht="24" customHeight="1" x14ac:dyDescent="0.25">
      <c r="B20" s="174" t="s">
        <v>210</v>
      </c>
    </row>
    <row r="21" spans="2:2" ht="41.25" customHeight="1" x14ac:dyDescent="0.25">
      <c r="B21" s="175" t="s">
        <v>211</v>
      </c>
    </row>
    <row r="22" spans="2:2" ht="24" customHeight="1" x14ac:dyDescent="0.25">
      <c r="B22" s="175" t="s">
        <v>212</v>
      </c>
    </row>
    <row r="23" spans="2:2" ht="36" customHeight="1" x14ac:dyDescent="0.25">
      <c r="B23" s="175" t="s">
        <v>213</v>
      </c>
    </row>
    <row r="24" spans="2:2" ht="125.25" customHeight="1" x14ac:dyDescent="0.25">
      <c r="B24" s="175" t="s">
        <v>214</v>
      </c>
    </row>
    <row r="25" spans="2:2" ht="42.75" customHeight="1" x14ac:dyDescent="0.25">
      <c r="B25" s="175"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216</v>
      </c>
      <c r="C5" s="248"/>
      <c r="D5" s="248"/>
      <c r="E5" s="249">
        <f>'Cost Overview'!F8</f>
        <v>465000</v>
      </c>
      <c r="F5" s="326" t="s">
        <v>217</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218</v>
      </c>
      <c r="C7" s="236" t="s">
        <v>219</v>
      </c>
      <c r="D7" s="236" t="s">
        <v>220</v>
      </c>
      <c r="E7" s="236" t="s">
        <v>221</v>
      </c>
      <c r="F7" s="237" t="s">
        <v>222</v>
      </c>
      <c r="G7" s="237" t="s">
        <v>223</v>
      </c>
      <c r="H7" s="236" t="s">
        <v>224</v>
      </c>
      <c r="I7" s="236" t="s">
        <v>225</v>
      </c>
      <c r="J7" s="236" t="s">
        <v>226</v>
      </c>
      <c r="K7" s="236" t="s">
        <v>227</v>
      </c>
      <c r="L7" s="236" t="s">
        <v>228</v>
      </c>
      <c r="M7" s="237" t="s">
        <v>229</v>
      </c>
      <c r="N7" s="237" t="s">
        <v>230</v>
      </c>
      <c r="O7" s="237" t="s">
        <v>231</v>
      </c>
      <c r="P7" s="237" t="s">
        <v>232</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233</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234</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235</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236</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227</v>
      </c>
      <c r="C4" s="315" t="s">
        <v>237</v>
      </c>
      <c r="D4" s="315"/>
      <c r="E4" s="22"/>
      <c r="F4" s="328" t="s">
        <v>238</v>
      </c>
      <c r="G4" s="333"/>
      <c r="H4" s="228" t="s">
        <v>239</v>
      </c>
      <c r="I4" s="228" t="s">
        <v>240</v>
      </c>
      <c r="J4" s="228" t="s">
        <v>241</v>
      </c>
      <c r="K4" s="328" t="s">
        <v>242</v>
      </c>
      <c r="L4" s="328"/>
      <c r="M4" s="328"/>
      <c r="N4" s="328"/>
    </row>
    <row r="5" spans="2:23" ht="18" customHeight="1" x14ac:dyDescent="0.3">
      <c r="B5" s="77" t="s">
        <v>243</v>
      </c>
      <c r="C5" s="327" t="s">
        <v>244</v>
      </c>
      <c r="D5" s="327"/>
      <c r="E5" s="22"/>
      <c r="F5" s="327" t="s">
        <v>245</v>
      </c>
      <c r="G5" s="327"/>
      <c r="H5" s="230">
        <v>0.5</v>
      </c>
      <c r="I5" s="231">
        <v>5000</v>
      </c>
      <c r="J5" s="289" t="s">
        <v>244</v>
      </c>
      <c r="K5" s="327"/>
      <c r="L5" s="327"/>
      <c r="M5" s="327"/>
      <c r="N5" s="327"/>
    </row>
    <row r="6" spans="2:23" ht="18" customHeight="1" x14ac:dyDescent="0.3">
      <c r="B6" s="77" t="s">
        <v>246</v>
      </c>
      <c r="C6" s="327" t="s">
        <v>247</v>
      </c>
      <c r="D6" s="327"/>
      <c r="E6" s="22"/>
      <c r="F6" s="327" t="s">
        <v>248</v>
      </c>
      <c r="G6" s="327"/>
      <c r="H6" s="230">
        <v>0.1</v>
      </c>
      <c r="I6" s="231">
        <v>1000</v>
      </c>
      <c r="J6" s="289"/>
      <c r="K6" s="327"/>
      <c r="L6" s="327"/>
      <c r="M6" s="327"/>
      <c r="N6" s="327"/>
    </row>
    <row r="7" spans="2:23" ht="18" customHeight="1" x14ac:dyDescent="0.3">
      <c r="B7" s="77" t="s">
        <v>249</v>
      </c>
      <c r="C7" s="332">
        <v>10000</v>
      </c>
      <c r="D7" s="332"/>
      <c r="E7" s="229" t="s">
        <v>250</v>
      </c>
      <c r="F7" s="327" t="s">
        <v>251</v>
      </c>
      <c r="G7" s="327"/>
      <c r="H7" s="230">
        <v>0.2</v>
      </c>
      <c r="I7" s="231">
        <v>2000</v>
      </c>
      <c r="J7" s="289"/>
      <c r="K7" s="327"/>
      <c r="L7" s="327"/>
      <c r="M7" s="327"/>
      <c r="N7" s="327"/>
    </row>
    <row r="8" spans="2:23" ht="18" customHeight="1" x14ac:dyDescent="0.3">
      <c r="D8" s="22"/>
      <c r="E8" s="22"/>
      <c r="F8" s="327" t="s">
        <v>252</v>
      </c>
      <c r="G8" s="327"/>
      <c r="H8" s="230">
        <v>0.1</v>
      </c>
      <c r="I8" s="231">
        <v>1000</v>
      </c>
      <c r="J8" s="289"/>
      <c r="K8" s="327"/>
      <c r="L8" s="327"/>
      <c r="M8" s="327"/>
      <c r="N8" s="327"/>
    </row>
    <row r="9" spans="2:23" ht="18" customHeight="1" x14ac:dyDescent="0.3">
      <c r="D9" s="22"/>
      <c r="E9" s="56"/>
      <c r="F9" s="327" t="s">
        <v>253</v>
      </c>
      <c r="G9" s="327"/>
      <c r="H9" s="230">
        <v>0.1</v>
      </c>
      <c r="I9" s="231">
        <v>1000</v>
      </c>
      <c r="J9" s="289"/>
      <c r="K9" s="327"/>
      <c r="L9" s="327"/>
      <c r="M9" s="327"/>
      <c r="N9" s="327"/>
      <c r="O9" s="24"/>
      <c r="P9" s="24"/>
    </row>
    <row r="10" spans="2:23" ht="23.25" customHeight="1" x14ac:dyDescent="0.3">
      <c r="C10" s="310" t="s">
        <v>217</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218</v>
      </c>
      <c r="C12" s="42" t="s">
        <v>219</v>
      </c>
      <c r="D12" s="42" t="s">
        <v>254</v>
      </c>
      <c r="E12" s="42" t="s">
        <v>221</v>
      </c>
      <c r="F12" s="43" t="s">
        <v>222</v>
      </c>
      <c r="G12" s="43" t="s">
        <v>223</v>
      </c>
      <c r="H12" s="42" t="s">
        <v>224</v>
      </c>
      <c r="I12" s="42" t="s">
        <v>225</v>
      </c>
      <c r="J12" s="42" t="s">
        <v>227</v>
      </c>
      <c r="K12" s="42" t="s">
        <v>255</v>
      </c>
      <c r="L12" s="43" t="s">
        <v>229</v>
      </c>
      <c r="M12" s="43" t="s">
        <v>230</v>
      </c>
      <c r="N12" s="43" t="s">
        <v>231</v>
      </c>
      <c r="O12" s="43" t="s">
        <v>232</v>
      </c>
      <c r="P12" s="24"/>
      <c r="Q12" s="21"/>
      <c r="R12" s="21"/>
      <c r="S12" s="21"/>
      <c r="T12" s="21"/>
      <c r="U12" s="21"/>
      <c r="V12" s="21"/>
      <c r="W12" s="21"/>
    </row>
    <row r="13" spans="2:23" s="67" customFormat="1" ht="20.149999999999999" customHeight="1" x14ac:dyDescent="0.3">
      <c r="B13" s="199" t="s">
        <v>256</v>
      </c>
      <c r="C13" s="226">
        <v>44286</v>
      </c>
      <c r="D13" s="4" t="s">
        <v>245</v>
      </c>
      <c r="E13" s="4" t="s">
        <v>257</v>
      </c>
      <c r="F13" s="5">
        <v>3000</v>
      </c>
      <c r="G13" s="5" t="s">
        <v>258</v>
      </c>
      <c r="H13" s="8">
        <v>0.21</v>
      </c>
      <c r="I13" s="5">
        <f>IF(F13=0," ",F13+F13*H13)</f>
        <v>3630</v>
      </c>
      <c r="J13" s="9" t="s">
        <v>259</v>
      </c>
      <c r="K13" s="5"/>
      <c r="L13" s="55"/>
      <c r="M13" s="5" t="s">
        <v>260</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9" t="s">
        <v>233</v>
      </c>
      <c r="C46" s="329"/>
      <c r="D46" s="329"/>
      <c r="E46" s="329"/>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261</v>
      </c>
      <c r="C55" s="65"/>
      <c r="D55" s="65"/>
      <c r="E55" s="24"/>
      <c r="F55" s="24"/>
      <c r="G55" s="24"/>
      <c r="H55" s="24"/>
      <c r="I55" s="24"/>
      <c r="J55" s="24"/>
      <c r="K55" s="65"/>
      <c r="L55" s="24"/>
      <c r="M55" s="24"/>
      <c r="N55" s="24"/>
      <c r="O55" s="24"/>
      <c r="P55" s="24"/>
      <c r="Q55" s="24"/>
      <c r="R55" s="24"/>
    </row>
    <row r="56" spans="2:22" ht="285.75" customHeight="1" x14ac:dyDescent="0.3">
      <c r="B56" s="330" t="s">
        <v>85</v>
      </c>
      <c r="C56" s="331"/>
      <c r="D56" s="331"/>
      <c r="E56" s="331"/>
      <c r="F56" s="331"/>
      <c r="G56" s="331"/>
      <c r="H56" s="331"/>
      <c r="I56" s="331"/>
      <c r="J56" s="173"/>
      <c r="K56" s="173"/>
      <c r="L56" s="173"/>
      <c r="M56" s="24"/>
      <c r="N56" s="24"/>
      <c r="O56" s="24"/>
      <c r="P56" s="24"/>
      <c r="Q56" s="24"/>
      <c r="R56" s="24"/>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262</v>
      </c>
      <c r="C5" s="334"/>
      <c r="D5" s="335" t="s">
        <v>263</v>
      </c>
      <c r="E5" s="335"/>
      <c r="F5" s="335"/>
      <c r="G5" s="335"/>
      <c r="H5" s="99"/>
      <c r="I5" s="99"/>
      <c r="J5" s="99"/>
      <c r="K5" s="99"/>
      <c r="L5" s="99"/>
      <c r="M5" s="99"/>
      <c r="N5" s="99"/>
      <c r="O5" s="99"/>
      <c r="P5" s="99"/>
      <c r="Q5" s="99"/>
      <c r="R5" s="99"/>
    </row>
    <row r="6" spans="1:41" s="103" customFormat="1" ht="35.15" customHeight="1" x14ac:dyDescent="0.25">
      <c r="B6" s="291" t="s">
        <v>264</v>
      </c>
      <c r="C6" s="291" t="s">
        <v>265</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266</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267</v>
      </c>
      <c r="C15" s="334"/>
      <c r="D15" s="335" t="s">
        <v>263</v>
      </c>
      <c r="E15" s="335"/>
      <c r="F15" s="335"/>
      <c r="G15" s="335"/>
      <c r="H15" s="99"/>
      <c r="I15" s="99"/>
      <c r="J15" s="99"/>
      <c r="K15" s="99"/>
      <c r="L15" s="99"/>
      <c r="M15" s="99"/>
      <c r="N15" s="99"/>
      <c r="O15" s="99"/>
      <c r="P15" s="99"/>
      <c r="Q15" s="99"/>
      <c r="R15" s="99"/>
    </row>
    <row r="16" spans="1:41" s="103" customFormat="1" ht="35.15" customHeight="1" x14ac:dyDescent="0.25">
      <c r="B16" s="291" t="s">
        <v>264</v>
      </c>
      <c r="C16" s="291" t="s">
        <v>265</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266</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268</v>
      </c>
      <c r="C25" s="334"/>
      <c r="D25" s="335" t="s">
        <v>263</v>
      </c>
      <c r="E25" s="335"/>
      <c r="F25" s="335"/>
      <c r="G25" s="335"/>
      <c r="H25" s="99"/>
      <c r="I25" s="99"/>
      <c r="J25" s="99"/>
      <c r="K25" s="99"/>
      <c r="L25" s="99"/>
      <c r="M25" s="99"/>
      <c r="N25" s="99"/>
      <c r="O25" s="99"/>
      <c r="P25" s="99"/>
      <c r="Q25" s="99"/>
      <c r="R25" s="99"/>
    </row>
    <row r="26" spans="1:41" s="103" customFormat="1" ht="35.15" customHeight="1" x14ac:dyDescent="0.25">
      <c r="B26" s="291" t="s">
        <v>264</v>
      </c>
      <c r="C26" s="291" t="s">
        <v>265</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266</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269</v>
      </c>
      <c r="C35" s="334"/>
      <c r="D35" s="335" t="s">
        <v>263</v>
      </c>
      <c r="E35" s="335"/>
      <c r="F35" s="335"/>
      <c r="G35" s="335"/>
      <c r="H35" s="99"/>
      <c r="I35" s="99"/>
      <c r="J35" s="99"/>
      <c r="K35" s="99"/>
      <c r="L35" s="99"/>
      <c r="M35" s="99"/>
      <c r="N35" s="99"/>
      <c r="O35" s="99"/>
      <c r="P35" s="99"/>
      <c r="Q35" s="99"/>
      <c r="R35" s="99"/>
    </row>
    <row r="36" spans="1:41" s="103" customFormat="1" ht="35.15" customHeight="1" x14ac:dyDescent="0.25">
      <c r="B36" s="291" t="s">
        <v>264</v>
      </c>
      <c r="C36" s="291" t="s">
        <v>265</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266</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270</v>
      </c>
      <c r="C45" s="334"/>
      <c r="D45" s="335" t="s">
        <v>263</v>
      </c>
      <c r="E45" s="335"/>
      <c r="F45" s="335"/>
      <c r="G45" s="335"/>
      <c r="H45" s="99"/>
      <c r="I45" s="99"/>
      <c r="J45" s="99"/>
      <c r="K45" s="99"/>
      <c r="L45" s="99"/>
      <c r="M45" s="99"/>
      <c r="N45" s="99"/>
      <c r="O45" s="99"/>
      <c r="P45" s="99"/>
      <c r="Q45" s="99"/>
      <c r="R45" s="99"/>
    </row>
    <row r="46" spans="1:41" s="103" customFormat="1" ht="35.15" customHeight="1" x14ac:dyDescent="0.25">
      <c r="B46" s="291" t="s">
        <v>264</v>
      </c>
      <c r="C46" s="291" t="s">
        <v>265</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266</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271</v>
      </c>
      <c r="C55" s="334"/>
      <c r="D55" s="335" t="s">
        <v>263</v>
      </c>
      <c r="E55" s="335"/>
      <c r="F55" s="335"/>
      <c r="G55" s="335"/>
      <c r="H55" s="99"/>
      <c r="I55" s="99"/>
      <c r="J55" s="99"/>
      <c r="K55" s="99"/>
      <c r="L55" s="99"/>
      <c r="M55" s="99"/>
      <c r="N55" s="99"/>
      <c r="O55" s="99"/>
      <c r="P55" s="99"/>
      <c r="Q55" s="99"/>
      <c r="R55" s="99"/>
    </row>
    <row r="56" spans="1:41" s="103" customFormat="1" ht="35.15" customHeight="1" x14ac:dyDescent="0.25">
      <c r="B56" s="291" t="s">
        <v>264</v>
      </c>
      <c r="C56" s="291" t="s">
        <v>265</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266</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2026-05-12T00:29:18Z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