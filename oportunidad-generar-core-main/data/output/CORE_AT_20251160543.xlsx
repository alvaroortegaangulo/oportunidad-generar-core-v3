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7-e08-review\content\data\output\"/>
    </mc:Choice>
  </mc:AlternateContent>
  <xr:revisionPtr revIDLastSave="0" documentId="13_ncr:1_{14182B84-3424-4F58-AD69-AF528E0228C2}" xr6:coauthVersionLast="47" xr6:coauthVersionMax="47" xr10:uidLastSave="{00000000-0000-0000-0000-000000000000}"/>
  <bookViews>
    <workbookView xWindow="28680" yWindow="-120" windowWidth="29040" windowHeight="1752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AF62" i="6" l="1" a="1"/>
  <c r="AF62" i="6" s="1"/>
  <c r="AO78" i="6" a="1"/>
  <c r="AO78" i="6" s="1"/>
  <c r="BG78" i="6" a="1"/>
  <c r="BG78" i="6" s="1"/>
  <c r="BG62" i="6" a="1"/>
  <c r="BG62" i="6" s="1"/>
  <c r="BN62" i="6" a="1"/>
  <c r="BN62" i="6" s="1"/>
  <c r="AN62" i="6" a="1"/>
  <c r="AN62" i="6" s="1"/>
  <c r="J78" i="6" a="1"/>
  <c r="J78" i="6" s="1"/>
  <c r="AX62" i="6" a="1"/>
  <c r="AX62" i="6" s="1"/>
  <c r="AV62" i="6" a="1"/>
  <c r="AV62" i="6" s="1"/>
  <c r="AW62" i="6" a="1"/>
  <c r="AW62" i="6" s="1"/>
  <c r="AO62" i="6" a="1"/>
  <c r="AO62" i="6" s="1"/>
  <c r="AL18" i="9" s="1"/>
  <c r="AM62" i="6" a="1"/>
  <c r="AM62" i="6" s="1"/>
  <c r="BO62" i="6" a="1"/>
  <c r="BO62" i="6" s="1"/>
  <c r="AG62" i="6" a="1"/>
  <c r="AG62" i="6" s="1"/>
  <c r="BF62" i="6" a="1"/>
  <c r="BF62" i="6" s="1"/>
  <c r="BE62" i="6" a="1"/>
  <c r="BE62" i="6" s="1"/>
  <c r="AW78" i="6" a="1"/>
  <c r="AW78" i="6" s="1"/>
  <c r="BC78" i="6" a="1"/>
  <c r="BC78" i="6" s="1"/>
  <c r="AK78" i="6" a="1"/>
  <c r="AK78" i="6" s="1"/>
  <c r="BM62" i="6" a="1"/>
  <c r="BM62" i="6" s="1"/>
  <c r="AU62" i="6" a="1"/>
  <c r="AU62" i="6" s="1"/>
  <c r="BF78" i="6" a="1"/>
  <c r="BF78" i="6" s="1"/>
  <c r="BN78" i="6" a="1"/>
  <c r="BN78" i="6"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AN78" i="6" a="1"/>
  <c r="AN78" i="6" s="1"/>
  <c r="AK18" i="9" s="1"/>
  <c r="AL78" i="6" a="1"/>
  <c r="AL78" i="6" s="1"/>
  <c r="BJ78" i="6" a="1"/>
  <c r="BJ78" i="6" s="1"/>
  <c r="AR78" i="6" a="1"/>
  <c r="AR78" i="6" s="1"/>
  <c r="BK62" i="6" a="1"/>
  <c r="BK62" i="6" s="1"/>
  <c r="BB62" i="6" a="1"/>
  <c r="BB62" i="6" s="1"/>
  <c r="AS62" i="6" a="1"/>
  <c r="AS62" i="6" s="1"/>
  <c r="AJ62" i="6" a="1"/>
  <c r="AJ62" i="6" s="1"/>
  <c r="AV78" i="6" a="1"/>
  <c r="AV78" i="6"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F78" i="6" a="1"/>
  <c r="AF78" i="6" s="1"/>
  <c r="AC18" i="9" s="1"/>
  <c r="BH62" i="6" a="1"/>
  <c r="BH62" i="6" s="1"/>
  <c r="BE18" i="9" s="1"/>
  <c r="BE27" i="9" s="1"/>
  <c r="AY62" i="6" a="1"/>
  <c r="AY62" i="6" s="1"/>
  <c r="AV18" i="9"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BF18" i="9" l="1"/>
  <c r="BF27" i="9" s="1"/>
  <c r="AP18" i="9"/>
  <c r="AT18" i="9"/>
  <c r="AH18" i="9"/>
  <c r="AZ18" i="9"/>
  <c r="BH18" i="9"/>
  <c r="BH27" i="9" s="1"/>
  <c r="BD18" i="9"/>
  <c r="BD27" i="9" s="1"/>
  <c r="AM18" i="9"/>
  <c r="AN18" i="9"/>
  <c r="AW18" i="9"/>
  <c r="AS18" i="9"/>
  <c r="AU18" i="9"/>
  <c r="BK18" i="9"/>
  <c r="BK27" i="9" s="1"/>
  <c r="BC18" i="9"/>
  <c r="BC27" i="9" s="1"/>
  <c r="AE18" i="9"/>
  <c r="AO18" i="9"/>
  <c r="AI18" i="9"/>
  <c r="AF18" i="9"/>
  <c r="AQ18" i="9"/>
  <c r="AR18" i="9"/>
  <c r="BG18" i="9"/>
  <c r="BG27" i="9" s="1"/>
  <c r="AX18" i="9"/>
  <c r="BJ18" i="9"/>
  <c r="BJ27" i="9" s="1"/>
  <c r="AG18" i="9"/>
  <c r="BI18" i="9"/>
  <c r="BI27" i="9" s="1"/>
  <c r="BA18" i="9"/>
  <c r="BA27" i="9" s="1"/>
  <c r="AY18" i="9"/>
  <c r="AD18" i="9"/>
  <c r="AJ18" i="9"/>
  <c r="BB18" i="9"/>
  <c r="BB27" i="9" s="1"/>
  <c r="BL18" i="9"/>
  <c r="BL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N41" i="6" a="1"/>
  <c r="N41" i="6" s="1"/>
  <c r="AE40" i="6" a="1"/>
  <c r="AE40" i="6" s="1"/>
  <c r="J40" i="6" a="1"/>
  <c r="J40" i="6" s="1"/>
  <c r="S40" i="6" a="1"/>
  <c r="S40" i="6" s="1"/>
  <c r="Q41" i="6" a="1"/>
  <c r="Q41" i="6" s="1"/>
  <c r="P41" i="6" a="1"/>
  <c r="P41" i="6" s="1"/>
  <c r="M41" i="6" a="1"/>
  <c r="M41" i="6" s="1"/>
  <c r="W40" i="6" a="1"/>
  <c r="W40" i="6" s="1"/>
  <c r="I41" i="6" a="1"/>
  <c r="I41" i="6" s="1"/>
  <c r="T41" i="6" a="1"/>
  <c r="T41"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X41" i="6" l="1"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L64" i="6" s="1"/>
  <c r="J7" i="10"/>
  <c r="J9" i="10" s="1"/>
  <c r="D47" i="6"/>
  <c r="E47" i="6" s="1"/>
  <c r="G7" i="10"/>
  <c r="G9" i="10" s="1"/>
  <c r="E7" i="10"/>
  <c r="F5" i="6"/>
  <c r="J5" i="6" s="1"/>
  <c r="F50" i="6"/>
  <c r="J50" i="6" s="1"/>
  <c r="L50" i="6" s="1"/>
  <c r="I7" i="10"/>
  <c r="I9" i="10" s="1"/>
  <c r="F8" i="3"/>
  <c r="F12" i="9"/>
  <c r="F7" i="9"/>
  <c r="F8" i="9"/>
  <c r="F6" i="9"/>
  <c r="F11" i="9"/>
  <c r="F10" i="9"/>
  <c r="E13" i="9"/>
  <c r="E15" i="9" s="1"/>
  <c r="U24" i="3"/>
  <c r="U32" i="3"/>
  <c r="U23" i="3"/>
  <c r="U25" i="3"/>
  <c r="U21" i="3"/>
  <c r="U20" i="3"/>
  <c r="U22" i="3"/>
  <c r="U30" i="3"/>
  <c r="U28" i="3"/>
  <c r="U29" i="3"/>
  <c r="D15" i="9"/>
  <c r="C37" i="1"/>
  <c r="K8" i="10" l="1"/>
  <c r="E9" i="10"/>
  <c r="AF7" i="6"/>
  <c r="AV43" i="9"/>
  <c r="N8" i="3"/>
  <c r="N5" i="6"/>
  <c r="AE7" i="6"/>
  <c r="F40" i="9"/>
  <c r="F30" i="9" s="1"/>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7" i="6"/>
  <c r="AW43" i="9"/>
  <c r="M2" i="9"/>
  <c r="L8" i="10"/>
  <c r="G40" i="9"/>
  <c r="G30" i="9" s="1"/>
  <c r="E44" i="9"/>
  <c r="H6" i="9"/>
  <c r="H11" i="9"/>
  <c r="H8" i="9"/>
  <c r="I4" i="9"/>
  <c r="H7" i="9"/>
  <c r="H12" i="9"/>
  <c r="H10" i="9"/>
  <c r="G13" i="9"/>
  <c r="G15" i="9" s="1"/>
  <c r="H9" i="9"/>
  <c r="N8" i="10"/>
  <c r="L7" i="10"/>
  <c r="F15" i="9"/>
  <c r="L9" i="10" l="1"/>
  <c r="I9" i="9"/>
  <c r="AH7" i="6"/>
  <c r="AX43" i="9"/>
  <c r="I10" i="9"/>
  <c r="F44" i="9"/>
  <c r="H40" i="9"/>
  <c r="H30" i="9" s="1"/>
  <c r="I11" i="9"/>
  <c r="I7" i="9"/>
  <c r="I12" i="9"/>
  <c r="I8" i="9"/>
  <c r="I6" i="9"/>
  <c r="J4" i="9"/>
  <c r="G14" i="9"/>
  <c r="G44" i="9" s="1"/>
  <c r="H13" i="9"/>
  <c r="H15" i="9" s="1"/>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G27" i="9" l="1"/>
  <c r="G25" i="9"/>
  <c r="G26" i="9" s="1"/>
  <c r="P11" i="9"/>
  <c r="I34" i="9"/>
  <c r="H22" i="9"/>
  <c r="H24" i="9"/>
  <c r="I36" i="9"/>
  <c r="H21" i="9"/>
  <c r="I33" i="9"/>
  <c r="I31" i="9"/>
  <c r="H19" i="9"/>
  <c r="AO7" i="6"/>
  <c r="H38" i="9"/>
  <c r="H20" i="9"/>
  <c r="I32" i="9"/>
  <c r="H37" i="9"/>
  <c r="H23" i="9"/>
  <c r="I35" i="9"/>
  <c r="BE43" i="9"/>
  <c r="P9" i="9"/>
  <c r="P12" i="9"/>
  <c r="P8" i="9"/>
  <c r="Q4" i="9"/>
  <c r="P7" i="9"/>
  <c r="Q7" i="9" s="1"/>
  <c r="O40" i="9"/>
  <c r="O30" i="9" s="1"/>
  <c r="P6" i="9"/>
  <c r="O13" i="9"/>
  <c r="O14" i="9" s="1"/>
  <c r="P10" i="9"/>
  <c r="N15" i="9"/>
  <c r="N44" i="9"/>
  <c r="H27" i="9" l="1"/>
  <c r="H25" i="9"/>
  <c r="H26" i="9" s="1"/>
  <c r="Q12" i="9"/>
  <c r="Q8" i="9"/>
  <c r="Q9" i="9"/>
  <c r="I19" i="9"/>
  <c r="J31" i="9"/>
  <c r="I21" i="9"/>
  <c r="J33" i="9"/>
  <c r="AP7" i="6"/>
  <c r="I24" i="9"/>
  <c r="J36" i="9"/>
  <c r="I23" i="9"/>
  <c r="J35" i="9"/>
  <c r="I20" i="9"/>
  <c r="I37" i="9"/>
  <c r="J32" i="9"/>
  <c r="I38" i="9"/>
  <c r="J34" i="9"/>
  <c r="I22" i="9"/>
  <c r="BF43" i="9"/>
  <c r="R4" i="9"/>
  <c r="Q11" i="9"/>
  <c r="R11" i="9" s="1"/>
  <c r="O15" i="9"/>
  <c r="P40" i="9"/>
  <c r="P30" i="9" s="1"/>
  <c r="P13" i="9"/>
  <c r="P14" i="9" s="1"/>
  <c r="Q10" i="9"/>
  <c r="Q6" i="9"/>
  <c r="O44" i="9"/>
  <c r="I27" i="9" l="1"/>
  <c r="R7" i="9"/>
  <c r="S7" i="9" s="1"/>
  <c r="I25" i="9"/>
  <c r="I26" i="9" s="1"/>
  <c r="R10" i="9"/>
  <c r="S10"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S11" i="9"/>
  <c r="T4" i="9"/>
  <c r="J27" i="9" l="1"/>
  <c r="R13" i="9"/>
  <c r="R15" i="9" s="1"/>
  <c r="L31" i="9"/>
  <c r="K19" i="9"/>
  <c r="K23" i="9"/>
  <c r="L35" i="9"/>
  <c r="K22" i="9"/>
  <c r="L34" i="9"/>
  <c r="AR7" i="6"/>
  <c r="L32" i="9"/>
  <c r="K20" i="9"/>
  <c r="K37" i="9"/>
  <c r="K38" i="9"/>
  <c r="L33" i="9"/>
  <c r="K21" i="9"/>
  <c r="J25" i="9"/>
  <c r="J26" i="9" s="1"/>
  <c r="K24" i="9"/>
  <c r="L36" i="9"/>
  <c r="BH43" i="9"/>
  <c r="Q15" i="9"/>
  <c r="R40" i="9"/>
  <c r="R30" i="9" s="1"/>
  <c r="S40" i="9"/>
  <c r="T7" i="9"/>
  <c r="T12" i="9"/>
  <c r="T11" i="9"/>
  <c r="T8" i="9"/>
  <c r="S13" i="9"/>
  <c r="S15" i="9" s="1"/>
  <c r="T9" i="9"/>
  <c r="T10" i="9"/>
  <c r="T6" i="9"/>
  <c r="U4" i="9"/>
  <c r="K25" i="9" l="1"/>
  <c r="K26" i="9" s="1"/>
  <c r="K27" i="9"/>
  <c r="R14" i="9"/>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5" i="9" l="1"/>
  <c r="L26" i="9" s="1"/>
  <c r="L27" i="9"/>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X9" i="9"/>
  <c r="X7" i="9"/>
  <c r="V14" i="9"/>
  <c r="X10" i="9"/>
  <c r="X12" i="9"/>
  <c r="W13" i="9"/>
  <c r="W15" i="9" s="1"/>
  <c r="X8" i="9"/>
  <c r="X6" i="9"/>
  <c r="X11" i="9"/>
  <c r="Y4" i="9"/>
  <c r="O25" i="9" l="1"/>
  <c r="O26" i="9" s="1"/>
  <c r="O27" i="9"/>
  <c r="W30" i="9"/>
  <c r="P21" i="9"/>
  <c r="Q33" i="9"/>
  <c r="P23" i="9"/>
  <c r="Q35" i="9"/>
  <c r="AW7" i="6"/>
  <c r="Q34" i="9"/>
  <c r="P22" i="9"/>
  <c r="P24" i="9"/>
  <c r="Q36" i="9"/>
  <c r="Q32" i="9"/>
  <c r="P37" i="9"/>
  <c r="P20" i="9"/>
  <c r="P38" i="9"/>
  <c r="P19" i="9"/>
  <c r="Q31" i="9"/>
  <c r="X40" i="9"/>
  <c r="V44" i="9"/>
  <c r="U44" i="9"/>
  <c r="Y12" i="9"/>
  <c r="W14" i="9"/>
  <c r="Y11" i="9"/>
  <c r="Y7" i="9"/>
  <c r="Y9" i="9"/>
  <c r="X13" i="9"/>
  <c r="X14" i="9" s="1"/>
  <c r="Y8" i="9"/>
  <c r="Y10" i="9"/>
  <c r="Y6" i="9"/>
  <c r="Z4" i="9"/>
  <c r="P27" i="9" l="1"/>
  <c r="X30" i="9"/>
  <c r="AX7" i="6"/>
  <c r="Q24" i="9"/>
  <c r="R36" i="9"/>
  <c r="Q23" i="9"/>
  <c r="R35" i="9"/>
  <c r="Q19" i="9"/>
  <c r="R31" i="9"/>
  <c r="Q22" i="9"/>
  <c r="R34" i="9"/>
  <c r="Q21" i="9"/>
  <c r="R33" i="9"/>
  <c r="R32" i="9"/>
  <c r="Q37" i="9"/>
  <c r="Q20" i="9"/>
  <c r="Q38" i="9"/>
  <c r="P25" i="9"/>
  <c r="P26" i="9" s="1"/>
  <c r="Y40" i="9"/>
  <c r="W44" i="9"/>
  <c r="X15" i="9"/>
  <c r="Z12" i="9"/>
  <c r="Z6" i="9"/>
  <c r="Z7" i="9"/>
  <c r="Z11" i="9"/>
  <c r="Z10" i="9"/>
  <c r="Y13" i="9"/>
  <c r="Y15" i="9" s="1"/>
  <c r="Z8" i="9"/>
  <c r="Z9" i="9"/>
  <c r="Q27" i="9" l="1"/>
  <c r="Y30" i="9"/>
  <c r="R37" i="9"/>
  <c r="S32" i="9"/>
  <c r="R20" i="9"/>
  <c r="R38" i="9"/>
  <c r="S31" i="9"/>
  <c r="R19" i="9"/>
  <c r="S35" i="9"/>
  <c r="R23" i="9"/>
  <c r="R21" i="9"/>
  <c r="S33" i="9"/>
  <c r="S34" i="9"/>
  <c r="R22" i="9"/>
  <c r="R24" i="9"/>
  <c r="S36" i="9"/>
  <c r="Q25" i="9"/>
  <c r="Q26" i="9" s="1"/>
  <c r="AY7" i="6"/>
  <c r="AA4" i="9"/>
  <c r="Z40" i="9" s="1"/>
  <c r="X44" i="9"/>
  <c r="AA10" i="9"/>
  <c r="AB10" i="9" s="1"/>
  <c r="AC10" i="9" s="1"/>
  <c r="Y14" i="9"/>
  <c r="AA7" i="9"/>
  <c r="AA9" i="9"/>
  <c r="AA11" i="9"/>
  <c r="AA6" i="9"/>
  <c r="AA8" i="9"/>
  <c r="Z13" i="9"/>
  <c r="Z14" i="9" s="1"/>
  <c r="AA12" i="9"/>
  <c r="AB12" i="9" s="1"/>
  <c r="AC12" i="9" s="1"/>
  <c r="R27" i="9" l="1"/>
  <c r="Z30" i="9"/>
  <c r="AB9" i="9"/>
  <c r="AC9" i="9" s="1"/>
  <c r="AB7" i="9"/>
  <c r="AC7" i="9" s="1"/>
  <c r="AC4" i="9"/>
  <c r="S23" i="9"/>
  <c r="T35" i="9"/>
  <c r="S19" i="9"/>
  <c r="T31" i="9"/>
  <c r="S21" i="9"/>
  <c r="T33" i="9"/>
  <c r="AZ7" i="6"/>
  <c r="R25" i="9"/>
  <c r="R26" i="9" s="1"/>
  <c r="S22" i="9"/>
  <c r="T34" i="9"/>
  <c r="T36" i="9"/>
  <c r="S24" i="9"/>
  <c r="S38" i="9"/>
  <c r="S20" i="9"/>
  <c r="T32" i="9"/>
  <c r="S37" i="9"/>
  <c r="AB8" i="9"/>
  <c r="AC8" i="9" s="1"/>
  <c r="AB11" i="9"/>
  <c r="AB4" i="9"/>
  <c r="AA40" i="9" s="1"/>
  <c r="AB6" i="9"/>
  <c r="AC6" i="9" s="1"/>
  <c r="Y44" i="9"/>
  <c r="Z15" i="9"/>
  <c r="AA13" i="9"/>
  <c r="AA14" i="9" s="1"/>
  <c r="S27" i="9" l="1"/>
  <c r="AA30" i="9"/>
  <c r="AD9" i="9"/>
  <c r="AD7" i="9"/>
  <c r="AB13" i="9"/>
  <c r="AB15" i="9" s="1"/>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40" i="9"/>
  <c r="AB30" i="9" s="1"/>
  <c r="Z44" i="9"/>
  <c r="AB14" i="9" l="1"/>
  <c r="T27" i="9"/>
  <c r="AC13" i="9"/>
  <c r="AC14" i="9" s="1"/>
  <c r="AE7" i="9"/>
  <c r="AC30" i="9"/>
  <c r="AC44" i="9" s="1"/>
  <c r="AE6" i="9"/>
  <c r="AE9" i="9"/>
  <c r="AE4" i="9"/>
  <c r="AF12" i="9"/>
  <c r="AE8" i="9"/>
  <c r="AD13" i="9"/>
  <c r="AD14" i="9" s="1"/>
  <c r="U37" i="9"/>
  <c r="U38" i="9"/>
  <c r="V32" i="9"/>
  <c r="U20" i="9"/>
  <c r="U19" i="9"/>
  <c r="V31" i="9"/>
  <c r="U24" i="9"/>
  <c r="V36" i="9"/>
  <c r="U23" i="9"/>
  <c r="V35" i="9"/>
  <c r="U22" i="9"/>
  <c r="V34" i="9"/>
  <c r="BB7" i="6"/>
  <c r="U21" i="9"/>
  <c r="V33" i="9"/>
  <c r="T25" i="9"/>
  <c r="T26" i="9" s="1"/>
  <c r="AA44" i="9"/>
  <c r="AC15" i="9" l="1"/>
  <c r="U27" i="9"/>
  <c r="AD15" i="9"/>
  <c r="AF9" i="9"/>
  <c r="AD40" i="9"/>
  <c r="AD30" i="9" s="1"/>
  <c r="AD44" i="9" s="1"/>
  <c r="AF7" i="9"/>
  <c r="AF4" i="9"/>
  <c r="AF6" i="9"/>
  <c r="AF8" i="9"/>
  <c r="AE13" i="9"/>
  <c r="AE14" i="9" s="1"/>
  <c r="AF11" i="9"/>
  <c r="AG11" i="9" s="1"/>
  <c r="AF10" i="9"/>
  <c r="W35" i="9"/>
  <c r="V23" i="9"/>
  <c r="W36" i="9"/>
  <c r="V24" i="9"/>
  <c r="V19" i="9"/>
  <c r="W31" i="9"/>
  <c r="V21" i="9"/>
  <c r="W33" i="9"/>
  <c r="U25" i="9"/>
  <c r="U26" i="9" s="1"/>
  <c r="W34" i="9"/>
  <c r="V22" i="9"/>
  <c r="V38" i="9"/>
  <c r="V20" i="9"/>
  <c r="W32" i="9"/>
  <c r="V37" i="9"/>
  <c r="BD8" i="6"/>
  <c r="BC7" i="6"/>
  <c r="V27" i="9" l="1"/>
  <c r="AE15" i="9"/>
  <c r="AG7"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W27" i="9" l="1"/>
  <c r="AF15" i="9"/>
  <c r="AH6" i="9"/>
  <c r="AH11" i="9"/>
  <c r="AH4" i="9"/>
  <c r="AG40" i="9" s="1"/>
  <c r="AI10" i="9"/>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G15" i="9"/>
  <c r="AI11" i="9"/>
  <c r="AI9" i="9"/>
  <c r="AG30" i="9"/>
  <c r="AG44" i="9" s="1"/>
  <c r="AF44" i="9"/>
  <c r="AI4" i="9"/>
  <c r="X25" i="9"/>
  <c r="X26" i="9" s="1"/>
  <c r="AI12" i="9"/>
  <c r="AJ12" i="9" s="1"/>
  <c r="AH13" i="9"/>
  <c r="AH14" i="9" s="1"/>
  <c r="AI8" i="9"/>
  <c r="AJ7" i="9"/>
  <c r="AI6" i="9"/>
  <c r="Y20" i="9"/>
  <c r="Y38" i="9"/>
  <c r="Z32" i="9"/>
  <c r="Y37" i="9"/>
  <c r="Y19" i="9"/>
  <c r="Z31" i="9"/>
  <c r="Y23" i="9"/>
  <c r="Z35" i="9"/>
  <c r="Z33" i="9"/>
  <c r="Y21" i="9"/>
  <c r="BF7" i="6"/>
  <c r="BG8" i="6"/>
  <c r="Z34" i="9"/>
  <c r="Y22" i="9"/>
  <c r="Y24" i="9"/>
  <c r="Z36" i="9"/>
  <c r="Y27" i="9" l="1"/>
  <c r="AH15" i="9"/>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C27" i="9" l="1"/>
  <c r="AL15" i="9"/>
  <c r="AL40" i="9"/>
  <c r="AL30" i="9" s="1"/>
  <c r="AL44" i="9" s="1"/>
  <c r="AN8" i="9"/>
  <c r="AM13" i="9"/>
  <c r="AM14" i="9" s="1"/>
  <c r="AN12" i="9"/>
  <c r="AN10" i="9"/>
  <c r="AO10" i="9" s="1"/>
  <c r="AN4" i="9"/>
  <c r="AN6" i="9"/>
  <c r="AN11" i="9"/>
  <c r="AN9" i="9"/>
  <c r="AN7" i="9"/>
  <c r="AD19" i="9"/>
  <c r="AE31" i="9"/>
  <c r="AD22" i="9"/>
  <c r="AE34" i="9"/>
  <c r="AD24" i="9"/>
  <c r="AE36" i="9"/>
  <c r="AD23" i="9"/>
  <c r="AE35" i="9"/>
  <c r="BK7" i="6"/>
  <c r="BL8" i="6"/>
  <c r="AC25" i="9"/>
  <c r="AC26" i="9" s="1"/>
  <c r="AD20" i="9"/>
  <c r="AE32" i="9"/>
  <c r="AD37" i="9"/>
  <c r="AD38" i="9"/>
  <c r="AD21" i="9"/>
  <c r="AE33" i="9"/>
  <c r="AM15" i="9" l="1"/>
  <c r="AD27" i="9"/>
  <c r="AO12" i="9"/>
  <c r="AP12" i="9" s="1"/>
  <c r="AN13" i="9"/>
  <c r="AN15" i="9" s="1"/>
  <c r="AO8" i="9"/>
  <c r="AM40" i="9"/>
  <c r="AM30" i="9" s="1"/>
  <c r="AM44" i="9" s="1"/>
  <c r="AO7" i="9"/>
  <c r="AO11" i="9"/>
  <c r="AD25" i="9"/>
  <c r="AD26" i="9" s="1"/>
  <c r="AP10" i="9"/>
  <c r="AO4" i="9"/>
  <c r="AN40" i="9" s="1"/>
  <c r="AO9" i="9"/>
  <c r="AP9" i="9" s="1"/>
  <c r="AO6" i="9"/>
  <c r="AF35" i="9"/>
  <c r="AE23" i="9"/>
  <c r="AF36" i="9"/>
  <c r="AE24" i="9"/>
  <c r="AE37" i="9"/>
  <c r="AF34" i="9"/>
  <c r="AE22" i="9"/>
  <c r="BL7" i="6"/>
  <c r="BM8" i="6"/>
  <c r="AE21" i="9"/>
  <c r="AF33" i="9"/>
  <c r="AE19" i="9"/>
  <c r="AF31" i="9"/>
  <c r="AE20" i="9"/>
  <c r="AF32" i="9"/>
  <c r="AE38" i="9"/>
  <c r="AN14" i="9" l="1"/>
  <c r="AE27" i="9"/>
  <c r="AP7"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F27" i="9" l="1"/>
  <c r="AO15" i="9"/>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T12" i="9" s="1"/>
  <c r="AS11" i="9"/>
  <c r="AT11" i="9" s="1"/>
  <c r="AS4" i="9"/>
  <c r="AR40" i="9" s="1"/>
  <c r="AS8" i="9"/>
  <c r="AR13" i="9"/>
  <c r="AR14" i="9" s="1"/>
  <c r="AT7" i="9"/>
  <c r="AS9" i="9"/>
  <c r="AT9" i="9" s="1"/>
  <c r="AS6" i="9"/>
  <c r="AQ40" i="9"/>
  <c r="AQ30" i="9" s="1"/>
  <c r="AQ44" i="9" s="1"/>
  <c r="AI22" i="9"/>
  <c r="AJ34" i="9"/>
  <c r="AI24" i="9"/>
  <c r="AJ36" i="9"/>
  <c r="AJ31" i="9"/>
  <c r="AI19" i="9"/>
  <c r="AI37" i="9"/>
  <c r="AI21" i="9"/>
  <c r="AJ33" i="9"/>
  <c r="AI20" i="9"/>
  <c r="AJ32" i="9"/>
  <c r="AI38" i="9"/>
  <c r="AJ35" i="9"/>
  <c r="AI23" i="9"/>
  <c r="AH25" i="9"/>
  <c r="AH26" i="9" s="1"/>
  <c r="AI27" i="9" l="1"/>
  <c r="AR15" i="9"/>
  <c r="AI25" i="9"/>
  <c r="AI26" i="9" s="1"/>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U15" i="9" s="1"/>
  <c r="AV12" i="9"/>
  <c r="AW12" i="9" s="1"/>
  <c r="AV10" i="9"/>
  <c r="AW10" i="9" s="1"/>
  <c r="AV6" i="9"/>
  <c r="AV7" i="9"/>
  <c r="AW7" i="9" s="1"/>
  <c r="AL24" i="9"/>
  <c r="AM36" i="9"/>
  <c r="AL21" i="9"/>
  <c r="AM33" i="9"/>
  <c r="AL19" i="9"/>
  <c r="AM31" i="9"/>
  <c r="AM34" i="9"/>
  <c r="AL22" i="9"/>
  <c r="AL20" i="9"/>
  <c r="AM32" i="9"/>
  <c r="AL37" i="9"/>
  <c r="AL38" i="9"/>
  <c r="AL23" i="9"/>
  <c r="AM35" i="9"/>
  <c r="AK25" i="9"/>
  <c r="AK26" i="9" s="1"/>
  <c r="AU14" i="9" l="1"/>
  <c r="AL27" i="9"/>
  <c r="AL25" i="9"/>
  <c r="AL26" i="9" s="1"/>
  <c r="AU30" i="9"/>
  <c r="AU44" i="9" s="1"/>
  <c r="AW8" i="9"/>
  <c r="AV13" i="9"/>
  <c r="AV14" i="9" s="1"/>
  <c r="AW6" i="9"/>
  <c r="AW4" i="9"/>
  <c r="AV40" i="9" s="1"/>
  <c r="AX10" i="9"/>
  <c r="AM19" i="9"/>
  <c r="AN31" i="9"/>
  <c r="AN32" i="9"/>
  <c r="AM20" i="9"/>
  <c r="AM38" i="9"/>
  <c r="AM37" i="9"/>
  <c r="AN33" i="9"/>
  <c r="AM21" i="9"/>
  <c r="AN34" i="9"/>
  <c r="AM22" i="9"/>
  <c r="AM24" i="9"/>
  <c r="AN36" i="9"/>
  <c r="AN35" i="9"/>
  <c r="AM23" i="9"/>
  <c r="AV15" i="9" l="1"/>
  <c r="AM27" i="9"/>
  <c r="AV30" i="9"/>
  <c r="AV44" i="9" s="1"/>
  <c r="AX4" i="9"/>
  <c r="AW40" i="9" s="1"/>
  <c r="AX11" i="9"/>
  <c r="AY11" i="9" s="1"/>
  <c r="AX9" i="9"/>
  <c r="AY9" i="9" s="1"/>
  <c r="AY10" i="9"/>
  <c r="AW13" i="9"/>
  <c r="AW14" i="9" s="1"/>
  <c r="AX8" i="9"/>
  <c r="AX7" i="9"/>
  <c r="AY7" i="9" s="1"/>
  <c r="AX6" i="9"/>
  <c r="AX12" i="9"/>
  <c r="AY12" i="9" s="1"/>
  <c r="AN21" i="9"/>
  <c r="AO33" i="9"/>
  <c r="AO36" i="9"/>
  <c r="AN24" i="9"/>
  <c r="AO34" i="9"/>
  <c r="AN22" i="9"/>
  <c r="AM25" i="9"/>
  <c r="AM26" i="9" s="1"/>
  <c r="AN20" i="9"/>
  <c r="AN37" i="9"/>
  <c r="AO32" i="9"/>
  <c r="AN38" i="9"/>
  <c r="AN19" i="9"/>
  <c r="AO31" i="9"/>
  <c r="AN23" i="9"/>
  <c r="AO35" i="9"/>
  <c r="AW15" i="9" l="1"/>
  <c r="AN27" i="9"/>
  <c r="AW30" i="9"/>
  <c r="AW44" i="9" s="1"/>
  <c r="AY8" i="9"/>
  <c r="AX13" i="9"/>
  <c r="AX15" i="9" s="1"/>
  <c r="AY6" i="9"/>
  <c r="AX14" i="9"/>
  <c r="AY4" i="9"/>
  <c r="AX40" i="9" s="1"/>
  <c r="AZ11" i="9"/>
  <c r="AN25" i="9"/>
  <c r="AN26" i="9" s="1"/>
  <c r="AP34" i="9"/>
  <c r="AO22" i="9"/>
  <c r="AP36" i="9"/>
  <c r="AO24" i="9"/>
  <c r="AP35" i="9"/>
  <c r="AO23" i="9"/>
  <c r="AO21" i="9"/>
  <c r="AP33" i="9"/>
  <c r="AO20" i="9"/>
  <c r="AO37" i="9"/>
  <c r="AP32" i="9"/>
  <c r="AO38" i="9"/>
  <c r="AP31" i="9"/>
  <c r="AO19" i="9"/>
  <c r="AO27" i="9" l="1"/>
  <c r="AX30" i="9"/>
  <c r="AX44" i="9" s="1"/>
  <c r="AZ10" i="9"/>
  <c r="AZ4" i="9"/>
  <c r="AY40" i="9" s="1"/>
  <c r="BA5" i="9"/>
  <c r="AZ12" i="9"/>
  <c r="AZ8" i="9"/>
  <c r="AY13" i="9"/>
  <c r="AY14" i="9" s="1"/>
  <c r="AZ9" i="9"/>
  <c r="BA9" i="9" s="1"/>
  <c r="AZ6" i="9"/>
  <c r="AZ7" i="9"/>
  <c r="BA7" i="9" s="1"/>
  <c r="AP23" i="9"/>
  <c r="AQ35" i="9"/>
  <c r="AQ33" i="9"/>
  <c r="AP21" i="9"/>
  <c r="AP20" i="9"/>
  <c r="AQ32" i="9"/>
  <c r="AP37" i="9"/>
  <c r="AP38" i="9"/>
  <c r="AP24" i="9"/>
  <c r="AQ36" i="9"/>
  <c r="AO25" i="9"/>
  <c r="AO26" i="9" s="1"/>
  <c r="AQ31" i="9"/>
  <c r="AP19" i="9"/>
  <c r="AP22" i="9"/>
  <c r="AQ34" i="9"/>
  <c r="BA12" i="9" l="1"/>
  <c r="AY15" i="9"/>
  <c r="AP27" i="9"/>
  <c r="AY30" i="9"/>
  <c r="AY44" i="9" s="1"/>
  <c r="BA10" i="9"/>
  <c r="BA6" i="9"/>
  <c r="BA8" i="9"/>
  <c r="AZ13" i="9"/>
  <c r="AZ14" i="9" s="1"/>
  <c r="BA4" i="9"/>
  <c r="AZ40" i="9" s="1"/>
  <c r="AZ30" i="9" s="1"/>
  <c r="BB5" i="9"/>
  <c r="BA11" i="9"/>
  <c r="BB11" i="9" s="1"/>
  <c r="AQ20" i="9"/>
  <c r="AR32" i="9"/>
  <c r="AQ38" i="9"/>
  <c r="AR31" i="9"/>
  <c r="AQ19" i="9"/>
  <c r="AQ24" i="9"/>
  <c r="AR36" i="9"/>
  <c r="AR33" i="9"/>
  <c r="AQ21" i="9"/>
  <c r="AQ37" i="9"/>
  <c r="AR34" i="9"/>
  <c r="AQ22" i="9"/>
  <c r="AR35" i="9"/>
  <c r="AQ23" i="9"/>
  <c r="AP25" i="9"/>
  <c r="AP26" i="9" s="1"/>
  <c r="AQ27" i="9" l="1"/>
  <c r="AZ15" i="9"/>
  <c r="BB9" i="9"/>
  <c r="BC5" i="9"/>
  <c r="BB4" i="9"/>
  <c r="BA40" i="9" s="1"/>
  <c r="BA30" i="9" s="1"/>
  <c r="BB8" i="9"/>
  <c r="BA13" i="9"/>
  <c r="BA14" i="9" s="1"/>
  <c r="BB12" i="9"/>
  <c r="BB7" i="9"/>
  <c r="BB10" i="9"/>
  <c r="BC10" i="9" s="1"/>
  <c r="BB6" i="9"/>
  <c r="AS33" i="9"/>
  <c r="AR21" i="9"/>
  <c r="AR19" i="9"/>
  <c r="AS31" i="9"/>
  <c r="AQ25" i="9"/>
  <c r="AQ26" i="9" s="1"/>
  <c r="AR22" i="9"/>
  <c r="AS34" i="9"/>
  <c r="AS32" i="9"/>
  <c r="AR20" i="9"/>
  <c r="AR37" i="9"/>
  <c r="AR38" i="9"/>
  <c r="AS36" i="9"/>
  <c r="AR24" i="9"/>
  <c r="AR23" i="9"/>
  <c r="AS35" i="9"/>
  <c r="AZ44" i="9"/>
  <c r="BC7" i="9" l="1"/>
  <c r="BC12" i="9"/>
  <c r="BC9" i="9"/>
  <c r="AR27" i="9"/>
  <c r="BA15" i="9"/>
  <c r="BD5" i="9"/>
  <c r="BC4" i="9"/>
  <c r="BB40" i="9" s="1"/>
  <c r="BB30" i="9" s="1"/>
  <c r="BC6" i="9"/>
  <c r="BB13" i="9"/>
  <c r="BB14" i="9" s="1"/>
  <c r="BC8" i="9"/>
  <c r="BC11" i="9"/>
  <c r="AT32" i="9"/>
  <c r="AS20" i="9"/>
  <c r="AS37" i="9"/>
  <c r="AS38" i="9"/>
  <c r="AR25" i="9"/>
  <c r="AR26" i="9" s="1"/>
  <c r="AT36" i="9"/>
  <c r="AS24" i="9"/>
  <c r="AT31" i="9"/>
  <c r="AS19" i="9"/>
  <c r="AT35" i="9"/>
  <c r="AS23" i="9"/>
  <c r="AT34" i="9"/>
  <c r="AS22" i="9"/>
  <c r="AT33" i="9"/>
  <c r="AS21" i="9"/>
  <c r="BA44" i="9"/>
  <c r="BD12" i="9" l="1"/>
  <c r="AS27" i="9"/>
  <c r="BB15" i="9"/>
  <c r="BD11" i="9"/>
  <c r="BD9" i="9"/>
  <c r="BD10" i="9"/>
  <c r="BD6" i="9"/>
  <c r="BD8" i="9"/>
  <c r="BC13" i="9"/>
  <c r="BC14" i="9" s="1"/>
  <c r="BD4" i="9"/>
  <c r="BC40" i="9" s="1"/>
  <c r="BC30" i="9" s="1"/>
  <c r="BE5" i="9"/>
  <c r="BD7" i="9"/>
  <c r="BE7" i="9" s="1"/>
  <c r="AT24" i="9"/>
  <c r="AU36" i="9"/>
  <c r="AU35" i="9"/>
  <c r="AT23" i="9"/>
  <c r="AT22" i="9"/>
  <c r="AU34" i="9"/>
  <c r="AU31" i="9"/>
  <c r="AT19" i="9"/>
  <c r="AU33" i="9"/>
  <c r="AT21" i="9"/>
  <c r="AS25" i="9"/>
  <c r="AS26" i="9" s="1"/>
  <c r="AT20" i="9"/>
  <c r="AU32" i="9"/>
  <c r="AT37" i="9"/>
  <c r="AT38" i="9"/>
  <c r="BB44" i="9"/>
  <c r="AT27" i="9" l="1"/>
  <c r="BE11" i="9"/>
  <c r="BC15" i="9"/>
  <c r="AT25" i="9"/>
  <c r="AT26" i="9" s="1"/>
  <c r="BE6" i="9"/>
  <c r="BE9" i="9"/>
  <c r="BE4" i="9"/>
  <c r="BD40" i="9" s="1"/>
  <c r="BD30" i="9" s="1"/>
  <c r="BF5" i="9"/>
  <c r="BF7" i="9" s="1"/>
  <c r="BE10" i="9"/>
  <c r="BD13" i="9"/>
  <c r="BD14" i="9" s="1"/>
  <c r="BE8" i="9"/>
  <c r="BE12" i="9"/>
  <c r="AU22" i="9"/>
  <c r="AV34" i="9"/>
  <c r="AV33" i="9"/>
  <c r="AU21" i="9"/>
  <c r="AV35" i="9"/>
  <c r="AU23" i="9"/>
  <c r="AU19" i="9"/>
  <c r="AV31" i="9"/>
  <c r="AU24" i="9"/>
  <c r="AV36" i="9"/>
  <c r="AV32" i="9"/>
  <c r="AU20" i="9"/>
  <c r="AU37" i="9"/>
  <c r="AU38" i="9"/>
  <c r="BC44" i="9"/>
  <c r="BF10" i="9" l="1"/>
  <c r="BF12" i="9"/>
  <c r="AU27" i="9"/>
  <c r="BF9" i="9"/>
  <c r="BD15" i="9"/>
  <c r="AU25" i="9"/>
  <c r="AU26" i="9" s="1"/>
  <c r="BF8" i="9"/>
  <c r="BE13" i="9"/>
  <c r="BE14" i="9" s="1"/>
  <c r="BF6" i="9"/>
  <c r="BF4" i="9"/>
  <c r="BE40" i="9" s="1"/>
  <c r="BE30" i="9" s="1"/>
  <c r="BG5" i="9"/>
  <c r="BF11" i="9"/>
  <c r="AW32" i="9"/>
  <c r="AV20" i="9"/>
  <c r="AV38" i="9"/>
  <c r="AW35" i="9"/>
  <c r="AV23" i="9"/>
  <c r="AV24" i="9"/>
  <c r="AW36" i="9"/>
  <c r="AV37" i="9"/>
  <c r="AV21" i="9"/>
  <c r="AW33" i="9"/>
  <c r="AW34" i="9"/>
  <c r="AV22" i="9"/>
  <c r="AW31" i="9"/>
  <c r="AV19" i="9"/>
  <c r="BD44" i="9"/>
  <c r="BE15" i="9" l="1"/>
  <c r="BG11" i="9"/>
  <c r="AV27" i="9"/>
  <c r="AV25" i="9"/>
  <c r="AV26" i="9" s="1"/>
  <c r="BG4" i="9"/>
  <c r="BF40" i="9" s="1"/>
  <c r="BF30" i="9" s="1"/>
  <c r="BH5" i="9"/>
  <c r="BG6" i="9"/>
  <c r="BG12" i="9"/>
  <c r="BH12" i="9" s="1"/>
  <c r="BG7" i="9"/>
  <c r="BG9" i="9"/>
  <c r="BF13" i="9"/>
  <c r="BF14" i="9" s="1"/>
  <c r="BG8" i="9"/>
  <c r="BG10" i="9"/>
  <c r="AW22" i="9"/>
  <c r="AX34" i="9"/>
  <c r="AW23" i="9"/>
  <c r="AX35" i="9"/>
  <c r="AW24" i="9"/>
  <c r="AX36" i="9"/>
  <c r="AW21" i="9"/>
  <c r="AX33" i="9"/>
  <c r="AX31" i="9"/>
  <c r="AW19" i="9"/>
  <c r="AW20" i="9"/>
  <c r="AX32" i="9"/>
  <c r="AW37" i="9"/>
  <c r="AW38" i="9"/>
  <c r="BE44" i="9"/>
  <c r="BH10" i="9" l="1"/>
  <c r="BH11" i="9"/>
  <c r="BH7" i="9"/>
  <c r="AW27" i="9"/>
  <c r="BF15" i="9"/>
  <c r="BH6" i="9"/>
  <c r="BH8" i="9"/>
  <c r="BG13" i="9"/>
  <c r="BG14" i="9" s="1"/>
  <c r="BH9" i="9"/>
  <c r="BH4" i="9"/>
  <c r="BG40" i="9" s="1"/>
  <c r="BG30" i="9" s="1"/>
  <c r="BI5" i="9"/>
  <c r="AY36" i="9"/>
  <c r="AX24" i="9"/>
  <c r="AX19" i="9"/>
  <c r="AY31" i="9"/>
  <c r="AX23" i="9"/>
  <c r="AY35" i="9"/>
  <c r="AX21" i="9"/>
  <c r="AY33" i="9"/>
  <c r="AX20" i="9"/>
  <c r="AY32" i="9"/>
  <c r="AX38" i="9"/>
  <c r="AX37" i="9"/>
  <c r="AY34" i="9"/>
  <c r="AX22" i="9"/>
  <c r="AW25" i="9"/>
  <c r="AW26" i="9" s="1"/>
  <c r="BF44" i="9"/>
  <c r="BI7" i="9" l="1"/>
  <c r="AX27" i="9"/>
  <c r="BG15" i="9"/>
  <c r="BI6" i="9"/>
  <c r="BI9" i="9"/>
  <c r="BJ5" i="9"/>
  <c r="BI4" i="9"/>
  <c r="BH40" i="9" s="1"/>
  <c r="BH30" i="9" s="1"/>
  <c r="BH13" i="9"/>
  <c r="BH14" i="9" s="1"/>
  <c r="BI8" i="9"/>
  <c r="BI12" i="9"/>
  <c r="BJ12" i="9" s="1"/>
  <c r="BI10" i="9"/>
  <c r="BI11" i="9"/>
  <c r="AZ35" i="9"/>
  <c r="AY23" i="9"/>
  <c r="AY20" i="9"/>
  <c r="AZ32" i="9"/>
  <c r="AY37" i="9"/>
  <c r="AY38" i="9"/>
  <c r="AZ31" i="9"/>
  <c r="AY19" i="9"/>
  <c r="AY21" i="9"/>
  <c r="AZ33" i="9"/>
  <c r="AX25" i="9"/>
  <c r="AX26" i="9" s="1"/>
  <c r="AY22" i="9"/>
  <c r="AZ34" i="9"/>
  <c r="AZ36" i="9"/>
  <c r="AY24" i="9"/>
  <c r="BG44" i="9"/>
  <c r="BJ10" i="9" l="1"/>
  <c r="BJ9" i="9"/>
  <c r="AY27" i="9"/>
  <c r="BH15" i="9"/>
  <c r="BJ11" i="9"/>
  <c r="BJ4" i="9"/>
  <c r="BI40" i="9" s="1"/>
  <c r="BI30" i="9" s="1"/>
  <c r="BK5" i="9"/>
  <c r="BJ8" i="9"/>
  <c r="BI13" i="9"/>
  <c r="BI14" i="9" s="1"/>
  <c r="BJ6" i="9"/>
  <c r="BJ7" i="9"/>
  <c r="BK7" i="9" s="1"/>
  <c r="AY25" i="9"/>
  <c r="AY26" i="9" s="1"/>
  <c r="BA33" i="9"/>
  <c r="AZ21" i="9"/>
  <c r="BA32" i="9"/>
  <c r="AZ20" i="9"/>
  <c r="AZ37" i="9"/>
  <c r="AZ38" i="9"/>
  <c r="BA31" i="9"/>
  <c r="AZ19" i="9"/>
  <c r="AZ24" i="9"/>
  <c r="BA36" i="9"/>
  <c r="BA34" i="9"/>
  <c r="AZ22" i="9"/>
  <c r="AZ23" i="9"/>
  <c r="BA35" i="9"/>
  <c r="BH44" i="9"/>
  <c r="AZ27" i="9" l="1"/>
  <c r="BI15" i="9"/>
  <c r="BJ13" i="9"/>
  <c r="BJ14" i="9" s="1"/>
  <c r="BK8" i="9"/>
  <c r="BK9" i="9"/>
  <c r="BK4" i="9"/>
  <c r="BJ40" i="9" s="1"/>
  <c r="BJ30" i="9" s="1"/>
  <c r="BL5" i="9"/>
  <c r="BL4" i="9" s="1"/>
  <c r="BK11" i="9"/>
  <c r="BK6" i="9"/>
  <c r="BK10" i="9"/>
  <c r="BL10" i="9" s="1"/>
  <c r="BK12" i="9"/>
  <c r="BL12" i="9" s="1"/>
  <c r="BA22" i="9"/>
  <c r="BB34" i="9"/>
  <c r="BB36" i="9"/>
  <c r="BA24" i="9"/>
  <c r="BA20" i="9"/>
  <c r="BB32" i="9"/>
  <c r="BA37" i="9"/>
  <c r="BA38" i="9"/>
  <c r="AZ25" i="9"/>
  <c r="AZ26" i="9" s="1"/>
  <c r="BA19" i="9"/>
  <c r="BB31" i="9"/>
  <c r="BB33" i="9"/>
  <c r="BA21" i="9"/>
  <c r="BB35" i="9"/>
  <c r="BA23" i="9"/>
  <c r="BI44" i="9"/>
  <c r="BJ15" i="9" l="1"/>
  <c r="BL11" i="9"/>
  <c r="BA25" i="9"/>
  <c r="BA26" i="9" s="1"/>
  <c r="BL9" i="9"/>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K15" i="9" l="1"/>
  <c r="BL13" i="9"/>
  <c r="BL15" i="9" s="1"/>
  <c r="M11" i="10"/>
  <c r="N11" i="10"/>
  <c r="K11" i="10"/>
  <c r="L11" i="10" s="1"/>
  <c r="BD31" i="9"/>
  <c r="BC19" i="9"/>
  <c r="BC24" i="9"/>
  <c r="BD36" i="9"/>
  <c r="BC21" i="9"/>
  <c r="BD33" i="9"/>
  <c r="BD34" i="9"/>
  <c r="BC22" i="9"/>
  <c r="BB25" i="9"/>
  <c r="BB26" i="9" s="1"/>
  <c r="BD32" i="9"/>
  <c r="BC20" i="9"/>
  <c r="BC37" i="9"/>
  <c r="BC38" i="9"/>
  <c r="BD35" i="9"/>
  <c r="BC23" i="9"/>
  <c r="BL30" i="9"/>
  <c r="BK44" i="9"/>
  <c r="BL1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<sst xmlns="http://schemas.openxmlformats.org/spreadsheetml/2006/main" count="524" uniqueCount="300">
  <si>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</si>
  <si>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</si>
  <si>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</si>
  <si>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</si>
  <si>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</si>
  <si>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</si>
  <si>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</si>
  <si>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</si>
  <si>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</si>
  <si>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</si>
  <si>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</si>
  <si>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</si>
  <si>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</si>
  <si>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</si>
  <si>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</si>
  <si>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</si>
  <si>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</si>
  <si>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</si>
  <si>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</si>
  <si>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</si>
  <si>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</si>
  <si>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</si>
  <si>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</si>
  <si>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</si>
  <si>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</si>
  <si>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</si>
  <si>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</si>
  <si>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</si>
  <si>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</si>
  <si>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</si>
  <si>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</si>
  <si>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</si>
  <si>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</si>
  <si>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</si>
  <si>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</si>
  <si>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</si>
  <si>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</si>
  <si>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</si>
  <si>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</si>
  <si>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</si>
  <si>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</si>
  <si>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</si>
  <si>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</si>
  <si>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</si>
  <si>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</si>
  <si>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</si>
  <si>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</si>
  <si>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</si>
  <si>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</si>
  <si>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</si>
  <si>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</si>
  <si>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</si>
  <si>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</si>
  <si>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</si>
  <si>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</si>
  <si>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</si>
  <si>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</si>
  <si>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</si>
  <si>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</si>
  <si>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</si>
  <si>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</si>
  <si>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</si>
  <si>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</si>
  <si>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</si>
  <si>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</si>
  <si>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</si>
  <si>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</si>
  <si>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</si>
  <si>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</si>
  <si>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</si>
  <si>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</si>
  <si>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</si>
  <si>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</si>
  <si>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</si>
  <si>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</si>
  <si>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</si>
  <si>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</si>
  <si>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</si>
  <si>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</si>
  <si>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</si>
  <si>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</si>
  <si>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</si>
  <si>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</si>
  <si>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</si>
  <si>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</si>
  <si>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</si>
  <si>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</si>
  <si>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</si>
  <si>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</si>
  <si>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</si>
  <si>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</si>
  <si>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</si>
  <si>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</si>
  <si>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</si>
  <si>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</si>
  <si>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</si>
  <si>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</si>
  <si>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</si>
  <si>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</si>
  <si>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</si>
  <si>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</si>
  <si>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</si>
  <si>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</si>
  <si>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</si>
  <si>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</si>
  <si>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</si>
  <si>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</si>
  <si>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</si>
  <si>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</si>
  <si>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</si>
  <si>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</si>
  <si>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</si>
  <si>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</si>
  <si>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</si>
  <si>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</si>
  <si>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</si>
  <si>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</si>
  <si>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</si>
  <si>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</si>
  <si>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</si>
  <si>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</si>
  <si>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</si>
  <si>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</si>
  <si>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</si>
  <si>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</si>
  <si>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</si>
  <si>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</si>
  <si>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</si>
  <si>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</si>
  <si>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</si>
  <si>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</si>
  <si>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</si>
  <si>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</si>
  <si>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</si>
  <si>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</si>
  <si>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</si>
  <si>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</si>
  <si>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</si>
  <si>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</si>
  <si>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</si>
  <si>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</si>
  <si>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</si>
  <si>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TIPO GASTO</t>
  </si>
  <si>
    <t>DESCRIPCION GASTO</t>
  </si>
  <si>
    <t xml:space="preserve">INFORMACION ADICIONAL </t>
  </si>
  <si>
    <t>REFACTURABLE</t>
  </si>
  <si>
    <t>MARGEN</t>
  </si>
  <si>
    <t>TOTAL GASTOS</t>
  </si>
  <si>
    <t>VENTA GASTOS REFACTURABLES</t>
  </si>
  <si>
    <t xml:space="preserve">COSTE TOTAL COMPRAS BASELINE </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</si>
  <si>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</si>
  <si>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</si>
  <si>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</si>
  <si>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</si>
  <si>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</si>
  <si>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</si>
  <si>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</si>
  <si>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</si>
  <si>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</si>
  <si>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</si>
  <si>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</si>
  <si>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</si>
  <si>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</si>
  <si>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</si>
  <si>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</si>
  <si>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</si>
  <si>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</si>
  <si>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</si>
  <si>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</si>
  <si>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</si>
  <si>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</si>
  <si>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</si>
  <si>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</si>
  <si>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</si>
  <si>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</si>
  <si>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</si>
  <si>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</si>
  <si>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</si>
  <si>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</si>
  <si>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</si>
  <si>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</si>
  <si>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</si>
  <si>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</si>
  <si>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</si>
  <si>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</si>
  <si>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</si>
  <si>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</si>
  <si>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</si>
  <si>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</si>
  <si>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</si>
  <si>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</si>
  <si>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</si>
  <si>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</si>
  <si>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</si>
  <si>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</si>
  <si>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</si>
  <si>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</si>
  <si>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</si>
  <si>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</si>
  <si>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</si>
  <si>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</si>
  <si>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</si>
  <si>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</si>
  <si>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</si>
  <si>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</si>
  <si>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</si>
  <si>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</si>
  <si>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</si>
  <si>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</si>
  <si>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</si>
  <si>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</si>
  <si>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</si>
  <si>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</si>
  <si>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</si>
  <si>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</si>
  <si>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</si>
  <si>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</si>
  <si>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</si>
  <si>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</si>
  <si>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</si>
  <si>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</si>
  <si>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</si>
  <si>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</si>
  <si>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</si>
  <si>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</si>
  <si>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</si>
  <si>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</si>
  <si>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</si>
  <si>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</si>
  <si>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</si>
  <si>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</si>
  <si>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</si>
  <si>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</si>
  <si>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</si>
  <si>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</si>
  <si>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</si>
  <si>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</si>
  <si>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</si>
  <si>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</si>
  <si>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</si>
  <si>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</si>
  <si>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</si>
  <si>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</si>
  <si>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</si>
  <si>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</si>
  <si>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</si>
  <si>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</si>
  <si>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</si>
  <si>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</si>
  <si>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</si>
  <si>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</si>
  <si>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</si>
  <si>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</si>
  <si>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</si>
  <si>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</si>
  <si>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</si>
  <si>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</si>
  <si>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</si>
  <si>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</si>
  <si>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</si>
  <si>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</si>
  <si>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</si>
  <si>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</si>
  <si>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</si>
  <si>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</si>
  <si>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</si>
  <si>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</si>
  <si>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</si>
  <si>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</si>
  <si>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</si>
  <si>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</si>
  <si>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</si>
  <si>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</si>
  <si>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</si>
  <si>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</si>
  <si>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</si>
  <si>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</si>
  <si>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</si>
  <si>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</si>
  <si>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</si>
  <si>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</si>
  <si>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</si>
  <si>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Compania: Connectis-ICT | Unidad: ICT | Portfolio: Sin producto | Subpractice: Norte | Origen: EV1AP0</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</si>
  <si>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</si>
  <si>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</si>
  <si>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</si>
  <si>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</si>
  <si>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</si>
  <si>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</si>
  <si>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</si>
  <si>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</si>
  <si>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</si>
  <si>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</si>
  <si>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</si>
  <si>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</si>
  <si>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</si>
  <si>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</si>
  <si>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</si>
  <si>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</si>
  <si>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Generado por RPA: 2026-05-11 10:50:00 | PPO=20251160543_PPO_CEducación_AMS_SI_Lote 2_v01.xlsm | NumeroSF=20251160543 | Tipo=AT | Campos PPO=8 | Trazabilidad: PPO=baseline; SAP/SF=datos de prueba hardcodeados en Main.xaml; reglas=recursos/gastos/compras prorrateados por anualidad, riesgos/garantia al ultimo mes, facturacion y realizado vacios; pendiente JP=revisar intercompany, externos y planificacion mensual.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</si>
</sst>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36">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1" customWidth="1"/>
    <col min="2" max="2" width="32.54296875" style="21" customWidth="1"/>
    <col min="3" max="3" width="23.81640625" style="21" customWidth="1"/>
    <col min="4" max="4" width="52" style="21" customWidth="1"/>
    <col min="5" max="5" width="17.7265625" style="21" customWidth="1"/>
    <col min="6" max="6" width="15.1796875" style="21" customWidth="1"/>
    <col min="7" max="7" width="37.453125" style="21" customWidth="1"/>
    <col min="8" max="16384" width="9.1796875" style="21"/>
  </cols>
  <sheetData>
    <row r="2" spans="2:16" ht="33" customHeight="1" x14ac:dyDescent="0.45">
      <c r="B2" s="56"/>
      <c r="C2" s="57"/>
    </row>
    <row r="3" spans="2:16" ht="24" customHeight="1" x14ac:dyDescent="0.3">
      <c r="B3" s="314" t="s">
        <v>0</v>
      </c>
      <c r="C3" s="314"/>
      <c r="D3" s="314"/>
    </row>
    <row r="4" spans="2:16" ht="21" customHeight="1" thickBot="1" x14ac:dyDescent="0.35">
      <c r="B4" s="58"/>
      <c r="C4" s="59"/>
      <c r="D4" s="60"/>
      <c r="E4" s="60"/>
      <c r="F4" s="67"/>
      <c r="G4" s="62"/>
    </row>
    <row r="5" spans="2:16" ht="21" customHeight="1" thickBot="1" x14ac:dyDescent="0.35">
      <c r="B5" s="61" t="s">
        <v>1</v>
      </c>
      <c r="C5" s="54">
        <v>46153</v>
      </c>
      <c r="D5" s="62"/>
      <c r="E5" s="60"/>
      <c r="F5" s="67"/>
      <c r="G5" s="62"/>
    </row>
    <row r="6" spans="2:16" ht="18" customHeight="1" x14ac:dyDescent="0.3">
      <c r="B6" s="66" t="s">
        <v>2</v>
      </c>
      <c r="C6" s="185">
        <v>46022</v>
      </c>
      <c r="D6" s="63">
        <v>46022</v>
      </c>
      <c r="E6" s="60"/>
      <c r="F6" s="67"/>
      <c r="G6" s="62"/>
      <c r="H6" s="24"/>
      <c r="I6" s="24"/>
      <c r="J6" s="24"/>
      <c r="K6" s="24"/>
      <c r="L6" s="24"/>
      <c r="M6" s="24"/>
      <c r="N6" s="24"/>
      <c r="O6" s="24"/>
      <c r="P6" s="24"/>
    </row>
    <row r="7" spans="2:16" ht="13.5" customHeight="1" x14ac:dyDescent="0.3">
      <c r="B7" s="64"/>
      <c r="C7" s="65"/>
      <c r="D7" s="62"/>
      <c r="E7" s="60"/>
      <c r="F7" s="67"/>
      <c r="G7" s="62"/>
      <c r="H7" s="24"/>
      <c r="I7" s="24"/>
      <c r="J7" s="24"/>
      <c r="K7" s="24"/>
      <c r="L7" s="24"/>
      <c r="M7" s="24"/>
      <c r="N7" s="24"/>
      <c r="O7" s="24"/>
      <c r="P7" s="24"/>
    </row>
    <row r="8" spans="2:16" ht="18" customHeight="1" x14ac:dyDescent="0.3">
      <c r="B8" s="66" t="s">
        <v>3</v>
      </c>
      <c r="C8" s="3">
        <v>46023</v>
      </c>
      <c r="D8" s="60"/>
      <c r="E8" s="60"/>
      <c r="F8" s="67"/>
      <c r="G8" s="62"/>
      <c r="H8" s="24"/>
      <c r="I8" s="24"/>
      <c r="J8" s="24"/>
      <c r="K8" s="24"/>
      <c r="L8" s="24"/>
      <c r="M8" s="24"/>
      <c r="N8" s="24"/>
      <c r="O8" s="24"/>
      <c r="P8" s="24"/>
    </row>
    <row r="9" spans="2:16" ht="18" customHeight="1" x14ac:dyDescent="0.3">
      <c r="B9" s="66" t="s">
        <v>4</v>
      </c>
      <c r="C9" s="3">
        <v>47483</v>
      </c>
      <c r="D9" s="184"/>
      <c r="E9" s="67"/>
      <c r="F9" s="67"/>
      <c r="G9" s="62"/>
      <c r="H9" s="24"/>
      <c r="I9" s="24"/>
      <c r="J9" s="24"/>
      <c r="K9" s="24"/>
      <c r="L9" s="24"/>
      <c r="M9" s="24"/>
      <c r="N9" s="24"/>
      <c r="O9" s="24"/>
      <c r="P9" s="24"/>
    </row>
    <row r="10" spans="2:16" ht="18" customHeight="1" x14ac:dyDescent="0.3">
      <c r="B10" s="66" t="s">
        <v>5</v>
      </c>
      <c r="C10" s="289" t="s">
        <v>279</v>
      </c>
      <c r="D10" s="290"/>
      <c r="H10" s="24"/>
      <c r="I10" s="24"/>
      <c r="J10" s="24"/>
      <c r="K10" s="24"/>
      <c r="L10" s="24"/>
      <c r="M10" s="24"/>
      <c r="N10" s="24"/>
      <c r="O10" s="24"/>
      <c r="P10" s="24"/>
    </row>
    <row r="11" spans="2:16" ht="18" customHeight="1" x14ac:dyDescent="0.3">
      <c r="B11" s="66" t="s">
        <v>6</v>
      </c>
      <c r="C11" s="318" t="s">
        <v>280</v>
      </c>
      <c r="D11" s="318"/>
      <c r="E11" s="318"/>
      <c r="F11" s="318"/>
      <c r="G11" s="318"/>
      <c r="H11" s="24"/>
      <c r="I11" s="24"/>
      <c r="J11" s="24"/>
      <c r="K11" s="24"/>
      <c r="L11" s="24"/>
      <c r="M11" s="24"/>
      <c r="N11" s="24"/>
      <c r="O11" s="24"/>
      <c r="P11" s="24"/>
    </row>
    <row r="12" spans="2:16" ht="18" customHeight="1" x14ac:dyDescent="0.3">
      <c r="B12" s="66" t="s">
        <v>7</v>
      </c>
      <c r="C12" s="315" t="s">
        <v>281</v>
      </c>
      <c r="D12" s="315"/>
      <c r="H12" s="24"/>
      <c r="I12" s="24"/>
      <c r="J12" s="24"/>
      <c r="K12" s="24"/>
      <c r="L12" s="24"/>
      <c r="M12" s="24"/>
      <c r="N12" s="24"/>
      <c r="O12" s="24"/>
      <c r="P12" s="24"/>
    </row>
    <row r="13" spans="2:16" ht="18" customHeight="1" x14ac:dyDescent="0.3">
      <c r="B13" s="66" t="s">
        <v>8</v>
      </c>
      <c r="C13" s="316" t="s">
        <v>282</v>
      </c>
      <c r="D13" s="317"/>
      <c r="H13" s="24"/>
      <c r="I13" s="24"/>
      <c r="J13" s="24"/>
      <c r="K13" s="24"/>
      <c r="L13" s="24"/>
      <c r="M13" s="24"/>
      <c r="N13" s="24"/>
      <c r="O13" s="24"/>
      <c r="P13" s="24"/>
    </row>
    <row r="14" spans="2:16" ht="9" customHeight="1" x14ac:dyDescent="0.3">
      <c r="B14" s="64"/>
      <c r="C14" s="65"/>
      <c r="D14" s="65"/>
      <c r="H14" s="24"/>
      <c r="I14" s="24"/>
      <c r="J14" s="24"/>
      <c r="K14" s="24"/>
      <c r="L14" s="24"/>
      <c r="M14" s="24"/>
      <c r="N14" s="24"/>
      <c r="O14" s="24"/>
      <c r="P14" s="24"/>
    </row>
    <row r="15" spans="2:16" ht="18" customHeight="1" x14ac:dyDescent="0.3">
      <c r="B15" s="68"/>
      <c r="C15" s="69" t="s">
        <v>9</v>
      </c>
      <c r="D15" s="69" t="s">
        <v>10</v>
      </c>
      <c r="E15" s="24"/>
      <c r="F15" s="24"/>
      <c r="G15" s="24"/>
      <c r="H15" s="24"/>
      <c r="I15" s="24"/>
      <c r="J15" s="24"/>
      <c r="K15" s="24"/>
      <c r="L15" s="24"/>
      <c r="M15" s="24"/>
      <c r="N15" s="24"/>
      <c r="O15" s="24"/>
      <c r="P15" s="24"/>
    </row>
    <row r="16" spans="2:16" ht="18" customHeight="1" x14ac:dyDescent="0.3">
      <c r="B16" s="66" t="s">
        <v>11</v>
      </c>
      <c r="C16" s="10" t="s">
        <v>283</v>
      </c>
      <c r="D16" s="11" t="s">
        <v>284</v>
      </c>
      <c r="E16" s="24"/>
      <c r="F16" s="24"/>
      <c r="G16" s="24"/>
      <c r="H16" s="24"/>
      <c r="I16" s="24"/>
      <c r="J16" s="24"/>
      <c r="K16" s="24"/>
      <c r="L16" s="24"/>
      <c r="M16" s="24"/>
      <c r="N16" s="24"/>
      <c r="O16" s="24"/>
      <c r="P16" s="24"/>
    </row>
    <row r="17" spans="2:16" ht="4.5" customHeight="1" x14ac:dyDescent="0.3">
      <c r="B17" s="64"/>
      <c r="C17" s="65"/>
      <c r="D17" s="62"/>
      <c r="E17" s="60"/>
      <c r="F17" s="67"/>
      <c r="G17" s="62"/>
      <c r="H17" s="24"/>
      <c r="I17" s="24"/>
      <c r="J17" s="24"/>
      <c r="K17" s="24"/>
      <c r="L17" s="24"/>
      <c r="M17" s="24"/>
      <c r="N17" s="24"/>
      <c r="O17" s="24"/>
      <c r="P17" s="24"/>
    </row>
    <row r="18" spans="2:16" ht="18" customHeight="1" x14ac:dyDescent="0.3">
      <c r="B18" s="66" t="s">
        <v>12</v>
      </c>
      <c r="C18" s="10" t="s">
        <v>285</v>
      </c>
      <c r="D18" s="11"/>
      <c r="E18" s="24"/>
      <c r="F18" s="24"/>
      <c r="G18" s="24"/>
      <c r="H18" s="24"/>
      <c r="I18" s="24"/>
      <c r="J18" s="24"/>
      <c r="K18" s="24"/>
      <c r="L18" s="24"/>
      <c r="M18" s="24"/>
      <c r="N18" s="24"/>
      <c r="O18" s="24"/>
      <c r="P18" s="24"/>
    </row>
    <row r="19" spans="2:16" ht="18" customHeight="1" x14ac:dyDescent="0.3">
      <c r="B19" s="66" t="s">
        <v>13</v>
      </c>
      <c r="C19" s="177" t="s">
        <v>286</v>
      </c>
      <c r="D19" s="65"/>
      <c r="E19" s="70"/>
      <c r="F19" s="181"/>
      <c r="G19" s="181"/>
      <c r="H19" s="24"/>
      <c r="I19" s="24"/>
      <c r="J19" s="24"/>
      <c r="K19" s="24"/>
      <c r="L19" s="24"/>
      <c r="M19" s="24"/>
      <c r="N19" s="24"/>
      <c r="O19" s="24"/>
      <c r="P19" s="24"/>
    </row>
    <row r="20" spans="2:16" ht="9" customHeight="1" x14ac:dyDescent="0.3">
      <c r="B20" s="64"/>
      <c r="C20" s="65"/>
      <c r="D20" s="65"/>
      <c r="E20" s="70"/>
      <c r="F20" s="181"/>
      <c r="G20" s="181"/>
      <c r="H20" s="24"/>
      <c r="I20" s="24"/>
      <c r="J20" s="24"/>
      <c r="K20" s="24"/>
      <c r="L20" s="24"/>
      <c r="M20" s="24"/>
      <c r="N20" s="24"/>
      <c r="O20" s="24"/>
      <c r="P20" s="24"/>
    </row>
    <row r="21" spans="2:16" ht="20.149999999999999" customHeight="1" x14ac:dyDescent="0.3">
      <c r="B21" s="71"/>
      <c r="C21" s="72" t="s">
        <v>14</v>
      </c>
      <c r="D21" s="72" t="s">
        <v>15</v>
      </c>
      <c r="E21" s="70"/>
      <c r="F21" s="181"/>
      <c r="G21" s="181"/>
      <c r="H21" s="24"/>
      <c r="I21" s="24"/>
      <c r="J21" s="24"/>
      <c r="K21" s="24"/>
      <c r="L21" s="24"/>
      <c r="M21" s="24"/>
      <c r="N21" s="24"/>
      <c r="O21" s="24"/>
      <c r="P21" s="24"/>
    </row>
    <row r="22" spans="2:16" ht="18" customHeight="1" x14ac:dyDescent="0.3">
      <c r="B22" s="66" t="s">
        <v>16</v>
      </c>
      <c r="C22" s="11" t="s">
        <v>287</v>
      </c>
      <c r="D22" s="11" t="s">
        <v>288</v>
      </c>
      <c r="E22" s="70"/>
      <c r="F22" s="181"/>
      <c r="G22" s="181"/>
      <c r="H22" s="24"/>
      <c r="I22" s="24"/>
      <c r="J22" s="24"/>
      <c r="K22" s="24"/>
      <c r="L22" s="24"/>
      <c r="M22" s="24"/>
      <c r="N22" s="24"/>
      <c r="O22" s="24"/>
      <c r="P22" s="24"/>
    </row>
    <row r="23" spans="2:16" ht="18" customHeight="1" x14ac:dyDescent="0.3">
      <c r="B23" s="66" t="s">
        <v>17</v>
      </c>
      <c r="C23" s="11" t="s">
        <v>289</v>
      </c>
      <c r="D23" s="12" t="s">
        <v>290</v>
      </c>
      <c r="E23" s="70"/>
      <c r="F23" s="181"/>
      <c r="G23" s="181"/>
      <c r="H23" s="24"/>
      <c r="I23" s="24"/>
      <c r="J23" s="24"/>
      <c r="K23" s="24"/>
      <c r="L23" s="24"/>
      <c r="M23" s="24"/>
      <c r="N23" s="24"/>
      <c r="O23" s="24"/>
      <c r="P23" s="24"/>
    </row>
    <row r="24" spans="2:16" ht="18" customHeight="1" x14ac:dyDescent="0.3">
      <c r="B24" s="66" t="s">
        <v>18</v>
      </c>
      <c r="C24" s="12" t="s">
        <v>291</v>
      </c>
      <c r="D24" s="178" t="s">
        <v>292</v>
      </c>
      <c r="E24" s="70"/>
      <c r="F24" s="181"/>
      <c r="G24" s="181"/>
      <c r="H24" s="24"/>
      <c r="I24" s="24"/>
      <c r="J24" s="24"/>
      <c r="K24" s="24"/>
      <c r="L24" s="24"/>
      <c r="M24" s="24"/>
      <c r="N24" s="24"/>
      <c r="O24" s="24"/>
      <c r="P24" s="24"/>
    </row>
    <row r="25" spans="2:16" ht="15" customHeight="1" x14ac:dyDescent="0.3">
      <c r="C25" s="73"/>
      <c r="D25" s="73"/>
      <c r="E25" s="70"/>
      <c r="F25" s="181"/>
      <c r="G25" s="181"/>
      <c r="H25" s="24"/>
      <c r="I25" s="24"/>
      <c r="J25" s="24"/>
      <c r="K25" s="24"/>
      <c r="L25" s="24"/>
      <c r="M25" s="24"/>
      <c r="N25" s="24"/>
      <c r="O25" s="24"/>
      <c r="P25" s="24"/>
    </row>
    <row r="26" spans="2:16" ht="20.25" customHeight="1" x14ac:dyDescent="0.3">
      <c r="B26" s="74" t="s">
        <v>19</v>
      </c>
      <c r="C26" s="75"/>
      <c r="D26" s="24"/>
      <c r="E26" s="24"/>
      <c r="F26" s="24"/>
      <c r="G26" s="24"/>
      <c r="H26" s="24"/>
      <c r="I26" s="24"/>
      <c r="J26" s="24"/>
      <c r="K26" s="24"/>
      <c r="L26" s="24"/>
      <c r="M26" s="24"/>
      <c r="N26" s="24"/>
      <c r="O26" s="24"/>
      <c r="P26" s="24"/>
    </row>
    <row r="27" spans="2:16" ht="7.5" customHeight="1" x14ac:dyDescent="0.3">
      <c r="B27" s="76"/>
      <c r="C27" s="76"/>
      <c r="D27" s="24"/>
      <c r="E27" s="24"/>
      <c r="F27" s="24"/>
      <c r="G27" s="24"/>
      <c r="H27" s="24"/>
      <c r="I27" s="24"/>
      <c r="J27" s="24"/>
      <c r="K27" s="24"/>
      <c r="L27" s="24"/>
      <c r="M27" s="24"/>
      <c r="N27" s="24"/>
      <c r="O27" s="24"/>
      <c r="P27" s="24"/>
    </row>
    <row r="28" spans="2:16" ht="16" customHeight="1" x14ac:dyDescent="0.3">
      <c r="B28" s="66" t="s">
        <v>20</v>
      </c>
      <c r="C28" s="13">
        <v>465000</v>
      </c>
      <c r="D28" s="24"/>
      <c r="E28" s="24"/>
      <c r="F28" s="24"/>
      <c r="G28" s="24"/>
      <c r="H28" s="24"/>
      <c r="I28" s="24"/>
      <c r="J28" s="24"/>
      <c r="K28" s="24"/>
      <c r="L28" s="24"/>
      <c r="M28" s="24"/>
      <c r="N28" s="24"/>
      <c r="O28" s="24"/>
      <c r="P28" s="24"/>
    </row>
    <row r="29" spans="2:16" ht="16" customHeight="1" x14ac:dyDescent="0.3">
      <c r="B29" s="66" t="s">
        <v>21</v>
      </c>
      <c r="C29" s="14">
        <v>14256</v>
      </c>
      <c r="D29" s="24"/>
      <c r="E29" s="24"/>
      <c r="F29" s="24"/>
      <c r="G29" s="24"/>
      <c r="H29" s="24"/>
      <c r="I29" s="24"/>
      <c r="J29" s="24"/>
      <c r="K29" s="24"/>
      <c r="L29" s="24"/>
      <c r="M29" s="24"/>
      <c r="N29" s="24"/>
      <c r="O29" s="24"/>
      <c r="P29" s="24"/>
    </row>
    <row r="30" spans="2:16" ht="16" customHeight="1" x14ac:dyDescent="0.3">
      <c r="B30" s="66" t="s">
        <v>22</v>
      </c>
      <c r="C30" s="15">
        <v>356584.84</v>
      </c>
      <c r="D30" s="24"/>
      <c r="E30" s="24"/>
      <c r="F30" s="24"/>
      <c r="G30" s="24"/>
      <c r="H30" s="24"/>
      <c r="I30" s="24"/>
      <c r="J30" s="24"/>
      <c r="K30" s="24"/>
      <c r="L30" s="24"/>
      <c r="M30" s="24"/>
      <c r="N30" s="24"/>
      <c r="O30" s="24"/>
      <c r="P30" s="24"/>
    </row>
    <row r="31" spans="2:16" ht="16" customHeight="1" x14ac:dyDescent="0.3">
      <c r="B31" s="66" t="s">
        <v>23</v>
      </c>
      <c r="C31" s="15">
        <v>3565.85</v>
      </c>
      <c r="D31" s="24"/>
      <c r="E31" s="24"/>
      <c r="F31" s="24"/>
      <c r="G31" s="24"/>
      <c r="H31" s="24"/>
      <c r="I31" s="24"/>
      <c r="J31" s="24"/>
      <c r="K31" s="24"/>
      <c r="L31" s="24"/>
      <c r="M31" s="24"/>
      <c r="N31" s="24"/>
      <c r="O31" s="24"/>
      <c r="P31" s="24"/>
    </row>
    <row r="32" spans="2:16" ht="16" customHeight="1" x14ac:dyDescent="0.3">
      <c r="B32" s="66" t="s">
        <v>24</v>
      </c>
      <c r="C32" s="15">
        <v>0</v>
      </c>
      <c r="D32" s="24"/>
      <c r="E32" s="24"/>
      <c r="F32" s="24"/>
      <c r="G32" s="24"/>
      <c r="H32" s="24"/>
      <c r="I32" s="24"/>
      <c r="J32" s="24"/>
      <c r="K32" s="24"/>
      <c r="L32" s="24"/>
      <c r="M32" s="24"/>
      <c r="N32" s="24"/>
      <c r="O32" s="24"/>
      <c r="P32" s="24"/>
    </row>
    <row r="33" spans="2:16" ht="16" customHeight="1" x14ac:dyDescent="0.3">
      <c r="B33" s="66" t="s">
        <v>25</v>
      </c>
      <c r="C33" s="15">
        <v>0</v>
      </c>
      <c r="D33" s="24"/>
      <c r="E33" s="24"/>
      <c r="F33" s="24"/>
      <c r="G33" s="24"/>
      <c r="H33" s="24"/>
      <c r="I33" s="24"/>
      <c r="J33" s="24"/>
      <c r="K33" s="24"/>
      <c r="L33" s="24"/>
      <c r="M33" s="24"/>
      <c r="N33" s="24"/>
      <c r="O33" s="24"/>
      <c r="P33" s="24"/>
    </row>
    <row r="34" spans="2:16" ht="16" customHeight="1" x14ac:dyDescent="0.3">
      <c r="B34" s="66" t="s">
        <v>26</v>
      </c>
      <c r="C34" s="15">
        <v>0</v>
      </c>
      <c r="D34" s="24"/>
      <c r="E34" s="24"/>
      <c r="F34" s="24"/>
      <c r="G34" s="24"/>
      <c r="H34" s="24"/>
      <c r="I34" s="24"/>
      <c r="J34" s="24"/>
      <c r="K34" s="24"/>
      <c r="L34" s="24"/>
      <c r="M34" s="24"/>
      <c r="N34" s="24"/>
      <c r="O34" s="24"/>
      <c r="P34" s="24"/>
    </row>
    <row r="35" spans="2:16" ht="16" customHeight="1" x14ac:dyDescent="0.3">
      <c r="B35" s="77" t="s">
        <v>27</v>
      </c>
      <c r="C35" s="78">
        <f>SUM(C30:C34)</f>
        <v>360150.69</v>
      </c>
      <c r="D35" s="24"/>
      <c r="E35" s="24"/>
      <c r="F35" s="24"/>
      <c r="G35" s="24"/>
      <c r="H35" s="24"/>
      <c r="I35" s="24"/>
      <c r="J35" s="24"/>
      <c r="K35" s="24"/>
      <c r="L35" s="24"/>
      <c r="M35" s="24"/>
      <c r="N35" s="24"/>
      <c r="O35" s="24"/>
      <c r="P35" s="24"/>
    </row>
    <row r="36" spans="2:16" ht="7.5" customHeight="1" x14ac:dyDescent="0.3">
      <c r="B36" s="79"/>
      <c r="C36" s="80"/>
      <c r="D36" s="24"/>
      <c r="E36" s="24"/>
      <c r="F36" s="24"/>
      <c r="G36" s="24"/>
      <c r="H36" s="24"/>
      <c r="I36" s="24"/>
      <c r="J36" s="24"/>
      <c r="K36" s="24"/>
      <c r="L36" s="24"/>
      <c r="M36" s="24"/>
      <c r="N36" s="24"/>
      <c r="O36" s="24"/>
      <c r="P36" s="24"/>
    </row>
    <row r="37" spans="2:16" ht="18" customHeight="1" x14ac:dyDescent="0.3">
      <c r="B37" s="81" t="s">
        <v>28</v>
      </c>
      <c r="C37" s="82">
        <f>IF(C28=0,0,(C28-C35)/C28)</f>
        <v>0.22548238709677418</v>
      </c>
      <c r="D37" s="24"/>
      <c r="E37" s="24"/>
      <c r="F37" s="24"/>
      <c r="G37" s="24"/>
      <c r="H37" s="24"/>
      <c r="I37" s="24"/>
      <c r="J37" s="24"/>
      <c r="K37" s="24"/>
      <c r="L37" s="24"/>
      <c r="M37" s="24"/>
      <c r="N37" s="24"/>
      <c r="O37" s="24"/>
      <c r="P37" s="24"/>
    </row>
    <row r="38" spans="2:16" ht="18" customHeight="1" x14ac:dyDescent="0.3">
      <c r="B38" s="66" t="s">
        <v>29</v>
      </c>
      <c r="C38" s="83">
        <f>IF(C28=0,0,(C28-(SUM(C30,C31,C32)/UTILIZACION)-SUM(C34,C33))/C28)</f>
        <v>0.16718536246964966</v>
      </c>
      <c r="D38" s="24"/>
      <c r="E38" s="24"/>
      <c r="F38" s="24"/>
      <c r="G38" s="24"/>
      <c r="H38" s="24"/>
      <c r="I38" s="24"/>
      <c r="J38" s="24"/>
      <c r="K38" s="24"/>
      <c r="L38" s="24"/>
      <c r="M38" s="24"/>
      <c r="N38" s="24"/>
      <c r="O38" s="24"/>
      <c r="P38" s="24"/>
    </row>
    <row r="39" spans="2:16" ht="13.5" customHeight="1" x14ac:dyDescent="0.3">
      <c r="B39" s="24"/>
      <c r="C39" s="24"/>
      <c r="D39" s="24"/>
      <c r="E39" s="24"/>
      <c r="F39" s="24"/>
      <c r="G39" s="24"/>
      <c r="H39" s="24"/>
      <c r="I39" s="24"/>
      <c r="J39" s="24"/>
      <c r="K39" s="24"/>
      <c r="L39" s="24"/>
      <c r="M39" s="24"/>
      <c r="N39" s="24"/>
      <c r="O39" s="24"/>
      <c r="P39" s="24"/>
    </row>
    <row r="40" spans="2:16" ht="20.149999999999999" customHeight="1" x14ac:dyDescent="0.3">
      <c r="B40" s="65" t="s">
        <v>30</v>
      </c>
      <c r="C40" s="65"/>
      <c r="D40" s="65"/>
      <c r="E40" s="24"/>
      <c r="F40" s="24"/>
      <c r="G40" s="24"/>
      <c r="H40" s="24"/>
      <c r="I40" s="24"/>
      <c r="J40" s="24"/>
      <c r="K40" s="24"/>
      <c r="L40" s="24"/>
      <c r="M40" s="24"/>
      <c r="N40" s="24"/>
      <c r="O40" s="24"/>
      <c r="P40" s="24"/>
    </row>
    <row r="41" spans="2:16" ht="103.5" customHeight="1" x14ac:dyDescent="0.3">
      <c r="B41" s="311"/>
      <c r="C41" s="312"/>
      <c r="D41" s="313"/>
      <c r="E41" s="84"/>
      <c r="F41" s="24"/>
      <c r="G41" s="24"/>
      <c r="H41" s="24"/>
      <c r="I41" s="24"/>
      <c r="J41" s="24"/>
      <c r="K41" s="24"/>
      <c r="L41" s="24"/>
      <c r="M41" s="24"/>
      <c r="N41" s="24"/>
      <c r="O41" s="24"/>
      <c r="P41" s="24"/>
    </row>
    <row r="42" spans="2:16" ht="20.149999999999999" customHeight="1" x14ac:dyDescent="0.3">
      <c r="B42" s="24"/>
      <c r="C42" s="24"/>
      <c r="D42" s="24"/>
      <c r="E42" s="24"/>
      <c r="F42" s="24"/>
      <c r="G42" s="24"/>
      <c r="H42" s="24"/>
      <c r="I42" s="24"/>
      <c r="J42" s="24"/>
      <c r="K42" s="24"/>
      <c r="L42" s="24"/>
      <c r="M42" s="24"/>
      <c r="N42" s="24"/>
      <c r="O42" s="24"/>
      <c r="P42" s="24"/>
    </row>
    <row r="43" spans="2:16" ht="20.25" customHeight="1" x14ac:dyDescent="0.3">
      <c r="B43" s="74" t="s">
        <v>31</v>
      </c>
      <c r="C43" s="75"/>
      <c r="D43" s="24"/>
      <c r="E43" s="24"/>
      <c r="F43" s="24"/>
      <c r="G43" s="24"/>
      <c r="H43" s="24"/>
      <c r="I43" s="24"/>
      <c r="J43" s="24"/>
      <c r="K43" s="24"/>
      <c r="L43" s="24"/>
      <c r="M43" s="24"/>
      <c r="N43" s="24"/>
      <c r="O43" s="24"/>
      <c r="P43" s="24"/>
    </row>
    <row r="44" spans="2:16" ht="7.5" customHeight="1" x14ac:dyDescent="0.3">
      <c r="B44" s="76"/>
      <c r="C44" s="76"/>
      <c r="D44" s="24"/>
      <c r="E44" s="24"/>
      <c r="F44" s="24"/>
      <c r="G44" s="24"/>
      <c r="H44" s="24"/>
      <c r="I44" s="24"/>
      <c r="J44" s="24"/>
      <c r="K44" s="24"/>
      <c r="L44" s="24"/>
      <c r="M44" s="24"/>
      <c r="N44" s="24"/>
      <c r="O44" s="24"/>
      <c r="P44" s="24"/>
    </row>
    <row r="45" spans="2:16" ht="16" customHeight="1" x14ac:dyDescent="0.3">
      <c r="B45" s="66" t="s">
        <v>32</v>
      </c>
      <c r="C45" s="13"/>
      <c r="D45" s="24"/>
      <c r="E45" s="24"/>
      <c r="F45" s="24"/>
      <c r="G45" s="24"/>
      <c r="H45" s="24"/>
      <c r="I45" s="24"/>
      <c r="J45" s="24"/>
      <c r="K45" s="24"/>
      <c r="L45" s="24"/>
      <c r="M45" s="24"/>
      <c r="N45" s="24"/>
      <c r="O45" s="24"/>
      <c r="P45" s="24"/>
    </row>
    <row r="46" spans="2:16" ht="16" customHeight="1" x14ac:dyDescent="0.3">
      <c r="B46" s="66" t="s">
        <v>33</v>
      </c>
      <c r="C46" s="14"/>
      <c r="D46" s="24"/>
      <c r="E46" s="24"/>
      <c r="F46" s="24"/>
      <c r="G46" s="24"/>
      <c r="H46" s="24"/>
      <c r="I46" s="24"/>
      <c r="J46" s="24"/>
      <c r="K46" s="24"/>
      <c r="L46" s="24"/>
      <c r="M46" s="24"/>
      <c r="N46" s="24"/>
      <c r="O46" s="24"/>
      <c r="P46" s="24"/>
    </row>
    <row r="47" spans="2:16" ht="16" customHeight="1" x14ac:dyDescent="0.3">
      <c r="B47" s="66" t="s">
        <v>34</v>
      </c>
      <c r="C47" s="15"/>
      <c r="D47" s="24"/>
      <c r="E47" s="24"/>
      <c r="F47" s="24"/>
      <c r="G47" s="24"/>
      <c r="H47" s="24"/>
      <c r="I47" s="24"/>
      <c r="J47" s="24"/>
      <c r="K47" s="24"/>
      <c r="L47" s="24"/>
      <c r="M47" s="24"/>
      <c r="N47" s="24"/>
      <c r="O47" s="24"/>
      <c r="P47" s="24"/>
    </row>
    <row r="48" spans="2:16" ht="16" customHeight="1" x14ac:dyDescent="0.3">
      <c r="B48" s="66" t="s">
        <v>35</v>
      </c>
      <c r="C48" s="15"/>
      <c r="D48" s="24"/>
      <c r="E48" s="24"/>
      <c r="F48" s="24"/>
      <c r="G48" s="24"/>
      <c r="H48" s="24"/>
      <c r="I48" s="24"/>
      <c r="J48" s="24"/>
      <c r="K48" s="24"/>
      <c r="L48" s="24"/>
      <c r="M48" s="24"/>
      <c r="N48" s="24"/>
      <c r="O48" s="24"/>
      <c r="P48" s="24"/>
    </row>
    <row r="49" spans="2:16" ht="16" customHeight="1" x14ac:dyDescent="0.3">
      <c r="B49" s="66" t="s">
        <v>36</v>
      </c>
      <c r="C49" s="15"/>
      <c r="D49" s="24"/>
      <c r="E49" s="24"/>
      <c r="F49" s="24"/>
      <c r="G49" s="24"/>
      <c r="H49" s="24"/>
      <c r="I49" s="24"/>
      <c r="J49" s="24"/>
      <c r="K49" s="24"/>
      <c r="L49" s="24"/>
      <c r="M49" s="24"/>
      <c r="N49" s="24"/>
      <c r="O49" s="24"/>
      <c r="P49" s="24"/>
    </row>
    <row r="50" spans="2:16" ht="16" customHeight="1" x14ac:dyDescent="0.3">
      <c r="B50" s="77" t="s">
        <v>27</v>
      </c>
      <c r="C50" s="78">
        <f>SUM(C47:C49)</f>
        <v>0</v>
      </c>
      <c r="D50" s="24"/>
      <c r="E50" s="24"/>
      <c r="F50" s="24"/>
      <c r="G50" s="24"/>
      <c r="H50" s="24"/>
      <c r="I50" s="24"/>
      <c r="J50" s="24"/>
      <c r="K50" s="24"/>
      <c r="L50" s="24"/>
      <c r="M50" s="24"/>
      <c r="N50" s="24"/>
      <c r="O50" s="24"/>
      <c r="P50" s="24"/>
    </row>
    <row r="51" spans="2:16" ht="7.5" customHeight="1" x14ac:dyDescent="0.3">
      <c r="B51" s="79"/>
      <c r="C51" s="80"/>
      <c r="D51" s="24"/>
      <c r="E51" s="24"/>
      <c r="F51" s="24"/>
      <c r="G51" s="24"/>
      <c r="H51" s="24"/>
      <c r="I51" s="24"/>
      <c r="J51" s="24"/>
      <c r="K51" s="24"/>
      <c r="L51" s="24"/>
      <c r="M51" s="24"/>
      <c r="N51" s="24"/>
      <c r="O51" s="24"/>
      <c r="P51" s="24"/>
    </row>
    <row r="52" spans="2:16" ht="18" customHeight="1" x14ac:dyDescent="0.3">
      <c r="B52" s="66" t="s">
        <v>37</v>
      </c>
      <c r="C52" s="82">
        <f>IF(C45=0,0,(C45-C50)/C45)</f>
        <v>0</v>
      </c>
      <c r="D52" s="24"/>
      <c r="E52" s="24"/>
      <c r="F52" s="24"/>
      <c r="G52" s="24"/>
      <c r="H52" s="24"/>
      <c r="I52" s="24"/>
      <c r="J52" s="24"/>
      <c r="K52" s="24"/>
      <c r="L52" s="24"/>
      <c r="M52" s="24"/>
      <c r="N52" s="24"/>
      <c r="O52" s="24"/>
      <c r="P52" s="24"/>
    </row>
    <row r="53" spans="2:16" ht="7.5" customHeight="1" x14ac:dyDescent="0.3">
      <c r="B53" s="186"/>
      <c r="C53" s="187"/>
      <c r="D53" s="24"/>
      <c r="E53" s="24"/>
      <c r="F53" s="24"/>
      <c r="G53" s="24"/>
      <c r="H53" s="24"/>
      <c r="I53" s="24"/>
      <c r="J53" s="24"/>
      <c r="K53" s="24"/>
      <c r="L53" s="24"/>
      <c r="M53" s="24"/>
      <c r="N53" s="24"/>
      <c r="O53" s="24"/>
      <c r="P53" s="24"/>
    </row>
    <row r="54" spans="2:16" ht="16" customHeight="1" x14ac:dyDescent="0.3">
      <c r="B54" s="66" t="s">
        <v>38</v>
      </c>
      <c r="C54" s="13"/>
      <c r="D54" s="24"/>
      <c r="E54" s="24"/>
      <c r="F54" s="24"/>
      <c r="G54" s="24"/>
      <c r="H54" s="24"/>
      <c r="I54" s="24"/>
      <c r="J54" s="24"/>
      <c r="K54" s="24"/>
      <c r="L54" s="24"/>
      <c r="M54" s="24"/>
      <c r="N54" s="24"/>
      <c r="O54" s="24"/>
      <c r="P54" s="24"/>
    </row>
    <row r="55" spans="2:16" ht="13.5" customHeight="1" x14ac:dyDescent="0.3">
      <c r="B55" s="24"/>
      <c r="C55" s="24"/>
      <c r="D55" s="24"/>
      <c r="E55" s="24"/>
      <c r="F55" s="24"/>
      <c r="G55" s="24"/>
      <c r="H55" s="24"/>
      <c r="I55" s="24"/>
      <c r="J55" s="24"/>
      <c r="K55" s="24"/>
      <c r="L55" s="24"/>
      <c r="M55" s="24"/>
      <c r="N55" s="24"/>
      <c r="O55" s="24"/>
      <c r="P55" s="24"/>
    </row>
    <row r="56" spans="2:16" ht="20.149999999999999" customHeight="1" x14ac:dyDescent="0.3">
      <c r="B56" s="65" t="s">
        <v>39</v>
      </c>
      <c r="C56" s="65"/>
      <c r="D56" s="65"/>
      <c r="E56" s="24"/>
      <c r="F56" s="24"/>
      <c r="G56" s="24"/>
      <c r="H56" s="24"/>
      <c r="I56" s="24"/>
      <c r="J56" s="24"/>
      <c r="K56" s="24"/>
      <c r="L56" s="24"/>
      <c r="M56" s="24"/>
      <c r="N56" s="24"/>
      <c r="O56" s="24"/>
      <c r="P56" s="24"/>
    </row>
    <row r="57" spans="2:16" ht="103.5" customHeight="1" x14ac:dyDescent="0.3">
      <c r="B57" s="311"/>
      <c r="C57" s="312"/>
      <c r="D57" s="313"/>
      <c r="E57" s="84"/>
      <c r="F57" s="24"/>
      <c r="G57" s="24"/>
      <c r="H57" s="24"/>
      <c r="I57" s="24"/>
      <c r="J57" s="24"/>
      <c r="K57" s="24"/>
      <c r="L57" s="24"/>
      <c r="M57" s="24"/>
      <c r="N57" s="24"/>
      <c r="O57" s="24"/>
      <c r="P57" s="24"/>
    </row>
    <row r="58" spans="2:16" ht="20.149999999999999" customHeight="1" x14ac:dyDescent="0.3">
      <c r="B58" s="24"/>
      <c r="C58" s="24"/>
      <c r="D58" s="24"/>
      <c r="E58" s="24"/>
      <c r="F58" s="24"/>
      <c r="G58" s="24"/>
      <c r="H58" s="24"/>
      <c r="I58" s="24"/>
      <c r="J58" s="24"/>
      <c r="K58" s="24"/>
      <c r="L58" s="24"/>
      <c r="M58" s="24"/>
      <c r="N58" s="24"/>
      <c r="O58" s="24"/>
      <c r="P58" s="24"/>
    </row>
    <row r="59" spans="2:16" ht="20.149999999999999" customHeight="1" x14ac:dyDescent="0.35">
      <c r="B59"/>
      <c r="C59" s="24"/>
      <c r="D59" s="24"/>
      <c r="E59" s="24"/>
      <c r="F59" s="24"/>
      <c r="G59" s="24"/>
      <c r="H59" s="24"/>
      <c r="I59" s="24"/>
      <c r="J59" s="24"/>
      <c r="K59" s="24"/>
      <c r="L59" s="24"/>
      <c r="M59" s="24"/>
      <c r="N59" s="24"/>
      <c r="O59" s="24"/>
      <c r="P59" s="24"/>
    </row>
    <row r="60" spans="2:16" ht="20.149999999999999" hidden="1" customHeight="1" x14ac:dyDescent="0.3">
      <c r="B60" s="141" t="s">
        <v>40</v>
      </c>
      <c r="C60" s="24"/>
      <c r="D60" s="24"/>
      <c r="E60" s="24"/>
      <c r="F60" s="24"/>
      <c r="G60" s="24"/>
      <c r="H60" s="24"/>
      <c r="I60" s="24"/>
      <c r="J60" s="24"/>
      <c r="K60" s="24"/>
      <c r="L60" s="24"/>
      <c r="M60" s="24"/>
      <c r="N60" s="24"/>
      <c r="O60" s="24"/>
      <c r="P60" s="24"/>
    </row>
    <row r="61" spans="2:16" ht="12.75" hidden="1" customHeight="1" x14ac:dyDescent="0.3">
      <c r="B61" s="21" t="s">
        <v>272</v>
      </c>
      <c r="C61" s="24"/>
      <c r="D61" s="24"/>
      <c r="E61" s="24"/>
      <c r="F61" s="24"/>
      <c r="G61" s="24"/>
      <c r="H61" s="24"/>
      <c r="I61" s="24"/>
      <c r="J61" s="24"/>
      <c r="K61" s="24"/>
      <c r="L61" s="24"/>
      <c r="M61" s="24"/>
      <c r="N61" s="24"/>
      <c r="O61" s="24"/>
      <c r="P61" s="24"/>
    </row>
    <row r="62" spans="2:16" ht="12.75" hidden="1" customHeight="1" x14ac:dyDescent="0.3">
      <c r="B62" s="21" t="s">
        <v>273</v>
      </c>
      <c r="C62" s="24"/>
      <c r="D62" s="24"/>
      <c r="E62" s="24"/>
      <c r="F62" s="24"/>
      <c r="G62" s="24"/>
      <c r="H62" s="24"/>
      <c r="I62" s="24"/>
      <c r="J62" s="24"/>
      <c r="K62" s="24"/>
      <c r="L62" s="24"/>
      <c r="M62" s="24"/>
      <c r="N62" s="24"/>
      <c r="O62" s="24"/>
      <c r="P62" s="24"/>
    </row>
    <row r="63" spans="2:16" hidden="1" x14ac:dyDescent="0.3">
      <c r="B63" s="21" t="s">
        <v>274</v>
      </c>
    </row>
    <row r="64" spans="2:16" ht="12.75" hidden="1" customHeight="1" x14ac:dyDescent="0.3">
      <c r="B64" s="21" t="s">
        <v>275</v>
      </c>
      <c r="C64" s="24"/>
      <c r="D64" s="24"/>
      <c r="E64" s="24"/>
      <c r="F64" s="24"/>
      <c r="G64" s="24"/>
      <c r="H64" s="24"/>
      <c r="I64" s="24"/>
      <c r="J64" s="24"/>
      <c r="K64" s="24"/>
      <c r="L64" s="24"/>
      <c r="M64" s="24"/>
      <c r="N64" s="24"/>
      <c r="O64" s="24"/>
      <c r="P64" s="24"/>
    </row>
    <row r="65" spans="2:16" hidden="1" x14ac:dyDescent="0.3">
      <c r="B65" s="21" t="s">
        <v>41</v>
      </c>
    </row>
    <row r="66" spans="2:16" ht="12.75" hidden="1" customHeight="1" x14ac:dyDescent="0.3">
      <c r="B66" s="21" t="s">
        <v>276</v>
      </c>
      <c r="C66" s="24"/>
      <c r="D66" s="24"/>
      <c r="E66" s="24"/>
      <c r="F66" s="24"/>
      <c r="G66" s="24"/>
      <c r="H66" s="24"/>
      <c r="I66" s="24"/>
      <c r="J66" s="24"/>
      <c r="K66" s="24"/>
      <c r="L66" s="24"/>
      <c r="M66" s="24"/>
      <c r="N66" s="24"/>
      <c r="O66" s="24"/>
      <c r="P66" s="24"/>
    </row>
    <row r="67" spans="2:16" ht="12.75" hidden="1" customHeight="1" x14ac:dyDescent="0.3">
      <c r="B67" s="21" t="s">
        <v>42</v>
      </c>
      <c r="C67" s="24"/>
      <c r="D67" s="24"/>
      <c r="E67" s="24"/>
      <c r="F67" s="24"/>
      <c r="G67" s="24"/>
      <c r="H67" s="24"/>
      <c r="I67" s="24"/>
      <c r="J67" s="24"/>
      <c r="K67" s="24"/>
      <c r="L67" s="24"/>
      <c r="M67" s="24"/>
      <c r="N67" s="24"/>
      <c r="O67" s="24"/>
      <c r="P67" s="24"/>
    </row>
    <row r="68" spans="2:16" hidden="1" x14ac:dyDescent="0.3">
      <c r="B68" s="21" t="s">
        <v>43</v>
      </c>
    </row>
    <row r="69" spans="2:16" ht="12.75" hidden="1" customHeight="1" x14ac:dyDescent="0.3">
      <c r="B69" s="21" t="s">
        <v>44</v>
      </c>
    </row>
    <row r="70" spans="2:16" ht="12.75" hidden="1" customHeight="1" x14ac:dyDescent="0.3">
      <c r="B70" s="21" t="s">
        <v>277</v>
      </c>
      <c r="C70" s="24"/>
      <c r="D70" s="24"/>
      <c r="E70" s="24"/>
      <c r="F70" s="24"/>
      <c r="G70" s="24"/>
      <c r="H70" s="24"/>
      <c r="I70" s="24"/>
      <c r="J70" s="24"/>
      <c r="K70" s="24"/>
      <c r="L70" s="24"/>
      <c r="M70" s="24"/>
      <c r="N70" s="24"/>
      <c r="O70" s="24"/>
      <c r="P70" s="24"/>
    </row>
    <row r="71" spans="2:16" ht="12.75" hidden="1" customHeight="1" x14ac:dyDescent="0.3">
      <c r="B71" s="21" t="s">
        <v>45</v>
      </c>
    </row>
    <row r="72" spans="2:16" ht="12.75" hidden="1" customHeight="1" x14ac:dyDescent="0.3">
      <c r="B72" s="21" t="s">
        <v>46</v>
      </c>
    </row>
    <row r="73" spans="2:16" hidden="1" x14ac:dyDescent="0.3">
      <c r="B73" s="21" t="s">
        <v>47</v>
      </c>
    </row>
    <row r="74" spans="2:16" ht="12.75" hidden="1" customHeight="1" x14ac:dyDescent="0.3">
      <c r="B74" s="21" t="s">
        <v>48</v>
      </c>
    </row>
    <row r="75" spans="2:16" ht="12.75" hidden="1" customHeight="1" x14ac:dyDescent="0.3">
      <c r="B75" s="21" t="s">
        <v>278</v>
      </c>
      <c r="C75" s="24"/>
      <c r="D75" s="24"/>
      <c r="E75" s="24"/>
      <c r="F75" s="24"/>
      <c r="G75" s="24"/>
      <c r="H75" s="24"/>
      <c r="I75" s="24"/>
      <c r="J75" s="24"/>
      <c r="K75" s="24"/>
      <c r="L75" s="24"/>
      <c r="M75" s="24"/>
      <c r="N75" s="24"/>
      <c r="O75" s="24"/>
      <c r="P75" s="24"/>
    </row>
    <row r="76" spans="2:16" ht="12.75" hidden="1" customHeight="1" x14ac:dyDescent="0.3">
      <c r="B76" s="21" t="s">
        <v>49</v>
      </c>
    </row>
    <row r="77" spans="2:16" ht="12.75" hidden="1" customHeight="1" x14ac:dyDescent="0.3">
      <c r="C77" s="24"/>
      <c r="D77" s="24"/>
      <c r="E77" s="24"/>
      <c r="F77" s="24"/>
      <c r="G77" s="24"/>
      <c r="H77" s="24"/>
      <c r="I77" s="24"/>
      <c r="J77" s="24"/>
      <c r="K77" s="24"/>
      <c r="L77" s="24"/>
      <c r="M77" s="24"/>
      <c r="N77" s="24"/>
      <c r="O77" s="24"/>
      <c r="P77" s="24"/>
    </row>
    <row r="78" spans="2:16" ht="12.75" hidden="1" customHeight="1" x14ac:dyDescent="0.3">
      <c r="C78" s="24"/>
      <c r="D78" s="24"/>
      <c r="E78" s="24"/>
      <c r="F78" s="24"/>
      <c r="G78" s="24"/>
      <c r="H78" s="24"/>
      <c r="I78" s="24"/>
      <c r="J78" s="24"/>
      <c r="K78" s="24"/>
      <c r="L78" s="24"/>
      <c r="M78" s="24"/>
      <c r="N78" s="24"/>
      <c r="O78" s="24"/>
      <c r="P78" s="24"/>
    </row>
    <row r="79" spans="2:16" ht="12.75" hidden="1" customHeight="1" x14ac:dyDescent="0.3"/>
    <row r="80" spans="2:16" ht="12.75" customHeight="1" x14ac:dyDescent="0.3">
      <c r="C80" s="24"/>
      <c r="D80" s="24"/>
      <c r="E80" s="24"/>
      <c r="F80" s="24"/>
      <c r="G80" s="24"/>
      <c r="H80" s="24"/>
      <c r="I80" s="24"/>
      <c r="J80" s="24"/>
      <c r="K80" s="24"/>
      <c r="L80" s="24"/>
      <c r="M80" s="24"/>
      <c r="N80" s="24"/>
      <c r="O80" s="24"/>
      <c r="P80" s="24"/>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1" customWidth="1"/>
    <col min="2" max="2" width="20.453125" style="21" customWidth="1"/>
    <col min="3" max="3" width="22.1796875" style="21" customWidth="1"/>
    <col min="4" max="4" width="20.81640625" style="21" customWidth="1"/>
    <col min="5" max="5" width="65.453125" style="21" customWidth="1"/>
    <col min="6" max="13" width="26.7265625" style="21" customWidth="1"/>
    <col min="14" max="14" width="11.453125" style="21" bestFit="1" customWidth="1"/>
    <col min="15" max="15" width="12.26953125" style="21" bestFit="1" customWidth="1"/>
    <col min="16" max="16" width="23.1796875" style="21" customWidth="1"/>
    <col min="17" max="17" width="5.26953125" style="21" customWidth="1"/>
    <col min="18" max="18" width="41.7265625" style="21" customWidth="1"/>
    <col min="19" max="19" width="9.1796875" style="21"/>
    <col min="20" max="20" width="9.1796875" style="21" hidden="1" customWidth="1"/>
    <col min="21" max="21" width="13" style="21" hidden="1" customWidth="1"/>
    <col min="22" max="22" width="9.1796875" style="21" hidden="1" customWidth="1"/>
    <col min="23" max="23" width="14.26953125" style="21" hidden="1" customWidth="1"/>
    <col min="24" max="24" width="10.7265625" style="21" hidden="1" customWidth="1"/>
    <col min="25" max="26" width="9.1796875" style="21" hidden="1" customWidth="1"/>
    <col min="27" max="27" width="22.453125" style="21" hidden="1" customWidth="1"/>
    <col min="28" max="28" width="0" style="21" hidden="1" customWidth="1"/>
    <col min="29" max="16384" width="9.1796875" style="21"/>
  </cols>
  <sheetData>
    <row r="2" spans="2:27" ht="21" customHeight="1" x14ac:dyDescent="0.3">
      <c r="B2" s="19" t="s">
        <v>5</v>
      </c>
      <c r="C2" s="20" t="str">
        <f>'Project Infor'!C10</f>
        <v>ZEV-ATE0012-1001</v>
      </c>
      <c r="D2" s="19" t="str">
        <f>'Project Infor'!C11</f>
        <v>Lote 2: Núcleo Estructural Java</v>
      </c>
      <c r="E2" s="20"/>
      <c r="F2" s="20"/>
      <c r="G2" s="20"/>
      <c r="H2" s="20"/>
    </row>
    <row r="3" spans="2:27" ht="9" customHeight="1" x14ac:dyDescent="0.3">
      <c r="C3" s="22"/>
      <c r="D3" s="22"/>
      <c r="E3" s="22"/>
      <c r="F3" s="22"/>
    </row>
    <row r="4" spans="2:27" ht="15" customHeight="1" x14ac:dyDescent="0.3">
      <c r="C4" s="23"/>
      <c r="D4" s="24"/>
      <c r="E4" s="24"/>
      <c r="F4" s="24"/>
      <c r="G4" s="24"/>
      <c r="H4" s="24"/>
      <c r="I4" s="24"/>
      <c r="J4" s="24"/>
      <c r="K4" s="24"/>
      <c r="L4" s="24"/>
      <c r="M4" s="24"/>
      <c r="N4" s="24"/>
      <c r="O4" s="24"/>
      <c r="P4" s="24"/>
      <c r="Q4" s="24"/>
      <c r="R4" s="24"/>
      <c r="S4" s="24"/>
    </row>
    <row r="5" spans="2:27" ht="20.149999999999999" customHeight="1" x14ac:dyDescent="0.3">
      <c r="B5" s="320" t="s">
        <v>50</v>
      </c>
      <c r="C5" s="320"/>
      <c r="D5" s="320"/>
      <c r="E5" s="320"/>
      <c r="F5" s="320"/>
      <c r="G5" s="320"/>
      <c r="H5" s="320"/>
      <c r="I5" s="320"/>
      <c r="J5" s="320"/>
      <c r="K5" s="320"/>
      <c r="L5" s="320"/>
      <c r="M5" s="320"/>
      <c r="N5" s="320"/>
      <c r="O5" s="320"/>
      <c r="P5" s="85"/>
      <c r="Q5" s="24"/>
      <c r="R5" s="85"/>
      <c r="S5" s="24"/>
      <c r="U5" s="169" t="s">
        <v>51</v>
      </c>
      <c r="V5" s="169" t="s">
        <v>52</v>
      </c>
      <c r="W5" s="169" t="s">
        <v>53</v>
      </c>
      <c r="X5" s="169" t="s">
        <v>54</v>
      </c>
      <c r="Y5" s="169" t="s">
        <v>55</v>
      </c>
      <c r="Z5" s="169" t="s">
        <v>56</v>
      </c>
      <c r="AA5" s="169" t="s">
        <v>57</v>
      </c>
    </row>
    <row r="6" spans="2:27" s="86" customFormat="1" ht="37" customHeight="1" x14ac:dyDescent="0.3">
      <c r="B6" s="25"/>
      <c r="C6" s="188"/>
      <c r="D6" s="188"/>
      <c r="E6" s="188"/>
      <c r="F6" s="26" t="s">
        <v>58</v>
      </c>
      <c r="G6" s="26" t="s">
        <v>59</v>
      </c>
      <c r="H6" s="27" t="s">
        <v>60</v>
      </c>
      <c r="I6" s="26" t="s">
        <v>61</v>
      </c>
      <c r="J6" s="26" t="s">
        <v>62</v>
      </c>
      <c r="K6" s="26" t="s">
        <v>63</v>
      </c>
      <c r="L6" s="26" t="s">
        <v>64</v>
      </c>
      <c r="M6" s="26" t="s">
        <v>65</v>
      </c>
      <c r="N6" s="27" t="s">
        <v>66</v>
      </c>
      <c r="O6" s="27" t="s">
        <v>67</v>
      </c>
      <c r="P6" s="87"/>
      <c r="Q6" s="88"/>
      <c r="R6" s="87"/>
      <c r="S6" s="88"/>
      <c r="U6" s="169"/>
    </row>
    <row r="7" spans="2:27" s="89" customFormat="1" ht="31.5" customHeight="1" thickBot="1" x14ac:dyDescent="0.35">
      <c r="B7" s="321" t="s">
        <v>68</v>
      </c>
      <c r="C7" s="322"/>
      <c r="D7" s="322"/>
      <c r="E7" s="322"/>
      <c r="F7" s="28">
        <f t="shared" ref="F7" si="0">SUM(F12,F36)</f>
        <v>465000</v>
      </c>
      <c r="G7" s="29">
        <f t="shared" ref="G7:L7" si="1">SUM(G12,G36)</f>
        <v>356584.84</v>
      </c>
      <c r="H7" s="30">
        <f t="shared" si="1"/>
        <v>14256</v>
      </c>
      <c r="I7" s="31">
        <f t="shared" si="1"/>
        <v>3565.85</v>
      </c>
      <c r="J7" s="31">
        <f t="shared" si="1"/>
        <v>0</v>
      </c>
      <c r="K7" s="31">
        <f t="shared" si="1"/>
        <v>0</v>
      </c>
      <c r="L7" s="31">
        <f t="shared" si="1"/>
        <v>0</v>
      </c>
      <c r="M7" s="28">
        <f>SUM(G7,I7,J7,K7,L7)</f>
        <v>360150.69</v>
      </c>
      <c r="N7" s="32">
        <f>IF(F7=0,0,(F7-G7-J7-K7-I7-L7)/F7)</f>
        <v>0.22548238709677412</v>
      </c>
      <c r="O7" s="32">
        <f>IF(F7=0,0,(F7-G7/UTILIZACION-I7/UTILIZACION-J7/UTILIZACION-K7-L7)/F7)</f>
        <v>0.16718536246964966</v>
      </c>
      <c r="P7" s="85"/>
      <c r="Q7" s="22"/>
      <c r="R7" s="85"/>
      <c r="S7" s="22"/>
    </row>
    <row r="8" spans="2:27" s="89" customFormat="1" ht="36.75" customHeight="1" thickBot="1" x14ac:dyDescent="0.35">
      <c r="B8" s="323" t="s">
        <v>69</v>
      </c>
      <c r="C8" s="323"/>
      <c r="D8" s="323"/>
      <c r="E8" s="323"/>
      <c r="F8" s="33">
        <f>F7</f>
        <v>465000</v>
      </c>
      <c r="G8" s="34">
        <f>G7+G37</f>
        <v>356584.84</v>
      </c>
      <c r="H8" s="33">
        <f t="shared" ref="H8:L8" si="2">H7+H37</f>
        <v>14256</v>
      </c>
      <c r="I8" s="35">
        <f t="shared" si="2"/>
        <v>3565.85</v>
      </c>
      <c r="J8" s="35">
        <f t="shared" si="2"/>
        <v>0</v>
      </c>
      <c r="K8" s="33">
        <f t="shared" si="2"/>
        <v>0</v>
      </c>
      <c r="L8" s="35">
        <f t="shared" si="2"/>
        <v>0</v>
      </c>
      <c r="M8" s="35">
        <f>M7+M37</f>
        <v>360150.69</v>
      </c>
      <c r="N8" s="36">
        <f>IF(F8=0,0,(F8-G8-J8-K8-I8-L8)/F8)</f>
        <v>0.22548238709677412</v>
      </c>
      <c r="O8" s="37">
        <f>IF(F8=0,0,(F8-G8/UTILIZACION-I8/UTILIZACION-J8/UTILIZACION-K8-L8)/F8)</f>
        <v>0.16718536246964966</v>
      </c>
      <c r="P8" s="90" cm="1">
        <f t="array" ref="P8">margendirectobaselineactual</f>
        <v>104849.31</v>
      </c>
      <c r="Q8" s="22"/>
      <c r="R8" s="90"/>
      <c r="S8" s="22"/>
    </row>
    <row r="9" spans="2:27" s="89" customFormat="1" ht="22.5" customHeight="1" x14ac:dyDescent="0.3">
      <c r="B9" s="23"/>
      <c r="C9" s="23"/>
      <c r="D9" s="24"/>
      <c r="E9" s="24"/>
      <c r="F9" s="38"/>
      <c r="G9" s="39"/>
      <c r="H9" s="38"/>
      <c r="I9" s="39"/>
      <c r="J9" s="39"/>
      <c r="K9" s="38"/>
      <c r="L9" s="39"/>
      <c r="M9" s="40"/>
      <c r="N9" s="41"/>
      <c r="O9" s="41"/>
      <c r="P9" s="85"/>
      <c r="Q9" s="22"/>
      <c r="R9" s="85"/>
      <c r="S9" s="22"/>
    </row>
    <row r="10" spans="2:27" ht="20.149999999999999" customHeight="1" x14ac:dyDescent="0.3">
      <c r="B10" s="320" t="s">
        <v>70</v>
      </c>
      <c r="C10" s="320"/>
      <c r="D10" s="320"/>
      <c r="E10" s="320"/>
      <c r="F10" s="320"/>
      <c r="G10" s="320"/>
      <c r="H10" s="320"/>
      <c r="I10" s="320"/>
      <c r="J10" s="320"/>
      <c r="K10" s="320"/>
      <c r="L10" s="320"/>
      <c r="M10" s="320"/>
      <c r="N10" s="320"/>
      <c r="O10" s="320"/>
      <c r="P10" s="85"/>
      <c r="Q10" s="24"/>
      <c r="R10" s="85"/>
      <c r="S10" s="24"/>
      <c r="U10" s="169" t="s">
        <v>51</v>
      </c>
      <c r="V10" s="169" t="s">
        <v>52</v>
      </c>
      <c r="W10" s="169" t="s">
        <v>53</v>
      </c>
      <c r="X10" s="169" t="s">
        <v>54</v>
      </c>
      <c r="Y10" s="169" t="s">
        <v>55</v>
      </c>
      <c r="Z10" s="169" t="s">
        <v>56</v>
      </c>
      <c r="AA10" s="169" t="s">
        <v>57</v>
      </c>
    </row>
    <row r="11" spans="2:27" s="86" customFormat="1" ht="31.5" customHeight="1" x14ac:dyDescent="0.3">
      <c r="B11" s="42"/>
      <c r="C11" s="42" t="s">
        <v>71</v>
      </c>
      <c r="D11" s="43" t="s">
        <v>72</v>
      </c>
      <c r="E11" s="42" t="s">
        <v>10</v>
      </c>
      <c r="F11" s="26" t="s">
        <v>73</v>
      </c>
      <c r="G11" s="26" t="s">
        <v>59</v>
      </c>
      <c r="H11" s="27" t="s">
        <v>60</v>
      </c>
      <c r="I11" s="26" t="s">
        <v>61</v>
      </c>
      <c r="J11" s="26" t="s">
        <v>62</v>
      </c>
      <c r="K11" s="26" t="s">
        <v>63</v>
      </c>
      <c r="L11" s="26" t="s">
        <v>64</v>
      </c>
      <c r="M11" s="26" t="s">
        <v>65</v>
      </c>
      <c r="N11" s="27" t="s">
        <v>74</v>
      </c>
      <c r="O11" s="27" t="s">
        <v>67</v>
      </c>
      <c r="P11" s="88"/>
      <c r="Q11" s="88"/>
      <c r="R11" s="88"/>
      <c r="S11" s="88"/>
    </row>
    <row r="12" spans="2:27" ht="20.149999999999999" customHeight="1" x14ac:dyDescent="0.3">
      <c r="B12" s="44"/>
      <c r="C12" s="183"/>
      <c r="D12" s="45">
        <v>10</v>
      </c>
      <c r="E12" s="45" t="s">
        <v>75</v>
      </c>
      <c r="F12" s="46">
        <f>'Project Infor'!C28</f>
        <v>465000</v>
      </c>
      <c r="G12" s="46">
        <f>'Project Infor'!C30</f>
        <v>356584.84</v>
      </c>
      <c r="H12" s="46">
        <f>'Project Infor'!C29</f>
        <v>14256</v>
      </c>
      <c r="I12" s="46">
        <f>'Project Infor'!C31</f>
        <v>3565.85</v>
      </c>
      <c r="J12" s="46">
        <f>'Project Infor'!C32</f>
        <v>0</v>
      </c>
      <c r="K12" s="46">
        <f>'Project Infor'!C33</f>
        <v>0</v>
      </c>
      <c r="L12" s="46">
        <f>'Project Infor'!C34</f>
        <v>0</v>
      </c>
      <c r="M12" s="46">
        <f>SUM(G12,I12,J12,K12,L12)</f>
        <v>360150.69</v>
      </c>
      <c r="N12" s="47">
        <f>IF(F12=0,0,(F12-G12-J12-K12-I12-L12)/F12)</f>
        <v>0.22548238709677412</v>
      </c>
      <c r="O12" s="48">
        <f>IF(F12=0,0,(F12-G12/UTILIZACION-I12/UTILIZACION-J12/UTILIZACION-K12-L12)/F12)</f>
        <v>0.16718536246964966</v>
      </c>
      <c r="P12" s="24"/>
      <c r="Q12" s="24"/>
      <c r="R12" s="24"/>
      <c r="S12" s="24"/>
      <c r="T12" s="21" t="s">
        <v>76</v>
      </c>
    </row>
    <row r="13" spans="2:27" ht="20.149999999999999" customHeight="1" x14ac:dyDescent="0.3">
      <c r="C13" s="23"/>
      <c r="D13" s="24"/>
      <c r="E13" s="24"/>
      <c r="F13" s="24"/>
      <c r="G13" s="24"/>
      <c r="H13" s="24"/>
      <c r="I13" s="24"/>
      <c r="J13" s="24"/>
      <c r="K13" s="24"/>
      <c r="L13" s="24"/>
      <c r="M13" s="24"/>
      <c r="N13" s="24"/>
      <c r="O13" s="24"/>
      <c r="P13" s="24"/>
      <c r="Q13" s="24"/>
      <c r="R13" s="24"/>
      <c r="S13" s="24"/>
    </row>
    <row r="14" spans="2:27" ht="20.149999999999999" customHeight="1" x14ac:dyDescent="0.3">
      <c r="B14" s="320" t="s">
        <v>77</v>
      </c>
      <c r="C14" s="320"/>
      <c r="D14" s="320"/>
      <c r="E14" s="320"/>
      <c r="F14" s="320"/>
      <c r="G14" s="320"/>
      <c r="H14" s="320"/>
      <c r="I14" s="320"/>
      <c r="J14" s="320"/>
      <c r="K14" s="320"/>
      <c r="L14" s="320"/>
      <c r="M14" s="320"/>
      <c r="N14" s="320"/>
      <c r="O14" s="320"/>
      <c r="P14" s="24"/>
      <c r="Q14" s="24"/>
      <c r="R14" s="24"/>
      <c r="S14" s="24"/>
      <c r="U14" s="169" t="s">
        <v>51</v>
      </c>
      <c r="V14" s="169" t="s">
        <v>52</v>
      </c>
      <c r="W14" s="169" t="s">
        <v>53</v>
      </c>
      <c r="X14" s="169" t="s">
        <v>54</v>
      </c>
      <c r="Y14" s="169" t="s">
        <v>55</v>
      </c>
      <c r="Z14" s="169" t="s">
        <v>56</v>
      </c>
      <c r="AA14" s="169" t="s">
        <v>57</v>
      </c>
    </row>
    <row r="15" spans="2:27" s="86" customFormat="1" ht="31.5" customHeight="1" x14ac:dyDescent="0.3">
      <c r="B15" s="236" t="s">
        <v>78</v>
      </c>
      <c r="C15" s="236" t="s">
        <v>71</v>
      </c>
      <c r="D15" s="237" t="s">
        <v>72</v>
      </c>
      <c r="E15" s="236" t="s">
        <v>10</v>
      </c>
      <c r="F15" s="238" t="s">
        <v>58</v>
      </c>
      <c r="G15" s="238" t="s">
        <v>59</v>
      </c>
      <c r="H15" s="239" t="s">
        <v>60</v>
      </c>
      <c r="I15" s="238" t="s">
        <v>61</v>
      </c>
      <c r="J15" s="238" t="s">
        <v>62</v>
      </c>
      <c r="K15" s="238" t="s">
        <v>63</v>
      </c>
      <c r="L15" s="238" t="s">
        <v>64</v>
      </c>
      <c r="M15" s="26" t="s">
        <v>65</v>
      </c>
      <c r="N15" s="49" t="s">
        <v>74</v>
      </c>
      <c r="O15" s="49" t="s">
        <v>67</v>
      </c>
      <c r="P15" s="49" t="s">
        <v>79</v>
      </c>
      <c r="Q15" s="24"/>
      <c r="R15" s="43" t="s">
        <v>80</v>
      </c>
      <c r="S15" s="24"/>
      <c r="W15" s="170"/>
    </row>
    <row r="16" spans="2:27" s="67" customFormat="1" ht="20.149999999999999" customHeight="1" x14ac:dyDescent="0.3">
      <c r="B16" s="189"/>
      <c r="C16" s="3"/>
      <c r="D16" s="1"/>
      <c r="E16" s="4"/>
      <c r="F16" s="91"/>
      <c r="G16" s="91"/>
      <c r="H16" s="91"/>
      <c r="I16" s="91"/>
      <c r="J16" s="91"/>
      <c r="K16" s="91"/>
      <c r="L16" s="91"/>
      <c r="M16" s="17">
        <f>SUM(G16,I16,J16,K16,L16)</f>
        <v>0</v>
      </c>
      <c r="N16" s="18">
        <f>IF(F16=0,0,(F16-G16-J16-K16-I16-L16)/F16)</f>
        <v>0</v>
      </c>
      <c r="O16" s="18">
        <f t="shared" ref="O16:O35" si="3">IF(F16=0,0,(F16-G16/UTILIZACION-I16/UTILIZACION-J16/UTILIZACION-K16-L16)/F16)</f>
        <v>0</v>
      </c>
      <c r="P16" s="16"/>
      <c r="Q16" s="24"/>
      <c r="R16" s="16" t="s">
        <v>81</v>
      </c>
      <c r="S16" s="24"/>
      <c r="T16" s="171" t="str">
        <f t="shared" ref="T16:T35" si="4">IF(C16&lt;&gt;"",IF((YEAR(C16)&amp;MONTH(C16))&lt;(YEAR(Inicio)&amp;MONTH(Inicio)),YEAR(Inicio)&amp;MONTH(Inicio),YEAR(C16)&amp;MONTH(C16)),YEAR(C16)&amp;MONTH(C16))</f>
        <v>19001</v>
      </c>
      <c r="U16" s="170">
        <f t="shared" ref="U16:U35" si="5">AA16-Y16-X16-W16</f>
        <v>104849.31</v>
      </c>
      <c r="V16" s="170"/>
      <c r="W16" s="170">
        <f>$G$12+SUM($G$16:G16)</f>
        <v>356584.84</v>
      </c>
      <c r="X16" s="170">
        <f>$I$12+SUM($I$16:I16)+$J$12+SUM($J$16:J16)</f>
        <v>3565.85</v>
      </c>
      <c r="Y16" s="170">
        <f>$K$12+SUM($K$16:K16)</f>
        <v>0</v>
      </c>
      <c r="Z16" s="170">
        <f>$L$12+SUM($L$16:L16)</f>
        <v>0</v>
      </c>
      <c r="AA16" s="170">
        <f>$F$12+SUM($F$16:F16)</f>
        <v>465000</v>
      </c>
    </row>
    <row r="17" spans="2:27" s="67" customFormat="1" ht="20.149999999999999" customHeight="1" x14ac:dyDescent="0.35">
      <c r="B17" s="189"/>
      <c r="C17" s="3"/>
      <c r="D17" s="1"/>
      <c r="E17" s="92"/>
      <c r="F17" s="91"/>
      <c r="G17"/>
      <c r="H17" s="91"/>
      <c r="I17"/>
      <c r="J17" s="91"/>
      <c r="K17" s="91"/>
      <c r="L17" s="190"/>
      <c r="M17" s="17">
        <f>SUM(G17,I17,J17,K17,L17)</f>
        <v>0</v>
      </c>
      <c r="N17" s="18">
        <f t="shared" ref="N17:N34" si="6">IF(F17=0,0,(F17-G17-J17-K17-I17-L17)/F17)</f>
        <v>0</v>
      </c>
      <c r="O17" s="18">
        <f t="shared" si="3"/>
        <v>0</v>
      </c>
      <c r="P17" s="16"/>
      <c r="Q17" s="24"/>
      <c r="R17" s="16"/>
      <c r="S17" s="24"/>
      <c r="T17" s="171" t="str">
        <f t="shared" si="4"/>
        <v>19001</v>
      </c>
      <c r="U17" s="170">
        <f t="shared" si="5"/>
        <v>104849.31</v>
      </c>
      <c r="V17" s="170"/>
      <c r="W17" s="170">
        <f>$G$12+SUM($G$16:G17)</f>
        <v>356584.84</v>
      </c>
      <c r="X17" s="170">
        <f>$I$12+SUM($I$16:I17)+$J$12+SUM($J$16:J17)</f>
        <v>3565.85</v>
      </c>
      <c r="Y17" s="170">
        <f>$K$12+SUM($K$16:K17)</f>
        <v>0</v>
      </c>
      <c r="Z17" s="170">
        <f>$L$12+SUM($L$16:L17)</f>
        <v>0</v>
      </c>
      <c r="AA17" s="170">
        <f>$F$12+SUM($F$16:F17)</f>
        <v>465000</v>
      </c>
    </row>
    <row r="18" spans="2:27" s="67" customFormat="1" ht="20.149999999999999" customHeight="1" x14ac:dyDescent="0.3">
      <c r="B18" s="189"/>
      <c r="C18" s="3"/>
      <c r="D18" s="1"/>
      <c r="E18" s="4"/>
      <c r="F18" s="91"/>
      <c r="G18" s="91"/>
      <c r="H18" s="91"/>
      <c r="I18" s="91"/>
      <c r="J18" s="91"/>
      <c r="K18" s="91"/>
      <c r="L18" s="91"/>
      <c r="M18" s="17">
        <f t="shared" ref="M18:M36" si="7">SUM(G18,I18,J18,K18,L18)</f>
        <v>0</v>
      </c>
      <c r="N18" s="18">
        <f t="shared" si="6"/>
        <v>0</v>
      </c>
      <c r="O18" s="18">
        <f t="shared" si="3"/>
        <v>0</v>
      </c>
      <c r="P18" s="16"/>
      <c r="Q18" s="24"/>
      <c r="R18" s="16"/>
      <c r="S18" s="24"/>
      <c r="T18" s="171" t="str">
        <f t="shared" si="4"/>
        <v>19001</v>
      </c>
      <c r="U18" s="170">
        <f t="shared" si="5"/>
        <v>104849.31</v>
      </c>
      <c r="V18" s="170"/>
      <c r="W18" s="170">
        <f>$G$12+SUM($G$16:G18)</f>
        <v>356584.84</v>
      </c>
      <c r="X18" s="170">
        <f>$I$12+SUM($I$16:I18)+$J$12+SUM($J$16:J18)</f>
        <v>3565.85</v>
      </c>
      <c r="Y18" s="170">
        <f>$K$12+SUM($K$16:K18)</f>
        <v>0</v>
      </c>
      <c r="Z18" s="170">
        <f>$L$12+SUM($L$16:L18)</f>
        <v>0</v>
      </c>
      <c r="AA18" s="170">
        <f>$F$12+SUM($F$16:F18)</f>
        <v>465000</v>
      </c>
    </row>
    <row r="19" spans="2:27" s="67" customFormat="1" ht="20.149999999999999" customHeight="1" x14ac:dyDescent="0.3">
      <c r="B19" s="189"/>
      <c r="C19" s="3"/>
      <c r="D19" s="1"/>
      <c r="E19" s="4"/>
      <c r="F19" s="91"/>
      <c r="G19" s="91"/>
      <c r="H19" s="91"/>
      <c r="I19" s="91"/>
      <c r="J19" s="91"/>
      <c r="K19" s="91"/>
      <c r="L19" s="91"/>
      <c r="M19" s="17">
        <f t="shared" si="7"/>
        <v>0</v>
      </c>
      <c r="N19" s="18">
        <f t="shared" si="6"/>
        <v>0</v>
      </c>
      <c r="O19" s="18">
        <f t="shared" si="3"/>
        <v>0</v>
      </c>
      <c r="P19" s="16"/>
      <c r="Q19" s="24"/>
      <c r="R19" s="16"/>
      <c r="S19" s="24"/>
      <c r="T19" s="171" t="str">
        <f t="shared" si="4"/>
        <v>19001</v>
      </c>
      <c r="U19" s="170">
        <f t="shared" si="5"/>
        <v>104849.31</v>
      </c>
      <c r="V19" s="170"/>
      <c r="W19" s="170">
        <f>$G$12+SUM($G$16:G19)</f>
        <v>356584.84</v>
      </c>
      <c r="X19" s="170">
        <f>$I$12+SUM($I$16:I19)+$J$12+SUM($J$16:J19)</f>
        <v>3565.85</v>
      </c>
      <c r="Y19" s="170">
        <f>$K$12+SUM($K$16:K19)</f>
        <v>0</v>
      </c>
      <c r="Z19" s="170">
        <f>$L$12+SUM($L$16:L19)</f>
        <v>0</v>
      </c>
      <c r="AA19" s="170">
        <f>$F$12+SUM($F$16:F19)</f>
        <v>465000</v>
      </c>
    </row>
    <row r="20" spans="2:27" s="67" customFormat="1" ht="20.149999999999999" customHeight="1" x14ac:dyDescent="0.3">
      <c r="B20" s="189"/>
      <c r="C20" s="3"/>
      <c r="D20" s="1"/>
      <c r="E20" s="4"/>
      <c r="F20" s="91"/>
      <c r="G20" s="91"/>
      <c r="H20" s="91"/>
      <c r="I20" s="91"/>
      <c r="J20" s="91"/>
      <c r="K20" s="91"/>
      <c r="L20" s="91"/>
      <c r="M20" s="17">
        <f t="shared" ref="M20:M25" si="8">SUM(G20,I20,J20,K20,L20)</f>
        <v>0</v>
      </c>
      <c r="N20" s="18">
        <f t="shared" si="6"/>
        <v>0</v>
      </c>
      <c r="O20" s="18">
        <f t="shared" si="3"/>
        <v>0</v>
      </c>
      <c r="P20" s="16"/>
      <c r="Q20" s="24"/>
      <c r="R20" s="16"/>
      <c r="S20" s="24"/>
      <c r="T20" s="171" t="str">
        <f t="shared" si="4"/>
        <v>19001</v>
      </c>
      <c r="U20" s="170">
        <f t="shared" si="5"/>
        <v>104849.31</v>
      </c>
      <c r="V20" s="170"/>
      <c r="W20" s="170">
        <f>$G$12+SUM($G$16:G20)</f>
        <v>356584.84</v>
      </c>
      <c r="X20" s="170">
        <f>$I$12+SUM($I$16:I20)+$J$12+SUM($J$16:J20)</f>
        <v>3565.85</v>
      </c>
      <c r="Y20" s="170">
        <f>$K$12+SUM($K$16:K20)</f>
        <v>0</v>
      </c>
      <c r="Z20" s="170">
        <f>$L$12+SUM($L$16:L20)</f>
        <v>0</v>
      </c>
      <c r="AA20" s="170">
        <f>$F$12+SUM($F$16:F20)</f>
        <v>465000</v>
      </c>
    </row>
    <row r="21" spans="2:27" s="67" customFormat="1" ht="20.149999999999999" customHeight="1" x14ac:dyDescent="0.3">
      <c r="B21" s="189"/>
      <c r="C21" s="3"/>
      <c r="D21" s="1"/>
      <c r="E21" s="4"/>
      <c r="F21" s="91"/>
      <c r="G21" s="91"/>
      <c r="H21" s="91"/>
      <c r="I21" s="91"/>
      <c r="J21" s="91"/>
      <c r="K21" s="91"/>
      <c r="L21" s="91"/>
      <c r="M21" s="17">
        <f t="shared" si="8"/>
        <v>0</v>
      </c>
      <c r="N21" s="18">
        <f t="shared" si="6"/>
        <v>0</v>
      </c>
      <c r="O21" s="18">
        <f t="shared" si="3"/>
        <v>0</v>
      </c>
      <c r="P21" s="16"/>
      <c r="Q21" s="24"/>
      <c r="R21" s="16"/>
      <c r="S21" s="24"/>
      <c r="T21" s="171" t="str">
        <f t="shared" si="4"/>
        <v>19001</v>
      </c>
      <c r="U21" s="170">
        <f t="shared" si="5"/>
        <v>104849.31</v>
      </c>
      <c r="V21" s="170"/>
      <c r="W21" s="170">
        <f>$G$12+SUM($G$16:G21)</f>
        <v>356584.84</v>
      </c>
      <c r="X21" s="170">
        <f>$I$12+SUM($I$16:I21)+$J$12+SUM($J$16:J21)</f>
        <v>3565.85</v>
      </c>
      <c r="Y21" s="170">
        <f>$K$12+SUM($K$16:K21)</f>
        <v>0</v>
      </c>
      <c r="Z21" s="170">
        <f>$L$12+SUM($L$16:L21)</f>
        <v>0</v>
      </c>
      <c r="AA21" s="170">
        <f>$F$12+SUM($F$16:F21)</f>
        <v>465000</v>
      </c>
    </row>
    <row r="22" spans="2:27" s="67" customFormat="1" ht="20.149999999999999" customHeight="1" x14ac:dyDescent="0.3">
      <c r="B22" s="189"/>
      <c r="C22" s="3"/>
      <c r="D22" s="1"/>
      <c r="E22" s="4"/>
      <c r="F22" s="91"/>
      <c r="G22" s="91"/>
      <c r="H22" s="91"/>
      <c r="I22" s="91"/>
      <c r="J22" s="91"/>
      <c r="K22" s="91"/>
      <c r="L22" s="91"/>
      <c r="M22" s="17">
        <f t="shared" si="8"/>
        <v>0</v>
      </c>
      <c r="N22" s="18">
        <f t="shared" si="6"/>
        <v>0</v>
      </c>
      <c r="O22" s="18">
        <f t="shared" si="3"/>
        <v>0</v>
      </c>
      <c r="P22" s="16"/>
      <c r="Q22" s="24"/>
      <c r="R22" s="16"/>
      <c r="S22" s="24"/>
      <c r="T22" s="171" t="str">
        <f t="shared" si="4"/>
        <v>19001</v>
      </c>
      <c r="U22" s="170">
        <f t="shared" si="5"/>
        <v>104849.31</v>
      </c>
      <c r="V22" s="170"/>
      <c r="W22" s="170">
        <f>$G$12+SUM($G$16:G22)</f>
        <v>356584.84</v>
      </c>
      <c r="X22" s="170">
        <f>$I$12+SUM($I$16:I22)+$J$12+SUM($J$16:J22)</f>
        <v>3565.85</v>
      </c>
      <c r="Y22" s="170">
        <f>$K$12+SUM($K$16:K22)</f>
        <v>0</v>
      </c>
      <c r="Z22" s="170">
        <f>$L$12+SUM($L$16:L22)</f>
        <v>0</v>
      </c>
      <c r="AA22" s="170">
        <f>$F$12+SUM($F$16:F22)</f>
        <v>465000</v>
      </c>
    </row>
    <row r="23" spans="2:27" s="67" customFormat="1" ht="20.149999999999999" customHeight="1" x14ac:dyDescent="0.3">
      <c r="B23" s="189"/>
      <c r="C23" s="3"/>
      <c r="D23" s="1"/>
      <c r="E23" s="4"/>
      <c r="F23" s="91"/>
      <c r="G23" s="91"/>
      <c r="H23" s="91"/>
      <c r="I23" s="91"/>
      <c r="J23" s="91"/>
      <c r="K23" s="91"/>
      <c r="L23" s="91"/>
      <c r="M23" s="17">
        <f t="shared" si="8"/>
        <v>0</v>
      </c>
      <c r="N23" s="18">
        <f t="shared" si="6"/>
        <v>0</v>
      </c>
      <c r="O23" s="18">
        <f t="shared" si="3"/>
        <v>0</v>
      </c>
      <c r="P23" s="16"/>
      <c r="Q23" s="24"/>
      <c r="R23" s="16"/>
      <c r="S23" s="24"/>
      <c r="T23" s="171" t="str">
        <f t="shared" si="4"/>
        <v>19001</v>
      </c>
      <c r="U23" s="170">
        <f t="shared" si="5"/>
        <v>104849.31</v>
      </c>
      <c r="V23" s="170"/>
      <c r="W23" s="170">
        <f>$G$12+SUM($G$16:G23)</f>
        <v>356584.84</v>
      </c>
      <c r="X23" s="170">
        <f>$I$12+SUM($I$16:I23)+$J$12+SUM($J$16:J23)</f>
        <v>3565.85</v>
      </c>
      <c r="Y23" s="170">
        <f>$K$12+SUM($K$16:K23)</f>
        <v>0</v>
      </c>
      <c r="Z23" s="170">
        <f>$L$12+SUM($L$16:L23)</f>
        <v>0</v>
      </c>
      <c r="AA23" s="170">
        <f>$F$12+SUM($F$16:F23)</f>
        <v>465000</v>
      </c>
    </row>
    <row r="24" spans="2:27" s="67" customFormat="1" ht="20.149999999999999" customHeight="1" x14ac:dyDescent="0.3">
      <c r="B24" s="189"/>
      <c r="C24" s="3"/>
      <c r="D24" s="1"/>
      <c r="E24" s="4"/>
      <c r="F24" s="91"/>
      <c r="G24" s="91"/>
      <c r="H24" s="91"/>
      <c r="I24" s="91"/>
      <c r="J24" s="91"/>
      <c r="K24" s="91"/>
      <c r="L24" s="91"/>
      <c r="M24" s="17">
        <f t="shared" si="8"/>
        <v>0</v>
      </c>
      <c r="N24" s="18">
        <f t="shared" si="6"/>
        <v>0</v>
      </c>
      <c r="O24" s="18">
        <f t="shared" si="3"/>
        <v>0</v>
      </c>
      <c r="P24" s="16"/>
      <c r="Q24" s="24"/>
      <c r="R24" s="16"/>
      <c r="S24" s="24"/>
      <c r="T24" s="171" t="str">
        <f t="shared" si="4"/>
        <v>19001</v>
      </c>
      <c r="U24" s="170">
        <f t="shared" si="5"/>
        <v>104849.31</v>
      </c>
      <c r="V24" s="170"/>
      <c r="W24" s="170">
        <f>$G$12+SUM($G$16:G24)</f>
        <v>356584.84</v>
      </c>
      <c r="X24" s="170">
        <f>$I$12+SUM($I$16:I24)+$J$12+SUM($J$16:J24)</f>
        <v>3565.85</v>
      </c>
      <c r="Y24" s="170">
        <f>$K$12+SUM($K$16:K24)</f>
        <v>0</v>
      </c>
      <c r="Z24" s="170">
        <f>$L$12+SUM($L$16:L24)</f>
        <v>0</v>
      </c>
      <c r="AA24" s="170">
        <f>$F$12+SUM($F$16:F24)</f>
        <v>465000</v>
      </c>
    </row>
    <row r="25" spans="2:27" s="67" customFormat="1" ht="20.149999999999999" customHeight="1" x14ac:dyDescent="0.3">
      <c r="B25" s="189"/>
      <c r="C25" s="3"/>
      <c r="D25" s="1"/>
      <c r="E25" s="4"/>
      <c r="F25" s="91"/>
      <c r="G25" s="91"/>
      <c r="H25" s="91"/>
      <c r="I25" s="91"/>
      <c r="J25" s="91"/>
      <c r="K25" s="91"/>
      <c r="L25" s="91"/>
      <c r="M25" s="17">
        <f t="shared" si="8"/>
        <v>0</v>
      </c>
      <c r="N25" s="18">
        <f t="shared" si="6"/>
        <v>0</v>
      </c>
      <c r="O25" s="18">
        <f t="shared" si="3"/>
        <v>0</v>
      </c>
      <c r="P25" s="16"/>
      <c r="Q25" s="24"/>
      <c r="R25" s="16"/>
      <c r="S25" s="24"/>
      <c r="T25" s="171" t="str">
        <f t="shared" si="4"/>
        <v>19001</v>
      </c>
      <c r="U25" s="170">
        <f t="shared" si="5"/>
        <v>104849.31</v>
      </c>
      <c r="V25" s="170"/>
      <c r="W25" s="170">
        <f>$G$12+SUM($G$16:G25)</f>
        <v>356584.84</v>
      </c>
      <c r="X25" s="170">
        <f>$I$12+SUM($I$16:I25)+$J$12+SUM($J$16:J25)</f>
        <v>3565.85</v>
      </c>
      <c r="Y25" s="170">
        <f>$K$12+SUM($K$16:K25)</f>
        <v>0</v>
      </c>
      <c r="Z25" s="170">
        <f>$L$12+SUM($L$16:L25)</f>
        <v>0</v>
      </c>
      <c r="AA25" s="170">
        <f>$F$12+SUM($F$16:F25)</f>
        <v>465000</v>
      </c>
    </row>
    <row r="26" spans="2:27" s="67" customFormat="1" ht="20.149999999999999" customHeight="1" x14ac:dyDescent="0.3">
      <c r="B26" s="189"/>
      <c r="C26" s="3"/>
      <c r="D26" s="1"/>
      <c r="E26" s="4"/>
      <c r="F26" s="91"/>
      <c r="G26" s="91"/>
      <c r="H26" s="91"/>
      <c r="I26" s="91"/>
      <c r="J26" s="91"/>
      <c r="K26" s="91"/>
      <c r="L26" s="91"/>
      <c r="M26" s="17">
        <f t="shared" si="7"/>
        <v>0</v>
      </c>
      <c r="N26" s="18">
        <f t="shared" si="6"/>
        <v>0</v>
      </c>
      <c r="O26" s="18">
        <f t="shared" si="3"/>
        <v>0</v>
      </c>
      <c r="P26" s="16"/>
      <c r="Q26" s="24"/>
      <c r="R26" s="16"/>
      <c r="S26" s="24"/>
      <c r="T26" s="171" t="str">
        <f t="shared" si="4"/>
        <v>19001</v>
      </c>
      <c r="U26" s="170">
        <f t="shared" si="5"/>
        <v>104849.31</v>
      </c>
      <c r="V26" s="170"/>
      <c r="W26" s="170">
        <f>$G$12+SUM($G$16:G26)</f>
        <v>356584.84</v>
      </c>
      <c r="X26" s="170">
        <f>$I$12+SUM($I$16:I26)+$J$12+SUM($J$16:J26)</f>
        <v>3565.85</v>
      </c>
      <c r="Y26" s="170">
        <f>$K$12+SUM($K$16:K26)</f>
        <v>0</v>
      </c>
      <c r="Z26" s="170">
        <f>$L$12+SUM($L$16:L26)</f>
        <v>0</v>
      </c>
      <c r="AA26" s="170">
        <f>$F$12+SUM($F$16:F26)</f>
        <v>465000</v>
      </c>
    </row>
    <row r="27" spans="2:27" s="67" customFormat="1" ht="20.149999999999999" customHeight="1" x14ac:dyDescent="0.3">
      <c r="B27" s="189"/>
      <c r="C27" s="3"/>
      <c r="D27" s="1"/>
      <c r="E27" s="4"/>
      <c r="F27" s="91"/>
      <c r="G27" s="91"/>
      <c r="H27" s="91"/>
      <c r="I27" s="91"/>
      <c r="J27" s="91"/>
      <c r="K27" s="91"/>
      <c r="L27" s="91"/>
      <c r="M27" s="17">
        <f t="shared" si="7"/>
        <v>0</v>
      </c>
      <c r="N27" s="18">
        <f t="shared" si="6"/>
        <v>0</v>
      </c>
      <c r="O27" s="18">
        <f t="shared" si="3"/>
        <v>0</v>
      </c>
      <c r="P27" s="16"/>
      <c r="Q27" s="24"/>
      <c r="R27" s="16"/>
      <c r="S27" s="24"/>
      <c r="T27" s="171" t="str">
        <f t="shared" si="4"/>
        <v>19001</v>
      </c>
      <c r="U27" s="170">
        <f t="shared" si="5"/>
        <v>104849.31</v>
      </c>
      <c r="V27" s="170"/>
      <c r="W27" s="170">
        <f>$G$12+SUM($G$16:G27)</f>
        <v>356584.84</v>
      </c>
      <c r="X27" s="170">
        <f>$I$12+SUM($I$16:I27)+$J$12+SUM($J$16:J27)</f>
        <v>3565.85</v>
      </c>
      <c r="Y27" s="170">
        <f>$K$12+SUM($K$16:K27)</f>
        <v>0</v>
      </c>
      <c r="Z27" s="170">
        <f>$L$12+SUM($L$16:L27)</f>
        <v>0</v>
      </c>
      <c r="AA27" s="170">
        <f>$F$12+SUM($F$16:F27)</f>
        <v>465000</v>
      </c>
    </row>
    <row r="28" spans="2:27" s="67" customFormat="1" ht="20.149999999999999" customHeight="1" x14ac:dyDescent="0.3">
      <c r="B28" s="189"/>
      <c r="C28" s="3"/>
      <c r="D28" s="1"/>
      <c r="E28" s="4"/>
      <c r="F28" s="91"/>
      <c r="G28" s="91"/>
      <c r="H28" s="91"/>
      <c r="I28" s="91"/>
      <c r="J28" s="91"/>
      <c r="K28" s="91"/>
      <c r="L28" s="91"/>
      <c r="M28" s="17">
        <f t="shared" ref="M28:M30" si="9">SUM(G28,I28,J28,K28,L28)</f>
        <v>0</v>
      </c>
      <c r="N28" s="18">
        <f t="shared" si="6"/>
        <v>0</v>
      </c>
      <c r="O28" s="18">
        <f t="shared" si="3"/>
        <v>0</v>
      </c>
      <c r="P28" s="16"/>
      <c r="Q28" s="24"/>
      <c r="R28" s="16"/>
      <c r="S28" s="24"/>
      <c r="T28" s="171" t="str">
        <f t="shared" si="4"/>
        <v>19001</v>
      </c>
      <c r="U28" s="170">
        <f t="shared" si="5"/>
        <v>104849.31</v>
      </c>
      <c r="V28" s="170"/>
      <c r="W28" s="170">
        <f>$G$12+SUM($G$16:G28)</f>
        <v>356584.84</v>
      </c>
      <c r="X28" s="170">
        <f>$I$12+SUM($I$16:I28)+$J$12+SUM($J$16:J28)</f>
        <v>3565.85</v>
      </c>
      <c r="Y28" s="170">
        <f>$K$12+SUM($K$16:K28)</f>
        <v>0</v>
      </c>
      <c r="Z28" s="170">
        <f>$L$12+SUM($L$16:L28)</f>
        <v>0</v>
      </c>
      <c r="AA28" s="170">
        <f>$F$12+SUM($F$16:F28)</f>
        <v>465000</v>
      </c>
    </row>
    <row r="29" spans="2:27" s="67" customFormat="1" ht="20.149999999999999" customHeight="1" x14ac:dyDescent="0.3">
      <c r="B29" s="189"/>
      <c r="C29" s="3"/>
      <c r="D29" s="1"/>
      <c r="E29" s="4"/>
      <c r="F29" s="91"/>
      <c r="G29" s="91"/>
      <c r="H29" s="91"/>
      <c r="I29" s="91"/>
      <c r="J29" s="91"/>
      <c r="K29" s="91"/>
      <c r="L29" s="91"/>
      <c r="M29" s="17">
        <f t="shared" si="9"/>
        <v>0</v>
      </c>
      <c r="N29" s="18">
        <f t="shared" si="6"/>
        <v>0</v>
      </c>
      <c r="O29" s="18">
        <f t="shared" si="3"/>
        <v>0</v>
      </c>
      <c r="P29" s="16"/>
      <c r="Q29" s="24"/>
      <c r="R29" s="16"/>
      <c r="S29" s="24"/>
      <c r="T29" s="171" t="str">
        <f t="shared" si="4"/>
        <v>19001</v>
      </c>
      <c r="U29" s="170">
        <f t="shared" si="5"/>
        <v>104849.31</v>
      </c>
      <c r="V29" s="170"/>
      <c r="W29" s="170">
        <f>$G$12+SUM($G$16:G29)</f>
        <v>356584.84</v>
      </c>
      <c r="X29" s="170">
        <f>$I$12+SUM($I$16:I29)+$J$12+SUM($J$16:J29)</f>
        <v>3565.85</v>
      </c>
      <c r="Y29" s="170">
        <f>$K$12+SUM($K$16:K29)</f>
        <v>0</v>
      </c>
      <c r="Z29" s="170">
        <f>$L$12+SUM($L$16:L29)</f>
        <v>0</v>
      </c>
      <c r="AA29" s="170">
        <f>$F$12+SUM($F$16:F29)</f>
        <v>465000</v>
      </c>
    </row>
    <row r="30" spans="2:27" s="67" customFormat="1" ht="20.149999999999999" customHeight="1" x14ac:dyDescent="0.3">
      <c r="B30" s="189"/>
      <c r="C30" s="3"/>
      <c r="D30" s="1"/>
      <c r="E30" s="4"/>
      <c r="F30" s="91"/>
      <c r="G30" s="91"/>
      <c r="H30" s="91"/>
      <c r="I30" s="91"/>
      <c r="J30" s="91"/>
      <c r="K30" s="91"/>
      <c r="L30" s="91"/>
      <c r="M30" s="17">
        <f t="shared" si="9"/>
        <v>0</v>
      </c>
      <c r="N30" s="18">
        <f t="shared" si="6"/>
        <v>0</v>
      </c>
      <c r="O30" s="18">
        <f t="shared" si="3"/>
        <v>0</v>
      </c>
      <c r="P30" s="16"/>
      <c r="Q30" s="24"/>
      <c r="R30" s="16"/>
      <c r="S30" s="24"/>
      <c r="T30" s="171" t="str">
        <f t="shared" si="4"/>
        <v>19001</v>
      </c>
      <c r="U30" s="170">
        <f t="shared" si="5"/>
        <v>104849.31</v>
      </c>
      <c r="V30" s="170"/>
      <c r="W30" s="170">
        <f>$G$12+SUM($G$16:G30)</f>
        <v>356584.84</v>
      </c>
      <c r="X30" s="170">
        <f>$I$12+SUM($I$16:I30)+$J$12+SUM($J$16:J30)</f>
        <v>3565.85</v>
      </c>
      <c r="Y30" s="170">
        <f>$K$12+SUM($K$16:K30)</f>
        <v>0</v>
      </c>
      <c r="Z30" s="170">
        <f>$L$12+SUM($L$16:L30)</f>
        <v>0</v>
      </c>
      <c r="AA30" s="170">
        <f>$F$12+SUM($F$16:F30)</f>
        <v>465000</v>
      </c>
    </row>
    <row r="31" spans="2:27" s="67" customFormat="1" ht="20.149999999999999" customHeight="1" x14ac:dyDescent="0.3">
      <c r="B31" s="189"/>
      <c r="C31" s="3"/>
      <c r="D31" s="1"/>
      <c r="E31" s="4"/>
      <c r="F31" s="91"/>
      <c r="G31" s="91"/>
      <c r="H31" s="91"/>
      <c r="I31" s="91"/>
      <c r="J31" s="91"/>
      <c r="K31" s="91"/>
      <c r="L31" s="91"/>
      <c r="M31" s="17">
        <f t="shared" si="7"/>
        <v>0</v>
      </c>
      <c r="N31" s="18">
        <f t="shared" si="6"/>
        <v>0</v>
      </c>
      <c r="O31" s="18">
        <f t="shared" si="3"/>
        <v>0</v>
      </c>
      <c r="P31" s="16"/>
      <c r="Q31" s="24"/>
      <c r="R31" s="16"/>
      <c r="S31" s="24"/>
      <c r="T31" s="171" t="str">
        <f t="shared" si="4"/>
        <v>19001</v>
      </c>
      <c r="U31" s="170">
        <f t="shared" si="5"/>
        <v>104849.31</v>
      </c>
      <c r="V31" s="170"/>
      <c r="W31" s="170">
        <f>$G$12+SUM($G$16:G31)</f>
        <v>356584.84</v>
      </c>
      <c r="X31" s="170">
        <f>$I$12+SUM($I$16:I31)+$J$12+SUM($J$16:J31)</f>
        <v>3565.85</v>
      </c>
      <c r="Y31" s="170">
        <f>$K$12+SUM($K$16:K31)</f>
        <v>0</v>
      </c>
      <c r="Z31" s="170">
        <f>$L$12+SUM($L$16:L31)</f>
        <v>0</v>
      </c>
      <c r="AA31" s="170">
        <f>$F$12+SUM($F$16:F31)</f>
        <v>465000</v>
      </c>
    </row>
    <row r="32" spans="2:27" s="67" customFormat="1" ht="20.149999999999999" customHeight="1" x14ac:dyDescent="0.3">
      <c r="B32" s="189"/>
      <c r="C32" s="3"/>
      <c r="D32" s="1"/>
      <c r="E32" s="4"/>
      <c r="F32" s="91"/>
      <c r="G32" s="91"/>
      <c r="H32" s="91"/>
      <c r="I32" s="91"/>
      <c r="J32" s="91"/>
      <c r="K32" s="91"/>
      <c r="L32" s="91"/>
      <c r="M32" s="17">
        <f t="shared" ref="M32" si="10">SUM(G32,I32,J32,K32,L32)</f>
        <v>0</v>
      </c>
      <c r="N32" s="18">
        <f t="shared" si="6"/>
        <v>0</v>
      </c>
      <c r="O32" s="18">
        <f t="shared" si="3"/>
        <v>0</v>
      </c>
      <c r="P32" s="16"/>
      <c r="Q32" s="24"/>
      <c r="R32" s="16"/>
      <c r="S32" s="24"/>
      <c r="T32" s="171" t="str">
        <f t="shared" si="4"/>
        <v>19001</v>
      </c>
      <c r="U32" s="170">
        <f t="shared" si="5"/>
        <v>104849.31</v>
      </c>
      <c r="V32" s="170"/>
      <c r="W32" s="170">
        <f>$G$12+SUM($G$16:G32)</f>
        <v>356584.84</v>
      </c>
      <c r="X32" s="170">
        <f>$I$12+SUM($I$16:I32)+$J$12+SUM($J$16:J32)</f>
        <v>3565.85</v>
      </c>
      <c r="Y32" s="170">
        <f>$K$12+SUM($K$16:K32)</f>
        <v>0</v>
      </c>
      <c r="Z32" s="170">
        <f>$L$12+SUM($L$16:L32)</f>
        <v>0</v>
      </c>
      <c r="AA32" s="170">
        <f>$F$12+SUM($F$16:F32)</f>
        <v>465000</v>
      </c>
    </row>
    <row r="33" spans="2:27" s="67" customFormat="1" ht="20.149999999999999" customHeight="1" x14ac:dyDescent="0.3">
      <c r="B33" s="189"/>
      <c r="C33" s="3"/>
      <c r="D33" s="1"/>
      <c r="E33" s="4"/>
      <c r="F33" s="91"/>
      <c r="G33" s="91"/>
      <c r="H33" s="91"/>
      <c r="I33" s="91"/>
      <c r="J33" s="91"/>
      <c r="K33" s="91"/>
      <c r="L33" s="91"/>
      <c r="M33" s="17">
        <f t="shared" si="7"/>
        <v>0</v>
      </c>
      <c r="N33" s="18">
        <f t="shared" si="6"/>
        <v>0</v>
      </c>
      <c r="O33" s="18">
        <f t="shared" si="3"/>
        <v>0</v>
      </c>
      <c r="P33" s="16"/>
      <c r="Q33" s="24"/>
      <c r="R33" s="16"/>
      <c r="S33" s="24"/>
      <c r="T33" s="171" t="str">
        <f t="shared" si="4"/>
        <v>19001</v>
      </c>
      <c r="U33" s="170">
        <f t="shared" si="5"/>
        <v>104849.31</v>
      </c>
      <c r="V33" s="170"/>
      <c r="W33" s="170">
        <f>$G$12+SUM($G$16:G33)</f>
        <v>356584.84</v>
      </c>
      <c r="X33" s="170">
        <f>$I$12+SUM($I$16:I33)+$J$12+SUM($J$16:J33)</f>
        <v>3565.85</v>
      </c>
      <c r="Y33" s="170">
        <f>$K$12+SUM($K$16:K33)</f>
        <v>0</v>
      </c>
      <c r="Z33" s="170">
        <f>$L$12+SUM($L$16:L33)</f>
        <v>0</v>
      </c>
      <c r="AA33" s="170">
        <f>$F$12+SUM($F$16:F33)</f>
        <v>465000</v>
      </c>
    </row>
    <row r="34" spans="2:27" s="67" customFormat="1" ht="20.149999999999999" customHeight="1" x14ac:dyDescent="0.3">
      <c r="B34" s="189"/>
      <c r="C34" s="3"/>
      <c r="D34" s="1"/>
      <c r="E34" s="4"/>
      <c r="F34" s="91"/>
      <c r="G34" s="91"/>
      <c r="H34" s="91"/>
      <c r="I34" s="91"/>
      <c r="J34" s="91"/>
      <c r="K34" s="91"/>
      <c r="L34" s="91"/>
      <c r="M34" s="17">
        <f t="shared" si="7"/>
        <v>0</v>
      </c>
      <c r="N34" s="18">
        <f t="shared" si="6"/>
        <v>0</v>
      </c>
      <c r="O34" s="18">
        <f t="shared" si="3"/>
        <v>0</v>
      </c>
      <c r="P34" s="16"/>
      <c r="Q34" s="24"/>
      <c r="R34" s="16"/>
      <c r="S34" s="24"/>
      <c r="T34" s="171" t="str">
        <f t="shared" si="4"/>
        <v>19001</v>
      </c>
      <c r="U34" s="170">
        <f t="shared" si="5"/>
        <v>104849.31</v>
      </c>
      <c r="V34" s="170"/>
      <c r="W34" s="170">
        <f>$G$12+SUM($G$16:G34)</f>
        <v>356584.84</v>
      </c>
      <c r="X34" s="170">
        <f>$I$12+SUM($I$16:I34)+$J$12+SUM($J$16:J34)</f>
        <v>3565.85</v>
      </c>
      <c r="Y34" s="170">
        <f>$K$12+SUM($K$16:K34)</f>
        <v>0</v>
      </c>
      <c r="Z34" s="170">
        <f>$L$12+SUM($L$16:L34)</f>
        <v>0</v>
      </c>
      <c r="AA34" s="170">
        <f>$F$12+SUM($F$16:F34)</f>
        <v>465000</v>
      </c>
    </row>
    <row r="35" spans="2:27" s="67" customFormat="1" ht="20.149999999999999" customHeight="1" x14ac:dyDescent="0.3">
      <c r="B35" s="189"/>
      <c r="C35" s="3"/>
      <c r="D35" s="1"/>
      <c r="E35" s="4"/>
      <c r="F35" s="91"/>
      <c r="G35" s="91"/>
      <c r="H35" s="91"/>
      <c r="I35" s="91"/>
      <c r="J35" s="91"/>
      <c r="K35" s="91"/>
      <c r="L35" s="91"/>
      <c r="M35" s="17">
        <f t="shared" si="7"/>
        <v>0</v>
      </c>
      <c r="N35" s="18">
        <f>IF(F35=0,0,(F35-G35-J35-K35-I35-L35)/F35)</f>
        <v>0</v>
      </c>
      <c r="O35" s="18">
        <f t="shared" si="3"/>
        <v>0</v>
      </c>
      <c r="P35" s="16"/>
      <c r="Q35" s="24"/>
      <c r="R35" s="16"/>
      <c r="S35" s="24"/>
      <c r="T35" s="171" t="str">
        <f t="shared" si="4"/>
        <v>19001</v>
      </c>
      <c r="U35" s="170">
        <f t="shared" si="5"/>
        <v>104849.31</v>
      </c>
      <c r="V35" s="170"/>
      <c r="W35" s="170">
        <f>$G$12+SUM($G$16:G35)</f>
        <v>356584.84</v>
      </c>
      <c r="X35" s="170">
        <f>$I$12+SUM($I$16:I35)+$J$12+SUM($J$16:J35)</f>
        <v>3565.85</v>
      </c>
      <c r="Y35" s="170">
        <f>$K$12+SUM($K$16:K35)</f>
        <v>0</v>
      </c>
      <c r="Z35" s="170">
        <f>$L$12+SUM($L$16:L35)</f>
        <v>0</v>
      </c>
      <c r="AA35" s="170">
        <f>$F$12+SUM($F$16:F35)</f>
        <v>465000</v>
      </c>
    </row>
    <row r="36" spans="2:27" s="89" customFormat="1" ht="20.149999999999999" customHeight="1" x14ac:dyDescent="0.3">
      <c r="B36" s="319" t="s">
        <v>82</v>
      </c>
      <c r="C36" s="319"/>
      <c r="D36" s="319"/>
      <c r="E36" s="319"/>
      <c r="F36" s="50">
        <f>SUMIF(B16:B35,"AMPLIACION",F16:F35)</f>
        <v>0</v>
      </c>
      <c r="G36" s="50">
        <f>SUMIF(B16:B35,"AMPLIACION",G16:G35)</f>
        <v>0</v>
      </c>
      <c r="H36" s="50">
        <f>SUMIF(B16:B35,"AMPLIACION",H16:H35)</f>
        <v>0</v>
      </c>
      <c r="I36" s="50">
        <f>SUMIF(B16:B35,"AMPLIACION",I16:I35)</f>
        <v>0</v>
      </c>
      <c r="J36" s="50">
        <f>SUMIF(B16:B35,"AMPLIACION",J16:J35)</f>
        <v>0</v>
      </c>
      <c r="K36" s="50">
        <f>SUMIF(B16:B35,"AMPLIACION",K16:K35)</f>
        <v>0</v>
      </c>
      <c r="L36" s="50">
        <f>SUMIF(B16:B35,"AMPLIACION",L16:L35)</f>
        <v>0</v>
      </c>
      <c r="M36" s="50">
        <f t="shared" si="7"/>
        <v>0</v>
      </c>
      <c r="N36" s="51">
        <f>IF(F36=0,0,(F36-G36-J36-K36-I36-L36)/F36)</f>
        <v>0</v>
      </c>
      <c r="O36" s="51">
        <f t="shared" ref="O36" si="11">IF(F36=0,0,(F36-G36/0.93-I36/0.93-J36/0.93-K36-L36)/F36)</f>
        <v>0</v>
      </c>
      <c r="P36" s="24"/>
      <c r="Q36" s="24"/>
      <c r="R36" s="24"/>
      <c r="S36" s="24"/>
      <c r="T36" s="172"/>
      <c r="U36" s="170"/>
      <c r="V36" s="170"/>
      <c r="W36" s="170"/>
      <c r="X36" s="170"/>
      <c r="Y36" s="170"/>
      <c r="Z36" s="170"/>
      <c r="AA36" s="170"/>
    </row>
    <row r="37" spans="2:27" s="89" customFormat="1" ht="20.149999999999999" customHeight="1" x14ac:dyDescent="0.3">
      <c r="B37" s="319" t="s">
        <v>83</v>
      </c>
      <c r="C37" s="319"/>
      <c r="D37" s="319"/>
      <c r="E37" s="319"/>
      <c r="F37" s="50">
        <f>SUMIF(B16:B35,"REESTIMACION",F16:F35)</f>
        <v>0</v>
      </c>
      <c r="G37" s="50">
        <f>SUMIF(B16:B35,"REESTIMACION",G16:G35)</f>
        <v>0</v>
      </c>
      <c r="H37" s="50">
        <f>SUMIF(B16:B35,"REESTIMACION",H16:H35)</f>
        <v>0</v>
      </c>
      <c r="I37" s="50">
        <f>SUMIF(B16:B35,"REESTIMACION",I16:I35)</f>
        <v>0</v>
      </c>
      <c r="J37" s="50">
        <f>SUMIF(B16:B35,"REESTIMACION",J16:J35)</f>
        <v>0</v>
      </c>
      <c r="K37" s="50">
        <f>SUMIF(B16:B35,"REESTIMACION",K16:K35)</f>
        <v>0</v>
      </c>
      <c r="L37" s="50">
        <f>SUMIF(B16:B35,"REESTIMACION",L16:L35)</f>
        <v>0</v>
      </c>
      <c r="M37" s="50">
        <f t="shared" ref="M37" si="12">SUM(G37,I37,J37,K37,L37)</f>
        <v>0</v>
      </c>
      <c r="N37" s="51">
        <f>IF(F37=0,0,(F37-G37-J37-K37-I37-L37)/F37)</f>
        <v>0</v>
      </c>
      <c r="O37" s="51">
        <f t="shared" ref="O37" si="13">IF(F37=0,0,(F37-G37/0.93-I37/0.93-J37/0.93-K37-L37)/F37)</f>
        <v>0</v>
      </c>
      <c r="P37" s="24"/>
      <c r="Q37" s="22"/>
      <c r="R37" s="24"/>
      <c r="S37" s="22"/>
      <c r="T37" s="172"/>
      <c r="U37" s="170"/>
      <c r="V37" s="170"/>
      <c r="W37" s="170"/>
      <c r="X37" s="170"/>
      <c r="Y37" s="170"/>
      <c r="Z37" s="170"/>
      <c r="AA37" s="170"/>
    </row>
    <row r="38" spans="2:27" ht="20.149999999999999" customHeight="1" x14ac:dyDescent="0.3">
      <c r="C38" s="23"/>
      <c r="D38" s="24"/>
      <c r="E38" s="24"/>
      <c r="F38" s="24"/>
      <c r="G38" s="24"/>
      <c r="H38" s="24"/>
      <c r="I38" s="24"/>
      <c r="J38" s="24"/>
      <c r="K38" s="24"/>
      <c r="L38" s="24"/>
      <c r="M38" s="24"/>
      <c r="N38" s="24"/>
      <c r="O38" s="24"/>
      <c r="P38" s="24"/>
      <c r="Q38" s="24"/>
      <c r="R38" s="24"/>
      <c r="S38" s="24"/>
      <c r="T38" s="172"/>
      <c r="U38" s="170"/>
      <c r="V38" s="170"/>
      <c r="W38" s="170"/>
      <c r="X38" s="170"/>
      <c r="Y38" s="170"/>
      <c r="Z38" s="170"/>
      <c r="AA38" s="170"/>
    </row>
    <row r="39" spans="2:27" s="52" customFormat="1" ht="20.149999999999999" customHeight="1" x14ac:dyDescent="0.35">
      <c r="C39" s="53"/>
      <c r="D39" s="53"/>
      <c r="E39" s="53"/>
      <c r="F39" s="53"/>
      <c r="G39" s="53"/>
      <c r="H39" s="53"/>
      <c r="I39" s="53"/>
      <c r="J39" s="53"/>
      <c r="K39" s="53"/>
      <c r="L39" s="53"/>
      <c r="M39" s="53"/>
      <c r="N39" s="53"/>
      <c r="O39" s="53"/>
      <c r="P39" s="53"/>
      <c r="Q39" s="53"/>
      <c r="R39" s="53"/>
      <c r="S39" s="53"/>
    </row>
    <row r="40" spans="2:27" s="52" customFormat="1" ht="20.149999999999999" customHeight="1" x14ac:dyDescent="0.35">
      <c r="C40" s="53"/>
      <c r="D40" s="53"/>
      <c r="E40" s="53"/>
      <c r="F40" s="53"/>
      <c r="G40" s="53"/>
      <c r="H40" s="53"/>
      <c r="I40" s="53"/>
      <c r="J40" s="53"/>
      <c r="K40" s="53"/>
      <c r="L40" s="53"/>
      <c r="M40" s="53"/>
      <c r="N40" s="53"/>
      <c r="O40" s="53"/>
      <c r="P40" s="53"/>
      <c r="Q40" s="53"/>
      <c r="R40" s="53"/>
      <c r="S40" s="53"/>
    </row>
    <row r="41" spans="2:27" s="52" customFormat="1" ht="20.149999999999999" customHeight="1" x14ac:dyDescent="0.35">
      <c r="C41" s="53"/>
      <c r="D41" s="53"/>
      <c r="E41" s="53"/>
      <c r="F41" s="53"/>
      <c r="G41" s="53"/>
      <c r="H41" s="53"/>
      <c r="I41" s="53"/>
      <c r="J41" s="53"/>
      <c r="K41" s="53"/>
      <c r="L41" s="53"/>
      <c r="M41" s="53"/>
      <c r="N41" s="53"/>
      <c r="O41" s="53"/>
      <c r="P41" s="53"/>
      <c r="Q41" s="53"/>
      <c r="R41" s="53"/>
      <c r="S41" s="53"/>
    </row>
    <row r="42" spans="2:27" ht="20.149999999999999" customHeight="1" x14ac:dyDescent="0.3">
      <c r="C42" s="24"/>
      <c r="D42" s="24"/>
      <c r="E42" s="24"/>
      <c r="F42" s="24"/>
      <c r="G42" s="24"/>
      <c r="H42" s="24"/>
      <c r="I42" s="24"/>
      <c r="J42" s="24"/>
      <c r="K42" s="24"/>
      <c r="L42" s="24"/>
      <c r="M42" s="24"/>
      <c r="N42" s="24"/>
      <c r="O42" s="24"/>
      <c r="P42" s="24"/>
      <c r="Q42" s="24"/>
      <c r="R42" s="24"/>
      <c r="S42" s="24"/>
    </row>
    <row r="43" spans="2:27" ht="20.149999999999999" customHeight="1" x14ac:dyDescent="0.3"/>
    <row r="48" spans="2:27" ht="20.149999999999999" customHeight="1" x14ac:dyDescent="0.3">
      <c r="B48" s="65" t="s">
        <v>84</v>
      </c>
      <c r="C48" s="65"/>
      <c r="D48" s="65"/>
      <c r="E48" s="24"/>
      <c r="F48" s="24"/>
      <c r="G48" s="24"/>
      <c r="H48" s="24"/>
      <c r="I48" s="24"/>
      <c r="J48" s="24"/>
      <c r="K48" s="24"/>
      <c r="L48" s="24"/>
      <c r="M48" s="24"/>
      <c r="N48" s="24"/>
      <c r="O48" s="24"/>
      <c r="P48" s="24"/>
      <c r="R48" s="24"/>
    </row>
    <row r="49" spans="2:18" ht="285.75" customHeight="1" x14ac:dyDescent="0.3">
      <c r="B49" s="302" t="s">
        <v>85</v>
      </c>
      <c r="C49" s="303"/>
      <c r="D49" s="303"/>
      <c r="E49" s="303"/>
      <c r="F49" s="303"/>
      <c r="G49" s="303"/>
      <c r="H49" s="303"/>
      <c r="I49" s="303"/>
      <c r="J49" s="304"/>
      <c r="K49" s="24"/>
      <c r="L49" s="24"/>
      <c r="M49" s="24"/>
      <c r="N49" s="24"/>
      <c r="O49" s="24"/>
      <c r="P49" s="24"/>
      <c r="R49" s="24"/>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3" customWidth="1"/>
    <col min="2" max="2" width="25.7265625" style="93" customWidth="1"/>
    <col min="3" max="3" width="40.7265625" style="93" customWidth="1"/>
    <col min="4" max="4" width="15.7265625" style="93" customWidth="1"/>
    <col min="5" max="5" width="25.7265625" style="94" customWidth="1"/>
    <col min="6" max="6" width="33.54296875" style="94" bestFit="1" customWidth="1"/>
    <col min="7" max="66" width="14.7265625" style="93" customWidth="1"/>
    <col min="67" max="67" width="11.26953125" style="93" customWidth="1"/>
    <col min="68" max="16384" width="9.1796875" style="93"/>
  </cols>
  <sheetData>
    <row r="2" spans="2:79" ht="21" customHeight="1" x14ac:dyDescent="0.25">
      <c r="B2" s="19" t="s">
        <v>5</v>
      </c>
      <c r="C2" s="20" t="str">
        <f>'Project Infor'!C10</f>
        <v>ZEV-ATE0012-1001</v>
      </c>
      <c r="D2" s="95" t="str">
        <f>'Project Infor'!C11</f>
        <v>Lote 2: Núcleo Estructural Java</v>
      </c>
      <c r="E2" s="96"/>
      <c r="F2" s="96"/>
      <c r="G2" s="96"/>
      <c r="H2" s="96"/>
      <c r="I2" s="96"/>
      <c r="J2" s="96"/>
    </row>
    <row r="3" spans="2:79" ht="9" customHeight="1" x14ac:dyDescent="0.25">
      <c r="B3" s="64"/>
      <c r="C3" s="64"/>
      <c r="D3" s="97"/>
      <c r="E3" s="97"/>
      <c r="F3" s="97"/>
      <c r="G3" s="64"/>
      <c r="H3" s="64"/>
    </row>
    <row r="4" spans="2:79" ht="15" customHeight="1" x14ac:dyDescent="0.25">
      <c r="B4" s="98"/>
      <c r="C4" s="99"/>
      <c r="D4" s="99"/>
      <c r="E4" s="99"/>
      <c r="F4" s="99"/>
      <c r="G4" s="99"/>
      <c r="H4" s="99"/>
      <c r="I4" s="99"/>
      <c r="J4" s="99"/>
      <c r="K4" s="99"/>
      <c r="L4" s="99"/>
      <c r="M4" s="99"/>
      <c r="N4" s="99"/>
      <c r="O4" s="99"/>
      <c r="P4" s="99"/>
    </row>
    <row r="5" spans="2:79" ht="20.149999999999999" customHeight="1" x14ac:dyDescent="0.25">
      <c r="B5" s="74" t="s">
        <v>86</v>
      </c>
      <c r="C5" s="100"/>
      <c r="D5" s="99"/>
      <c r="E5" s="294" t="s">
        <v>87</v>
      </c>
      <c r="F5" s="294"/>
      <c r="G5" s="294"/>
      <c r="H5" s="294"/>
      <c r="I5" s="294"/>
      <c r="J5" s="168"/>
      <c r="K5" s="99"/>
      <c r="L5" s="99"/>
      <c r="M5" s="99"/>
      <c r="N5" s="99"/>
      <c r="O5" s="99"/>
      <c r="P5" s="99"/>
      <c r="Q5" s="99"/>
      <c r="R5" s="99"/>
      <c r="S5" s="99"/>
      <c r="T5" s="99"/>
      <c r="U5" s="99"/>
    </row>
    <row r="6" spans="2:79" s="103" customFormat="1" ht="35.15" customHeight="1" x14ac:dyDescent="0.25">
      <c r="B6" s="291" t="s">
        <v>14</v>
      </c>
      <c r="C6" s="101" t="s">
        <v>88</v>
      </c>
      <c r="D6" s="101" t="s">
        <v>89</v>
      </c>
      <c r="E6" s="101" t="s">
        <v>90</v>
      </c>
      <c r="F6" s="101"/>
      <c r="G6" s="102">
        <v>46023</v>
      </c>
      <c r="H6" s="102">
        <v>46054</v>
      </c>
      <c r="I6" s="102">
        <v>46082</v>
      </c>
      <c r="J6" s="102">
        <v>46113</v>
      </c>
      <c r="K6" s="102">
        <v>46143</v>
      </c>
      <c r="L6" s="102">
        <v>46174</v>
      </c>
      <c r="M6" s="102">
        <v>46204</v>
      </c>
      <c r="N6" s="102">
        <v>46235</v>
      </c>
      <c r="O6" s="102">
        <v>46266</v>
      </c>
      <c r="P6" s="102">
        <v>46296</v>
      </c>
      <c r="Q6" s="102">
        <v>46327</v>
      </c>
      <c r="R6" s="102">
        <v>46357</v>
      </c>
      <c r="S6" s="102">
        <v>46388</v>
      </c>
      <c r="T6" s="102">
        <v>46419</v>
      </c>
      <c r="U6" s="102">
        <v>46447</v>
      </c>
      <c r="V6" s="102">
        <v>46478</v>
      </c>
      <c r="W6" s="102">
        <v>46508</v>
      </c>
      <c r="X6" s="102">
        <v>46539</v>
      </c>
      <c r="Y6" s="102">
        <v>46569</v>
      </c>
      <c r="Z6" s="102">
        <v>46600</v>
      </c>
      <c r="AA6" s="102">
        <v>46631</v>
      </c>
      <c r="AB6" s="102">
        <v>46661</v>
      </c>
      <c r="AC6" s="102">
        <v>46692</v>
      </c>
      <c r="AD6" s="102">
        <v>46722</v>
      </c>
      <c r="AE6" s="102">
        <v>46753</v>
      </c>
      <c r="AF6" s="102">
        <v>46784</v>
      </c>
      <c r="AG6" s="102">
        <v>46813</v>
      </c>
      <c r="AH6" s="102">
        <v>46844</v>
      </c>
      <c r="AI6" s="102">
        <v>46874</v>
      </c>
      <c r="AJ6" s="102">
        <v>46905</v>
      </c>
      <c r="AK6" s="102">
        <v>46935</v>
      </c>
      <c r="AL6" s="102">
        <v>46966</v>
      </c>
      <c r="AM6" s="102">
        <v>46997</v>
      </c>
      <c r="AN6" s="102">
        <v>47027</v>
      </c>
      <c r="AO6" s="102">
        <v>47058</v>
      </c>
      <c r="AP6" s="102">
        <v>47088</v>
      </c>
      <c r="AQ6" s="102">
        <v>47119</v>
      </c>
      <c r="AR6" s="102">
        <v>47150</v>
      </c>
      <c r="AS6" s="102">
        <v>47178</v>
      </c>
      <c r="AT6" s="102">
        <v>47209</v>
      </c>
      <c r="AU6" s="102">
        <v>47239</v>
      </c>
      <c r="AV6" s="102">
        <v>47270</v>
      </c>
      <c r="AW6" s="102">
        <v>47300</v>
      </c>
      <c r="AX6" s="102">
        <v>47331</v>
      </c>
      <c r="AY6" s="102">
        <v>47362</v>
      </c>
      <c r="AZ6" s="102">
        <v>47392</v>
      </c>
      <c r="BA6" s="102">
        <v>47423</v>
      </c>
      <c r="BB6" s="102">
        <v>47453</v>
      </c>
      <c r="BC6" s="102">
        <f t="shared" ref="BC6" si="0">EOMONTH(BB6,1)</f>
        <v>47514</v>
      </c>
      <c r="BD6" s="102">
        <f t="shared" ref="BD6" si="1">EOMONTH(BC6,1)</f>
        <v>47542</v>
      </c>
      <c r="BE6" s="102">
        <f t="shared" ref="BE6" si="2">EOMONTH(BD6,1)</f>
        <v>47573</v>
      </c>
      <c r="BF6" s="102">
        <f t="shared" ref="BF6" si="3">EOMONTH(BE6,1)</f>
        <v>47603</v>
      </c>
      <c r="BG6" s="102">
        <f t="shared" ref="BG6" si="4">EOMONTH(BF6,1)</f>
        <v>47634</v>
      </c>
      <c r="BH6" s="102">
        <f t="shared" ref="BH6" si="5">EOMONTH(BG6,1)</f>
        <v>47664</v>
      </c>
      <c r="BI6" s="102">
        <f t="shared" ref="BI6" si="6">EOMONTH(BH6,1)</f>
        <v>47695</v>
      </c>
      <c r="BJ6" s="102">
        <f t="shared" ref="BJ6" si="7">EOMONTH(BI6,1)</f>
        <v>47726</v>
      </c>
      <c r="BK6" s="102">
        <f t="shared" ref="BK6" si="8">EOMONTH(BJ6,1)</f>
        <v>47756</v>
      </c>
      <c r="BL6" s="102">
        <f t="shared" ref="BL6" si="9">EOMONTH(BK6,1)</f>
        <v>47787</v>
      </c>
      <c r="BM6" s="102">
        <f t="shared" ref="BM6" si="10">EOMONTH(BL6,1)</f>
        <v>47817</v>
      </c>
      <c r="BN6" s="102">
        <f t="shared" ref="BN6" si="11">EOMONTH(BM6,1)</f>
        <v>47848</v>
      </c>
      <c r="BP6" s="93"/>
      <c r="BQ6" s="93"/>
      <c r="BR6" s="93"/>
      <c r="BS6" s="93"/>
      <c r="BT6" s="93"/>
      <c r="BU6" s="93"/>
      <c r="BV6" s="93"/>
      <c r="BW6" s="93"/>
      <c r="BX6" s="93"/>
      <c r="BY6" s="93"/>
      <c r="BZ6" s="93"/>
      <c r="CA6" s="93"/>
    </row>
    <row r="7" spans="2:79" s="104" customFormat="1" ht="20.149999999999999" customHeight="1" x14ac:dyDescent="0.35">
      <c r="B7" t="s">
        <v>293</v>
      </c>
      <c r="C7" t="s">
        <v>101</v>
      </c>
      <c r="D7" t="s">
        <v>154</v>
      </c>
      <c r="E7" t="s">
        <v>294</v>
      </c>
      <c r="F7" s="283" t="s">
        <v>91</v>
      </c>
      <c r="G7">
        <v>32.840000000000003</v>
      </c>
      <c r="H7">
        <v>32.840000000000003</v>
      </c>
      <c r="I7">
        <v>32.840000000000003</v>
      </c>
      <c r="J7">
        <v>32.840000000000003</v>
      </c>
      <c r="K7">
        <v>32.840000000000003</v>
      </c>
      <c r="L7">
        <v>32.840000000000003</v>
      </c>
      <c r="M7">
        <v>32.840000000000003</v>
      </c>
      <c r="N7">
        <v>32.840000000000003</v>
      </c>
      <c r="O7">
        <v>32.840000000000003</v>
      </c>
      <c r="P7">
        <v>32.840000000000003</v>
      </c>
      <c r="Q7">
        <v>32.840000000000003</v>
      </c>
      <c r="R7">
        <v>32.840000000000003</v>
      </c>
      <c r="S7">
        <v>33.825200000000002</v>
      </c>
      <c r="T7">
        <v>33.825200000000002</v>
      </c>
      <c r="U7">
        <v>33.825200000000002</v>
      </c>
      <c r="V7">
        <v>33.825200000000002</v>
      </c>
      <c r="W7">
        <v>33.825200000000002</v>
      </c>
      <c r="X7">
        <v>33.825200000000002</v>
      </c>
      <c r="Y7">
        <v>33.825200000000002</v>
      </c>
      <c r="Z7">
        <v>33.825200000000002</v>
      </c>
      <c r="AA7">
        <v>33.825200000000002</v>
      </c>
      <c r="AB7">
        <v>33.825200000000002</v>
      </c>
      <c r="AC7">
        <v>33.825200000000002</v>
      </c>
      <c r="AD7">
        <v>33.825200000000002</v>
      </c>
      <c r="AE7">
        <v>34.839956000000001</v>
      </c>
      <c r="AF7">
        <v>34.839956000000001</v>
      </c>
      <c r="AG7">
        <v>34.839956000000001</v>
      </c>
      <c r="AH7">
        <v>34.839956000000001</v>
      </c>
      <c r="AI7">
        <v>34.839956000000001</v>
      </c>
      <c r="AJ7">
        <v>34.839956000000001</v>
      </c>
      <c r="AK7">
        <v>34.839956000000001</v>
      </c>
      <c r="AL7">
        <v>34.839956000000001</v>
      </c>
      <c r="AM7">
        <v>34.839956000000001</v>
      </c>
      <c r="AN7">
        <v>34.839956000000001</v>
      </c>
      <c r="AO7">
        <v>34.839956000000001</v>
      </c>
      <c r="AP7">
        <v>34.839956000000001</v>
      </c>
      <c r="AQ7">
        <v>35.885154679999999</v>
      </c>
      <c r="AR7">
        <v>35.885154679999999</v>
      </c>
      <c r="AS7">
        <v>35.885154679999999</v>
      </c>
      <c r="AT7">
        <v>35.885154679999999</v>
      </c>
      <c r="AU7">
        <v>35.885154679999999</v>
      </c>
      <c r="AV7">
        <v>35.885154679999999</v>
      </c>
      <c r="AW7">
        <v>35.885154679999999</v>
      </c>
      <c r="AX7">
        <v>35.885154679999999</v>
      </c>
      <c r="AY7">
        <v>35.885154679999999</v>
      </c>
      <c r="AZ7">
        <v>35.885154679999999</v>
      </c>
      <c r="BA7">
        <v>35.885154679999999</v>
      </c>
      <c r="BB7">
        <v>35.885154679999999</v>
      </c>
      <c r="BC7" s="265"/>
      <c r="BD7" s="265"/>
      <c r="BE7" s="265"/>
      <c r="BF7" s="265"/>
      <c r="BG7" s="265"/>
      <c r="BH7" s="265"/>
      <c r="BI7" s="265"/>
      <c r="BJ7" s="265"/>
      <c r="BK7" s="265"/>
      <c r="BL7" s="265"/>
      <c r="BM7" s="265"/>
      <c r="BN7" s="265"/>
      <c r="BP7" s="93"/>
      <c r="BQ7" s="93"/>
      <c r="BR7" s="93"/>
      <c r="BS7" s="93"/>
      <c r="BT7" s="93"/>
      <c r="BU7" s="93"/>
      <c r="BV7" s="93"/>
      <c r="BW7" s="93"/>
      <c r="BX7" s="93"/>
      <c r="BY7" s="93"/>
      <c r="BZ7" s="93"/>
      <c r="CA7" s="93"/>
    </row>
    <row r="8" spans="2:79" s="104" customFormat="1" ht="20.149999999999999" customHeight="1" x14ac:dyDescent="0.35">
      <c r="B8" t="s">
        <v>293</v>
      </c>
      <c r="C8" t="s">
        <v>101</v>
      </c>
      <c r="D8" t="s">
        <v>154</v>
      </c>
      <c r="E8" t="s">
        <v>294</v>
      </c>
      <c r="F8" s="284" t="s">
        <v>92</v>
      </c>
      <c r="G8">
        <v>44.790488927572149</v>
      </c>
      <c r="H8">
        <v>44.790488927572149</v>
      </c>
      <c r="I8">
        <v>44.790488927572149</v>
      </c>
      <c r="J8">
        <v>44.790488927572149</v>
      </c>
      <c r="K8">
        <v>44.790488927572149</v>
      </c>
      <c r="L8">
        <v>44.790488927572149</v>
      </c>
      <c r="M8">
        <v>44.790488927572149</v>
      </c>
      <c r="N8">
        <v>44.790488927572149</v>
      </c>
      <c r="O8">
        <v>44.790488927572149</v>
      </c>
      <c r="P8">
        <v>44.790488927572149</v>
      </c>
      <c r="Q8">
        <v>44.790488927572149</v>
      </c>
      <c r="R8">
        <v>44.790488927572149</v>
      </c>
      <c r="S8">
        <v>44.790488927572149</v>
      </c>
      <c r="T8">
        <v>44.790488927572149</v>
      </c>
      <c r="U8">
        <v>44.790488927572149</v>
      </c>
      <c r="V8">
        <v>44.790488927572149</v>
      </c>
      <c r="W8">
        <v>44.790488927572149</v>
      </c>
      <c r="X8">
        <v>44.790488927572149</v>
      </c>
      <c r="Y8">
        <v>44.790488927572149</v>
      </c>
      <c r="Z8">
        <v>44.790488927572149</v>
      </c>
      <c r="AA8">
        <v>44.790488927572149</v>
      </c>
      <c r="AB8">
        <v>44.790488927572149</v>
      </c>
      <c r="AC8">
        <v>44.790488927572149</v>
      </c>
      <c r="AD8">
        <v>44.790488927572149</v>
      </c>
      <c r="AE8">
        <v>44.790488927572149</v>
      </c>
      <c r="AF8">
        <v>44.790488927572149</v>
      </c>
      <c r="AG8">
        <v>44.790488927572149</v>
      </c>
      <c r="AH8">
        <v>44.790488927572149</v>
      </c>
      <c r="AI8">
        <v>44.790488927572149</v>
      </c>
      <c r="AJ8">
        <v>44.790488927572149</v>
      </c>
      <c r="AK8">
        <v>44.790488927572149</v>
      </c>
      <c r="AL8">
        <v>44.790488927572149</v>
      </c>
      <c r="AM8">
        <v>44.790488927572149</v>
      </c>
      <c r="AN8">
        <v>44.790488927572149</v>
      </c>
      <c r="AO8">
        <v>44.790488927572149</v>
      </c>
      <c r="AP8">
        <v>44.790488927572149</v>
      </c>
      <c r="AQ8">
        <v>44.790488927572149</v>
      </c>
      <c r="AR8">
        <v>44.790488927572149</v>
      </c>
      <c r="AS8">
        <v>44.790488927572149</v>
      </c>
      <c r="AT8">
        <v>44.790488927572149</v>
      </c>
      <c r="AU8">
        <v>44.790488927572149</v>
      </c>
      <c r="AV8">
        <v>44.790488927572149</v>
      </c>
      <c r="AW8">
        <v>44.790488927572149</v>
      </c>
      <c r="AX8">
        <v>44.790488927572149</v>
      </c>
      <c r="AY8">
        <v>44.790488927572149</v>
      </c>
      <c r="AZ8">
        <v>44.790488927572149</v>
      </c>
      <c r="BA8">
        <v>44.790488927572149</v>
      </c>
      <c r="BB8">
        <v>44.790488927572149</v>
      </c>
      <c r="BC8" s="266"/>
      <c r="BD8" s="266"/>
      <c r="BE8" s="266"/>
      <c r="BF8" s="266"/>
      <c r="BG8" s="266"/>
      <c r="BH8" s="266"/>
      <c r="BI8" s="266"/>
      <c r="BJ8" s="266"/>
      <c r="BK8" s="266"/>
      <c r="BL8" s="266"/>
      <c r="BM8" s="266"/>
      <c r="BN8" s="266"/>
      <c r="BP8" s="93"/>
      <c r="BQ8" s="93"/>
      <c r="BR8" s="93"/>
      <c r="BS8" s="93"/>
      <c r="BT8" s="93"/>
      <c r="BU8" s="93"/>
      <c r="BV8" s="93"/>
      <c r="BW8" s="93"/>
      <c r="BX8" s="93"/>
      <c r="BY8" s="93"/>
      <c r="BZ8" s="93"/>
      <c r="CA8" s="93"/>
    </row>
    <row r="9" spans="2:79" s="104" customFormat="1" ht="20.149999999999999" customHeight="1" x14ac:dyDescent="0.35">
      <c r="B9" t="s">
        <v>295</v>
      </c>
      <c r="C9" t="s">
        <v>103</v>
      </c>
      <c r="D9" t="s">
        <v>154</v>
      </c>
      <c r="E9" t="s">
        <v>296</v>
      </c>
      <c r="F9" s="283" t="s">
        <v>91</v>
      </c>
      <c r="G9">
        <v>15.17</v>
      </c>
      <c r="H9">
        <v>15.17</v>
      </c>
      <c r="I9">
        <v>15.17</v>
      </c>
      <c r="J9">
        <v>15.17</v>
      </c>
      <c r="K9">
        <v>15.17</v>
      </c>
      <c r="L9">
        <v>15.17</v>
      </c>
      <c r="M9">
        <v>15.17</v>
      </c>
      <c r="N9">
        <v>15.17</v>
      </c>
      <c r="O9">
        <v>15.17</v>
      </c>
      <c r="P9">
        <v>15.17</v>
      </c>
      <c r="Q9">
        <v>15.17</v>
      </c>
      <c r="R9">
        <v>15.17</v>
      </c>
      <c r="S9">
        <v>15.625100000000002</v>
      </c>
      <c r="T9">
        <v>15.625100000000002</v>
      </c>
      <c r="U9">
        <v>15.625100000000002</v>
      </c>
      <c r="V9">
        <v>15.625100000000002</v>
      </c>
      <c r="W9">
        <v>15.625100000000002</v>
      </c>
      <c r="X9">
        <v>15.625100000000002</v>
      </c>
      <c r="Y9">
        <v>15.625100000000002</v>
      </c>
      <c r="Z9">
        <v>15.625100000000002</v>
      </c>
      <c r="AA9">
        <v>15.625100000000002</v>
      </c>
      <c r="AB9">
        <v>15.625100000000002</v>
      </c>
      <c r="AC9">
        <v>15.625100000000002</v>
      </c>
      <c r="AD9">
        <v>15.625100000000002</v>
      </c>
      <c r="AE9">
        <v>16.093852999999999</v>
      </c>
      <c r="AF9">
        <v>16.093852999999999</v>
      </c>
      <c r="AG9">
        <v>16.093852999999999</v>
      </c>
      <c r="AH9">
        <v>16.093852999999999</v>
      </c>
      <c r="AI9">
        <v>16.093852999999999</v>
      </c>
      <c r="AJ9">
        <v>16.093852999999999</v>
      </c>
      <c r="AK9">
        <v>16.093852999999999</v>
      </c>
      <c r="AL9">
        <v>16.093852999999999</v>
      </c>
      <c r="AM9">
        <v>16.093852999999999</v>
      </c>
      <c r="AN9">
        <v>16.093852999999999</v>
      </c>
      <c r="AO9">
        <v>16.093852999999999</v>
      </c>
      <c r="AP9">
        <v>16.093852999999999</v>
      </c>
      <c r="AQ9">
        <v>16.576668590000001</v>
      </c>
      <c r="AR9">
        <v>16.576668590000001</v>
      </c>
      <c r="AS9">
        <v>16.576668590000001</v>
      </c>
      <c r="AT9">
        <v>16.576668590000001</v>
      </c>
      <c r="AU9">
        <v>16.576668590000001</v>
      </c>
      <c r="AV9">
        <v>16.576668590000001</v>
      </c>
      <c r="AW9">
        <v>16.576668590000001</v>
      </c>
      <c r="AX9">
        <v>16.576668590000001</v>
      </c>
      <c r="AY9">
        <v>16.576668590000001</v>
      </c>
      <c r="AZ9">
        <v>16.576668590000001</v>
      </c>
      <c r="BA9">
        <v>16.576668590000001</v>
      </c>
      <c r="BB9">
        <v>16.576668590000001</v>
      </c>
      <c r="BC9" s="265"/>
      <c r="BD9" s="265"/>
      <c r="BE9" s="265"/>
      <c r="BF9" s="265"/>
      <c r="BG9" s="265"/>
      <c r="BH9" s="265"/>
      <c r="BI9" s="265"/>
      <c r="BJ9" s="265"/>
      <c r="BK9" s="265"/>
      <c r="BL9" s="265"/>
      <c r="BM9" s="265"/>
      <c r="BN9" s="265"/>
      <c r="BP9" s="93"/>
      <c r="BQ9" s="93"/>
      <c r="BR9" s="93"/>
      <c r="BS9" s="93"/>
      <c r="BT9" s="93"/>
      <c r="BU9" s="93"/>
      <c r="BV9" s="93"/>
      <c r="BW9" s="93"/>
      <c r="BX9" s="93"/>
      <c r="BY9" s="93"/>
      <c r="BZ9" s="93"/>
      <c r="CA9" s="93"/>
    </row>
    <row r="10" spans="2:79" s="104" customFormat="1" ht="20.149999999999999" customHeight="1" x14ac:dyDescent="0.35">
      <c r="B10" t="s">
        <v>295</v>
      </c>
      <c r="C10" t="s">
        <v>103</v>
      </c>
      <c r="D10" t="s">
        <v>154</v>
      </c>
      <c r="E10" t="s">
        <v>296</v>
      </c>
      <c r="F10" s="284" t="s">
        <v>92</v>
      </c>
      <c r="G10">
        <v>20.690361997956153</v>
      </c>
      <c r="H10">
        <v>20.690361997956153</v>
      </c>
      <c r="I10">
        <v>20.690361997956153</v>
      </c>
      <c r="J10">
        <v>20.690361997956153</v>
      </c>
      <c r="K10">
        <v>20.690361997956153</v>
      </c>
      <c r="L10">
        <v>20.690361997956153</v>
      </c>
      <c r="M10">
        <v>20.690361997956153</v>
      </c>
      <c r="N10">
        <v>20.690361997956153</v>
      </c>
      <c r="O10">
        <v>20.690361997956153</v>
      </c>
      <c r="P10">
        <v>20.690361997956153</v>
      </c>
      <c r="Q10">
        <v>20.690361997956153</v>
      </c>
      <c r="R10">
        <v>20.690361997956153</v>
      </c>
      <c r="S10">
        <v>20.690361997956153</v>
      </c>
      <c r="T10">
        <v>20.690361997956153</v>
      </c>
      <c r="U10">
        <v>20.690361997956153</v>
      </c>
      <c r="V10">
        <v>20.690361997956153</v>
      </c>
      <c r="W10">
        <v>20.690361997956153</v>
      </c>
      <c r="X10">
        <v>20.690361997956153</v>
      </c>
      <c r="Y10">
        <v>20.690361997956153</v>
      </c>
      <c r="Z10">
        <v>20.690361997956153</v>
      </c>
      <c r="AA10">
        <v>20.690361997956153</v>
      </c>
      <c r="AB10">
        <v>20.690361997956153</v>
      </c>
      <c r="AC10">
        <v>20.690361997956153</v>
      </c>
      <c r="AD10">
        <v>20.690361997956153</v>
      </c>
      <c r="AE10">
        <v>20.690361997956153</v>
      </c>
      <c r="AF10">
        <v>20.690361997956153</v>
      </c>
      <c r="AG10">
        <v>20.690361997956153</v>
      </c>
      <c r="AH10">
        <v>20.690361997956153</v>
      </c>
      <c r="AI10">
        <v>20.690361997956153</v>
      </c>
      <c r="AJ10">
        <v>20.690361997956153</v>
      </c>
      <c r="AK10">
        <v>20.690361997956153</v>
      </c>
      <c r="AL10">
        <v>20.690361997956153</v>
      </c>
      <c r="AM10">
        <v>20.690361997956153</v>
      </c>
      <c r="AN10">
        <v>20.690361997956153</v>
      </c>
      <c r="AO10">
        <v>20.690361997956153</v>
      </c>
      <c r="AP10">
        <v>20.690361997956153</v>
      </c>
      <c r="AQ10">
        <v>20.690361997956153</v>
      </c>
      <c r="AR10">
        <v>20.690361997956153</v>
      </c>
      <c r="AS10">
        <v>20.690361997956153</v>
      </c>
      <c r="AT10">
        <v>20.690361997956153</v>
      </c>
      <c r="AU10">
        <v>20.690361997956153</v>
      </c>
      <c r="AV10">
        <v>20.690361997956153</v>
      </c>
      <c r="AW10">
        <v>20.690361997956153</v>
      </c>
      <c r="AX10">
        <v>20.690361997956153</v>
      </c>
      <c r="AY10">
        <v>20.690361997956153</v>
      </c>
      <c r="AZ10">
        <v>20.690361997956153</v>
      </c>
      <c r="BA10">
        <v>20.690361997956153</v>
      </c>
      <c r="BB10">
        <v>20.690361997956153</v>
      </c>
      <c r="BC10" s="266"/>
      <c r="BD10" s="266"/>
      <c r="BE10" s="266"/>
      <c r="BF10" s="266"/>
      <c r="BG10" s="266"/>
      <c r="BH10" s="266"/>
      <c r="BI10" s="266"/>
      <c r="BJ10" s="266"/>
      <c r="BK10" s="266"/>
      <c r="BL10" s="266"/>
      <c r="BM10" s="266"/>
      <c r="BN10" s="266"/>
      <c r="BP10" s="93"/>
      <c r="BQ10" s="93"/>
      <c r="BR10" s="93"/>
      <c r="BS10" s="93"/>
      <c r="BT10" s="93"/>
      <c r="BU10" s="93"/>
      <c r="BV10" s="93"/>
      <c r="BW10" s="93"/>
      <c r="BX10" s="93"/>
      <c r="BY10" s="93"/>
      <c r="BZ10" s="93"/>
      <c r="CA10" s="93"/>
    </row>
    <row r="11" spans="2:79" s="104" customFormat="1" ht="20.149999999999999" customHeight="1" x14ac:dyDescent="0.35">
      <c r="B11" t="s">
        <v>297</v>
      </c>
      <c r="C11" t="s">
        <v>101</v>
      </c>
      <c r="D11" t="s">
        <v>154</v>
      </c>
      <c r="E11" t="s">
        <v>298</v>
      </c>
      <c r="F11" s="283" t="s">
        <v>91</v>
      </c>
      <c r="G11">
        <v>20</v>
      </c>
      <c r="H11">
        <v>20</v>
      </c>
      <c r="I11">
        <v>20</v>
      </c>
      <c r="J11">
        <v>20</v>
      </c>
      <c r="K11">
        <v>20</v>
      </c>
      <c r="L11">
        <v>20</v>
      </c>
      <c r="M11">
        <v>20</v>
      </c>
      <c r="N11">
        <v>20</v>
      </c>
      <c r="O11">
        <v>20</v>
      </c>
      <c r="P11">
        <v>20</v>
      </c>
      <c r="Q11">
        <v>20</v>
      </c>
      <c r="R11">
        <v>20</v>
      </c>
      <c r="S11">
        <v>20.6</v>
      </c>
      <c r="T11">
        <v>20.6</v>
      </c>
      <c r="U11">
        <v>20.6</v>
      </c>
      <c r="V11">
        <v>20.6</v>
      </c>
      <c r="W11">
        <v>20.6</v>
      </c>
      <c r="X11">
        <v>20.6</v>
      </c>
      <c r="Y11">
        <v>20.6</v>
      </c>
      <c r="Z11">
        <v>20.6</v>
      </c>
      <c r="AA11">
        <v>20.6</v>
      </c>
      <c r="AB11">
        <v>20.6</v>
      </c>
      <c r="AC11">
        <v>20.6</v>
      </c>
      <c r="AD11">
        <v>20.6</v>
      </c>
      <c r="AE11">
        <v>21.218</v>
      </c>
      <c r="AF11">
        <v>21.218</v>
      </c>
      <c r="AG11">
        <v>21.218</v>
      </c>
      <c r="AH11">
        <v>21.218</v>
      </c>
      <c r="AI11">
        <v>21.218</v>
      </c>
      <c r="AJ11">
        <v>21.218</v>
      </c>
      <c r="AK11">
        <v>21.218</v>
      </c>
      <c r="AL11">
        <v>21.218</v>
      </c>
      <c r="AM11">
        <v>21.218</v>
      </c>
      <c r="AN11">
        <v>21.218</v>
      </c>
      <c r="AO11">
        <v>21.218</v>
      </c>
      <c r="AP11">
        <v>21.218</v>
      </c>
      <c r="AQ11">
        <v>21.85454</v>
      </c>
      <c r="AR11">
        <v>21.85454</v>
      </c>
      <c r="AS11">
        <v>21.85454</v>
      </c>
      <c r="AT11">
        <v>21.85454</v>
      </c>
      <c r="AU11">
        <v>21.85454</v>
      </c>
      <c r="AV11">
        <v>21.85454</v>
      </c>
      <c r="AW11">
        <v>21.85454</v>
      </c>
      <c r="AX11">
        <v>21.85454</v>
      </c>
      <c r="AY11">
        <v>21.85454</v>
      </c>
      <c r="AZ11">
        <v>21.85454</v>
      </c>
      <c r="BA11">
        <v>21.85454</v>
      </c>
      <c r="BB11">
        <v>21.85454</v>
      </c>
      <c r="BC11" s="265"/>
      <c r="BD11" s="265"/>
      <c r="BE11" s="265"/>
      <c r="BF11" s="265"/>
      <c r="BG11" s="265"/>
      <c r="BH11" s="265"/>
      <c r="BI11" s="265"/>
      <c r="BJ11" s="265"/>
      <c r="BK11" s="265"/>
      <c r="BL11" s="265"/>
      <c r="BM11" s="265"/>
      <c r="BN11" s="265"/>
      <c r="BP11" s="93"/>
      <c r="BQ11" s="93"/>
      <c r="BR11" s="93"/>
      <c r="BS11" s="93"/>
      <c r="BT11" s="93"/>
      <c r="BU11" s="93"/>
      <c r="BV11" s="93"/>
      <c r="BW11" s="93"/>
      <c r="BX11" s="93"/>
      <c r="BY11" s="93"/>
      <c r="BZ11" s="93"/>
      <c r="CA11" s="93"/>
    </row>
    <row r="12" spans="2:79" s="104" customFormat="1" ht="20.149999999999999" customHeight="1" x14ac:dyDescent="0.35">
      <c r="B12" t="s">
        <v>297</v>
      </c>
      <c r="C12" t="s">
        <v>101</v>
      </c>
      <c r="D12" t="s">
        <v>154</v>
      </c>
      <c r="E12" t="s">
        <v>298</v>
      </c>
      <c r="F12" s="284" t="s">
        <v>92</v>
      </c>
      <c r="G12">
        <v>27.279471096621165</v>
      </c>
      <c r="H12">
        <v>27.279471096621165</v>
      </c>
      <c r="I12">
        <v>27.279471096621165</v>
      </c>
      <c r="J12">
        <v>27.279471096621165</v>
      </c>
      <c r="K12">
        <v>27.279471096621165</v>
      </c>
      <c r="L12">
        <v>27.279471096621165</v>
      </c>
      <c r="M12">
        <v>27.279471096621165</v>
      </c>
      <c r="N12">
        <v>27.279471096621165</v>
      </c>
      <c r="O12">
        <v>27.279471096621165</v>
      </c>
      <c r="P12">
        <v>27.279471096621165</v>
      </c>
      <c r="Q12">
        <v>27.279471096621165</v>
      </c>
      <c r="R12">
        <v>27.279471096621165</v>
      </c>
      <c r="S12">
        <v>27.279471096621165</v>
      </c>
      <c r="T12">
        <v>27.279471096621165</v>
      </c>
      <c r="U12">
        <v>27.279471096621165</v>
      </c>
      <c r="V12">
        <v>27.279471096621165</v>
      </c>
      <c r="W12">
        <v>27.279471096621165</v>
      </c>
      <c r="X12">
        <v>27.279471096621165</v>
      </c>
      <c r="Y12">
        <v>27.279471096621165</v>
      </c>
      <c r="Z12">
        <v>27.279471096621165</v>
      </c>
      <c r="AA12">
        <v>27.279471096621165</v>
      </c>
      <c r="AB12">
        <v>27.279471096621165</v>
      </c>
      <c r="AC12">
        <v>27.279471096621165</v>
      </c>
      <c r="AD12">
        <v>27.279471096621165</v>
      </c>
      <c r="AE12">
        <v>27.279471096621165</v>
      </c>
      <c r="AF12">
        <v>27.279471096621165</v>
      </c>
      <c r="AG12">
        <v>27.279471096621165</v>
      </c>
      <c r="AH12">
        <v>27.279471096621165</v>
      </c>
      <c r="AI12">
        <v>27.279471096621165</v>
      </c>
      <c r="AJ12">
        <v>27.279471096621165</v>
      </c>
      <c r="AK12">
        <v>27.279471096621165</v>
      </c>
      <c r="AL12">
        <v>27.279471096621165</v>
      </c>
      <c r="AM12">
        <v>27.279471096621165</v>
      </c>
      <c r="AN12">
        <v>27.279471096621165</v>
      </c>
      <c r="AO12">
        <v>27.279471096621165</v>
      </c>
      <c r="AP12">
        <v>27.279471096621165</v>
      </c>
      <c r="AQ12">
        <v>27.279471096621165</v>
      </c>
      <c r="AR12">
        <v>27.279471096621165</v>
      </c>
      <c r="AS12">
        <v>27.279471096621165</v>
      </c>
      <c r="AT12">
        <v>27.279471096621165</v>
      </c>
      <c r="AU12">
        <v>27.279471096621165</v>
      </c>
      <c r="AV12">
        <v>27.279471096621165</v>
      </c>
      <c r="AW12">
        <v>27.279471096621165</v>
      </c>
      <c r="AX12">
        <v>27.279471096621165</v>
      </c>
      <c r="AY12">
        <v>27.279471096621165</v>
      </c>
      <c r="AZ12">
        <v>27.279471096621165</v>
      </c>
      <c r="BA12">
        <v>27.279471096621165</v>
      </c>
      <c r="BB12">
        <v>27.279471096621165</v>
      </c>
      <c r="BC12" s="266"/>
      <c r="BD12" s="266"/>
      <c r="BE12" s="266"/>
      <c r="BF12" s="266"/>
      <c r="BG12" s="266"/>
      <c r="BH12" s="266"/>
      <c r="BI12" s="266"/>
      <c r="BJ12" s="266"/>
      <c r="BK12" s="266"/>
      <c r="BL12" s="266"/>
      <c r="BM12" s="266"/>
      <c r="BN12" s="266"/>
    </row>
    <row r="13" spans="2:79" s="104" customFormat="1" ht="20.149999999999999" customHeight="1" x14ac:dyDescent="0.35">
      <c r="B13"/>
      <c r="C13"/>
      <c r="D13"/>
      <c r="E13"/>
      <c r="F13" s="283"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5"/>
      <c r="BD13" s="265"/>
      <c r="BE13" s="265"/>
      <c r="BF13" s="265"/>
      <c r="BG13" s="265"/>
      <c r="BH13" s="265"/>
      <c r="BI13" s="265"/>
      <c r="BJ13" s="265"/>
      <c r="BK13" s="265"/>
      <c r="BL13" s="265"/>
      <c r="BM13" s="265"/>
      <c r="BN13" s="265"/>
    </row>
    <row r="14" spans="2:79" s="104" customFormat="1" ht="20.149999999999999" customHeight="1" x14ac:dyDescent="0.35">
      <c r="B14"/>
      <c r="C14"/>
      <c r="D14"/>
      <c r="E14"/>
      <c r="F14" s="284"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6"/>
      <c r="BD14" s="266"/>
      <c r="BE14" s="266"/>
      <c r="BF14" s="266"/>
      <c r="BG14" s="266"/>
      <c r="BH14" s="266"/>
      <c r="BI14" s="266"/>
      <c r="BJ14" s="266"/>
      <c r="BK14" s="266"/>
      <c r="BL14" s="266"/>
      <c r="BM14" s="266"/>
      <c r="BN14" s="266"/>
    </row>
    <row r="15" spans="2:79" s="104" customFormat="1" ht="20.149999999999999" customHeight="1" x14ac:dyDescent="0.35">
      <c r="B15"/>
      <c r="C15"/>
      <c r="D15"/>
      <c r="E15"/>
      <c r="F15" s="283"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5"/>
      <c r="BD15" s="265"/>
      <c r="BE15" s="265"/>
      <c r="BF15" s="265"/>
      <c r="BG15" s="265"/>
      <c r="BH15" s="265"/>
      <c r="BI15" s="265"/>
      <c r="BJ15" s="265"/>
      <c r="BK15" s="265"/>
      <c r="BL15" s="265"/>
      <c r="BM15" s="265"/>
      <c r="BN15" s="265"/>
    </row>
    <row r="16" spans="2:79" s="104" customFormat="1" ht="20.149999999999999" customHeight="1" x14ac:dyDescent="0.35">
      <c r="B16"/>
      <c r="C16"/>
      <c r="D16"/>
      <c r="E16"/>
      <c r="F16" s="284"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6"/>
      <c r="BD16" s="266"/>
      <c r="BE16" s="266"/>
      <c r="BF16" s="266"/>
      <c r="BG16" s="266"/>
      <c r="BH16" s="266"/>
      <c r="BI16" s="266"/>
      <c r="BJ16" s="266"/>
      <c r="BK16" s="266"/>
      <c r="BL16" s="266"/>
      <c r="BM16" s="266"/>
      <c r="BN16" s="266"/>
    </row>
    <row r="17" spans="2:79" s="104" customFormat="1" ht="20.149999999999999" customHeight="1" x14ac:dyDescent="0.35">
      <c r="B17"/>
      <c r="C17"/>
      <c r="D17"/>
      <c r="E17"/>
      <c r="F17" s="283"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5"/>
      <c r="BD17" s="265"/>
      <c r="BE17" s="265"/>
      <c r="BF17" s="265"/>
      <c r="BG17" s="265"/>
      <c r="BH17" s="265"/>
      <c r="BI17" s="265"/>
      <c r="BJ17" s="265"/>
      <c r="BK17" s="265"/>
      <c r="BL17" s="265"/>
      <c r="BM17" s="265"/>
      <c r="BN17" s="265"/>
      <c r="BP17" s="93"/>
      <c r="BQ17" s="93"/>
      <c r="BR17" s="93"/>
      <c r="BS17" s="93"/>
      <c r="BT17" s="93"/>
      <c r="BU17" s="93"/>
      <c r="BV17" s="93"/>
      <c r="BW17" s="93"/>
      <c r="BX17" s="93"/>
      <c r="BY17" s="93"/>
      <c r="BZ17" s="93"/>
      <c r="CA17" s="93"/>
    </row>
    <row r="18" spans="2:79" s="104" customFormat="1" ht="20.149999999999999" customHeight="1" x14ac:dyDescent="0.35">
      <c r="B18"/>
      <c r="C18"/>
      <c r="D18"/>
      <c r="E18"/>
      <c r="F18" s="284"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6"/>
      <c r="BD18" s="266"/>
      <c r="BE18" s="266"/>
      <c r="BF18" s="266"/>
      <c r="BG18" s="266"/>
      <c r="BH18" s="266"/>
      <c r="BI18" s="266"/>
      <c r="BJ18" s="266"/>
      <c r="BK18" s="266"/>
      <c r="BL18" s="266"/>
      <c r="BM18" s="266"/>
      <c r="BN18" s="266"/>
      <c r="BP18" s="93"/>
      <c r="BQ18" s="93"/>
      <c r="BR18" s="93"/>
      <c r="BS18" s="93"/>
      <c r="BT18" s="93"/>
      <c r="BU18" s="93"/>
      <c r="BV18" s="93"/>
      <c r="BW18" s="93"/>
      <c r="BX18" s="93"/>
      <c r="BY18" s="93"/>
      <c r="BZ18" s="93"/>
      <c r="CA18" s="93"/>
    </row>
    <row r="19" spans="2:79" s="104" customFormat="1" ht="20.149999999999999" customHeight="1" x14ac:dyDescent="0.35">
      <c r="B19"/>
      <c r="C19"/>
      <c r="D19"/>
      <c r="E19"/>
      <c r="F19" s="283"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5"/>
      <c r="BD19" s="265"/>
      <c r="BE19" s="265"/>
      <c r="BF19" s="265"/>
      <c r="BG19" s="265"/>
      <c r="BH19" s="265"/>
      <c r="BI19" s="265"/>
      <c r="BJ19" s="265"/>
      <c r="BK19" s="265"/>
      <c r="BL19" s="265"/>
      <c r="BM19" s="265"/>
      <c r="BN19" s="265"/>
      <c r="BP19" s="93"/>
      <c r="BQ19" s="93"/>
      <c r="BR19" s="93"/>
      <c r="BS19" s="93"/>
      <c r="BT19" s="93"/>
      <c r="BU19" s="93"/>
      <c r="BV19" s="93"/>
      <c r="BW19" s="93"/>
      <c r="BX19" s="93"/>
      <c r="BY19" s="93"/>
      <c r="BZ19" s="93"/>
      <c r="CA19" s="93"/>
    </row>
    <row r="20" spans="2:79" s="104" customFormat="1" ht="20.149999999999999" customHeight="1" x14ac:dyDescent="0.35">
      <c r="B20"/>
      <c r="C20"/>
      <c r="D20"/>
      <c r="E20"/>
      <c r="F20" s="284"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6"/>
      <c r="BD20" s="266"/>
      <c r="BE20" s="266"/>
      <c r="BF20" s="266"/>
      <c r="BG20" s="266"/>
      <c r="BH20" s="266"/>
      <c r="BI20" s="266"/>
      <c r="BJ20" s="266"/>
      <c r="BK20" s="266"/>
      <c r="BL20" s="266"/>
      <c r="BM20" s="266"/>
      <c r="BN20" s="266"/>
      <c r="BP20" s="93"/>
      <c r="BQ20" s="93"/>
      <c r="BR20" s="93"/>
      <c r="BS20" s="93"/>
      <c r="BT20" s="93"/>
      <c r="BU20" s="93"/>
      <c r="BV20" s="93"/>
      <c r="BW20" s="93"/>
      <c r="BX20" s="93"/>
      <c r="BY20" s="93"/>
      <c r="BZ20" s="93"/>
      <c r="CA20" s="93"/>
    </row>
    <row r="21" spans="2:79" s="104" customFormat="1" ht="20.149999999999999" customHeight="1" x14ac:dyDescent="0.35">
      <c r="B21"/>
      <c r="C21"/>
      <c r="D21"/>
      <c r="E21"/>
      <c r="F21" s="283"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5"/>
      <c r="BD21" s="265"/>
      <c r="BE21" s="265"/>
      <c r="BF21" s="265"/>
      <c r="BG21" s="265"/>
      <c r="BH21" s="265"/>
      <c r="BI21" s="265"/>
      <c r="BJ21" s="265"/>
      <c r="BK21" s="265"/>
      <c r="BL21" s="265"/>
      <c r="BM21" s="265"/>
      <c r="BN21" s="265"/>
      <c r="BP21" s="93"/>
      <c r="BQ21" s="93"/>
      <c r="BR21" s="93"/>
      <c r="BS21" s="93"/>
      <c r="BT21" s="93"/>
      <c r="BU21" s="93"/>
      <c r="BV21" s="93"/>
      <c r="BW21" s="93"/>
      <c r="BX21" s="93"/>
      <c r="BY21" s="93"/>
      <c r="BZ21" s="93"/>
      <c r="CA21" s="93"/>
    </row>
    <row r="22" spans="2:79" s="104" customFormat="1" ht="20.149999999999999" customHeight="1" x14ac:dyDescent="0.35">
      <c r="B22"/>
      <c r="C22"/>
      <c r="D22"/>
      <c r="E22"/>
      <c r="F22" s="284"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6"/>
      <c r="BD22" s="266"/>
      <c r="BE22" s="266"/>
      <c r="BF22" s="266"/>
      <c r="BG22" s="266"/>
      <c r="BH22" s="266"/>
      <c r="BI22" s="266"/>
      <c r="BJ22" s="266"/>
      <c r="BK22" s="266"/>
      <c r="BL22" s="266"/>
      <c r="BM22" s="266"/>
      <c r="BN22" s="266"/>
    </row>
    <row r="23" spans="2:79" s="104" customFormat="1" ht="20.149999999999999" customHeight="1" x14ac:dyDescent="0.35">
      <c r="B23"/>
      <c r="C23"/>
      <c r="D23"/>
      <c r="E23"/>
      <c r="F23" s="283"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5"/>
      <c r="BD23" s="265"/>
      <c r="BE23" s="265"/>
      <c r="BF23" s="265"/>
      <c r="BG23" s="265"/>
      <c r="BH23" s="265"/>
      <c r="BI23" s="265"/>
      <c r="BJ23" s="265"/>
      <c r="BK23" s="265"/>
      <c r="BL23" s="265"/>
      <c r="BM23" s="265"/>
      <c r="BN23" s="265"/>
    </row>
    <row r="24" spans="2:79" s="104" customFormat="1" ht="20.149999999999999" customHeight="1" x14ac:dyDescent="0.35">
      <c r="B24"/>
      <c r="C24"/>
      <c r="D24"/>
      <c r="E24"/>
      <c r="F24" s="284"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6"/>
      <c r="BD24" s="266"/>
      <c r="BE24" s="266"/>
      <c r="BF24" s="266"/>
      <c r="BG24" s="266"/>
      <c r="BH24" s="266"/>
      <c r="BI24" s="266"/>
      <c r="BJ24" s="266"/>
      <c r="BK24" s="266"/>
      <c r="BL24" s="266"/>
      <c r="BM24" s="266"/>
      <c r="BN24" s="266"/>
    </row>
    <row r="25" spans="2:79" s="104" customFormat="1" ht="20.149999999999999" customHeight="1" x14ac:dyDescent="0.35">
      <c r="B25"/>
      <c r="C25"/>
      <c r="D25"/>
      <c r="E25"/>
      <c r="F25" s="283"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5"/>
      <c r="BD25" s="265"/>
      <c r="BE25" s="265"/>
      <c r="BF25" s="265"/>
      <c r="BG25" s="265"/>
      <c r="BH25" s="265"/>
      <c r="BI25" s="265"/>
      <c r="BJ25" s="265"/>
      <c r="BK25" s="265"/>
      <c r="BL25" s="265"/>
      <c r="BM25" s="265"/>
      <c r="BN25" s="265"/>
    </row>
    <row r="26" spans="2:79" s="104" customFormat="1" ht="20.149999999999999" customHeight="1" x14ac:dyDescent="0.35">
      <c r="B26"/>
      <c r="C26"/>
      <c r="D26"/>
      <c r="E26"/>
      <c r="F26" s="284"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6"/>
      <c r="BD26" s="266"/>
      <c r="BE26" s="266"/>
      <c r="BF26" s="266"/>
      <c r="BG26" s="266"/>
      <c r="BH26" s="266"/>
      <c r="BI26" s="266"/>
      <c r="BJ26" s="266"/>
      <c r="BK26" s="266"/>
      <c r="BL26" s="266"/>
      <c r="BM26" s="266"/>
      <c r="BN26" s="266"/>
    </row>
    <row r="27" spans="2:79" s="104" customFormat="1" ht="20.149999999999999" customHeight="1" x14ac:dyDescent="0.35">
      <c r="B27"/>
      <c r="C27"/>
      <c r="D27"/>
      <c r="E27"/>
      <c r="F27" s="283"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5"/>
      <c r="BD27" s="265"/>
      <c r="BE27" s="265"/>
      <c r="BF27" s="265"/>
      <c r="BG27" s="265"/>
      <c r="BH27" s="265"/>
      <c r="BI27" s="265"/>
      <c r="BJ27" s="265"/>
      <c r="BK27" s="265"/>
      <c r="BL27" s="265"/>
      <c r="BM27" s="265"/>
      <c r="BN27" s="265"/>
      <c r="BP27" s="93"/>
      <c r="BQ27" s="93"/>
      <c r="BR27" s="93"/>
      <c r="BS27" s="93"/>
      <c r="BT27" s="93"/>
      <c r="BU27" s="93"/>
      <c r="BV27" s="93"/>
      <c r="BW27" s="93"/>
      <c r="BX27" s="93"/>
      <c r="BY27" s="93"/>
      <c r="BZ27" s="93"/>
      <c r="CA27" s="93"/>
    </row>
    <row r="28" spans="2:79" s="104" customFormat="1" ht="20.149999999999999" customHeight="1" x14ac:dyDescent="0.35">
      <c r="B28"/>
      <c r="C28"/>
      <c r="D28"/>
      <c r="E28"/>
      <c r="F28" s="284"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6"/>
      <c r="BD28" s="266"/>
      <c r="BE28" s="266"/>
      <c r="BF28" s="266"/>
      <c r="BG28" s="266"/>
      <c r="BH28" s="266"/>
      <c r="BI28" s="266"/>
      <c r="BJ28" s="266"/>
      <c r="BK28" s="266"/>
      <c r="BL28" s="266"/>
      <c r="BM28" s="266"/>
      <c r="BN28" s="266"/>
      <c r="BP28" s="93"/>
      <c r="BQ28" s="93"/>
      <c r="BR28" s="93"/>
      <c r="BS28" s="93"/>
      <c r="BT28" s="93"/>
      <c r="BU28" s="93"/>
      <c r="BV28" s="93"/>
      <c r="BW28" s="93"/>
      <c r="BX28" s="93"/>
      <c r="BY28" s="93"/>
      <c r="BZ28" s="93"/>
      <c r="CA28" s="93"/>
    </row>
    <row r="29" spans="2:79" s="104" customFormat="1" ht="20.149999999999999" customHeight="1" x14ac:dyDescent="0.35">
      <c r="B29"/>
      <c r="C29"/>
      <c r="D29"/>
      <c r="E29"/>
      <c r="F29" s="283"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5"/>
      <c r="BD29" s="265"/>
      <c r="BE29" s="265"/>
      <c r="BF29" s="265"/>
      <c r="BG29" s="265"/>
      <c r="BH29" s="265"/>
      <c r="BI29" s="265"/>
      <c r="BJ29" s="265"/>
      <c r="BK29" s="265"/>
      <c r="BL29" s="265"/>
      <c r="BM29" s="265"/>
      <c r="BN29" s="265"/>
      <c r="BP29" s="93"/>
      <c r="BQ29" s="93"/>
      <c r="BR29" s="93"/>
      <c r="BS29" s="93"/>
      <c r="BT29" s="93"/>
      <c r="BU29" s="93"/>
      <c r="BV29" s="93"/>
      <c r="BW29" s="93"/>
      <c r="BX29" s="93"/>
      <c r="BY29" s="93"/>
      <c r="BZ29" s="93"/>
      <c r="CA29" s="93"/>
    </row>
    <row r="30" spans="2:79" s="104" customFormat="1" ht="20.149999999999999" customHeight="1" x14ac:dyDescent="0.35">
      <c r="B30"/>
      <c r="C30"/>
      <c r="D30"/>
      <c r="E30"/>
      <c r="F30" s="284"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6"/>
      <c r="BD30" s="266"/>
      <c r="BE30" s="266"/>
      <c r="BF30" s="266"/>
      <c r="BG30" s="266"/>
      <c r="BH30" s="266"/>
      <c r="BI30" s="266"/>
      <c r="BJ30" s="266"/>
      <c r="BK30" s="266"/>
      <c r="BL30" s="266"/>
      <c r="BM30" s="266"/>
      <c r="BN30" s="266"/>
      <c r="BP30" s="93"/>
      <c r="BQ30" s="93"/>
      <c r="BR30" s="93"/>
      <c r="BS30" s="93"/>
      <c r="BT30" s="93"/>
      <c r="BU30" s="93"/>
      <c r="BV30" s="93"/>
      <c r="BW30" s="93"/>
      <c r="BX30" s="93"/>
      <c r="BY30" s="93"/>
      <c r="BZ30" s="93"/>
      <c r="CA30" s="93"/>
    </row>
    <row r="31" spans="2:79" s="104" customFormat="1" ht="20.149999999999999" customHeight="1" x14ac:dyDescent="0.35">
      <c r="B31"/>
      <c r="C31"/>
      <c r="D31"/>
      <c r="E31"/>
      <c r="F31" s="283"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5"/>
      <c r="BD31" s="265"/>
      <c r="BE31" s="265"/>
      <c r="BF31" s="265"/>
      <c r="BG31" s="265"/>
      <c r="BH31" s="265"/>
      <c r="BI31" s="265"/>
      <c r="BJ31" s="265"/>
      <c r="BK31" s="265"/>
      <c r="BL31" s="265"/>
      <c r="BM31" s="265"/>
      <c r="BN31" s="265"/>
      <c r="BP31" s="93"/>
      <c r="BQ31" s="93"/>
      <c r="BR31" s="93"/>
      <c r="BS31" s="93"/>
      <c r="BT31" s="93"/>
      <c r="BU31" s="93"/>
      <c r="BV31" s="93"/>
      <c r="BW31" s="93"/>
      <c r="BX31" s="93"/>
      <c r="BY31" s="93"/>
      <c r="BZ31" s="93"/>
      <c r="CA31" s="93"/>
    </row>
    <row r="32" spans="2:79" s="104" customFormat="1" ht="20.149999999999999" customHeight="1" x14ac:dyDescent="0.35">
      <c r="B32"/>
      <c r="C32"/>
      <c r="D32"/>
      <c r="E32"/>
      <c r="F32" s="284"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6"/>
      <c r="BD32" s="266"/>
      <c r="BE32" s="266"/>
      <c r="BF32" s="266"/>
      <c r="BG32" s="266"/>
      <c r="BH32" s="266"/>
      <c r="BI32" s="266"/>
      <c r="BJ32" s="266"/>
      <c r="BK32" s="266"/>
      <c r="BL32" s="266"/>
      <c r="BM32" s="266"/>
      <c r="BN32" s="266"/>
    </row>
    <row r="33" spans="2:79" s="104" customFormat="1" ht="20.149999999999999" customHeight="1" x14ac:dyDescent="0.35">
      <c r="B33"/>
      <c r="C33"/>
      <c r="D33"/>
      <c r="E33"/>
      <c r="F33" s="283"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5"/>
      <c r="BD33" s="265"/>
      <c r="BE33" s="265"/>
      <c r="BF33" s="265"/>
      <c r="BG33" s="265"/>
      <c r="BH33" s="265"/>
      <c r="BI33" s="265"/>
      <c r="BJ33" s="265"/>
      <c r="BK33" s="265"/>
      <c r="BL33" s="265"/>
      <c r="BM33" s="265"/>
      <c r="BN33" s="265"/>
    </row>
    <row r="34" spans="2:79" s="104" customFormat="1" ht="20.149999999999999" customHeight="1" x14ac:dyDescent="0.35">
      <c r="B34"/>
      <c r="C34"/>
      <c r="D34"/>
      <c r="E34"/>
      <c r="F34" s="284"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6"/>
      <c r="BD34" s="266"/>
      <c r="BE34" s="266"/>
      <c r="BF34" s="266"/>
      <c r="BG34" s="266"/>
      <c r="BH34" s="266"/>
      <c r="BI34" s="266"/>
      <c r="BJ34" s="266"/>
      <c r="BK34" s="266"/>
      <c r="BL34" s="266"/>
      <c r="BM34" s="266"/>
      <c r="BN34" s="266"/>
    </row>
    <row r="35" spans="2:79" s="104" customFormat="1" ht="20.149999999999999" customHeight="1" x14ac:dyDescent="0.35">
      <c r="B35"/>
      <c r="C35"/>
      <c r="D35"/>
      <c r="E35"/>
      <c r="F35" s="283"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5"/>
      <c r="BD35" s="265"/>
      <c r="BE35" s="265"/>
      <c r="BF35" s="265"/>
      <c r="BG35" s="265"/>
      <c r="BH35" s="265"/>
      <c r="BI35" s="265"/>
      <c r="BJ35" s="265"/>
      <c r="BK35" s="265"/>
      <c r="BL35" s="265"/>
      <c r="BM35" s="265"/>
      <c r="BN35" s="265"/>
    </row>
    <row r="36" spans="2:79" s="104" customFormat="1" ht="20.149999999999999" customHeight="1" x14ac:dyDescent="0.35">
      <c r="B36"/>
      <c r="C36"/>
      <c r="D36"/>
      <c r="E36"/>
      <c r="F36" s="284"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6"/>
      <c r="BD36" s="266"/>
      <c r="BE36" s="266"/>
      <c r="BF36" s="266"/>
      <c r="BG36" s="266"/>
      <c r="BH36" s="266"/>
      <c r="BI36" s="266"/>
      <c r="BJ36" s="266"/>
      <c r="BK36" s="266"/>
      <c r="BL36" s="266"/>
      <c r="BM36" s="266"/>
      <c r="BN36" s="266"/>
    </row>
    <row r="37" spans="2:79" s="104" customFormat="1" ht="20.149999999999999" customHeight="1" x14ac:dyDescent="0.25">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Y37" s="182"/>
      <c r="Z37" s="182"/>
      <c r="AA37" s="182"/>
      <c r="AB37" s="182"/>
      <c r="AC37" s="182"/>
      <c r="AD37" s="182"/>
      <c r="AE37" s="182"/>
      <c r="AF37" s="182"/>
      <c r="AG37" s="182"/>
      <c r="AH37" s="182"/>
      <c r="AI37" s="182"/>
      <c r="AJ37" s="182"/>
      <c r="AK37" s="182"/>
      <c r="AL37" s="182"/>
      <c r="AM37" s="182"/>
      <c r="AN37" s="182"/>
      <c r="AO37" s="182"/>
      <c r="AP37" s="182"/>
      <c r="AQ37" s="182"/>
      <c r="AR37" s="182"/>
      <c r="AS37" s="182"/>
      <c r="AT37" s="182"/>
      <c r="AU37" s="182"/>
      <c r="AV37" s="182"/>
      <c r="AW37" s="182"/>
      <c r="AX37" s="182"/>
      <c r="AY37" s="182"/>
      <c r="AZ37" s="182"/>
      <c r="BA37" s="182"/>
      <c r="BB37" s="182"/>
      <c r="BC37" s="182"/>
      <c r="BD37" s="182"/>
      <c r="BE37" s="182"/>
      <c r="BF37" s="182"/>
      <c r="BG37" s="182"/>
      <c r="BH37" s="182"/>
      <c r="BI37" s="182"/>
      <c r="BJ37" s="182"/>
      <c r="BK37" s="182"/>
      <c r="BL37" s="182"/>
      <c r="BM37" s="182"/>
      <c r="BN37" s="182"/>
    </row>
    <row r="38" spans="2:79" x14ac:dyDescent="0.25">
      <c r="B38" s="106"/>
    </row>
    <row r="39" spans="2:79" x14ac:dyDescent="0.25">
      <c r="B39" s="106"/>
    </row>
    <row r="40" spans="2:79" x14ac:dyDescent="0.25">
      <c r="B40" s="106"/>
    </row>
    <row r="41" spans="2:79" x14ac:dyDescent="0.25">
      <c r="B41" s="106"/>
    </row>
    <row r="42" spans="2:79" x14ac:dyDescent="0.25">
      <c r="B42" s="106"/>
    </row>
    <row r="43" spans="2:79" x14ac:dyDescent="0.25">
      <c r="B43" s="106"/>
    </row>
    <row r="44" spans="2:79" ht="20.149999999999999" customHeight="1" x14ac:dyDescent="0.25">
      <c r="B44" s="99"/>
      <c r="C44" s="99"/>
      <c r="D44" s="99"/>
      <c r="E44" s="107"/>
      <c r="F44" s="107"/>
      <c r="G44" s="99"/>
      <c r="H44" s="99"/>
      <c r="I44" s="99"/>
      <c r="J44" s="99"/>
      <c r="K44" s="99"/>
      <c r="L44" s="99"/>
      <c r="M44" s="99"/>
      <c r="N44" s="99"/>
      <c r="O44" s="99"/>
      <c r="P44" s="99"/>
      <c r="Q44" s="99"/>
    </row>
    <row r="45" spans="2:79" ht="20.149999999999999" customHeight="1" x14ac:dyDescent="0.25">
      <c r="B45" s="74" t="s">
        <v>93</v>
      </c>
      <c r="C45" s="108"/>
      <c r="D45" s="99"/>
      <c r="E45" s="107"/>
      <c r="F45" s="107"/>
      <c r="G45" s="99"/>
      <c r="H45" s="99"/>
      <c r="I45" s="99"/>
      <c r="J45" s="99"/>
      <c r="K45" s="99"/>
      <c r="L45" s="99"/>
      <c r="M45" s="99"/>
      <c r="N45" s="99"/>
      <c r="O45" s="99"/>
      <c r="P45" s="99"/>
      <c r="Q45" s="99"/>
      <c r="R45" s="99"/>
    </row>
    <row r="46" spans="2:79" s="103" customFormat="1" ht="31.5" customHeight="1" x14ac:dyDescent="0.25">
      <c r="B46" s="291" t="s">
        <v>94</v>
      </c>
      <c r="C46" s="101" t="s">
        <v>95</v>
      </c>
      <c r="D46" s="99"/>
      <c r="E46" s="107"/>
      <c r="F46" s="107"/>
      <c r="G46" s="99"/>
      <c r="H46" s="99"/>
      <c r="I46" s="99"/>
      <c r="J46" s="99"/>
      <c r="K46" s="99"/>
      <c r="L46" s="99"/>
      <c r="M46" s="99"/>
      <c r="N46" s="99"/>
      <c r="O46" s="99"/>
      <c r="P46" s="99"/>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row>
    <row r="47" spans="2:79" s="104" customFormat="1" ht="20.149999999999999" customHeight="1" x14ac:dyDescent="0.25">
      <c r="B47" s="1" t="s">
        <v>96</v>
      </c>
      <c r="C47" s="4" t="s">
        <v>16</v>
      </c>
      <c r="E47" s="107"/>
      <c r="F47" s="107"/>
      <c r="G47" s="99"/>
      <c r="H47" s="99"/>
      <c r="I47" s="99"/>
      <c r="J47" s="99"/>
      <c r="K47" s="99"/>
      <c r="L47" s="99"/>
      <c r="M47" s="99"/>
      <c r="N47" s="99"/>
      <c r="O47" s="99"/>
      <c r="P47" s="99"/>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row>
    <row r="48" spans="2:79" s="104" customFormat="1" ht="20.149999999999999" customHeight="1" x14ac:dyDescent="0.25">
      <c r="B48" s="1" t="s">
        <v>97</v>
      </c>
      <c r="C48" s="4" t="s">
        <v>98</v>
      </c>
      <c r="E48" s="107"/>
      <c r="F48" s="107"/>
      <c r="G48" s="99"/>
      <c r="H48" s="99"/>
      <c r="I48" s="99"/>
      <c r="J48" s="99"/>
      <c r="K48" s="99"/>
      <c r="L48" s="99"/>
      <c r="M48" s="99"/>
      <c r="N48" s="99"/>
      <c r="O48" s="99"/>
      <c r="P48" s="99"/>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row>
    <row r="49" spans="2:79" s="104" customFormat="1" ht="20.149999999999999" customHeight="1" x14ac:dyDescent="0.25">
      <c r="B49" s="1" t="s">
        <v>99</v>
      </c>
      <c r="C49" s="4" t="s">
        <v>100</v>
      </c>
      <c r="E49" s="107"/>
      <c r="F49" s="107"/>
      <c r="G49" s="99"/>
      <c r="H49" s="99"/>
      <c r="I49" s="99"/>
      <c r="J49" s="99"/>
      <c r="K49" s="99"/>
      <c r="L49" s="99"/>
      <c r="M49" s="99"/>
      <c r="N49" s="99"/>
      <c r="O49" s="99"/>
      <c r="P49" s="99"/>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row>
    <row r="50" spans="2:79" s="104" customFormat="1" ht="20.149999999999999" customHeight="1" x14ac:dyDescent="0.25">
      <c r="B50" s="1" t="s">
        <v>101</v>
      </c>
      <c r="C50" s="4" t="s">
        <v>102</v>
      </c>
      <c r="E50" s="107"/>
      <c r="F50" s="107"/>
      <c r="G50" s="99"/>
      <c r="H50" s="99"/>
      <c r="I50" s="99"/>
      <c r="J50" s="99"/>
      <c r="K50" s="99"/>
      <c r="L50" s="99"/>
      <c r="M50" s="99"/>
      <c r="N50" s="99"/>
      <c r="O50" s="99"/>
      <c r="P50" s="99"/>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row>
    <row r="51" spans="2:79" s="104" customFormat="1" ht="20.149999999999999" customHeight="1" x14ac:dyDescent="0.25">
      <c r="B51" s="1" t="s">
        <v>103</v>
      </c>
      <c r="C51" s="4" t="s">
        <v>104</v>
      </c>
      <c r="E51" s="94"/>
      <c r="F51" s="94"/>
      <c r="G51" s="99"/>
      <c r="H51" s="99"/>
      <c r="I51" s="99"/>
      <c r="J51" s="99"/>
      <c r="K51" s="99"/>
      <c r="L51" s="99"/>
      <c r="M51" s="99"/>
      <c r="N51" s="99"/>
      <c r="O51" s="99"/>
      <c r="P51" s="99"/>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row>
    <row r="52" spans="2:79" s="104" customFormat="1" ht="20.149999999999999" customHeight="1" x14ac:dyDescent="0.25">
      <c r="B52" s="1" t="s">
        <v>105</v>
      </c>
      <c r="C52" s="4" t="s">
        <v>106</v>
      </c>
      <c r="E52" s="94"/>
      <c r="F52" s="94"/>
      <c r="G52" s="99"/>
      <c r="H52" s="99"/>
      <c r="I52" s="99"/>
      <c r="J52" s="99"/>
      <c r="K52" s="99"/>
      <c r="L52" s="99"/>
      <c r="M52" s="99"/>
      <c r="N52" s="99"/>
      <c r="O52" s="99"/>
      <c r="P52" s="99"/>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row>
    <row r="53" spans="2:79" s="104" customFormat="1" ht="20.149999999999999" customHeight="1" x14ac:dyDescent="0.25">
      <c r="B53" s="1" t="s">
        <v>107</v>
      </c>
      <c r="C53" s="4" t="s">
        <v>108</v>
      </c>
      <c r="E53" s="94"/>
      <c r="F53" s="94"/>
      <c r="G53" s="99"/>
      <c r="H53" s="99"/>
      <c r="I53" s="99"/>
      <c r="J53" s="99"/>
      <c r="K53" s="99"/>
      <c r="L53" s="99"/>
      <c r="M53" s="99"/>
      <c r="N53" s="99"/>
      <c r="O53" s="99"/>
      <c r="P53" s="99"/>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row>
    <row r="54" spans="2:79" s="104" customFormat="1" ht="20.149999999999999" customHeight="1" x14ac:dyDescent="0.25">
      <c r="B54" s="1" t="s">
        <v>109</v>
      </c>
      <c r="C54" s="4" t="s">
        <v>110</v>
      </c>
      <c r="E54" s="94"/>
      <c r="F54" s="94"/>
      <c r="G54" s="99"/>
      <c r="H54" s="99"/>
      <c r="I54" s="99"/>
      <c r="J54" s="99"/>
      <c r="K54" s="99"/>
      <c r="L54" s="99"/>
      <c r="M54" s="99"/>
      <c r="N54" s="99"/>
      <c r="O54" s="99"/>
      <c r="P54" s="99"/>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row>
    <row r="55" spans="2:79" s="104" customFormat="1" ht="20.149999999999999" customHeight="1" x14ac:dyDescent="0.25">
      <c r="B55" s="1" t="s">
        <v>111</v>
      </c>
      <c r="C55" s="4" t="s">
        <v>112</v>
      </c>
      <c r="E55" s="94"/>
      <c r="F55" s="94"/>
      <c r="G55" s="99"/>
      <c r="H55" s="99"/>
      <c r="I55" s="99"/>
      <c r="J55" s="99"/>
      <c r="K55" s="99"/>
      <c r="L55" s="99"/>
      <c r="M55" s="99"/>
      <c r="N55" s="99"/>
      <c r="O55" s="99"/>
      <c r="P55" s="99"/>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row>
    <row r="56" spans="2:79" s="104" customFormat="1" ht="20.149999999999999" customHeight="1" x14ac:dyDescent="0.25">
      <c r="B56" s="1" t="s">
        <v>113</v>
      </c>
      <c r="C56" s="4" t="s">
        <v>114</v>
      </c>
      <c r="E56" s="94"/>
      <c r="F56" s="94"/>
      <c r="G56" s="99"/>
      <c r="H56" s="99"/>
      <c r="I56" s="99"/>
      <c r="J56" s="99"/>
      <c r="K56" s="99"/>
      <c r="L56" s="99"/>
      <c r="M56" s="99"/>
      <c r="N56" s="99"/>
      <c r="O56" s="99"/>
      <c r="P56" s="99"/>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row>
    <row r="57" spans="2:79" s="104" customFormat="1" ht="20.149999999999999" customHeight="1" x14ac:dyDescent="0.25">
      <c r="B57" s="1" t="s">
        <v>41</v>
      </c>
      <c r="C57" s="4" t="s">
        <v>115</v>
      </c>
      <c r="E57" s="94"/>
      <c r="F57" s="94"/>
      <c r="G57" s="99"/>
      <c r="H57" s="99"/>
      <c r="I57" s="99"/>
      <c r="J57" s="99"/>
      <c r="K57" s="99"/>
      <c r="L57" s="99"/>
      <c r="M57" s="99"/>
      <c r="N57" s="99"/>
      <c r="O57" s="99"/>
      <c r="P57" s="99"/>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row>
    <row r="58" spans="2:79" s="104" customFormat="1" ht="20.149999999999999" customHeight="1" x14ac:dyDescent="0.25">
      <c r="B58" s="1" t="s">
        <v>116</v>
      </c>
      <c r="C58" s="4" t="s">
        <v>117</v>
      </c>
      <c r="E58" s="94"/>
      <c r="F58" s="94"/>
      <c r="G58" s="99"/>
      <c r="H58" s="99"/>
      <c r="I58" s="99"/>
      <c r="J58" s="99"/>
      <c r="K58" s="99"/>
      <c r="L58" s="99"/>
      <c r="M58" s="99"/>
      <c r="N58" s="99"/>
      <c r="O58" s="99"/>
      <c r="P58" s="99"/>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row>
    <row r="59" spans="2:79" s="104" customFormat="1" ht="20.149999999999999" customHeight="1" x14ac:dyDescent="0.25">
      <c r="B59" s="1" t="s">
        <v>118</v>
      </c>
      <c r="C59" s="4" t="s">
        <v>119</v>
      </c>
      <c r="E59" s="94"/>
      <c r="F59" s="94"/>
      <c r="G59" s="99"/>
      <c r="H59" s="99"/>
      <c r="I59" s="99"/>
      <c r="J59" s="99"/>
      <c r="K59" s="99"/>
      <c r="L59" s="99"/>
      <c r="M59" s="99"/>
      <c r="N59" s="99"/>
      <c r="O59" s="99"/>
      <c r="P59" s="99"/>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row>
    <row r="60" spans="2:79" s="104" customFormat="1" ht="20.149999999999999" customHeight="1" x14ac:dyDescent="0.25">
      <c r="B60" s="1" t="s">
        <v>120</v>
      </c>
      <c r="C60" s="4" t="s">
        <v>121</v>
      </c>
      <c r="E60" s="94"/>
      <c r="F60" s="94"/>
      <c r="G60" s="99"/>
      <c r="H60" s="99"/>
      <c r="I60" s="99"/>
      <c r="J60" s="99"/>
      <c r="K60" s="99"/>
      <c r="L60" s="99"/>
      <c r="M60" s="99"/>
      <c r="N60" s="99"/>
      <c r="O60" s="99"/>
      <c r="P60" s="99"/>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row>
    <row r="61" spans="2:79" s="104" customFormat="1" ht="20.149999999999999" customHeight="1" x14ac:dyDescent="0.25">
      <c r="B61" s="1" t="s">
        <v>122</v>
      </c>
      <c r="C61" s="4" t="s">
        <v>123</v>
      </c>
      <c r="E61" s="94"/>
      <c r="F61" s="94"/>
      <c r="G61" s="99"/>
      <c r="H61" s="99"/>
      <c r="I61" s="99"/>
      <c r="J61" s="99"/>
      <c r="K61" s="99"/>
      <c r="L61" s="99"/>
      <c r="M61" s="99"/>
      <c r="N61" s="99"/>
      <c r="O61" s="99"/>
      <c r="P61" s="99"/>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row>
    <row r="62" spans="2:79" s="104" customFormat="1" ht="20.149999999999999" customHeight="1" x14ac:dyDescent="0.25">
      <c r="B62" s="1"/>
      <c r="C62" s="4"/>
      <c r="E62" s="94"/>
      <c r="F62" s="94"/>
      <c r="G62" s="99"/>
      <c r="H62" s="99"/>
      <c r="I62" s="99"/>
      <c r="J62" s="99"/>
      <c r="K62" s="99"/>
      <c r="L62" s="99"/>
      <c r="M62" s="99"/>
      <c r="N62" s="99"/>
      <c r="O62" s="99"/>
      <c r="P62" s="99"/>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row>
    <row r="63" spans="2:79" s="104" customFormat="1" ht="20.149999999999999" customHeight="1" x14ac:dyDescent="0.25">
      <c r="B63" s="1"/>
      <c r="C63" s="4"/>
      <c r="E63" s="94"/>
      <c r="F63" s="94"/>
      <c r="G63" s="99"/>
      <c r="H63" s="99"/>
      <c r="I63" s="99"/>
      <c r="J63" s="99"/>
      <c r="K63" s="99"/>
      <c r="L63" s="99"/>
      <c r="M63" s="99"/>
      <c r="N63" s="99"/>
      <c r="O63" s="99"/>
      <c r="P63" s="99"/>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row>
    <row r="64" spans="2:79" s="104" customFormat="1" ht="20.149999999999999" customHeight="1" x14ac:dyDescent="0.25">
      <c r="B64" s="1"/>
      <c r="C64" s="4"/>
      <c r="E64" s="94"/>
      <c r="F64" s="94"/>
      <c r="G64" s="99"/>
      <c r="H64" s="99"/>
      <c r="I64" s="99"/>
      <c r="J64" s="99"/>
      <c r="K64" s="99"/>
      <c r="L64" s="99"/>
      <c r="M64" s="99"/>
      <c r="N64" s="99"/>
      <c r="O64" s="99"/>
      <c r="P64" s="99"/>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row>
    <row r="65" spans="2:68" s="104" customFormat="1" ht="20.149999999999999" customHeight="1" x14ac:dyDescent="0.25">
      <c r="B65" s="1"/>
      <c r="C65" s="4"/>
      <c r="E65" s="94"/>
      <c r="F65" s="94"/>
      <c r="G65" s="99"/>
      <c r="H65" s="99"/>
      <c r="I65" s="99"/>
      <c r="J65" s="99"/>
      <c r="K65" s="99"/>
      <c r="L65" s="99"/>
      <c r="M65" s="99"/>
      <c r="N65" s="99"/>
      <c r="O65" s="99"/>
      <c r="P65" s="99"/>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row>
    <row r="66" spans="2:68" x14ac:dyDescent="0.25">
      <c r="G66" s="99"/>
      <c r="H66" s="99"/>
      <c r="I66" s="99"/>
      <c r="J66" s="99"/>
      <c r="K66" s="99"/>
      <c r="L66" s="99"/>
      <c r="M66" s="99"/>
      <c r="N66" s="99"/>
      <c r="O66" s="99"/>
      <c r="P66" s="99"/>
    </row>
    <row r="67" spans="2:68" x14ac:dyDescent="0.25">
      <c r="G67" s="99"/>
      <c r="H67" s="99"/>
      <c r="I67" s="99"/>
      <c r="J67" s="99"/>
      <c r="K67" s="99"/>
      <c r="L67" s="99"/>
      <c r="M67" s="99"/>
      <c r="N67" s="99"/>
      <c r="O67" s="99"/>
      <c r="P67" s="99"/>
    </row>
    <row r="68" spans="2:68" x14ac:dyDescent="0.25">
      <c r="G68" s="99"/>
      <c r="H68" s="99"/>
      <c r="I68" s="99"/>
      <c r="J68" s="99"/>
      <c r="K68" s="99"/>
      <c r="L68" s="99"/>
      <c r="M68" s="99"/>
      <c r="N68" s="99"/>
      <c r="O68" s="99"/>
      <c r="P68" s="99"/>
    </row>
    <row r="69" spans="2:68" x14ac:dyDescent="0.25">
      <c r="G69" s="99"/>
      <c r="H69" s="99"/>
      <c r="I69" s="99"/>
      <c r="J69" s="99"/>
      <c r="K69" s="99"/>
      <c r="L69" s="99"/>
      <c r="M69" s="99"/>
      <c r="N69" s="99"/>
      <c r="O69" s="99"/>
      <c r="P69" s="99"/>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3" customWidth="1"/>
    <col min="2" max="2" width="30.7265625" style="93" customWidth="1"/>
    <col min="3" max="3" width="55.1796875" style="93" customWidth="1"/>
    <col min="4" max="4" width="20.81640625" style="93" customWidth="1"/>
    <col min="5" max="6" width="25.7265625" style="94" customWidth="1"/>
    <col min="7" max="7" width="32.453125" style="94" customWidth="1"/>
    <col min="8" max="8" width="14.7265625" style="93" customWidth="1"/>
    <col min="9" max="9" width="15.26953125" style="93" customWidth="1"/>
    <col min="10" max="10" width="15.7265625" style="93" customWidth="1"/>
    <col min="11" max="67" width="14.7265625" style="93" customWidth="1"/>
    <col min="68" max="68" width="11.26953125" style="93" customWidth="1"/>
    <col min="69" max="69" width="13.26953125" style="93" bestFit="1" customWidth="1"/>
    <col min="70" max="16384" width="9.1796875" style="93"/>
  </cols>
  <sheetData>
    <row r="1" spans="2:80" ht="14.5" x14ac:dyDescent="0.35">
      <c r="H1"/>
    </row>
    <row r="2" spans="2:80" ht="21" customHeight="1" x14ac:dyDescent="0.25">
      <c r="B2" s="19" t="s">
        <v>5</v>
      </c>
      <c r="C2" s="20" t="str">
        <f>'Project Infor'!C10</f>
        <v>ZEV-ATE0012-1001</v>
      </c>
      <c r="D2" s="95" t="str">
        <f>'Project Infor'!C11</f>
        <v>Lote 2: Núcleo Estructural Java</v>
      </c>
      <c r="E2" s="96"/>
      <c r="F2" s="96"/>
      <c r="G2" s="96"/>
      <c r="H2" s="96"/>
      <c r="I2" s="96"/>
      <c r="J2" s="96"/>
    </row>
    <row r="3" spans="2:80" ht="9" customHeight="1" x14ac:dyDescent="0.35">
      <c r="B3" s="64"/>
      <c r="C3" s="64"/>
      <c r="H3"/>
    </row>
    <row r="4" spans="2:80" ht="15" customHeight="1" thickBot="1" x14ac:dyDescent="0.3">
      <c r="B4" s="98"/>
      <c r="C4" s="99"/>
      <c r="D4" s="109"/>
      <c r="E4" s="99"/>
      <c r="F4" s="99"/>
      <c r="G4" s="99"/>
      <c r="H4" s="110"/>
      <c r="I4" s="110"/>
      <c r="J4" s="110"/>
      <c r="K4" s="99"/>
      <c r="L4" s="99"/>
      <c r="M4" s="99"/>
      <c r="N4" s="99"/>
      <c r="O4" s="99"/>
      <c r="P4" s="99"/>
      <c r="Q4" s="99"/>
    </row>
    <row r="5" spans="2:80" ht="20.149999999999999" customHeight="1" thickBot="1" x14ac:dyDescent="0.35">
      <c r="B5" s="74" t="s">
        <v>124</v>
      </c>
      <c r="C5" s="99"/>
      <c r="D5" s="111" t="s">
        <v>125</v>
      </c>
      <c r="E5" s="111"/>
      <c r="F5" s="278">
        <f>costerecursosbaselineactual</f>
        <v>356584.84</v>
      </c>
      <c r="G5" s="112"/>
      <c r="H5" s="275" t="s">
        <v>126</v>
      </c>
      <c r="I5" s="113"/>
      <c r="J5" s="114">
        <f>ROUND(F5-SUM(F40:BO41),2)</f>
        <v>0</v>
      </c>
      <c r="K5" s="99"/>
      <c r="L5" s="275" t="s">
        <v>127</v>
      </c>
      <c r="M5" s="113"/>
      <c r="N5" s="114">
        <f>-(pedidobaselineactual-SUM(H44:BO44)-SUM(H62:BO62)-SUM(H78:BO78))</f>
        <v>0</v>
      </c>
      <c r="O5" s="229"/>
      <c r="P5" s="229"/>
      <c r="Q5" s="229"/>
      <c r="S5" s="99"/>
    </row>
    <row r="6" spans="2:80" ht="12" customHeight="1" x14ac:dyDescent="0.25">
      <c r="B6" s="98"/>
      <c r="C6" s="99"/>
      <c r="D6" s="109"/>
      <c r="E6" s="109"/>
      <c r="F6" s="109"/>
      <c r="G6" s="109"/>
      <c r="H6" s="99"/>
      <c r="I6" s="99"/>
      <c r="J6" s="99"/>
      <c r="K6" s="99"/>
      <c r="L6" s="115"/>
      <c r="M6" s="99"/>
      <c r="N6" s="99"/>
      <c r="O6" s="99"/>
      <c r="P6" s="99"/>
      <c r="Q6" s="99"/>
    </row>
    <row r="7" spans="2:80" ht="20.149999999999999" customHeight="1" x14ac:dyDescent="0.25">
      <c r="B7" s="99"/>
      <c r="C7" s="99"/>
      <c r="D7" s="99"/>
      <c r="E7" s="109"/>
      <c r="F7" s="109"/>
      <c r="G7" s="109"/>
      <c r="H7" s="116" t="str">
        <f>IF(H8&gt;EOMONTH(FIN,0),"Fin",IF(H8&gt;FECHA,"Prev","Real"))</f>
        <v>Prev</v>
      </c>
      <c r="I7" s="116" t="str">
        <f t="shared" ref="I7:BO7" si="0">IF(I8&gt;EOMONTH(FIN,0),"Fin",IF(I8&gt;FECHA,"Prev","Real"))</f>
        <v>Prev</v>
      </c>
      <c r="J7" s="116" t="str">
        <f t="shared" si="0"/>
        <v>Prev</v>
      </c>
      <c r="K7" s="116" t="str">
        <f t="shared" si="0"/>
        <v>Prev</v>
      </c>
      <c r="L7" s="116" t="str">
        <f t="shared" si="0"/>
        <v>Prev</v>
      </c>
      <c r="M7" s="116" t="str">
        <f t="shared" si="0"/>
        <v>Prev</v>
      </c>
      <c r="N7" s="116" t="str">
        <f t="shared" si="0"/>
        <v>Prev</v>
      </c>
      <c r="O7" s="116" t="str">
        <f t="shared" si="0"/>
        <v>Prev</v>
      </c>
      <c r="P7" s="116" t="str">
        <f t="shared" si="0"/>
        <v>Prev</v>
      </c>
      <c r="Q7" s="116" t="str">
        <f t="shared" si="0"/>
        <v>Prev</v>
      </c>
      <c r="R7" s="116" t="str">
        <f t="shared" si="0"/>
        <v>Prev</v>
      </c>
      <c r="S7" s="116" t="str">
        <f t="shared" si="0"/>
        <v>Prev</v>
      </c>
      <c r="T7" s="116" t="str">
        <f t="shared" si="0"/>
        <v>Prev</v>
      </c>
      <c r="U7" s="116" t="str">
        <f t="shared" si="0"/>
        <v>Prev</v>
      </c>
      <c r="V7" s="116" t="str">
        <f t="shared" si="0"/>
        <v>Prev</v>
      </c>
      <c r="W7" s="116" t="str">
        <f t="shared" si="0"/>
        <v>Prev</v>
      </c>
      <c r="X7" s="116" t="str">
        <f t="shared" si="0"/>
        <v>Prev</v>
      </c>
      <c r="Y7" s="116" t="str">
        <f t="shared" si="0"/>
        <v>Prev</v>
      </c>
      <c r="Z7" s="116" t="str">
        <f t="shared" si="0"/>
        <v>Prev</v>
      </c>
      <c r="AA7" s="116" t="str">
        <f t="shared" si="0"/>
        <v>Prev</v>
      </c>
      <c r="AB7" s="116" t="str">
        <f t="shared" si="0"/>
        <v>Prev</v>
      </c>
      <c r="AC7" s="116" t="str">
        <f t="shared" si="0"/>
        <v>Prev</v>
      </c>
      <c r="AD7" s="116" t="str">
        <f t="shared" si="0"/>
        <v>Prev</v>
      </c>
      <c r="AE7" s="116" t="str">
        <f t="shared" si="0"/>
        <v>Prev</v>
      </c>
      <c r="AF7" s="116" t="str">
        <f t="shared" si="0"/>
        <v>Prev</v>
      </c>
      <c r="AG7" s="116" t="str">
        <f t="shared" si="0"/>
        <v>Prev</v>
      </c>
      <c r="AH7" s="116" t="str">
        <f t="shared" si="0"/>
        <v>Prev</v>
      </c>
      <c r="AI7" s="116" t="str">
        <f t="shared" si="0"/>
        <v>Prev</v>
      </c>
      <c r="AJ7" s="116" t="str">
        <f t="shared" si="0"/>
        <v>Prev</v>
      </c>
      <c r="AK7" s="116" t="str">
        <f t="shared" si="0"/>
        <v>Prev</v>
      </c>
      <c r="AL7" s="116" t="str">
        <f t="shared" si="0"/>
        <v>Prev</v>
      </c>
      <c r="AM7" s="116" t="str">
        <f t="shared" si="0"/>
        <v>Prev</v>
      </c>
      <c r="AN7" s="116" t="str">
        <f t="shared" si="0"/>
        <v>Prev</v>
      </c>
      <c r="AO7" s="116" t="str">
        <f t="shared" si="0"/>
        <v>Prev</v>
      </c>
      <c r="AP7" s="116" t="str">
        <f t="shared" si="0"/>
        <v>Prev</v>
      </c>
      <c r="AQ7" s="116" t="str">
        <f t="shared" si="0"/>
        <v>Prev</v>
      </c>
      <c r="AR7" s="116" t="str">
        <f t="shared" si="0"/>
        <v>Prev</v>
      </c>
      <c r="AS7" s="116" t="str">
        <f t="shared" si="0"/>
        <v>Prev</v>
      </c>
      <c r="AT7" s="116" t="str">
        <f t="shared" si="0"/>
        <v>Prev</v>
      </c>
      <c r="AU7" s="116" t="str">
        <f t="shared" si="0"/>
        <v>Prev</v>
      </c>
      <c r="AV7" s="116" t="str">
        <f t="shared" si="0"/>
        <v>Prev</v>
      </c>
      <c r="AW7" s="116" t="str">
        <f t="shared" si="0"/>
        <v>Prev</v>
      </c>
      <c r="AX7" s="116" t="str">
        <f t="shared" si="0"/>
        <v>Prev</v>
      </c>
      <c r="AY7" s="116" t="str">
        <f t="shared" si="0"/>
        <v>Prev</v>
      </c>
      <c r="AZ7" s="116" t="str">
        <f t="shared" si="0"/>
        <v>Prev</v>
      </c>
      <c r="BA7" s="116" t="str">
        <f t="shared" si="0"/>
        <v>Prev</v>
      </c>
      <c r="BB7" s="116" t="str">
        <f t="shared" si="0"/>
        <v>Prev</v>
      </c>
      <c r="BC7" s="116" t="str">
        <f t="shared" si="0"/>
        <v>Prev</v>
      </c>
      <c r="BD7" s="116" t="str">
        <f t="shared" si="0"/>
        <v>Fin</v>
      </c>
      <c r="BE7" s="116" t="str">
        <f t="shared" si="0"/>
        <v>Fin</v>
      </c>
      <c r="BF7" s="116" t="str">
        <f t="shared" si="0"/>
        <v>Fin</v>
      </c>
      <c r="BG7" s="116" t="str">
        <f t="shared" si="0"/>
        <v>Fin</v>
      </c>
      <c r="BH7" s="116" t="str">
        <f t="shared" si="0"/>
        <v>Fin</v>
      </c>
      <c r="BI7" s="116" t="str">
        <f t="shared" si="0"/>
        <v>Fin</v>
      </c>
      <c r="BJ7" s="116" t="str">
        <f t="shared" si="0"/>
        <v>Fin</v>
      </c>
      <c r="BK7" s="116" t="str">
        <f t="shared" si="0"/>
        <v>Fin</v>
      </c>
      <c r="BL7" s="116" t="str">
        <f t="shared" si="0"/>
        <v>Fin</v>
      </c>
      <c r="BM7" s="116" t="str">
        <f t="shared" si="0"/>
        <v>Fin</v>
      </c>
      <c r="BN7" s="116" t="str">
        <f t="shared" si="0"/>
        <v>Fin</v>
      </c>
      <c r="BO7" s="116" t="str">
        <f t="shared" si="0"/>
        <v>Fin</v>
      </c>
    </row>
    <row r="8" spans="2:80" s="103" customFormat="1" ht="35.15" customHeight="1" x14ac:dyDescent="0.25">
      <c r="B8" s="291" t="s">
        <v>14</v>
      </c>
      <c r="C8" s="101" t="s">
        <v>88</v>
      </c>
      <c r="D8" s="101" t="s">
        <v>89</v>
      </c>
      <c r="E8" s="101" t="s">
        <v>90</v>
      </c>
      <c r="F8" s="101" t="s">
        <v>128</v>
      </c>
      <c r="G8" s="101"/>
      <c r="H8" s="102">
        <v>46023</v>
      </c>
      <c r="I8" s="102">
        <v>46054</v>
      </c>
      <c r="J8" s="102">
        <v>46082</v>
      </c>
      <c r="K8" s="102">
        <v>46113</v>
      </c>
      <c r="L8" s="102">
        <v>46143</v>
      </c>
      <c r="M8" s="102">
        <v>46174</v>
      </c>
      <c r="N8" s="102">
        <v>46204</v>
      </c>
      <c r="O8" s="102">
        <v>46235</v>
      </c>
      <c r="P8" s="102">
        <v>46266</v>
      </c>
      <c r="Q8" s="102">
        <v>46296</v>
      </c>
      <c r="R8" s="102">
        <v>46327</v>
      </c>
      <c r="S8" s="102">
        <v>46357</v>
      </c>
      <c r="T8" s="102">
        <v>46388</v>
      </c>
      <c r="U8" s="102">
        <v>46419</v>
      </c>
      <c r="V8" s="102">
        <v>46447</v>
      </c>
      <c r="W8" s="102">
        <v>46478</v>
      </c>
      <c r="X8" s="102">
        <v>46508</v>
      </c>
      <c r="Y8" s="102">
        <v>46539</v>
      </c>
      <c r="Z8" s="102">
        <v>46569</v>
      </c>
      <c r="AA8" s="102">
        <v>46600</v>
      </c>
      <c r="AB8" s="102">
        <v>46631</v>
      </c>
      <c r="AC8" s="102">
        <v>46661</v>
      </c>
      <c r="AD8" s="102">
        <v>46692</v>
      </c>
      <c r="AE8" s="102">
        <v>46722</v>
      </c>
      <c r="AF8" s="102">
        <v>46753</v>
      </c>
      <c r="AG8" s="102">
        <v>46784</v>
      </c>
      <c r="AH8" s="102">
        <v>46813</v>
      </c>
      <c r="AI8" s="102">
        <v>46844</v>
      </c>
      <c r="AJ8" s="102">
        <v>46874</v>
      </c>
      <c r="AK8" s="102">
        <v>46905</v>
      </c>
      <c r="AL8" s="102">
        <v>46935</v>
      </c>
      <c r="AM8" s="102">
        <v>46966</v>
      </c>
      <c r="AN8" s="102">
        <v>46997</v>
      </c>
      <c r="AO8" s="102">
        <v>47027</v>
      </c>
      <c r="AP8" s="102">
        <v>47058</v>
      </c>
      <c r="AQ8" s="102">
        <v>47088</v>
      </c>
      <c r="AR8" s="102">
        <v>47119</v>
      </c>
      <c r="AS8" s="102">
        <v>47150</v>
      </c>
      <c r="AT8" s="102">
        <v>47178</v>
      </c>
      <c r="AU8" s="102">
        <v>47209</v>
      </c>
      <c r="AV8" s="102">
        <v>47239</v>
      </c>
      <c r="AW8" s="102">
        <v>47270</v>
      </c>
      <c r="AX8" s="102">
        <v>47300</v>
      </c>
      <c r="AY8" s="102">
        <v>47331</v>
      </c>
      <c r="AZ8" s="102">
        <v>47362</v>
      </c>
      <c r="BA8" s="102">
        <v>47392</v>
      </c>
      <c r="BB8" s="102">
        <v>47423</v>
      </c>
      <c r="BC8" s="102">
        <v>47453</v>
      </c>
      <c r="BD8" s="102">
        <f t="shared" ref="BD8" si="1">EOMONTH(BC8,1)</f>
        <v>47514</v>
      </c>
      <c r="BE8" s="102">
        <f t="shared" ref="BE8" si="2">EOMONTH(BD8,1)</f>
        <v>47542</v>
      </c>
      <c r="BF8" s="102">
        <f t="shared" ref="BF8" si="3">EOMONTH(BE8,1)</f>
        <v>47573</v>
      </c>
      <c r="BG8" s="102">
        <f t="shared" ref="BG8" si="4">EOMONTH(BF8,1)</f>
        <v>47603</v>
      </c>
      <c r="BH8" s="102">
        <f t="shared" ref="BH8" si="5">EOMONTH(BG8,1)</f>
        <v>47634</v>
      </c>
      <c r="BI8" s="102">
        <f t="shared" ref="BI8" si="6">EOMONTH(BH8,1)</f>
        <v>47664</v>
      </c>
      <c r="BJ8" s="102">
        <f t="shared" ref="BJ8" si="7">EOMONTH(BI8,1)</f>
        <v>47695</v>
      </c>
      <c r="BK8" s="102">
        <f t="shared" ref="BK8" si="8">EOMONTH(BJ8,1)</f>
        <v>47726</v>
      </c>
      <c r="BL8" s="102">
        <f t="shared" ref="BL8" si="9">EOMONTH(BK8,1)</f>
        <v>47756</v>
      </c>
      <c r="BM8" s="102">
        <f t="shared" ref="BM8" si="10">EOMONTH(BL8,1)</f>
        <v>47787</v>
      </c>
      <c r="BN8" s="102">
        <f t="shared" ref="BN8" si="11">EOMONTH(BM8,1)</f>
        <v>47817</v>
      </c>
      <c r="BO8" s="102">
        <f t="shared" ref="BO8" si="12">EOMONTH(BN8,1)</f>
        <v>47848</v>
      </c>
      <c r="BP8" s="93"/>
      <c r="BQ8" s="93"/>
      <c r="BR8" s="93"/>
      <c r="BS8" s="93"/>
      <c r="BT8" s="93"/>
      <c r="BU8" s="93"/>
      <c r="BV8" s="93"/>
      <c r="BW8" s="93"/>
      <c r="BX8" s="93"/>
      <c r="BY8" s="93"/>
      <c r="BZ8" s="93"/>
      <c r="CA8" s="93"/>
      <c r="CB8" s="93"/>
    </row>
    <row r="9" spans="2:80" ht="20.149999999999999" customHeight="1" x14ac:dyDescent="0.25">
      <c r="B9" s="117" t="s">
        <v>129</v>
      </c>
      <c r="C9" s="118"/>
      <c r="D9" s="119"/>
      <c r="E9" s="119"/>
      <c r="F9" s="180">
        <f>'Project Infor'!C46</f>
        <v>0</v>
      </c>
      <c r="G9" s="180"/>
      <c r="H9" s="120">
        <f>SUMIF($G$10:$G$39,"Horas Reales",H$10:H$39)</f>
        <v>297</v>
      </c>
      <c r="I9" s="120">
        <f t="shared" ref="I9:AD9" si="13">SUMIF($G$10:$G$39,"Horas Reales",I$10:I$39)</f>
        <v>297</v>
      </c>
      <c r="J9" s="120">
        <f t="shared" si="13"/>
        <v>297</v>
      </c>
      <c r="K9" s="120">
        <f t="shared" si="13"/>
        <v>297</v>
      </c>
      <c r="L9" s="120">
        <f t="shared" si="13"/>
        <v>297</v>
      </c>
      <c r="M9" s="120">
        <f t="shared" si="13"/>
        <v>297</v>
      </c>
      <c r="N9" s="120">
        <f t="shared" si="13"/>
        <v>297</v>
      </c>
      <c r="O9" s="120">
        <f t="shared" si="13"/>
        <v>297</v>
      </c>
      <c r="P9" s="120">
        <f t="shared" si="13"/>
        <v>297</v>
      </c>
      <c r="Q9" s="120">
        <f t="shared" si="13"/>
        <v>297</v>
      </c>
      <c r="R9" s="120">
        <f t="shared" si="13"/>
        <v>297</v>
      </c>
      <c r="S9" s="120">
        <f>SUMIF($G$10:$G$39,"Horas Reales",S$10:S$39)</f>
        <v>297</v>
      </c>
      <c r="T9" s="120">
        <f t="shared" si="13"/>
        <v>297</v>
      </c>
      <c r="U9" s="120">
        <f t="shared" si="13"/>
        <v>297</v>
      </c>
      <c r="V9" s="120">
        <f t="shared" si="13"/>
        <v>297</v>
      </c>
      <c r="W9" s="120">
        <f t="shared" si="13"/>
        <v>297</v>
      </c>
      <c r="X9" s="120">
        <f t="shared" si="13"/>
        <v>297</v>
      </c>
      <c r="Y9" s="120">
        <f t="shared" si="13"/>
        <v>297</v>
      </c>
      <c r="Z9" s="120">
        <f t="shared" si="13"/>
        <v>297</v>
      </c>
      <c r="AA9" s="120">
        <f t="shared" si="13"/>
        <v>297</v>
      </c>
      <c r="AB9" s="120">
        <f t="shared" si="13"/>
        <v>297</v>
      </c>
      <c r="AC9" s="120">
        <f t="shared" si="13"/>
        <v>297</v>
      </c>
      <c r="AD9" s="120">
        <f t="shared" si="13"/>
        <v>297</v>
      </c>
      <c r="AE9" s="120">
        <f>SUMIF($G$10:$G$39,"Horas Reales",AE$10:AE$39)</f>
        <v>297</v>
      </c>
      <c r="AF9" s="120">
        <f t="shared" ref="AF9:BO9" si="14">SUMIF($G$10:$G$39,"Horas Reales",AF$10:AF$39)</f>
        <v>297</v>
      </c>
      <c r="AG9" s="120">
        <f t="shared" si="14"/>
        <v>297</v>
      </c>
      <c r="AH9" s="120">
        <f t="shared" si="14"/>
        <v>297</v>
      </c>
      <c r="AI9" s="120">
        <f t="shared" si="14"/>
        <v>297</v>
      </c>
      <c r="AJ9" s="120">
        <f t="shared" si="14"/>
        <v>297</v>
      </c>
      <c r="AK9" s="120">
        <f t="shared" si="14"/>
        <v>297</v>
      </c>
      <c r="AL9" s="120">
        <f t="shared" si="14"/>
        <v>297</v>
      </c>
      <c r="AM9" s="120">
        <f t="shared" si="14"/>
        <v>297</v>
      </c>
      <c r="AN9" s="120">
        <f t="shared" si="14"/>
        <v>297</v>
      </c>
      <c r="AO9" s="120">
        <f t="shared" si="14"/>
        <v>297</v>
      </c>
      <c r="AP9" s="120">
        <f t="shared" si="14"/>
        <v>297</v>
      </c>
      <c r="AQ9" s="120">
        <f t="shared" si="14"/>
        <v>297</v>
      </c>
      <c r="AR9" s="120">
        <f t="shared" si="14"/>
        <v>297</v>
      </c>
      <c r="AS9" s="120">
        <f t="shared" si="14"/>
        <v>297</v>
      </c>
      <c r="AT9" s="120">
        <f t="shared" si="14"/>
        <v>297</v>
      </c>
      <c r="AU9" s="120">
        <f t="shared" si="14"/>
        <v>297</v>
      </c>
      <c r="AV9" s="120">
        <f t="shared" si="14"/>
        <v>297</v>
      </c>
      <c r="AW9" s="120">
        <f t="shared" si="14"/>
        <v>297</v>
      </c>
      <c r="AX9" s="120">
        <f t="shared" si="14"/>
        <v>297</v>
      </c>
      <c r="AY9" s="120">
        <f t="shared" si="14"/>
        <v>297</v>
      </c>
      <c r="AZ9" s="120">
        <f t="shared" si="14"/>
        <v>297</v>
      </c>
      <c r="BA9" s="120">
        <f t="shared" si="14"/>
        <v>297</v>
      </c>
      <c r="BB9" s="120">
        <f t="shared" si="14"/>
        <v>297</v>
      </c>
      <c r="BC9" s="120">
        <f t="shared" si="14"/>
        <v>297</v>
      </c>
      <c r="BD9" s="120">
        <f t="shared" si="14"/>
        <v>0</v>
      </c>
      <c r="BE9" s="120">
        <f t="shared" si="14"/>
        <v>0</v>
      </c>
      <c r="BF9" s="120">
        <f t="shared" si="14"/>
        <v>0</v>
      </c>
      <c r="BG9" s="120">
        <f t="shared" si="14"/>
        <v>0</v>
      </c>
      <c r="BH9" s="120">
        <f t="shared" si="14"/>
        <v>0</v>
      </c>
      <c r="BI9" s="120">
        <f t="shared" si="14"/>
        <v>0</v>
      </c>
      <c r="BJ9" s="120">
        <f t="shared" si="14"/>
        <v>0</v>
      </c>
      <c r="BK9" s="120">
        <f t="shared" si="14"/>
        <v>0</v>
      </c>
      <c r="BL9" s="120">
        <f t="shared" si="14"/>
        <v>0</v>
      </c>
      <c r="BM9" s="120">
        <f t="shared" si="14"/>
        <v>0</v>
      </c>
      <c r="BN9" s="120">
        <f t="shared" si="14"/>
        <v>0</v>
      </c>
      <c r="BO9" s="120">
        <f t="shared" si="14"/>
        <v>0</v>
      </c>
    </row>
    <row r="10" spans="2:80" s="104" customFormat="1" ht="19.5" customHeight="1" x14ac:dyDescent="0.35">
      <c r="B10" t="s">
        <v>293</v>
      </c>
      <c r="C10" t="s">
        <v>101</v>
      </c>
      <c r="D10" t="s">
        <v>154</v>
      </c>
      <c r="E10" t="s">
        <v>294</v>
      </c>
      <c r="F10"/>
      <c r="G10" s="285"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68"/>
      <c r="BE10" s="268"/>
      <c r="BF10" s="268"/>
      <c r="BG10" s="268"/>
      <c r="BH10" s="268"/>
      <c r="BI10" s="268"/>
      <c r="BJ10" s="268"/>
      <c r="BK10" s="268"/>
      <c r="BL10" s="268"/>
      <c r="BM10" s="268"/>
      <c r="BN10" s="268"/>
      <c r="BO10" s="268"/>
      <c r="BQ10" s="93"/>
      <c r="BR10" s="93"/>
      <c r="BS10" s="93"/>
      <c r="BT10" s="93"/>
      <c r="BU10" s="93"/>
      <c r="BV10" s="93"/>
      <c r="BW10" s="93"/>
      <c r="BX10" s="93"/>
      <c r="BY10" s="93"/>
      <c r="BZ10" s="93"/>
      <c r="CA10" s="93"/>
      <c r="CB10" s="93"/>
    </row>
    <row r="11" spans="2:80" s="104" customFormat="1" ht="20.149999999999999" customHeight="1" x14ac:dyDescent="0.35">
      <c r="B11" t="s">
        <v>293</v>
      </c>
      <c r="C11" t="s">
        <v>101</v>
      </c>
      <c r="D11" t="s">
        <v>154</v>
      </c>
      <c r="E11" t="s">
        <v>294</v>
      </c>
      <c r="F11"/>
      <c r="G11" s="286"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6"/>
      <c r="BE11" s="266"/>
      <c r="BF11" s="266"/>
      <c r="BG11" s="266"/>
      <c r="BH11" s="266"/>
      <c r="BI11" s="266"/>
      <c r="BJ11" s="266"/>
      <c r="BK11" s="266"/>
      <c r="BL11" s="266"/>
      <c r="BM11" s="266"/>
      <c r="BN11" s="266"/>
      <c r="BO11" s="266"/>
      <c r="BQ11" s="93"/>
      <c r="BR11" s="93"/>
      <c r="BS11" s="93"/>
      <c r="BT11" s="93"/>
      <c r="BU11" s="93"/>
      <c r="BV11" s="93"/>
      <c r="BW11" s="93"/>
      <c r="BX11" s="93"/>
      <c r="BY11" s="93"/>
      <c r="BZ11" s="93"/>
      <c r="CA11" s="93"/>
      <c r="CB11" s="93"/>
    </row>
    <row r="12" spans="2:80" s="104" customFormat="1" ht="20.149999999999999" customHeight="1" x14ac:dyDescent="0.35">
      <c r="B12" t="s">
        <v>295</v>
      </c>
      <c r="C12" t="s">
        <v>103</v>
      </c>
      <c r="D12" t="s">
        <v>154</v>
      </c>
      <c r="E12" t="s">
        <v>296</v>
      </c>
      <c r="F12"/>
      <c r="G12" s="285"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69"/>
      <c r="BE12" s="269"/>
      <c r="BF12" s="269"/>
      <c r="BG12" s="269"/>
      <c r="BH12" s="269"/>
      <c r="BI12" s="269"/>
      <c r="BJ12" s="269"/>
      <c r="BK12" s="269"/>
      <c r="BL12" s="269"/>
      <c r="BM12" s="269"/>
      <c r="BN12" s="269"/>
      <c r="BO12" s="269"/>
      <c r="BQ12" s="93"/>
      <c r="BR12" s="93"/>
      <c r="BS12" s="93"/>
      <c r="BT12" s="93"/>
      <c r="BU12" s="93"/>
      <c r="BV12" s="93"/>
      <c r="BW12" s="93"/>
      <c r="BX12" s="93"/>
      <c r="BY12" s="93"/>
      <c r="BZ12" s="93"/>
      <c r="CA12" s="93"/>
      <c r="CB12" s="93"/>
    </row>
    <row r="13" spans="2:80" s="104" customFormat="1" ht="20.149999999999999" customHeight="1" x14ac:dyDescent="0.35">
      <c r="B13" t="s">
        <v>295</v>
      </c>
      <c r="C13" t="s">
        <v>103</v>
      </c>
      <c r="D13" t="s">
        <v>154</v>
      </c>
      <c r="E13" t="s">
        <v>296</v>
      </c>
      <c r="F13"/>
      <c r="G13" s="286"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6"/>
      <c r="BE13" s="266"/>
      <c r="BF13" s="266"/>
      <c r="BG13" s="266"/>
      <c r="BH13" s="266"/>
      <c r="BI13" s="266"/>
      <c r="BJ13" s="266"/>
      <c r="BK13" s="266"/>
      <c r="BL13" s="266"/>
      <c r="BM13" s="266"/>
      <c r="BN13" s="266"/>
      <c r="BO13" s="266"/>
      <c r="BQ13" s="93"/>
      <c r="BR13" s="93"/>
      <c r="BS13" s="93"/>
      <c r="BT13" s="93"/>
      <c r="BU13" s="93"/>
      <c r="BV13" s="93"/>
      <c r="BW13" s="93"/>
      <c r="BX13" s="93"/>
      <c r="BY13" s="93"/>
      <c r="BZ13" s="93"/>
      <c r="CA13" s="93"/>
      <c r="CB13" s="93"/>
    </row>
    <row r="14" spans="2:80" s="104" customFormat="1" ht="20.149999999999999" customHeight="1" x14ac:dyDescent="0.35">
      <c r="B14" t="s">
        <v>297</v>
      </c>
      <c r="C14" t="s">
        <v>101</v>
      </c>
      <c r="D14" t="s">
        <v>154</v>
      </c>
      <c r="E14" t="s">
        <v>298</v>
      </c>
      <c r="F14"/>
      <c r="G14" s="285"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69"/>
      <c r="BE14" s="269"/>
      <c r="BF14" s="269"/>
      <c r="BG14" s="269"/>
      <c r="BH14" s="269"/>
      <c r="BI14" s="269"/>
      <c r="BJ14" s="269"/>
      <c r="BK14" s="269"/>
      <c r="BL14" s="269"/>
      <c r="BM14" s="269"/>
      <c r="BN14" s="269"/>
      <c r="BO14" s="269"/>
      <c r="BQ14" s="93"/>
      <c r="BR14" s="93"/>
      <c r="BS14" s="93"/>
      <c r="BT14" s="93"/>
      <c r="BU14" s="93"/>
      <c r="BV14" s="93"/>
      <c r="BW14" s="93"/>
      <c r="BX14" s="93"/>
      <c r="BY14" s="93"/>
      <c r="BZ14" s="93"/>
      <c r="CA14" s="93"/>
      <c r="CB14" s="93"/>
    </row>
    <row r="15" spans="2:80" s="104" customFormat="1" ht="20.149999999999999" customHeight="1" x14ac:dyDescent="0.35">
      <c r="B15" t="s">
        <v>297</v>
      </c>
      <c r="C15" t="s">
        <v>101</v>
      </c>
      <c r="D15" t="s">
        <v>154</v>
      </c>
      <c r="E15" t="s">
        <v>298</v>
      </c>
      <c r="F15"/>
      <c r="G15" s="286"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6"/>
      <c r="BE15" s="266"/>
      <c r="BF15" s="266"/>
      <c r="BG15" s="266"/>
      <c r="BH15" s="266"/>
      <c r="BI15" s="266"/>
      <c r="BJ15" s="266"/>
      <c r="BK15" s="266"/>
      <c r="BL15" s="266"/>
      <c r="BM15" s="266"/>
      <c r="BN15" s="266"/>
      <c r="BO15" s="266"/>
    </row>
    <row r="16" spans="2:80" s="104" customFormat="1" ht="20.149999999999999" customHeight="1" x14ac:dyDescent="0.35">
      <c r="B16"/>
      <c r="C16"/>
      <c r="D16"/>
      <c r="E16"/>
      <c r="F16"/>
      <c r="G16" s="285"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0"/>
      <c r="BE16" s="270"/>
      <c r="BF16" s="270"/>
      <c r="BG16" s="270"/>
      <c r="BH16" s="270"/>
      <c r="BI16" s="270"/>
      <c r="BJ16" s="270"/>
      <c r="BK16" s="270"/>
      <c r="BL16" s="270"/>
      <c r="BM16" s="270"/>
      <c r="BN16" s="270"/>
      <c r="BO16" s="270"/>
    </row>
    <row r="17" spans="2:80" s="104" customFormat="1" ht="20.149999999999999" customHeight="1" x14ac:dyDescent="0.35">
      <c r="B17"/>
      <c r="C17"/>
      <c r="D17"/>
      <c r="E17"/>
      <c r="F17"/>
      <c r="G17" s="286"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6"/>
      <c r="BE17" s="266"/>
      <c r="BF17" s="266"/>
      <c r="BG17" s="266"/>
      <c r="BH17" s="266"/>
      <c r="BI17" s="266"/>
      <c r="BJ17" s="266"/>
      <c r="BK17" s="266"/>
      <c r="BL17" s="266"/>
      <c r="BM17" s="266"/>
      <c r="BN17" s="266"/>
      <c r="BO17" s="266"/>
    </row>
    <row r="18" spans="2:80" s="104" customFormat="1" ht="19.5" customHeight="1" x14ac:dyDescent="0.35">
      <c r="B18"/>
      <c r="C18"/>
      <c r="D18"/>
      <c r="E18"/>
      <c r="F18"/>
      <c r="G18" s="285"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0"/>
      <c r="BE18" s="270"/>
      <c r="BF18" s="270"/>
      <c r="BG18" s="270"/>
      <c r="BH18" s="270"/>
      <c r="BI18" s="270"/>
      <c r="BJ18" s="270"/>
      <c r="BK18" s="270"/>
      <c r="BL18" s="270"/>
      <c r="BM18" s="270"/>
      <c r="BN18" s="270"/>
      <c r="BO18" s="270"/>
    </row>
    <row r="19" spans="2:80" s="104" customFormat="1" ht="20.149999999999999" customHeight="1" x14ac:dyDescent="0.35">
      <c r="B19"/>
      <c r="C19"/>
      <c r="D19"/>
      <c r="E19"/>
      <c r="F19"/>
      <c r="G19" s="286"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6"/>
      <c r="BE19" s="266"/>
      <c r="BF19" s="266"/>
      <c r="BG19" s="266"/>
      <c r="BH19" s="266"/>
      <c r="BI19" s="266"/>
      <c r="BJ19" s="266"/>
      <c r="BK19" s="266"/>
      <c r="BL19" s="266"/>
      <c r="BM19" s="266"/>
      <c r="BN19" s="266"/>
      <c r="BO19" s="266"/>
    </row>
    <row r="20" spans="2:80" s="104" customFormat="1" ht="19.5" customHeight="1" x14ac:dyDescent="0.35">
      <c r="B20"/>
      <c r="C20"/>
      <c r="D20"/>
      <c r="E20"/>
      <c r="F20"/>
      <c r="G20" s="285"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0"/>
      <c r="BE20" s="270"/>
      <c r="BF20" s="270"/>
      <c r="BG20" s="270"/>
      <c r="BH20" s="270"/>
      <c r="BI20" s="270"/>
      <c r="BJ20" s="270"/>
      <c r="BK20" s="270"/>
      <c r="BL20" s="270"/>
      <c r="BM20" s="270"/>
      <c r="BN20" s="270"/>
      <c r="BO20" s="270"/>
      <c r="BQ20" s="93"/>
      <c r="BR20" s="93"/>
      <c r="BS20" s="93"/>
      <c r="BT20" s="93"/>
      <c r="BU20" s="93"/>
      <c r="BV20" s="93"/>
      <c r="BW20" s="93"/>
      <c r="BX20" s="93"/>
      <c r="BY20" s="93"/>
      <c r="BZ20" s="93"/>
      <c r="CA20" s="93"/>
      <c r="CB20" s="93"/>
    </row>
    <row r="21" spans="2:80" s="104" customFormat="1" ht="20.149999999999999" customHeight="1" x14ac:dyDescent="0.35">
      <c r="B21"/>
      <c r="C21"/>
      <c r="D21"/>
      <c r="E21"/>
      <c r="F21"/>
      <c r="G21" s="286"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6"/>
      <c r="BE21" s="266"/>
      <c r="BF21" s="266"/>
      <c r="BG21" s="266"/>
      <c r="BH21" s="266"/>
      <c r="BI21" s="266"/>
      <c r="BJ21" s="266"/>
      <c r="BK21" s="266"/>
      <c r="BL21" s="266"/>
      <c r="BM21" s="266"/>
      <c r="BN21" s="266"/>
      <c r="BO21" s="266"/>
      <c r="BQ21" s="93"/>
      <c r="BR21" s="93"/>
      <c r="BS21" s="93"/>
      <c r="BT21" s="93"/>
      <c r="BU21" s="93"/>
      <c r="BV21" s="93"/>
      <c r="BW21" s="93"/>
      <c r="BX21" s="93"/>
      <c r="BY21" s="93"/>
      <c r="BZ21" s="93"/>
      <c r="CA21" s="93"/>
      <c r="CB21" s="93"/>
    </row>
    <row r="22" spans="2:80" s="104" customFormat="1" ht="20.149999999999999" customHeight="1" x14ac:dyDescent="0.35">
      <c r="B22"/>
      <c r="C22"/>
      <c r="D22"/>
      <c r="E22"/>
      <c r="F22"/>
      <c r="G22" s="285"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0"/>
      <c r="BE22" s="270"/>
      <c r="BF22" s="270"/>
      <c r="BG22" s="270"/>
      <c r="BH22" s="270"/>
      <c r="BI22" s="270"/>
      <c r="BJ22" s="270"/>
      <c r="BK22" s="270"/>
      <c r="BL22" s="270"/>
      <c r="BM22" s="270"/>
      <c r="BN22" s="270"/>
      <c r="BO22" s="270"/>
      <c r="BQ22" s="93"/>
      <c r="BR22" s="93"/>
      <c r="BS22" s="93"/>
      <c r="BT22" s="93"/>
      <c r="BU22" s="93"/>
      <c r="BV22" s="93"/>
      <c r="BW22" s="93"/>
      <c r="BX22" s="93"/>
      <c r="BY22" s="93"/>
      <c r="BZ22" s="93"/>
      <c r="CA22" s="93"/>
      <c r="CB22" s="93"/>
    </row>
    <row r="23" spans="2:80" s="104" customFormat="1" ht="20.149999999999999" customHeight="1" x14ac:dyDescent="0.35">
      <c r="B23"/>
      <c r="C23"/>
      <c r="D23"/>
      <c r="E23"/>
      <c r="F23"/>
      <c r="G23" s="286"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6"/>
      <c r="BE23" s="266"/>
      <c r="BF23" s="266"/>
      <c r="BG23" s="266"/>
      <c r="BH23" s="266"/>
      <c r="BI23" s="266"/>
      <c r="BJ23" s="266"/>
      <c r="BK23" s="266"/>
      <c r="BL23" s="266"/>
      <c r="BM23" s="266"/>
      <c r="BN23" s="266"/>
      <c r="BO23" s="266"/>
      <c r="BQ23" s="93"/>
      <c r="BR23" s="93"/>
      <c r="BS23" s="93"/>
      <c r="BT23" s="93"/>
      <c r="BU23" s="93"/>
      <c r="BV23" s="93"/>
      <c r="BW23" s="93"/>
      <c r="BX23" s="93"/>
      <c r="BY23" s="93"/>
      <c r="BZ23" s="93"/>
      <c r="CA23" s="93"/>
      <c r="CB23" s="93"/>
    </row>
    <row r="24" spans="2:80" s="104" customFormat="1" ht="20.149999999999999" customHeight="1" x14ac:dyDescent="0.35">
      <c r="B24"/>
      <c r="C24"/>
      <c r="D24"/>
      <c r="E24"/>
      <c r="F24"/>
      <c r="G24" s="285"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0"/>
      <c r="BE24" s="270"/>
      <c r="BF24" s="270"/>
      <c r="BG24" s="270"/>
      <c r="BH24" s="270"/>
      <c r="BI24" s="270"/>
      <c r="BJ24" s="270"/>
      <c r="BK24" s="270"/>
      <c r="BL24" s="270"/>
      <c r="BM24" s="270"/>
      <c r="BN24" s="270"/>
      <c r="BO24" s="270"/>
      <c r="BQ24" s="93"/>
      <c r="BR24" s="93"/>
      <c r="BS24" s="93"/>
      <c r="BT24" s="93"/>
      <c r="BU24" s="93"/>
      <c r="BV24" s="93"/>
      <c r="BW24" s="93"/>
      <c r="BX24" s="93"/>
      <c r="BY24" s="93"/>
      <c r="BZ24" s="93"/>
      <c r="CA24" s="93"/>
      <c r="CB24" s="93"/>
    </row>
    <row r="25" spans="2:80" s="104" customFormat="1" ht="20.149999999999999" customHeight="1" x14ac:dyDescent="0.35">
      <c r="B25"/>
      <c r="C25"/>
      <c r="D25"/>
      <c r="E25"/>
      <c r="F25"/>
      <c r="G25" s="286"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6"/>
      <c r="BE25" s="266"/>
      <c r="BF25" s="266"/>
      <c r="BG25" s="266"/>
      <c r="BH25" s="266"/>
      <c r="BI25" s="266"/>
      <c r="BJ25" s="266"/>
      <c r="BK25" s="266"/>
      <c r="BL25" s="266"/>
      <c r="BM25" s="266"/>
      <c r="BN25" s="266"/>
      <c r="BO25" s="266"/>
    </row>
    <row r="26" spans="2:80" s="104" customFormat="1" ht="20.149999999999999" customHeight="1" x14ac:dyDescent="0.35">
      <c r="B26"/>
      <c r="C26"/>
      <c r="D26"/>
      <c r="E26"/>
      <c r="F26"/>
      <c r="G26" s="285"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0"/>
      <c r="BE26" s="270"/>
      <c r="BF26" s="270"/>
      <c r="BG26" s="270"/>
      <c r="BH26" s="270"/>
      <c r="BI26" s="270"/>
      <c r="BJ26" s="270"/>
      <c r="BK26" s="270"/>
      <c r="BL26" s="270"/>
      <c r="BM26" s="270"/>
      <c r="BN26" s="270"/>
      <c r="BO26" s="270"/>
    </row>
    <row r="27" spans="2:80" s="104" customFormat="1" ht="20.149999999999999" customHeight="1" x14ac:dyDescent="0.35">
      <c r="B27"/>
      <c r="C27"/>
      <c r="D27"/>
      <c r="E27"/>
      <c r="F27"/>
      <c r="G27" s="286"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6"/>
      <c r="BE27" s="266"/>
      <c r="BF27" s="266"/>
      <c r="BG27" s="266"/>
      <c r="BH27" s="266"/>
      <c r="BI27" s="266"/>
      <c r="BJ27" s="266"/>
      <c r="BK27" s="266"/>
      <c r="BL27" s="266"/>
      <c r="BM27" s="266"/>
      <c r="BN27" s="266"/>
      <c r="BO27" s="266"/>
    </row>
    <row r="28" spans="2:80" s="104" customFormat="1" ht="19.5" customHeight="1" x14ac:dyDescent="0.35">
      <c r="B28"/>
      <c r="C28"/>
      <c r="D28"/>
      <c r="E28"/>
      <c r="F28"/>
      <c r="G28" s="285"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0"/>
      <c r="BE28" s="270"/>
      <c r="BF28" s="270"/>
      <c r="BG28" s="270"/>
      <c r="BH28" s="270"/>
      <c r="BI28" s="270"/>
      <c r="BJ28" s="270"/>
      <c r="BK28" s="270"/>
      <c r="BL28" s="270"/>
      <c r="BM28" s="270"/>
      <c r="BN28" s="270"/>
      <c r="BO28" s="270"/>
    </row>
    <row r="29" spans="2:80" s="104" customFormat="1" ht="20.149999999999999" customHeight="1" x14ac:dyDescent="0.35">
      <c r="B29"/>
      <c r="C29"/>
      <c r="D29"/>
      <c r="E29"/>
      <c r="F29"/>
      <c r="G29" s="286"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6"/>
      <c r="BE29" s="266"/>
      <c r="BF29" s="266"/>
      <c r="BG29" s="266"/>
      <c r="BH29" s="266"/>
      <c r="BI29" s="266"/>
      <c r="BJ29" s="266"/>
      <c r="BK29" s="266"/>
      <c r="BL29" s="266"/>
      <c r="BM29" s="266"/>
      <c r="BN29" s="266"/>
      <c r="BO29" s="266"/>
    </row>
    <row r="30" spans="2:80" s="104" customFormat="1" ht="19.5" customHeight="1" x14ac:dyDescent="0.35">
      <c r="B30"/>
      <c r="C30"/>
      <c r="D30"/>
      <c r="E30"/>
      <c r="F30"/>
      <c r="G30" s="285"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0"/>
      <c r="BE30" s="270"/>
      <c r="BF30" s="270"/>
      <c r="BG30" s="270"/>
      <c r="BH30" s="270"/>
      <c r="BI30" s="270"/>
      <c r="BJ30" s="270"/>
      <c r="BK30" s="270"/>
      <c r="BL30" s="270"/>
      <c r="BM30" s="270"/>
      <c r="BN30" s="270"/>
      <c r="BO30" s="270"/>
      <c r="BQ30" s="93"/>
      <c r="BR30" s="93"/>
      <c r="BS30" s="93"/>
      <c r="BT30" s="93"/>
      <c r="BU30" s="93"/>
      <c r="BV30" s="93"/>
      <c r="BW30" s="93"/>
      <c r="BX30" s="93"/>
      <c r="BY30" s="93"/>
      <c r="BZ30" s="93"/>
      <c r="CA30" s="93"/>
      <c r="CB30" s="93"/>
    </row>
    <row r="31" spans="2:80" s="104" customFormat="1" ht="20.149999999999999" customHeight="1" x14ac:dyDescent="0.35">
      <c r="B31"/>
      <c r="C31"/>
      <c r="D31"/>
      <c r="E31"/>
      <c r="F31"/>
      <c r="G31" s="286"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6"/>
      <c r="BE31" s="266"/>
      <c r="BF31" s="266"/>
      <c r="BG31" s="266"/>
      <c r="BH31" s="266"/>
      <c r="BI31" s="266"/>
      <c r="BJ31" s="266"/>
      <c r="BK31" s="266"/>
      <c r="BL31" s="266"/>
      <c r="BM31" s="266"/>
      <c r="BN31" s="266"/>
      <c r="BO31" s="266"/>
      <c r="BQ31" s="93"/>
      <c r="BR31" s="93"/>
      <c r="BS31" s="93"/>
      <c r="BT31" s="93"/>
      <c r="BU31" s="93"/>
      <c r="BV31" s="93"/>
      <c r="BW31" s="93"/>
      <c r="BX31" s="93"/>
      <c r="BY31" s="93"/>
      <c r="BZ31" s="93"/>
      <c r="CA31" s="93"/>
      <c r="CB31" s="93"/>
    </row>
    <row r="32" spans="2:80" s="104" customFormat="1" ht="20.149999999999999" customHeight="1" x14ac:dyDescent="0.35">
      <c r="B32"/>
      <c r="C32"/>
      <c r="D32"/>
      <c r="E32"/>
      <c r="F32"/>
      <c r="G32" s="285"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1"/>
      <c r="BE32" s="271"/>
      <c r="BF32" s="271"/>
      <c r="BG32" s="271"/>
      <c r="BH32" s="271"/>
      <c r="BI32" s="271"/>
      <c r="BJ32" s="271"/>
      <c r="BK32" s="271"/>
      <c r="BL32" s="271"/>
      <c r="BM32" s="271"/>
      <c r="BN32" s="271"/>
      <c r="BO32" s="271"/>
      <c r="BQ32" s="93"/>
      <c r="BR32" s="93"/>
      <c r="BS32" s="93"/>
      <c r="BT32" s="93"/>
      <c r="BU32" s="93"/>
      <c r="BV32" s="93"/>
      <c r="BW32" s="93"/>
      <c r="BX32" s="93"/>
      <c r="BY32" s="93"/>
      <c r="BZ32" s="93"/>
      <c r="CA32" s="93"/>
      <c r="CB32" s="93"/>
    </row>
    <row r="33" spans="2:80" s="104" customFormat="1" ht="20.149999999999999" customHeight="1" x14ac:dyDescent="0.35">
      <c r="B33"/>
      <c r="C33"/>
      <c r="D33"/>
      <c r="E33"/>
      <c r="F33"/>
      <c r="G33" s="286"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4"/>
      <c r="BE33" s="274"/>
      <c r="BF33" s="274"/>
      <c r="BG33" s="274"/>
      <c r="BH33" s="274"/>
      <c r="BI33" s="274"/>
      <c r="BJ33" s="274"/>
      <c r="BK33" s="274"/>
      <c r="BL33" s="274"/>
      <c r="BM33" s="274"/>
      <c r="BN33" s="274"/>
      <c r="BO33" s="274"/>
      <c r="BQ33" s="93"/>
      <c r="BR33" s="93"/>
      <c r="BS33" s="93"/>
      <c r="BT33" s="93"/>
      <c r="BU33" s="93"/>
      <c r="BV33" s="93"/>
      <c r="BW33" s="93"/>
      <c r="BX33" s="93"/>
      <c r="BY33" s="93"/>
      <c r="BZ33" s="93"/>
      <c r="CA33" s="93"/>
      <c r="CB33" s="93"/>
    </row>
    <row r="34" spans="2:80" s="104" customFormat="1" ht="20.149999999999999" customHeight="1" x14ac:dyDescent="0.35">
      <c r="B34"/>
      <c r="C34"/>
      <c r="D34"/>
      <c r="E34"/>
      <c r="F34"/>
      <c r="G34" s="285"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7"/>
      <c r="BE34" s="7"/>
      <c r="BF34" s="7"/>
      <c r="BG34" s="7"/>
      <c r="BH34" s="7"/>
      <c r="BI34" s="7"/>
      <c r="BJ34" s="7"/>
      <c r="BK34" s="7"/>
      <c r="BL34" s="7"/>
      <c r="BM34" s="7"/>
      <c r="BN34" s="7"/>
      <c r="BO34" s="7"/>
      <c r="BQ34" s="93"/>
      <c r="BR34" s="93"/>
      <c r="BS34" s="93"/>
      <c r="BT34" s="93"/>
      <c r="BU34" s="93"/>
      <c r="BV34" s="93"/>
      <c r="BW34" s="93"/>
      <c r="BX34" s="93"/>
      <c r="BY34" s="93"/>
      <c r="BZ34" s="93"/>
      <c r="CA34" s="93"/>
      <c r="CB34" s="93"/>
    </row>
    <row r="35" spans="2:80" s="104" customFormat="1" ht="20.149999999999999" customHeight="1" x14ac:dyDescent="0.35">
      <c r="B35"/>
      <c r="C35"/>
      <c r="D35"/>
      <c r="E35"/>
      <c r="F35"/>
      <c r="G35" s="286"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4"/>
      <c r="BE35" s="274"/>
      <c r="BF35" s="274"/>
      <c r="BG35" s="274"/>
      <c r="BH35" s="274"/>
      <c r="BI35" s="274"/>
      <c r="BJ35" s="274"/>
      <c r="BK35" s="274"/>
      <c r="BL35" s="274"/>
      <c r="BM35" s="274"/>
      <c r="BN35" s="274"/>
      <c r="BO35" s="274"/>
    </row>
    <row r="36" spans="2:80" s="104" customFormat="1" ht="20.149999999999999" customHeight="1" x14ac:dyDescent="0.35">
      <c r="B36"/>
      <c r="C36"/>
      <c r="D36"/>
      <c r="E36"/>
      <c r="F36"/>
      <c r="G36" s="285"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7"/>
      <c r="BE36" s="7"/>
      <c r="BF36" s="7"/>
      <c r="BG36" s="7"/>
      <c r="BH36" s="7"/>
      <c r="BI36" s="7"/>
      <c r="BJ36" s="7"/>
      <c r="BK36" s="7"/>
      <c r="BL36" s="7"/>
      <c r="BM36" s="7"/>
      <c r="BN36" s="7"/>
      <c r="BO36" s="7"/>
    </row>
    <row r="37" spans="2:80" s="104" customFormat="1" ht="20.149999999999999" customHeight="1" x14ac:dyDescent="0.35">
      <c r="B37"/>
      <c r="C37"/>
      <c r="D37"/>
      <c r="E37"/>
      <c r="F37"/>
      <c r="G37" s="286"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4"/>
      <c r="BE37" s="274"/>
      <c r="BF37" s="274"/>
      <c r="BG37" s="274"/>
      <c r="BH37" s="274"/>
      <c r="BI37" s="274"/>
      <c r="BJ37" s="274"/>
      <c r="BK37" s="274"/>
      <c r="BL37" s="274"/>
      <c r="BM37" s="274"/>
      <c r="BN37" s="274"/>
      <c r="BO37" s="274"/>
    </row>
    <row r="38" spans="2:80" s="104" customFormat="1" ht="19.5" customHeight="1" x14ac:dyDescent="0.35">
      <c r="B38"/>
      <c r="C38"/>
      <c r="D38"/>
      <c r="E38"/>
      <c r="F38"/>
      <c r="G38" s="285"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2"/>
      <c r="BE38" s="272"/>
      <c r="BF38" s="272"/>
      <c r="BG38" s="272"/>
      <c r="BH38" s="272"/>
      <c r="BI38" s="272"/>
      <c r="BJ38" s="272"/>
      <c r="BK38" s="272"/>
      <c r="BL38" s="272"/>
      <c r="BM38" s="272"/>
      <c r="BN38" s="272"/>
      <c r="BO38" s="272"/>
    </row>
    <row r="39" spans="2:80" s="104" customFormat="1" ht="19.5" customHeight="1" x14ac:dyDescent="0.35">
      <c r="B39"/>
      <c r="C39"/>
      <c r="D39"/>
      <c r="E39"/>
      <c r="F39"/>
      <c r="G39" s="286"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3"/>
      <c r="BE39" s="273"/>
      <c r="BF39" s="273"/>
      <c r="BG39" s="273"/>
      <c r="BH39" s="273"/>
      <c r="BI39" s="273"/>
      <c r="BJ39" s="273"/>
      <c r="BK39" s="273"/>
      <c r="BL39" s="273"/>
      <c r="BM39" s="273"/>
      <c r="BN39" s="273"/>
      <c r="BO39" s="273"/>
    </row>
    <row r="40" spans="2:80" ht="20.149999999999999" customHeight="1" x14ac:dyDescent="0.25">
      <c r="B40" s="117" t="s">
        <v>132</v>
      </c>
      <c r="C40" s="118"/>
      <c r="D40" s="119"/>
      <c r="E40" s="119"/>
      <c r="F40" s="180">
        <f>'Project Infor'!C47</f>
        <v>0</v>
      </c>
      <c r="G40" s="180"/>
      <c r="H40" s="120" cm="1">
        <f t="array" ref="H40">SUMPRODUCT(($D$10:$D$39="NO")*1,($G$10:$G$39="Horas Reales")*1,H$10:H$39,Resources!G7:G36)+H42</f>
        <v>7102.7849999999999</v>
      </c>
      <c r="I40" s="120" cm="1">
        <f t="array" ref="I40">SUMPRODUCT(($D$10:$D$39="NO")*1,($G$10:$G$39="Horas Reales")*1,I$10:I$39,Resources!H7:H36)+I42</f>
        <v>7102.7849999999999</v>
      </c>
      <c r="J40" s="120" cm="1">
        <f t="array" ref="J40">SUMPRODUCT(($D$10:$D$39="NO")*1,($G$10:$G$39="Horas Reales")*1,J$10:J$39,Resources!I7:I36)+J42</f>
        <v>7102.7849999999999</v>
      </c>
      <c r="K40" s="120" cm="1">
        <f t="array" ref="K40">SUMPRODUCT(($D$10:$D$39="NO")*1,($G$10:$G$39="Horas Reales")*1,K$10:K$39,Resources!J7:J36)+K42</f>
        <v>7102.7849999999999</v>
      </c>
      <c r="L40" s="120" cm="1">
        <f t="array" ref="L40">SUMPRODUCT(($D$10:$D$39="NO")*1,($G$10:$G$39="Horas Reales")*1,L$10:L$39,Resources!K7:K36)+L42</f>
        <v>7102.7849999999999</v>
      </c>
      <c r="M40" s="120" cm="1">
        <f t="array" ref="M40">SUMPRODUCT(($D$10:$D$39="NO")*1,($G$10:$G$39="Horas Reales")*1,M$10:M$39,Resources!L7:L36)+M42</f>
        <v>7102.7849999999999</v>
      </c>
      <c r="N40" s="120" cm="1">
        <f t="array" ref="N40">SUMPRODUCT(($D$10:$D$39="NO")*1,($G$10:$G$39="Horas Reales")*1,N$10:N$39,Resources!M7:M36)+N42</f>
        <v>7102.7849999999999</v>
      </c>
      <c r="O40" s="120" cm="1">
        <f t="array" ref="O40">SUMPRODUCT(($D$10:$D$39="NO")*1,($G$10:$G$39="Horas Reales")*1,O$10:O$39,Resources!N7:N36)+O42</f>
        <v>7102.7849999999999</v>
      </c>
      <c r="P40" s="120" cm="1">
        <f t="array" ref="P40">SUMPRODUCT(($D$10:$D$39="NO")*1,($G$10:$G$39="Horas Reales")*1,P$10:P$39,Resources!O7:O36)+P42</f>
        <v>7102.7849999999999</v>
      </c>
      <c r="Q40" s="120" cm="1">
        <f t="array" ref="Q40">SUMPRODUCT(($D$10:$D$39="NO")*1,($G$10:$G$39="Horas Reales")*1,Q$10:Q$39,Resources!P7:P36)+Q42</f>
        <v>7102.7849999999999</v>
      </c>
      <c r="R40" s="120" cm="1">
        <f t="array" ref="R40">SUMPRODUCT(($D$10:$D$39="NO")*1,($G$10:$G$39="Horas Reales")*1,R$10:R$39,Resources!Q7:Q36)+R42</f>
        <v>7102.7849999999999</v>
      </c>
      <c r="S40" s="120" cm="1">
        <f t="array" ref="S40">SUMPRODUCT(($D$10:$D$39="NO")*1,($G$10:$G$39="Horas Reales")*1,S$10:S$39,Resources!R7:R36)+S42</f>
        <v>7102.7849999999999</v>
      </c>
      <c r="T40" s="120" cm="1">
        <f t="array" ref="T40">SUMPRODUCT(($D$10:$D$39="NO")*1,($G$10:$G$39="Horas Reales")*1,T$10:T$39,Resources!S7:S36)+T42</f>
        <v>7315.8685500000001</v>
      </c>
      <c r="U40" s="120" cm="1">
        <f t="array" ref="U40">SUMPRODUCT(($D$10:$D$39="NO")*1,($G$10:$G$39="Horas Reales")*1,U$10:U$39,Resources!T7:T36)+U42</f>
        <v>7315.8685500000001</v>
      </c>
      <c r="V40" s="120" cm="1">
        <f t="array" ref="V40">SUMPRODUCT(($D$10:$D$39="NO")*1,($G$10:$G$39="Horas Reales")*1,V$10:V$39,Resources!U7:U36)+V42</f>
        <v>7315.8685500000001</v>
      </c>
      <c r="W40" s="120" cm="1">
        <f t="array" ref="W40">SUMPRODUCT(($D$10:$D$39="NO")*1,($G$10:$G$39="Horas Reales")*1,W$10:W$39,Resources!V7:V36)+W42</f>
        <v>7315.8685500000001</v>
      </c>
      <c r="X40" s="120" cm="1">
        <f t="array" ref="X40">SUMPRODUCT(($D$10:$D$39="NO")*1,($G$10:$G$39="Horas Reales")*1,X$10:X$39,Resources!W7:W36)+X42</f>
        <v>7315.8685500000001</v>
      </c>
      <c r="Y40" s="120" cm="1">
        <f t="array" ref="Y40">SUMPRODUCT(($D$10:$D$39="NO")*1,($G$10:$G$39="Horas Reales")*1,Y$10:Y$39,Resources!X7:X36)+Y42</f>
        <v>7315.8685500000001</v>
      </c>
      <c r="Z40" s="120" cm="1">
        <f t="array" ref="Z40">SUMPRODUCT(($D$10:$D$39="NO")*1,($G$10:$G$39="Horas Reales")*1,Z$10:Z$39,Resources!Y7:Y36)+Z42</f>
        <v>7315.8685500000001</v>
      </c>
      <c r="AA40" s="120" cm="1">
        <f t="array" ref="AA40">SUMPRODUCT(($D$10:$D$39="NO")*1,($G$10:$G$39="Horas Reales")*1,AA$10:AA$39,Resources!Z7:Z36)+AA42</f>
        <v>7315.8685500000001</v>
      </c>
      <c r="AB40" s="120" cm="1">
        <f t="array" ref="AB40">SUMPRODUCT(($D$10:$D$39="NO")*1,($G$10:$G$39="Horas Reales")*1,AB$10:AB$39,Resources!AA7:AA36)+AB42</f>
        <v>7315.8685500000001</v>
      </c>
      <c r="AC40" s="120" cm="1">
        <f t="array" ref="AC40">SUMPRODUCT(($D$10:$D$39="NO")*1,($G$10:$G$39="Horas Reales")*1,AC$10:AC$39,Resources!AB7:AB36)+AC42</f>
        <v>7315.8685500000001</v>
      </c>
      <c r="AD40" s="120" cm="1">
        <f t="array" ref="AD40">SUMPRODUCT(($D$10:$D$39="NO")*1,($G$10:$G$39="Horas Reales")*1,AD$10:AD$39,Resources!AC7:AC36)+AD42</f>
        <v>7315.8685500000001</v>
      </c>
      <c r="AE40" s="120" cm="1">
        <f t="array" ref="AE40">SUMPRODUCT(($D$10:$D$39="NO")*1,($G$10:$G$39="Horas Reales")*1,AE$10:AE$39,Resources!AD7:AD36)+AE42</f>
        <v>7315.8685500000001</v>
      </c>
      <c r="AF40" s="120" cm="1">
        <f t="array" ref="AF40">SUMPRODUCT(($D$10:$D$39="NO")*1,($G$10:$G$39="Horas Reales")*1,AF$10:AF$39,Resources!AE7:AE36)+AF42</f>
        <v>7535.3446064999989</v>
      </c>
      <c r="AG40" s="120" cm="1">
        <f t="array" ref="AG40">SUMPRODUCT(($D$10:$D$39="NO")*1,($G$10:$G$39="Horas Reales")*1,AG$10:AG$39,Resources!AF7:AF36)+AG42</f>
        <v>7535.3446064999989</v>
      </c>
      <c r="AH40" s="120" cm="1">
        <f t="array" ref="AH40">SUMPRODUCT(($D$10:$D$39="NO")*1,($G$10:$G$39="Horas Reales")*1,AH$10:AH$39,Resources!AG7:AG36)+AH42</f>
        <v>7535.3446064999989</v>
      </c>
      <c r="AI40" s="120" cm="1">
        <f t="array" ref="AI40">SUMPRODUCT(($D$10:$D$39="NO")*1,($G$10:$G$39="Horas Reales")*1,AI$10:AI$39,Resources!AH7:AH36)+AI42</f>
        <v>7535.3446064999989</v>
      </c>
      <c r="AJ40" s="120" cm="1">
        <f t="array" ref="AJ40">SUMPRODUCT(($D$10:$D$39="NO")*1,($G$10:$G$39="Horas Reales")*1,AJ$10:AJ$39,Resources!AI7:AI36)+AJ42</f>
        <v>7535.3446064999989</v>
      </c>
      <c r="AK40" s="120" cm="1">
        <f t="array" ref="AK40">SUMPRODUCT(($D$10:$D$39="NO")*1,($G$10:$G$39="Horas Reales")*1,AK$10:AK$39,Resources!AJ7:AJ36)+AK42</f>
        <v>7535.3446064999989</v>
      </c>
      <c r="AL40" s="120" cm="1">
        <f t="array" ref="AL40">SUMPRODUCT(($D$10:$D$39="NO")*1,($G$10:$G$39="Horas Reales")*1,AL$10:AL$39,Resources!AK7:AK36)+AL42</f>
        <v>7535.3446064999989</v>
      </c>
      <c r="AM40" s="120" cm="1">
        <f t="array" ref="AM40">SUMPRODUCT(($D$10:$D$39="NO")*1,($G$10:$G$39="Horas Reales")*1,AM$10:AM$39,Resources!AL7:AL36)+AM42</f>
        <v>7535.3446064999989</v>
      </c>
      <c r="AN40" s="120" cm="1">
        <f t="array" ref="AN40">SUMPRODUCT(($D$10:$D$39="NO")*1,($G$10:$G$39="Horas Reales")*1,AN$10:AN$39,Resources!AM7:AM36)+AN42</f>
        <v>7535.3446064999989</v>
      </c>
      <c r="AO40" s="120" cm="1">
        <f t="array" ref="AO40">SUMPRODUCT(($D$10:$D$39="NO")*1,($G$10:$G$39="Horas Reales")*1,AO$10:AO$39,Resources!AN7:AN36)+AO42</f>
        <v>7535.3446064999989</v>
      </c>
      <c r="AP40" s="120" cm="1">
        <f t="array" ref="AP40">SUMPRODUCT(($D$10:$D$39="NO")*1,($G$10:$G$39="Horas Reales")*1,AP$10:AP$39,Resources!AO7:AO36)+AP42</f>
        <v>7535.3446064999989</v>
      </c>
      <c r="AQ40" s="120" cm="1">
        <f t="array" ref="AQ40">SUMPRODUCT(($D$10:$D$39="NO")*1,($G$10:$G$39="Horas Reales")*1,AQ$10:AQ$39,Resources!AP7:AP36)+AQ42</f>
        <v>7535.3446064999989</v>
      </c>
      <c r="AR40" s="120" cm="1">
        <f t="array" ref="AR40">SUMPRODUCT(($D$10:$D$39="NO")*1,($G$10:$G$39="Horas Reales")*1,AR$10:AR$39,Resources!AQ7:AQ36)+AR42</f>
        <v>7761.4049446950003</v>
      </c>
      <c r="AS40" s="120" cm="1">
        <f t="array" ref="AS40">SUMPRODUCT(($D$10:$D$39="NO")*1,($G$10:$G$39="Horas Reales")*1,AS$10:AS$39,Resources!AR7:AR36)+AS42</f>
        <v>7761.4049446950003</v>
      </c>
      <c r="AT40" s="120" cm="1">
        <f t="array" ref="AT40">SUMPRODUCT(($D$10:$D$39="NO")*1,($G$10:$G$39="Horas Reales")*1,AT$10:AT$39,Resources!AS7:AS36)+AT42</f>
        <v>7761.4049446950003</v>
      </c>
      <c r="AU40" s="120" cm="1">
        <f t="array" ref="AU40">SUMPRODUCT(($D$10:$D$39="NO")*1,($G$10:$G$39="Horas Reales")*1,AU$10:AU$39,Resources!AT7:AT36)+AU42</f>
        <v>7761.4049446950003</v>
      </c>
      <c r="AV40" s="120" cm="1">
        <f t="array" ref="AV40">SUMPRODUCT(($D$10:$D$39="NO")*1,($G$10:$G$39="Horas Reales")*1,AV$10:AV$39,Resources!AU7:AU36)+AV42</f>
        <v>7761.4049446950003</v>
      </c>
      <c r="AW40" s="120" cm="1">
        <f t="array" ref="AW40">SUMPRODUCT(($D$10:$D$39="NO")*1,($G$10:$G$39="Horas Reales")*1,AW$10:AW$39,Resources!AV7:AV36)+AW42</f>
        <v>7761.4049446950003</v>
      </c>
      <c r="AX40" s="120" cm="1">
        <f t="array" ref="AX40">SUMPRODUCT(($D$10:$D$39="NO")*1,($G$10:$G$39="Horas Reales")*1,AX$10:AX$39,Resources!AW7:AW36)+AX42</f>
        <v>7761.4049446950003</v>
      </c>
      <c r="AY40" s="120" cm="1">
        <f t="array" ref="AY40">SUMPRODUCT(($D$10:$D$39="NO")*1,($G$10:$G$39="Horas Reales")*1,AY$10:AY$39,Resources!AX7:AX36)+AY42</f>
        <v>7761.4049446950003</v>
      </c>
      <c r="AZ40" s="120" cm="1">
        <f t="array" ref="AZ40">SUMPRODUCT(($D$10:$D$39="NO")*1,($G$10:$G$39="Horas Reales")*1,AZ$10:AZ$39,Resources!AY7:AY36)+AZ42</f>
        <v>7761.4049446950003</v>
      </c>
      <c r="BA40" s="120" cm="1">
        <f t="array" ref="BA40">SUMPRODUCT(($D$10:$D$39="NO")*1,($G$10:$G$39="Horas Reales")*1,BA$10:BA$39,Resources!AZ7:AZ36)+BA42</f>
        <v>7761.4049446950003</v>
      </c>
      <c r="BB40" s="120" cm="1">
        <f t="array" ref="BB40">SUMPRODUCT(($D$10:$D$39="NO")*1,($G$10:$G$39="Horas Reales")*1,BB$10:BB$39,Resources!BA7:BA36)+BB42</f>
        <v>7761.4049446950003</v>
      </c>
      <c r="BC40" s="120" cm="1">
        <f t="array" ref="BC40">SUMPRODUCT(($D$10:$D$39="NO")*1,($G$10:$G$39="Horas Reales")*1,BC$10:BC$39,Resources!BB7:BB36)+BC42</f>
        <v>7761.4049446950003</v>
      </c>
      <c r="BD40" s="120" cm="1">
        <f t="array" ref="BD40">SUMPRODUCT(($D$10:$D$39="NO")*1,($G$10:$G$39="Horas Reales")*1,BD$10:BD$39,Resources!BC7:BC36)+BD42</f>
        <v>0</v>
      </c>
      <c r="BE40" s="120" cm="1">
        <f t="array" ref="BE40">SUMPRODUCT(($D$10:$D$39="NO")*1,($G$10:$G$39="Horas Reales")*1,BE$10:BE$39,Resources!BD7:BD36)+BE42</f>
        <v>0</v>
      </c>
      <c r="BF40" s="120" cm="1">
        <f t="array" ref="BF40">SUMPRODUCT(($D$10:$D$39="NO")*1,($G$10:$G$39="Horas Reales")*1,BF$10:BF$39,Resources!BE7:BE36)+BF42</f>
        <v>0</v>
      </c>
      <c r="BG40" s="120" cm="1">
        <f t="array" ref="BG40">SUMPRODUCT(($D$10:$D$39="NO")*1,($G$10:$G$39="Horas Reales")*1,BG$10:BG$39,Resources!BF7:BF36)+BG42</f>
        <v>0</v>
      </c>
      <c r="BH40" s="120" cm="1">
        <f t="array" ref="BH40">SUMPRODUCT(($D$10:$D$39="NO")*1,($G$10:$G$39="Horas Reales")*1,BH$10:BH$39,Resources!BG7:BG36)+BH42</f>
        <v>0</v>
      </c>
      <c r="BI40" s="120" cm="1">
        <f t="array" ref="BI40">SUMPRODUCT(($D$10:$D$39="NO")*1,($G$10:$G$39="Horas Reales")*1,BI$10:BI$39,Resources!BH7:BH36)+BI42</f>
        <v>0</v>
      </c>
      <c r="BJ40" s="120" cm="1">
        <f t="array" ref="BJ40">SUMPRODUCT(($D$10:$D$39="NO")*1,($G$10:$G$39="Horas Reales")*1,BJ$10:BJ$39,Resources!BI7:BI36)+BJ42</f>
        <v>0</v>
      </c>
      <c r="BK40" s="120" cm="1">
        <f t="array" ref="BK40">SUMPRODUCT(($D$10:$D$39="NO")*1,($G$10:$G$39="Horas Reales")*1,BK$10:BK$39,Resources!BJ7:BJ36)+BK42</f>
        <v>0</v>
      </c>
      <c r="BL40" s="120" cm="1">
        <f t="array" ref="BL40">SUMPRODUCT(($D$10:$D$39="NO")*1,($G$10:$G$39="Horas Reales")*1,BL$10:BL$39,Resources!BK7:BK36)+BL42</f>
        <v>0</v>
      </c>
      <c r="BM40" s="120" cm="1">
        <f t="array" ref="BM40">SUMPRODUCT(($D$10:$D$39="NO")*1,($G$10:$G$39="Horas Reales")*1,BM$10:BM$39,Resources!BL7:BL36)+BM42</f>
        <v>0</v>
      </c>
      <c r="BN40" s="120" cm="1">
        <f t="array" ref="BN40">SUMPRODUCT(($D$10:$D$39="NO")*1,($G$10:$G$39="Horas Reales")*1,BN$10:BN$39,Resources!BM7:BM36)+BN42</f>
        <v>0</v>
      </c>
      <c r="BO40" s="120" cm="1">
        <f t="array" ref="BO40">SUMPRODUCT(($D$10:$D$39="NO")*1,($G$10:$G$39="Horas Reales")*1,BO$10:BO$39,Resources!BN7:BN36)+BO42</f>
        <v>0</v>
      </c>
    </row>
    <row r="41" spans="2:80" ht="20.149999999999999" customHeight="1" x14ac:dyDescent="0.25">
      <c r="B41" s="121" t="s">
        <v>133</v>
      </c>
      <c r="C41" s="122"/>
      <c r="D41" s="123"/>
      <c r="E41" s="123"/>
      <c r="F41" s="120"/>
      <c r="G41" s="120"/>
      <c r="H41" s="120" cm="1">
        <f t="array" ref="H41">SUMPRODUCT(($D$10:$D$39="INTERCO")*1,($G$10:$G$39="Horas Reales")*1,H$10:H$39,Resources!G7:G36)+H43</f>
        <v>0</v>
      </c>
      <c r="I41" s="120" cm="1">
        <f t="array" ref="I41">SUMPRODUCT(($D$10:$D$39="INTERCO")*1,($G$10:$G$39="Horas Reales")*1,I$10:I$39,Resources!H7:H36)+I43</f>
        <v>0</v>
      </c>
      <c r="J41" s="120" cm="1">
        <f t="array" ref="J41">SUMPRODUCT(($D$10:$D$39="INTERCO")*1,($G$10:$G$39="Horas Reales")*1,J$10:J$39,Resources!I7:I36)+J43</f>
        <v>0</v>
      </c>
      <c r="K41" s="120" cm="1">
        <f t="array" ref="K41">SUMPRODUCT(($D$10:$D$39="INTERCO")*1,($G$10:$G$39="Horas Reales")*1,K$10:K$39,Resources!J7:J36)+K43</f>
        <v>0</v>
      </c>
      <c r="L41" s="120" cm="1">
        <f t="array" ref="L41">SUMPRODUCT(($D$10:$D$39="INTERCO")*1,($G$10:$G$39="Horas Reales")*1,L$10:L$39,Resources!K7:K36)+L43</f>
        <v>0</v>
      </c>
      <c r="M41" s="120" cm="1">
        <f t="array" ref="M41">SUMPRODUCT(($D$10:$D$39="INTERCO")*1,($G$10:$G$39="Horas Reales")*1,M$10:M$39,Resources!L7:L36)+M43</f>
        <v>0</v>
      </c>
      <c r="N41" s="120" cm="1">
        <f t="array" ref="N41">SUMPRODUCT(($D$10:$D$39="INTERCO")*1,($G$10:$G$39="Horas Reales")*1,N$10:N$39,Resources!M7:M36)+N43</f>
        <v>0</v>
      </c>
      <c r="O41" s="120" cm="1">
        <f t="array" ref="O41">SUMPRODUCT(($D$10:$D$39="INTERCO")*1,($G$10:$G$39="Horas Reales")*1,O$10:O$39,Resources!N7:N36)+O43</f>
        <v>0</v>
      </c>
      <c r="P41" s="120" cm="1">
        <f t="array" ref="P41">SUMPRODUCT(($D$10:$D$39="INTERCO")*1,($G$10:$G$39="Horas Reales")*1,P$10:P$39,Resources!O7:O36)+P43</f>
        <v>0</v>
      </c>
      <c r="Q41" s="120" cm="1">
        <f t="array" ref="Q41">SUMPRODUCT(($D$10:$D$39="INTERCO")*1,($G$10:$G$39="Horas Reales")*1,Q$10:Q$39,Resources!P7:P36)+Q43</f>
        <v>0</v>
      </c>
      <c r="R41" s="120" cm="1">
        <f t="array" ref="R41">SUMPRODUCT(($D$10:$D$39="INTERCO")*1,($G$10:$G$39="Horas Reales")*1,R$10:R$39,Resources!Q7:Q36)+R43</f>
        <v>0</v>
      </c>
      <c r="S41" s="120" cm="1">
        <f t="array" ref="S41">SUMPRODUCT(($D$10:$D$39="INTERCO")*1,($G$10:$G$39="Horas Reales")*1,S$10:S$39,Resources!R7:R36)+S43</f>
        <v>0</v>
      </c>
      <c r="T41" s="120" cm="1">
        <f t="array" ref="T41">SUMPRODUCT(($D$10:$D$39="INTERCO")*1,($G$10:$G$39="Horas Reales")*1,T$10:T$39,Resources!S7:S36)+T43</f>
        <v>0</v>
      </c>
      <c r="U41" s="120" cm="1">
        <f t="array" ref="U41">SUMPRODUCT(($D$10:$D$39="INTERCO")*1,($G$10:$G$39="Horas Reales")*1,U$10:U$39,Resources!T7:T36)+U43</f>
        <v>0</v>
      </c>
      <c r="V41" s="120" cm="1">
        <f t="array" ref="V41">SUMPRODUCT(($D$10:$D$39="INTERCO")*1,($G$10:$G$39="Horas Reales")*1,V$10:V$39,Resources!U7:U36)+V43</f>
        <v>0</v>
      </c>
      <c r="W41" s="120" cm="1">
        <f t="array" ref="W41">SUMPRODUCT(($D$10:$D$39="INTERCO")*1,($G$10:$G$39="Horas Reales")*1,W$10:W$39,Resources!V7:V36)+W43</f>
        <v>0</v>
      </c>
      <c r="X41" s="120" cm="1">
        <f t="array" ref="X41">SUMPRODUCT(($D$10:$D$39="INTERCO")*1,($G$10:$G$39="Horas Reales")*1,X$10:X$39,Resources!W7:W36)+X43</f>
        <v>0</v>
      </c>
      <c r="Y41" s="120" cm="1">
        <f t="array" ref="Y41">SUMPRODUCT(($D$10:$D$39="INTERCO")*1,($G$10:$G$39="Horas Reales")*1,Y$10:Y$39,Resources!X7:X36)+Y43</f>
        <v>0</v>
      </c>
      <c r="Z41" s="120" cm="1">
        <f t="array" ref="Z41">SUMPRODUCT(($D$10:$D$39="INTERCO")*1,($G$10:$G$39="Horas Reales")*1,Z$10:Z$39,Resources!Y7:Y36)+Z43</f>
        <v>0</v>
      </c>
      <c r="AA41" s="120" cm="1">
        <f t="array" ref="AA41">SUMPRODUCT(($D$10:$D$39="INTERCO")*1,($G$10:$G$39="Horas Reales")*1,AA$10:AA$39,Resources!Z7:Z36)+AA43</f>
        <v>0</v>
      </c>
      <c r="AB41" s="120" cm="1">
        <f t="array" ref="AB41">SUMPRODUCT(($D$10:$D$39="INTERCO")*1,($G$10:$G$39="Horas Reales")*1,AB$10:AB$39,Resources!AA7:AA36)+AB43</f>
        <v>0</v>
      </c>
      <c r="AC41" s="120" cm="1">
        <f t="array" ref="AC41">SUMPRODUCT(($D$10:$D$39="INTERCO")*1,($G$10:$G$39="Horas Reales")*1,AC$10:AC$39,Resources!AB7:AB36)+AC43</f>
        <v>0</v>
      </c>
      <c r="AD41" s="120" cm="1">
        <f t="array" ref="AD41">SUMPRODUCT(($D$10:$D$39="INTERCO")*1,($G$10:$G$39="Horas Reales")*1,AD$10:AD$39,Resources!AC7:AC36)+AD43</f>
        <v>0</v>
      </c>
      <c r="AE41" s="120" cm="1">
        <f t="array" ref="AE41">SUMPRODUCT(($D$10:$D$39="INTERCO")*1,($G$10:$G$39="Horas Reales")*1,AE$10:AE$39,Resources!AD7:AD36)+AE43</f>
        <v>0</v>
      </c>
      <c r="AF41" s="120" cm="1">
        <f t="array" ref="AF41">SUMPRODUCT(($D$10:$D$39="INTERCO")*1,($G$10:$G$39="Horas Reales")*1,AF$10:AF$39,Resources!AE7:AE36)+AF43</f>
        <v>0</v>
      </c>
      <c r="AG41" s="120" cm="1">
        <f t="array" ref="AG41">SUMPRODUCT(($D$10:$D$39="INTERCO")*1,($G$10:$G$39="Horas Reales")*1,AG$10:AG$39,Resources!AF7:AF36)+AG43</f>
        <v>0</v>
      </c>
      <c r="AH41" s="120" cm="1">
        <f t="array" ref="AH41">SUMPRODUCT(($D$10:$D$39="INTERCO")*1,($G$10:$G$39="Horas Reales")*1,AH$10:AH$39,Resources!AG7:AG36)+AH43</f>
        <v>0</v>
      </c>
      <c r="AI41" s="120" cm="1">
        <f t="array" ref="AI41">SUMPRODUCT(($D$10:$D$39="INTERCO")*1,($G$10:$G$39="Horas Reales")*1,AI$10:AI$39,Resources!AH7:AH36)+AI43</f>
        <v>0</v>
      </c>
      <c r="AJ41" s="120" cm="1">
        <f t="array" ref="AJ41">SUMPRODUCT(($D$10:$D$39="INTERCO")*1,($G$10:$G$39="Horas Reales")*1,AJ$10:AJ$39,Resources!AI7:AI36)+AJ43</f>
        <v>0</v>
      </c>
      <c r="AK41" s="120" cm="1">
        <f t="array" ref="AK41">SUMPRODUCT(($D$10:$D$39="INTERCO")*1,($G$10:$G$39="Horas Reales")*1,AK$10:AK$39,Resources!AJ7:AJ36)+AK43</f>
        <v>0</v>
      </c>
      <c r="AL41" s="120" cm="1">
        <f t="array" ref="AL41">SUMPRODUCT(($D$10:$D$39="INTERCO")*1,($G$10:$G$39="Horas Reales")*1,AL$10:AL$39,Resources!AK7:AK36)+AL43</f>
        <v>0</v>
      </c>
      <c r="AM41" s="120" cm="1">
        <f t="array" ref="AM41">SUMPRODUCT(($D$10:$D$39="INTERCO")*1,($G$10:$G$39="Horas Reales")*1,AM$10:AM$39,Resources!AL7:AL36)+AM43</f>
        <v>0</v>
      </c>
      <c r="AN41" s="120" cm="1">
        <f t="array" ref="AN41">SUMPRODUCT(($D$10:$D$39="INTERCO")*1,($G$10:$G$39="Horas Reales")*1,AN$10:AN$39,Resources!AM7:AM36)+AN43</f>
        <v>0</v>
      </c>
      <c r="AO41" s="120" cm="1">
        <f t="array" ref="AO41">SUMPRODUCT(($D$10:$D$39="INTERCO")*1,($G$10:$G$39="Horas Reales")*1,AO$10:AO$39,Resources!AN7:AN36)+AO43</f>
        <v>0</v>
      </c>
      <c r="AP41" s="120" cm="1">
        <f t="array" ref="AP41">SUMPRODUCT(($D$10:$D$39="INTERCO")*1,($G$10:$G$39="Horas Reales")*1,AP$10:AP$39,Resources!AO7:AO36)+AP43</f>
        <v>0</v>
      </c>
      <c r="AQ41" s="120" cm="1">
        <f t="array" ref="AQ41">SUMPRODUCT(($D$10:$D$39="INTERCO")*1,($G$10:$G$39="Horas Reales")*1,AQ$10:AQ$39,Resources!AP7:AP36)+AQ43</f>
        <v>0</v>
      </c>
      <c r="AR41" s="120" cm="1">
        <f t="array" ref="AR41">SUMPRODUCT(($D$10:$D$39="INTERCO")*1,($G$10:$G$39="Horas Reales")*1,AR$10:AR$39,Resources!AQ7:AQ36)+AR43</f>
        <v>0</v>
      </c>
      <c r="AS41" s="120" cm="1">
        <f t="array" ref="AS41">SUMPRODUCT(($D$10:$D$39="INTERCO")*1,($G$10:$G$39="Horas Reales")*1,AS$10:AS$39,Resources!AR7:AR36)+AS43</f>
        <v>0</v>
      </c>
      <c r="AT41" s="120" cm="1">
        <f t="array" ref="AT41">SUMPRODUCT(($D$10:$D$39="INTERCO")*1,($G$10:$G$39="Horas Reales")*1,AT$10:AT$39,Resources!AS7:AS36)+AT43</f>
        <v>0</v>
      </c>
      <c r="AU41" s="120" cm="1">
        <f t="array" ref="AU41">SUMPRODUCT(($D$10:$D$39="INTERCO")*1,($G$10:$G$39="Horas Reales")*1,AU$10:AU$39,Resources!AT7:AT36)+AU43</f>
        <v>0</v>
      </c>
      <c r="AV41" s="120" cm="1">
        <f t="array" ref="AV41">SUMPRODUCT(($D$10:$D$39="INTERCO")*1,($G$10:$G$39="Horas Reales")*1,AV$10:AV$39,Resources!AU7:AU36)+AV43</f>
        <v>0</v>
      </c>
      <c r="AW41" s="120" cm="1">
        <f t="array" ref="AW41">SUMPRODUCT(($D$10:$D$39="INTERCO")*1,($G$10:$G$39="Horas Reales")*1,AW$10:AW$39,Resources!AV7:AV36)+AW43</f>
        <v>0</v>
      </c>
      <c r="AX41" s="120" cm="1">
        <f t="array" ref="AX41">SUMPRODUCT(($D$10:$D$39="INTERCO")*1,($G$10:$G$39="Horas Reales")*1,AX$10:AX$39,Resources!AW7:AW36)+AX43</f>
        <v>0</v>
      </c>
      <c r="AY41" s="120" cm="1">
        <f t="array" ref="AY41">SUMPRODUCT(($D$10:$D$39="INTERCO")*1,($G$10:$G$39="Horas Reales")*1,AY$10:AY$39,Resources!AX7:AX36)+AY43</f>
        <v>0</v>
      </c>
      <c r="AZ41" s="120" cm="1">
        <f t="array" ref="AZ41">SUMPRODUCT(($D$10:$D$39="INTERCO")*1,($G$10:$G$39="Horas Reales")*1,AZ$10:AZ$39,Resources!AY7:AY36)+AZ43</f>
        <v>0</v>
      </c>
      <c r="BA41" s="120" cm="1">
        <f t="array" ref="BA41">SUMPRODUCT(($D$10:$D$39="INTERCO")*1,($G$10:$G$39="Horas Reales")*1,BA$10:BA$39,Resources!AZ7:AZ36)+BA43</f>
        <v>0</v>
      </c>
      <c r="BB41" s="120" cm="1">
        <f t="array" ref="BB41">SUMPRODUCT(($D$10:$D$39="INTERCO")*1,($G$10:$G$39="Horas Reales")*1,BB$10:BB$39,Resources!BA7:BA36)+BB43</f>
        <v>0</v>
      </c>
      <c r="BC41" s="120" cm="1">
        <f t="array" ref="BC41">SUMPRODUCT(($D$10:$D$39="INTERCO")*1,($G$10:$G$39="Horas Reales")*1,BC$10:BC$39,Resources!BB7:BB36)+BC43</f>
        <v>0</v>
      </c>
      <c r="BD41" s="120" cm="1">
        <f t="array" ref="BD41">SUMPRODUCT(($D$10:$D$39="INTERCO")*1,($G$10:$G$39="Horas Reales")*1,BD$10:BD$39,Resources!BC7:BC36)+BD43</f>
        <v>0</v>
      </c>
      <c r="BE41" s="120" cm="1">
        <f t="array" ref="BE41">SUMPRODUCT(($D$10:$D$39="INTERCO")*1,($G$10:$G$39="Horas Reales")*1,BE$10:BE$39,Resources!BD7:BD36)+BE43</f>
        <v>0</v>
      </c>
      <c r="BF41" s="120" cm="1">
        <f t="array" ref="BF41">SUMPRODUCT(($D$10:$D$39="INTERCO")*1,($G$10:$G$39="Horas Reales")*1,BF$10:BF$39,Resources!BE7:BE36)+BF43</f>
        <v>0</v>
      </c>
      <c r="BG41" s="120" cm="1">
        <f t="array" ref="BG41">SUMPRODUCT(($D$10:$D$39="INTERCO")*1,($G$10:$G$39="Horas Reales")*1,BG$10:BG$39,Resources!BF7:BF36)+BG43</f>
        <v>0</v>
      </c>
      <c r="BH41" s="120" cm="1">
        <f t="array" ref="BH41">SUMPRODUCT(($D$10:$D$39="INTERCO")*1,($G$10:$G$39="Horas Reales")*1,BH$10:BH$39,Resources!BG7:BG36)+BH43</f>
        <v>0</v>
      </c>
      <c r="BI41" s="120" cm="1">
        <f t="array" ref="BI41">SUMPRODUCT(($D$10:$D$39="INTERCO")*1,($G$10:$G$39="Horas Reales")*1,BI$10:BI$39,Resources!BH7:BH36)+BI43</f>
        <v>0</v>
      </c>
      <c r="BJ41" s="120" cm="1">
        <f t="array" ref="BJ41">SUMPRODUCT(($D$10:$D$39="INTERCO")*1,($G$10:$G$39="Horas Reales")*1,BJ$10:BJ$39,Resources!BI7:BI36)+BJ43</f>
        <v>0</v>
      </c>
      <c r="BK41" s="120" cm="1">
        <f t="array" ref="BK41">SUMPRODUCT(($D$10:$D$39="INTERCO")*1,($G$10:$G$39="Horas Reales")*1,BK$10:BK$39,Resources!BJ7:BJ36)+BK43</f>
        <v>0</v>
      </c>
      <c r="BL41" s="120" cm="1">
        <f t="array" ref="BL41">SUMPRODUCT(($D$10:$D$39="INTERCO")*1,($G$10:$G$39="Horas Reales")*1,BL$10:BL$39,Resources!BK7:BK36)+BL43</f>
        <v>0</v>
      </c>
      <c r="BM41" s="120" cm="1">
        <f t="array" ref="BM41">SUMPRODUCT(($D$10:$D$39="INTERCO")*1,($G$10:$G$39="Horas Reales")*1,BM$10:BM$39,Resources!BL7:BL36)+BM43</f>
        <v>0</v>
      </c>
      <c r="BN41" s="120" cm="1">
        <f t="array" ref="BN41">SUMPRODUCT(($D$10:$D$39="INTERCO")*1,($G$10:$G$39="Horas Reales")*1,BN$10:BN$39,Resources!BM7:BM36)+BN43</f>
        <v>0</v>
      </c>
      <c r="BO41" s="120" cm="1">
        <f t="array" ref="BO41">SUMPRODUCT(($D$10:$D$39="INTERCO")*1,($G$10:$G$39="Horas Reales")*1,BO$10:BO$39,Resources!BN7:BN36)+BO43</f>
        <v>0</v>
      </c>
    </row>
    <row r="42" spans="2:80" s="104" customFormat="1" ht="19.5" customHeight="1" x14ac:dyDescent="0.25">
      <c r="B42" s="292"/>
      <c r="C42" s="295" t="s">
        <v>134</v>
      </c>
      <c r="D42" s="295"/>
      <c r="E42" s="295"/>
      <c r="F42" s="105"/>
      <c r="G42" s="105"/>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c r="AF42" s="227"/>
      <c r="AG42" s="227"/>
      <c r="AH42" s="227"/>
      <c r="AI42" s="227"/>
      <c r="AJ42" s="227"/>
      <c r="AK42" s="227"/>
      <c r="AL42" s="227"/>
      <c r="AM42" s="227"/>
      <c r="AN42" s="227"/>
      <c r="AO42" s="227"/>
      <c r="AP42" s="227"/>
      <c r="AQ42" s="227"/>
      <c r="AR42" s="227"/>
      <c r="AS42" s="227"/>
      <c r="AT42" s="227"/>
      <c r="AU42" s="227"/>
      <c r="AV42" s="227"/>
      <c r="AW42" s="227"/>
      <c r="AX42" s="227"/>
      <c r="AY42" s="227"/>
      <c r="AZ42" s="227"/>
      <c r="BA42" s="227"/>
      <c r="BB42" s="227"/>
      <c r="BC42" s="227"/>
      <c r="BD42" s="227"/>
      <c r="BE42" s="227"/>
      <c r="BF42" s="227"/>
      <c r="BG42" s="227"/>
      <c r="BH42" s="227"/>
      <c r="BI42" s="227"/>
      <c r="BJ42" s="227"/>
      <c r="BK42" s="227"/>
      <c r="BL42" s="227"/>
      <c r="BM42" s="227"/>
      <c r="BN42" s="227"/>
      <c r="BO42" s="227"/>
    </row>
    <row r="43" spans="2:80" s="104" customFormat="1" ht="19.5" customHeight="1" x14ac:dyDescent="0.25">
      <c r="B43" s="292"/>
      <c r="C43" s="292" t="s">
        <v>135</v>
      </c>
      <c r="D43" s="292"/>
      <c r="E43" s="292"/>
      <c r="F43" s="105"/>
      <c r="G43" s="105"/>
      <c r="H43" s="227"/>
      <c r="I43" s="227"/>
      <c r="J43" s="227"/>
      <c r="K43" s="227"/>
      <c r="L43" s="227"/>
      <c r="M43" s="227"/>
      <c r="N43" s="227"/>
      <c r="O43" s="227"/>
      <c r="P43" s="227"/>
      <c r="Q43" s="227"/>
      <c r="R43" s="227"/>
      <c r="S43" s="227"/>
      <c r="T43" s="227"/>
      <c r="U43" s="227"/>
      <c r="V43" s="227"/>
      <c r="W43" s="227"/>
      <c r="X43" s="227"/>
      <c r="Y43" s="227"/>
      <c r="Z43" s="227"/>
      <c r="AA43" s="227"/>
      <c r="AB43" s="227"/>
      <c r="AC43" s="227"/>
      <c r="AD43" s="227"/>
      <c r="AE43" s="227"/>
      <c r="AF43" s="227"/>
      <c r="AG43" s="227"/>
      <c r="AH43" s="227"/>
      <c r="AI43" s="227"/>
      <c r="AJ43" s="227"/>
      <c r="AK43" s="227"/>
      <c r="AL43" s="227"/>
      <c r="AM43" s="227"/>
      <c r="AN43" s="227"/>
      <c r="AO43" s="227"/>
      <c r="AP43" s="227"/>
      <c r="AQ43" s="227"/>
      <c r="AR43" s="227"/>
      <c r="AS43" s="227"/>
      <c r="AT43" s="227"/>
      <c r="AU43" s="227"/>
      <c r="AV43" s="227"/>
      <c r="AW43" s="227"/>
      <c r="AX43" s="227"/>
      <c r="AY43" s="227"/>
      <c r="AZ43" s="227"/>
      <c r="BA43" s="227"/>
      <c r="BB43" s="227"/>
      <c r="BC43" s="227"/>
      <c r="BD43" s="227"/>
      <c r="BE43" s="227"/>
      <c r="BF43" s="227"/>
      <c r="BG43" s="227"/>
      <c r="BH43" s="227"/>
      <c r="BI43" s="227"/>
      <c r="BJ43" s="227"/>
      <c r="BK43" s="227"/>
      <c r="BL43" s="227"/>
      <c r="BM43" s="227"/>
      <c r="BN43" s="227"/>
      <c r="BO43" s="227"/>
    </row>
    <row r="44" spans="2:80" ht="20.149999999999999" customHeight="1" x14ac:dyDescent="0.25">
      <c r="B44" s="121" t="s">
        <v>136</v>
      </c>
      <c r="C44" s="122"/>
      <c r="D44" s="123"/>
      <c r="E44" s="123"/>
      <c r="F44" s="120"/>
      <c r="G44" s="120"/>
      <c r="H44" s="282" cm="1">
        <f t="array" ref="H44">SUMPRODUCT(($G$10:$G$39="Horas/Jornadas Facturables")*1,H$10:H$39,Resources!G7:G36)</f>
        <v>9687.5</v>
      </c>
      <c r="I44" s="282" cm="1">
        <f t="array" ref="I44">SUMPRODUCT(($G$10:$G$39="Horas/Jornadas Facturables")*1,I$10:I$39,Resources!H7:H36)</f>
        <v>9687.5</v>
      </c>
      <c r="J44" s="282" cm="1">
        <f t="array" ref="J44">SUMPRODUCT(($G$10:$G$39="Horas/Jornadas Facturables")*1,J$10:J$39,Resources!I7:I36)</f>
        <v>9687.5</v>
      </c>
      <c r="K44" s="282" cm="1">
        <f t="array" ref="K44">SUMPRODUCT(($G$10:$G$39="Horas/Jornadas Facturables")*1,K$10:K$39,Resources!J7:J36)</f>
        <v>9687.5</v>
      </c>
      <c r="L44" s="282" cm="1">
        <f t="array" ref="L44">SUMPRODUCT(($G$10:$G$39="Horas/Jornadas Facturables")*1,L$10:L$39,Resources!K7:K36)</f>
        <v>9687.5</v>
      </c>
      <c r="M44" s="282" cm="1">
        <f t="array" ref="M44">SUMPRODUCT(($G$10:$G$39="Horas/Jornadas Facturables")*1,M$10:M$39,Resources!L7:L36)</f>
        <v>9687.5</v>
      </c>
      <c r="N44" s="282" cm="1">
        <f t="array" ref="N44">SUMPRODUCT(($G$10:$G$39="Horas/Jornadas Facturables")*1,N$10:N$39,Resources!M7:M36)</f>
        <v>9687.5</v>
      </c>
      <c r="O44" s="282" cm="1">
        <f t="array" ref="O44">SUMPRODUCT(($G$10:$G$39="Horas/Jornadas Facturables")*1,O$10:O$39,Resources!N7:N36)</f>
        <v>9687.5</v>
      </c>
      <c r="P44" s="282" cm="1">
        <f t="array" ref="P44">SUMPRODUCT(($G$10:$G$39="Horas/Jornadas Facturables")*1,P$10:P$39,Resources!O7:O36)</f>
        <v>9687.5</v>
      </c>
      <c r="Q44" s="282" cm="1">
        <f t="array" ref="Q44">SUMPRODUCT(($G$10:$G$39="Horas/Jornadas Facturables")*1,Q$10:Q$39,Resources!P7:P36)</f>
        <v>9687.5</v>
      </c>
      <c r="R44" s="282" cm="1">
        <f t="array" ref="R44">SUMPRODUCT(($G$10:$G$39="Horas/Jornadas Facturables")*1,R$10:R$39,Resources!Q7:Q36)</f>
        <v>9687.5</v>
      </c>
      <c r="S44" s="282" cm="1">
        <f t="array" ref="S44">SUMPRODUCT(($G$10:$G$39="Horas/Jornadas Facturables")*1,S$10:S$39,Resources!R7:R36)</f>
        <v>9687.5</v>
      </c>
      <c r="T44" s="282" cm="1">
        <f t="array" ref="T44">SUMPRODUCT(($G$10:$G$39="Horas/Jornadas Facturables")*1,T$10:T$39,Resources!S7:S36)</f>
        <v>9687.5</v>
      </c>
      <c r="U44" s="282" cm="1">
        <f t="array" ref="U44">SUMPRODUCT(($G$10:$G$39="Horas/Jornadas Facturables")*1,U$10:U$39,Resources!T7:T36)</f>
        <v>9687.5</v>
      </c>
      <c r="V44" s="282" cm="1">
        <f t="array" ref="V44">SUMPRODUCT(($G$10:$G$39="Horas/Jornadas Facturables")*1,V$10:V$39,Resources!U7:U36)</f>
        <v>9687.5</v>
      </c>
      <c r="W44" s="282" cm="1">
        <f t="array" ref="W44">SUMPRODUCT(($G$10:$G$39="Horas/Jornadas Facturables")*1,W$10:W$39,Resources!V7:V36)</f>
        <v>9687.5</v>
      </c>
      <c r="X44" s="282" cm="1">
        <f t="array" ref="X44">SUMPRODUCT(($G$10:$G$39="Horas/Jornadas Facturables")*1,X$10:X$39,Resources!W7:W36)</f>
        <v>9687.5</v>
      </c>
      <c r="Y44" s="282" cm="1">
        <f t="array" ref="Y44">SUMPRODUCT(($G$10:$G$39="Horas/Jornadas Facturables")*1,Y$10:Y$39,Resources!X7:X36)</f>
        <v>9687.5</v>
      </c>
      <c r="Z44" s="282" cm="1">
        <f t="array" ref="Z44">SUMPRODUCT(($G$10:$G$39="Horas/Jornadas Facturables")*1,Z$10:Z$39,Resources!Y7:Y36)</f>
        <v>9687.5</v>
      </c>
      <c r="AA44" s="282" cm="1">
        <f t="array" ref="AA44">SUMPRODUCT(($G$10:$G$39="Horas/Jornadas Facturables")*1,AA$10:AA$39,Resources!Z7:Z36)</f>
        <v>9687.5</v>
      </c>
      <c r="AB44" s="282" cm="1">
        <f t="array" ref="AB44">SUMPRODUCT(($G$10:$G$39="Horas/Jornadas Facturables")*1,AB$10:AB$39,Resources!AA7:AA36)</f>
        <v>9687.5</v>
      </c>
      <c r="AC44" s="282" cm="1">
        <f t="array" ref="AC44">SUMPRODUCT(($G$10:$G$39="Horas/Jornadas Facturables")*1,AC$10:AC$39,Resources!AB7:AB36)</f>
        <v>9687.5</v>
      </c>
      <c r="AD44" s="282" cm="1">
        <f t="array" ref="AD44">SUMPRODUCT(($G$10:$G$39="Horas/Jornadas Facturables")*1,AD$10:AD$39,Resources!AC7:AC36)</f>
        <v>9687.5</v>
      </c>
      <c r="AE44" s="282" cm="1">
        <f t="array" ref="AE44">SUMPRODUCT(($G$10:$G$39="Horas/Jornadas Facturables")*1,AE$10:AE$39,Resources!AD7:AD36)</f>
        <v>9687.5</v>
      </c>
      <c r="AF44" s="282" cm="1">
        <f t="array" ref="AF44">SUMPRODUCT(($G$10:$G$39="Horas/Jornadas Facturables")*1,AF$10:AF$39,Resources!AE7:AE36)</f>
        <v>9687.5</v>
      </c>
      <c r="AG44" s="282" cm="1">
        <f t="array" ref="AG44">SUMPRODUCT(($G$10:$G$39="Horas/Jornadas Facturables")*1,AG$10:AG$39,Resources!AF7:AF36)</f>
        <v>9687.5</v>
      </c>
      <c r="AH44" s="282" cm="1">
        <f t="array" ref="AH44">SUMPRODUCT(($G$10:$G$39="Horas/Jornadas Facturables")*1,AH$10:AH$39,Resources!AG7:AG36)</f>
        <v>9687.5</v>
      </c>
      <c r="AI44" s="282" cm="1">
        <f t="array" ref="AI44">SUMPRODUCT(($G$10:$G$39="Horas/Jornadas Facturables")*1,AI$10:AI$39,Resources!AH7:AH36)</f>
        <v>9687.5</v>
      </c>
      <c r="AJ44" s="282" cm="1">
        <f t="array" ref="AJ44">SUMPRODUCT(($G$10:$G$39="Horas/Jornadas Facturables")*1,AJ$10:AJ$39,Resources!AI7:AI36)</f>
        <v>9687.5</v>
      </c>
      <c r="AK44" s="282" cm="1">
        <f t="array" ref="AK44">SUMPRODUCT(($G$10:$G$39="Horas/Jornadas Facturables")*1,AK$10:AK$39,Resources!AJ7:AJ36)</f>
        <v>9687.5</v>
      </c>
      <c r="AL44" s="282" cm="1">
        <f t="array" ref="AL44">SUMPRODUCT(($G$10:$G$39="Horas/Jornadas Facturables")*1,AL$10:AL$39,Resources!AK7:AK36)</f>
        <v>9687.5</v>
      </c>
      <c r="AM44" s="282" cm="1">
        <f t="array" ref="AM44">SUMPRODUCT(($G$10:$G$39="Horas/Jornadas Facturables")*1,AM$10:AM$39,Resources!AL7:AL36)</f>
        <v>9687.5</v>
      </c>
      <c r="AN44" s="282" cm="1">
        <f t="array" ref="AN44">SUMPRODUCT(($G$10:$G$39="Horas/Jornadas Facturables")*1,AN$10:AN$39,Resources!AM7:AM36)</f>
        <v>9687.5</v>
      </c>
      <c r="AO44" s="282" cm="1">
        <f t="array" ref="AO44">SUMPRODUCT(($G$10:$G$39="Horas/Jornadas Facturables")*1,AO$10:AO$39,Resources!AN7:AN36)</f>
        <v>9687.5</v>
      </c>
      <c r="AP44" s="282" cm="1">
        <f t="array" ref="AP44">SUMPRODUCT(($G$10:$G$39="Horas/Jornadas Facturables")*1,AP$10:AP$39,Resources!AO7:AO36)</f>
        <v>9687.5</v>
      </c>
      <c r="AQ44" s="282" cm="1">
        <f t="array" ref="AQ44">SUMPRODUCT(($G$10:$G$39="Horas/Jornadas Facturables")*1,AQ$10:AQ$39,Resources!AP7:AP36)</f>
        <v>9687.5</v>
      </c>
      <c r="AR44" s="282" cm="1">
        <f t="array" ref="AR44">SUMPRODUCT(($G$10:$G$39="Horas/Jornadas Facturables")*1,AR$10:AR$39,Resources!AQ7:AQ36)</f>
        <v>9687.5</v>
      </c>
      <c r="AS44" s="282" cm="1">
        <f t="array" ref="AS44">SUMPRODUCT(($G$10:$G$39="Horas/Jornadas Facturables")*1,AS$10:AS$39,Resources!AR7:AR36)</f>
        <v>9687.5</v>
      </c>
      <c r="AT44" s="282" cm="1">
        <f t="array" ref="AT44">SUMPRODUCT(($G$10:$G$39="Horas/Jornadas Facturables")*1,AT$10:AT$39,Resources!AS7:AS36)</f>
        <v>9687.5</v>
      </c>
      <c r="AU44" s="282" cm="1">
        <f t="array" ref="AU44">SUMPRODUCT(($G$10:$G$39="Horas/Jornadas Facturables")*1,AU$10:AU$39,Resources!AT7:AT36)</f>
        <v>9687.5</v>
      </c>
      <c r="AV44" s="282" cm="1">
        <f t="array" ref="AV44">SUMPRODUCT(($G$10:$G$39="Horas/Jornadas Facturables")*1,AV$10:AV$39,Resources!AU7:AU36)</f>
        <v>9687.5</v>
      </c>
      <c r="AW44" s="282" cm="1">
        <f t="array" ref="AW44">SUMPRODUCT(($G$10:$G$39="Horas/Jornadas Facturables")*1,AW$10:AW$39,Resources!AV7:AV36)</f>
        <v>9687.5</v>
      </c>
      <c r="AX44" s="282" cm="1">
        <f t="array" ref="AX44">SUMPRODUCT(($G$10:$G$39="Horas/Jornadas Facturables")*1,AX$10:AX$39,Resources!AW7:AW36)</f>
        <v>9687.5</v>
      </c>
      <c r="AY44" s="282" cm="1">
        <f t="array" ref="AY44">SUMPRODUCT(($G$10:$G$39="Horas/Jornadas Facturables")*1,AY$10:AY$39,Resources!AX7:AX36)</f>
        <v>9687.5</v>
      </c>
      <c r="AZ44" s="282" cm="1">
        <f t="array" ref="AZ44">SUMPRODUCT(($G$10:$G$39="Horas/Jornadas Facturables")*1,AZ$10:AZ$39,Resources!AY7:AY36)</f>
        <v>9687.5</v>
      </c>
      <c r="BA44" s="282" cm="1">
        <f t="array" ref="BA44">SUMPRODUCT(($G$10:$G$39="Horas/Jornadas Facturables")*1,BA$10:BA$39,Resources!AZ7:AZ36)</f>
        <v>9687.5</v>
      </c>
      <c r="BB44" s="282" cm="1">
        <f t="array" ref="BB44">SUMPRODUCT(($G$10:$G$39="Horas/Jornadas Facturables")*1,BB$10:BB$39,Resources!BA7:BA36)</f>
        <v>9687.5</v>
      </c>
      <c r="BC44" s="282" cm="1">
        <f t="array" ref="BC44">SUMPRODUCT(($G$10:$G$39="Horas/Jornadas Facturables")*1,BC$10:BC$39,Resources!BB7:BB36)</f>
        <v>9687.5</v>
      </c>
      <c r="BD44" s="282" cm="1">
        <f t="array" ref="BD44">SUMPRODUCT(($G$10:$G$39="Horas/Jornadas Facturables")*1,BD$10:BD$39,Resources!BC7:BC36)</f>
        <v>0</v>
      </c>
      <c r="BE44" s="282" cm="1">
        <f t="array" ref="BE44">SUMPRODUCT(($G$10:$G$39="Horas/Jornadas Facturables")*1,BE$10:BE$39,Resources!BD7:BD36)</f>
        <v>0</v>
      </c>
      <c r="BF44" s="282" cm="1">
        <f t="array" ref="BF44">SUMPRODUCT(($G$10:$G$39="Horas/Jornadas Facturables")*1,BF$10:BF$39,Resources!BE7:BE36)</f>
        <v>0</v>
      </c>
      <c r="BG44" s="282" cm="1">
        <f t="array" ref="BG44">SUMPRODUCT(($G$10:$G$39="Horas/Jornadas Facturables")*1,BG$10:BG$39,Resources!BF7:BF36)</f>
        <v>0</v>
      </c>
      <c r="BH44" s="282" cm="1">
        <f t="array" ref="BH44">SUMPRODUCT(($G$10:$G$39="Horas/Jornadas Facturables")*1,BH$10:BH$39,Resources!BG7:BG36)</f>
        <v>0</v>
      </c>
      <c r="BI44" s="282" cm="1">
        <f t="array" ref="BI44">SUMPRODUCT(($G$10:$G$39="Horas/Jornadas Facturables")*1,BI$10:BI$39,Resources!BH7:BH36)</f>
        <v>0</v>
      </c>
      <c r="BJ44" s="282" cm="1">
        <f t="array" ref="BJ44">SUMPRODUCT(($G$10:$G$39="Horas/Jornadas Facturables")*1,BJ$10:BJ$39,Resources!BI7:BI36)</f>
        <v>0</v>
      </c>
      <c r="BK44" s="282" cm="1">
        <f t="array" ref="BK44">SUMPRODUCT(($G$10:$G$39="Horas/Jornadas Facturables")*1,BK$10:BK$39,Resources!BJ7:BJ36)</f>
        <v>0</v>
      </c>
      <c r="BL44" s="282" cm="1">
        <f t="array" ref="BL44">SUMPRODUCT(($G$10:$G$39="Horas/Jornadas Facturables")*1,BL$10:BL$39,Resources!BK7:BK36)</f>
        <v>0</v>
      </c>
      <c r="BM44" s="282" cm="1">
        <f t="array" ref="BM44">SUMPRODUCT(($G$10:$G$39="Horas/Jornadas Facturables")*1,BM$10:BM$39,Resources!BL7:BL36)</f>
        <v>0</v>
      </c>
      <c r="BN44" s="282" cm="1">
        <f t="array" ref="BN44">SUMPRODUCT(($G$10:$G$39="Horas/Jornadas Facturables")*1,BN$10:BN$39,Resources!BM7:BM36)</f>
        <v>0</v>
      </c>
      <c r="BO44" s="282" cm="1">
        <f t="array" ref="BO44">SUMPRODUCT(($G$10:$G$39="Horas/Jornadas Facturables")*1,BO$10:BO$39,Resources!BN7:BN36)</f>
        <v>0</v>
      </c>
    </row>
    <row r="45" spans="2:80" ht="12" customHeight="1" x14ac:dyDescent="0.25">
      <c r="B45" s="98"/>
      <c r="C45" s="99"/>
      <c r="D45" s="109"/>
      <c r="E45" s="109"/>
      <c r="F45" s="109"/>
      <c r="G45" s="109"/>
      <c r="H45" s="99"/>
      <c r="I45" s="99"/>
      <c r="J45" s="99"/>
      <c r="K45" s="99"/>
      <c r="L45" s="99"/>
      <c r="M45" s="99"/>
      <c r="N45" s="99"/>
      <c r="O45" s="99"/>
      <c r="P45" s="99"/>
      <c r="Q45" s="99"/>
    </row>
    <row r="46" spans="2:80" s="103" customFormat="1" ht="35.15" customHeight="1" thickBot="1" x14ac:dyDescent="0.3">
      <c r="B46" s="98"/>
      <c r="C46" s="126"/>
      <c r="D46" s="126" t="s">
        <v>137</v>
      </c>
      <c r="E46" s="127" t="s">
        <v>126</v>
      </c>
      <c r="F46" s="291"/>
      <c r="G46" s="291"/>
      <c r="H46" s="102">
        <f>'Project Infor'!C8</f>
        <v>46023</v>
      </c>
      <c r="I46" s="102">
        <f t="shared" ref="I46" si="15">EOMONTH(H46,1)</f>
        <v>46081</v>
      </c>
      <c r="J46" s="102">
        <f t="shared" ref="J46" si="16">EOMONTH(I46,1)</f>
        <v>46112</v>
      </c>
      <c r="K46" s="102">
        <f t="shared" ref="K46" si="17">EOMONTH(J46,1)</f>
        <v>46142</v>
      </c>
      <c r="L46" s="102">
        <f t="shared" ref="L46" si="18">EOMONTH(K46,1)</f>
        <v>46173</v>
      </c>
      <c r="M46" s="102">
        <f t="shared" ref="M46" si="19">EOMONTH(L46,1)</f>
        <v>46203</v>
      </c>
      <c r="N46" s="102">
        <f t="shared" ref="N46" si="20">EOMONTH(M46,1)</f>
        <v>46234</v>
      </c>
      <c r="O46" s="102">
        <f t="shared" ref="O46" si="21">EOMONTH(N46,1)</f>
        <v>46265</v>
      </c>
      <c r="P46" s="102">
        <f t="shared" ref="P46" si="22">EOMONTH(O46,1)</f>
        <v>46295</v>
      </c>
      <c r="Q46" s="102">
        <f t="shared" ref="Q46" si="23">EOMONTH(P46,1)</f>
        <v>46326</v>
      </c>
      <c r="R46" s="102">
        <f t="shared" ref="R46" si="24">EOMONTH(Q46,1)</f>
        <v>46356</v>
      </c>
      <c r="S46" s="102">
        <f t="shared" ref="S46" si="25">EOMONTH(R46,1)</f>
        <v>46387</v>
      </c>
      <c r="T46" s="102">
        <f t="shared" ref="T46" si="26">EOMONTH(S46,1)</f>
        <v>46418</v>
      </c>
      <c r="U46" s="102">
        <f t="shared" ref="U46" si="27">EOMONTH(T46,1)</f>
        <v>46446</v>
      </c>
      <c r="V46" s="102">
        <f t="shared" ref="V46" si="28">EOMONTH(U46,1)</f>
        <v>46477</v>
      </c>
      <c r="W46" s="102">
        <f t="shared" ref="W46" si="29">EOMONTH(V46,1)</f>
        <v>46507</v>
      </c>
      <c r="X46" s="102">
        <f t="shared" ref="X46" si="30">EOMONTH(W46,1)</f>
        <v>46538</v>
      </c>
      <c r="Y46" s="102">
        <f t="shared" ref="Y46" si="31">EOMONTH(X46,1)</f>
        <v>46568</v>
      </c>
      <c r="Z46" s="102">
        <f t="shared" ref="Z46" si="32">EOMONTH(Y46,1)</f>
        <v>46599</v>
      </c>
      <c r="AA46" s="102">
        <f t="shared" ref="AA46" si="33">EOMONTH(Z46,1)</f>
        <v>46630</v>
      </c>
      <c r="AB46" s="102">
        <f t="shared" ref="AB46" si="34">EOMONTH(AA46,1)</f>
        <v>46660</v>
      </c>
      <c r="AC46" s="102">
        <f t="shared" ref="AC46" si="35">EOMONTH(AB46,1)</f>
        <v>46691</v>
      </c>
      <c r="AD46" s="102">
        <f t="shared" ref="AD46" si="36">EOMONTH(AC46,1)</f>
        <v>46721</v>
      </c>
      <c r="AE46" s="102">
        <f t="shared" ref="AE46" si="37">EOMONTH(AD46,1)</f>
        <v>46752</v>
      </c>
      <c r="AF46" s="102">
        <f t="shared" ref="AF46" si="38">EOMONTH(AE46,1)</f>
        <v>46783</v>
      </c>
      <c r="AG46" s="102">
        <f t="shared" ref="AG46" si="39">EOMONTH(AF46,1)</f>
        <v>46812</v>
      </c>
      <c r="AH46" s="102">
        <f t="shared" ref="AH46" si="40">EOMONTH(AG46,1)</f>
        <v>46843</v>
      </c>
      <c r="AI46" s="102">
        <f t="shared" ref="AI46" si="41">EOMONTH(AH46,1)</f>
        <v>46873</v>
      </c>
      <c r="AJ46" s="102">
        <f t="shared" ref="AJ46" si="42">EOMONTH(AI46,1)</f>
        <v>46904</v>
      </c>
      <c r="AK46" s="102">
        <f t="shared" ref="AK46" si="43">EOMONTH(AJ46,1)</f>
        <v>46934</v>
      </c>
      <c r="AL46" s="102">
        <f t="shared" ref="AL46" si="44">EOMONTH(AK46,1)</f>
        <v>46965</v>
      </c>
      <c r="AM46" s="102">
        <f t="shared" ref="AM46" si="45">EOMONTH(AL46,1)</f>
        <v>46996</v>
      </c>
      <c r="AN46" s="102">
        <f t="shared" ref="AN46" si="46">EOMONTH(AM46,1)</f>
        <v>47026</v>
      </c>
      <c r="AO46" s="102">
        <f t="shared" ref="AO46" si="47">EOMONTH(AN46,1)</f>
        <v>47057</v>
      </c>
      <c r="AP46" s="102">
        <f t="shared" ref="AP46" si="48">EOMONTH(AO46,1)</f>
        <v>47087</v>
      </c>
      <c r="AQ46" s="102">
        <f t="shared" ref="AQ46" si="49">EOMONTH(AP46,1)</f>
        <v>47118</v>
      </c>
      <c r="AR46" s="102">
        <f t="shared" ref="AR46" si="50">EOMONTH(AQ46,1)</f>
        <v>47149</v>
      </c>
      <c r="AS46" s="102">
        <f t="shared" ref="AS46" si="51">EOMONTH(AR46,1)</f>
        <v>47177</v>
      </c>
      <c r="AT46" s="102">
        <f t="shared" ref="AT46" si="52">EOMONTH(AS46,1)</f>
        <v>47208</v>
      </c>
      <c r="AU46" s="102">
        <f t="shared" ref="AU46" si="53">EOMONTH(AT46,1)</f>
        <v>47238</v>
      </c>
      <c r="AV46" s="102">
        <f t="shared" ref="AV46" si="54">EOMONTH(AU46,1)</f>
        <v>47269</v>
      </c>
      <c r="AW46" s="102">
        <f t="shared" ref="AW46" si="55">EOMONTH(AV46,1)</f>
        <v>47299</v>
      </c>
      <c r="AX46" s="102">
        <f t="shared" ref="AX46" si="56">EOMONTH(AW46,1)</f>
        <v>47330</v>
      </c>
      <c r="AY46" s="102">
        <f t="shared" ref="AY46" si="57">EOMONTH(AX46,1)</f>
        <v>47361</v>
      </c>
      <c r="AZ46" s="102">
        <f t="shared" ref="AZ46" si="58">EOMONTH(AY46,1)</f>
        <v>47391</v>
      </c>
      <c r="BA46" s="102">
        <f t="shared" ref="BA46" si="59">EOMONTH(AZ46,1)</f>
        <v>47422</v>
      </c>
      <c r="BB46" s="102">
        <f t="shared" ref="BB46" si="60">EOMONTH(BA46,1)</f>
        <v>47452</v>
      </c>
      <c r="BC46" s="102">
        <f t="shared" ref="BC46" si="61">EOMONTH(BB46,1)</f>
        <v>47483</v>
      </c>
      <c r="BD46" s="102">
        <f t="shared" ref="BD46" si="62">EOMONTH(BC46,1)</f>
        <v>47514</v>
      </c>
      <c r="BE46" s="102">
        <f t="shared" ref="BE46" si="63">EOMONTH(BD46,1)</f>
        <v>47542</v>
      </c>
      <c r="BF46" s="102">
        <f t="shared" ref="BF46" si="64">EOMONTH(BE46,1)</f>
        <v>47573</v>
      </c>
      <c r="BG46" s="102">
        <f t="shared" ref="BG46" si="65">EOMONTH(BF46,1)</f>
        <v>47603</v>
      </c>
      <c r="BH46" s="102">
        <f t="shared" ref="BH46" si="66">EOMONTH(BG46,1)</f>
        <v>47634</v>
      </c>
      <c r="BI46" s="102">
        <f t="shared" ref="BI46" si="67">EOMONTH(BH46,1)</f>
        <v>47664</v>
      </c>
      <c r="BJ46" s="102">
        <f t="shared" ref="BJ46" si="68">EOMONTH(BI46,1)</f>
        <v>47695</v>
      </c>
      <c r="BK46" s="102">
        <f t="shared" ref="BK46" si="69">EOMONTH(BJ46,1)</f>
        <v>47726</v>
      </c>
      <c r="BL46" s="102">
        <f t="shared" ref="BL46" si="70">EOMONTH(BK46,1)</f>
        <v>47756</v>
      </c>
      <c r="BM46" s="102">
        <f t="shared" ref="BM46" si="71">EOMONTH(BL46,1)</f>
        <v>47787</v>
      </c>
      <c r="BN46" s="102">
        <f t="shared" ref="BN46" si="72">EOMONTH(BM46,1)</f>
        <v>47817</v>
      </c>
      <c r="BO46" s="102">
        <f t="shared" ref="BO46" si="73">EOMONTH(BN46,1)</f>
        <v>47848</v>
      </c>
      <c r="BP46" s="93"/>
      <c r="BQ46" s="93"/>
      <c r="BR46" s="93"/>
      <c r="BS46" s="93"/>
      <c r="BT46" s="93"/>
      <c r="BU46" s="93"/>
      <c r="BV46" s="93"/>
      <c r="BW46" s="93"/>
      <c r="BX46" s="93"/>
      <c r="BY46" s="93"/>
      <c r="BZ46" s="93"/>
      <c r="CA46" s="93"/>
      <c r="CB46" s="93"/>
    </row>
    <row r="47" spans="2:80" s="104" customFormat="1" ht="19.5" customHeight="1" thickBot="1" x14ac:dyDescent="0.4">
      <c r="B47" s="128" t="s">
        <v>61</v>
      </c>
      <c r="C47" s="129" t="s">
        <v>138</v>
      </c>
      <c r="D47" s="130">
        <f>'Cost Overview'!I8</f>
        <v>3565.85</v>
      </c>
      <c r="E47" s="131">
        <f>D47-SUM(H47:BO47)</f>
        <v>0</v>
      </c>
      <c r="F47" s="132"/>
      <c r="G47" s="281"/>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3"/>
      <c r="BR47" s="93"/>
      <c r="BS47" s="93"/>
      <c r="BT47" s="93"/>
      <c r="BU47" s="93"/>
      <c r="BV47" s="93"/>
      <c r="BW47" s="93"/>
      <c r="BX47" s="93"/>
      <c r="BY47" s="93"/>
      <c r="BZ47" s="93"/>
      <c r="CA47" s="93"/>
      <c r="CB47" s="93"/>
    </row>
    <row r="48" spans="2:80" s="104" customFormat="1" ht="19.5" customHeight="1" thickBot="1" x14ac:dyDescent="0.4">
      <c r="B48" s="133" t="s">
        <v>139</v>
      </c>
      <c r="C48" s="134" t="s">
        <v>140</v>
      </c>
      <c r="D48" s="135">
        <f>'Cost Overview'!J8</f>
        <v>0</v>
      </c>
      <c r="E48" s="131">
        <f>D48-SUM(H48:BO48)</f>
        <v>0</v>
      </c>
      <c r="F48" s="136"/>
      <c r="G48" s="267"/>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3"/>
      <c r="BR48" s="93"/>
      <c r="BS48" s="93"/>
      <c r="BT48" s="93"/>
      <c r="BU48" s="93"/>
      <c r="BV48" s="93"/>
      <c r="BW48" s="93"/>
      <c r="BX48" s="93"/>
      <c r="BY48" s="93"/>
      <c r="BZ48" s="93"/>
      <c r="CA48" s="93"/>
      <c r="CB48" s="93"/>
    </row>
    <row r="49" spans="2:80" ht="25" customHeight="1" thickBot="1" x14ac:dyDescent="0.3">
      <c r="B49" s="98"/>
      <c r="C49" s="99"/>
      <c r="D49" s="109"/>
      <c r="E49" s="109"/>
      <c r="F49" s="109"/>
      <c r="G49" s="280"/>
      <c r="H49" s="110"/>
      <c r="I49" s="110"/>
      <c r="J49" s="110"/>
      <c r="K49" s="99"/>
      <c r="L49" s="99"/>
      <c r="M49" s="99"/>
      <c r="N49" s="99"/>
      <c r="O49" s="99"/>
      <c r="P49" s="99"/>
      <c r="Q49" s="99"/>
    </row>
    <row r="50" spans="2:80" ht="20.149999999999999" customHeight="1" thickBot="1" x14ac:dyDescent="0.35">
      <c r="B50" s="74" t="s">
        <v>63</v>
      </c>
      <c r="C50" s="99"/>
      <c r="D50" s="111" t="s">
        <v>141</v>
      </c>
      <c r="E50" s="111"/>
      <c r="F50" s="278">
        <f>'Cost Overview'!K8</f>
        <v>0</v>
      </c>
      <c r="G50" s="279"/>
      <c r="H50" s="275" t="s">
        <v>126</v>
      </c>
      <c r="I50" s="113"/>
      <c r="J50" s="114">
        <f>ROUND(F50-SUM(F61:BO61),2)</f>
        <v>0</v>
      </c>
      <c r="K50" s="99"/>
      <c r="L50" s="296" t="str">
        <f>IF(J50&lt;-0.005,"(!) El coste de GASTOS planificado es mayor que el de la BASELINE","")</f>
        <v/>
      </c>
      <c r="M50" s="296"/>
      <c r="N50" s="296"/>
      <c r="O50" s="296"/>
      <c r="P50" s="296"/>
      <c r="Q50" s="296"/>
      <c r="S50" s="99"/>
    </row>
    <row r="51" spans="2:80" ht="12" customHeight="1" x14ac:dyDescent="0.25">
      <c r="B51" s="98"/>
      <c r="C51" s="99"/>
      <c r="D51" s="109"/>
      <c r="E51" s="109"/>
      <c r="F51" s="109"/>
      <c r="G51" s="280"/>
      <c r="H51" s="99"/>
      <c r="I51" s="99"/>
      <c r="J51" s="99"/>
      <c r="K51" s="99"/>
      <c r="L51" s="99"/>
      <c r="M51" s="99"/>
      <c r="N51" s="99"/>
      <c r="O51" s="99"/>
      <c r="P51" s="99"/>
      <c r="Q51" s="99"/>
    </row>
    <row r="52" spans="2:80" s="103" customFormat="1" ht="35.15" customHeight="1" x14ac:dyDescent="0.25">
      <c r="B52" s="291" t="s">
        <v>142</v>
      </c>
      <c r="C52" s="291" t="s">
        <v>143</v>
      </c>
      <c r="D52" s="291" t="s">
        <v>144</v>
      </c>
      <c r="E52" s="291"/>
      <c r="F52" s="101" t="s">
        <v>145</v>
      </c>
      <c r="G52" s="101" t="s">
        <v>146</v>
      </c>
      <c r="H52" s="102">
        <f>'Project Infor'!C8</f>
        <v>46023</v>
      </c>
      <c r="I52" s="102">
        <f t="shared" ref="I52" si="74">EOMONTH(H52,1)</f>
        <v>46081</v>
      </c>
      <c r="J52" s="102">
        <f t="shared" ref="J52" si="75">EOMONTH(I52,1)</f>
        <v>46112</v>
      </c>
      <c r="K52" s="102">
        <f t="shared" ref="K52" si="76">EOMONTH(J52,1)</f>
        <v>46142</v>
      </c>
      <c r="L52" s="102">
        <f t="shared" ref="L52" si="77">EOMONTH(K52,1)</f>
        <v>46173</v>
      </c>
      <c r="M52" s="102">
        <f t="shared" ref="M52" si="78">EOMONTH(L52,1)</f>
        <v>46203</v>
      </c>
      <c r="N52" s="102">
        <f t="shared" ref="N52" si="79">EOMONTH(M52,1)</f>
        <v>46234</v>
      </c>
      <c r="O52" s="102">
        <f t="shared" ref="O52" si="80">EOMONTH(N52,1)</f>
        <v>46265</v>
      </c>
      <c r="P52" s="102">
        <f t="shared" ref="P52" si="81">EOMONTH(O52,1)</f>
        <v>46295</v>
      </c>
      <c r="Q52" s="102">
        <f t="shared" ref="Q52" si="82">EOMONTH(P52,1)</f>
        <v>46326</v>
      </c>
      <c r="R52" s="102">
        <f t="shared" ref="R52" si="83">EOMONTH(Q52,1)</f>
        <v>46356</v>
      </c>
      <c r="S52" s="102">
        <f t="shared" ref="S52" si="84">EOMONTH(R52,1)</f>
        <v>46387</v>
      </c>
      <c r="T52" s="102">
        <f t="shared" ref="T52" si="85">EOMONTH(S52,1)</f>
        <v>46418</v>
      </c>
      <c r="U52" s="102">
        <f t="shared" ref="U52" si="86">EOMONTH(T52,1)</f>
        <v>46446</v>
      </c>
      <c r="V52" s="102">
        <f t="shared" ref="V52" si="87">EOMONTH(U52,1)</f>
        <v>46477</v>
      </c>
      <c r="W52" s="102">
        <f t="shared" ref="W52" si="88">EOMONTH(V52,1)</f>
        <v>46507</v>
      </c>
      <c r="X52" s="102">
        <f t="shared" ref="X52" si="89">EOMONTH(W52,1)</f>
        <v>46538</v>
      </c>
      <c r="Y52" s="102">
        <f t="shared" ref="Y52" si="90">EOMONTH(X52,1)</f>
        <v>46568</v>
      </c>
      <c r="Z52" s="102">
        <f t="shared" ref="Z52" si="91">EOMONTH(Y52,1)</f>
        <v>46599</v>
      </c>
      <c r="AA52" s="102">
        <f t="shared" ref="AA52" si="92">EOMONTH(Z52,1)</f>
        <v>46630</v>
      </c>
      <c r="AB52" s="102">
        <f t="shared" ref="AB52" si="93">EOMONTH(AA52,1)</f>
        <v>46660</v>
      </c>
      <c r="AC52" s="102">
        <f t="shared" ref="AC52" si="94">EOMONTH(AB52,1)</f>
        <v>46691</v>
      </c>
      <c r="AD52" s="102">
        <f t="shared" ref="AD52" si="95">EOMONTH(AC52,1)</f>
        <v>46721</v>
      </c>
      <c r="AE52" s="102">
        <f t="shared" ref="AE52" si="96">EOMONTH(AD52,1)</f>
        <v>46752</v>
      </c>
      <c r="AF52" s="102">
        <f t="shared" ref="AF52" si="97">EOMONTH(AE52,1)</f>
        <v>46783</v>
      </c>
      <c r="AG52" s="102">
        <f t="shared" ref="AG52" si="98">EOMONTH(AF52,1)</f>
        <v>46812</v>
      </c>
      <c r="AH52" s="102">
        <f t="shared" ref="AH52" si="99">EOMONTH(AG52,1)</f>
        <v>46843</v>
      </c>
      <c r="AI52" s="102">
        <f t="shared" ref="AI52" si="100">EOMONTH(AH52,1)</f>
        <v>46873</v>
      </c>
      <c r="AJ52" s="102">
        <f t="shared" ref="AJ52" si="101">EOMONTH(AI52,1)</f>
        <v>46904</v>
      </c>
      <c r="AK52" s="102">
        <f t="shared" ref="AK52" si="102">EOMONTH(AJ52,1)</f>
        <v>46934</v>
      </c>
      <c r="AL52" s="102">
        <f t="shared" ref="AL52" si="103">EOMONTH(AK52,1)</f>
        <v>46965</v>
      </c>
      <c r="AM52" s="102">
        <f t="shared" ref="AM52" si="104">EOMONTH(AL52,1)</f>
        <v>46996</v>
      </c>
      <c r="AN52" s="102">
        <f t="shared" ref="AN52" si="105">EOMONTH(AM52,1)</f>
        <v>47026</v>
      </c>
      <c r="AO52" s="102">
        <f t="shared" ref="AO52" si="106">EOMONTH(AN52,1)</f>
        <v>47057</v>
      </c>
      <c r="AP52" s="102">
        <f t="shared" ref="AP52" si="107">EOMONTH(AO52,1)</f>
        <v>47087</v>
      </c>
      <c r="AQ52" s="102">
        <f t="shared" ref="AQ52" si="108">EOMONTH(AP52,1)</f>
        <v>47118</v>
      </c>
      <c r="AR52" s="102">
        <f t="shared" ref="AR52" si="109">EOMONTH(AQ52,1)</f>
        <v>47149</v>
      </c>
      <c r="AS52" s="102">
        <f t="shared" ref="AS52" si="110">EOMONTH(AR52,1)</f>
        <v>47177</v>
      </c>
      <c r="AT52" s="102">
        <f t="shared" ref="AT52" si="111">EOMONTH(AS52,1)</f>
        <v>47208</v>
      </c>
      <c r="AU52" s="102">
        <f t="shared" ref="AU52" si="112">EOMONTH(AT52,1)</f>
        <v>47238</v>
      </c>
      <c r="AV52" s="102">
        <f t="shared" ref="AV52" si="113">EOMONTH(AU52,1)</f>
        <v>47269</v>
      </c>
      <c r="AW52" s="102">
        <f t="shared" ref="AW52" si="114">EOMONTH(AV52,1)</f>
        <v>47299</v>
      </c>
      <c r="AX52" s="102">
        <f t="shared" ref="AX52" si="115">EOMONTH(AW52,1)</f>
        <v>47330</v>
      </c>
      <c r="AY52" s="102">
        <f t="shared" ref="AY52" si="116">EOMONTH(AX52,1)</f>
        <v>47361</v>
      </c>
      <c r="AZ52" s="102">
        <f t="shared" ref="AZ52" si="117">EOMONTH(AY52,1)</f>
        <v>47391</v>
      </c>
      <c r="BA52" s="102">
        <f t="shared" ref="BA52" si="118">EOMONTH(AZ52,1)</f>
        <v>47422</v>
      </c>
      <c r="BB52" s="102">
        <f t="shared" ref="BB52" si="119">EOMONTH(BA52,1)</f>
        <v>47452</v>
      </c>
      <c r="BC52" s="102">
        <f t="shared" ref="BC52" si="120">EOMONTH(BB52,1)</f>
        <v>47483</v>
      </c>
      <c r="BD52" s="102">
        <f t="shared" ref="BD52" si="121">EOMONTH(BC52,1)</f>
        <v>47514</v>
      </c>
      <c r="BE52" s="102">
        <f t="shared" ref="BE52" si="122">EOMONTH(BD52,1)</f>
        <v>47542</v>
      </c>
      <c r="BF52" s="102">
        <f t="shared" ref="BF52" si="123">EOMONTH(BE52,1)</f>
        <v>47573</v>
      </c>
      <c r="BG52" s="102">
        <f t="shared" ref="BG52" si="124">EOMONTH(BF52,1)</f>
        <v>47603</v>
      </c>
      <c r="BH52" s="102">
        <f t="shared" ref="BH52" si="125">EOMONTH(BG52,1)</f>
        <v>47634</v>
      </c>
      <c r="BI52" s="102">
        <f t="shared" ref="BI52" si="126">EOMONTH(BH52,1)</f>
        <v>47664</v>
      </c>
      <c r="BJ52" s="102">
        <f t="shared" ref="BJ52" si="127">EOMONTH(BI52,1)</f>
        <v>47695</v>
      </c>
      <c r="BK52" s="102">
        <f t="shared" ref="BK52" si="128">EOMONTH(BJ52,1)</f>
        <v>47726</v>
      </c>
      <c r="BL52" s="102">
        <f t="shared" ref="BL52" si="129">EOMONTH(BK52,1)</f>
        <v>47756</v>
      </c>
      <c r="BM52" s="102">
        <f t="shared" ref="BM52" si="130">EOMONTH(BL52,1)</f>
        <v>47787</v>
      </c>
      <c r="BN52" s="102">
        <f t="shared" ref="BN52" si="131">EOMONTH(BM52,1)</f>
        <v>47817</v>
      </c>
      <c r="BO52" s="102">
        <f t="shared" ref="BO52" si="132">EOMONTH(BN52,1)</f>
        <v>47848</v>
      </c>
      <c r="BP52" s="93"/>
      <c r="BQ52" s="93"/>
      <c r="BR52" s="93"/>
      <c r="BS52" s="93"/>
      <c r="BT52" s="93"/>
      <c r="BU52" s="93"/>
      <c r="BV52" s="93"/>
      <c r="BW52" s="93"/>
      <c r="BX52" s="93"/>
      <c r="BY52" s="93"/>
      <c r="BZ52" s="93"/>
      <c r="CA52" s="93"/>
      <c r="CB52" s="93"/>
    </row>
    <row r="53" spans="2:80" s="104"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87">
        <f>1/(1-G53)</f>
        <v>1</v>
      </c>
      <c r="BQ53" s="93"/>
      <c r="BR53" s="93"/>
      <c r="BS53" s="93"/>
      <c r="BT53" s="93"/>
      <c r="BU53" s="93"/>
      <c r="BV53" s="93"/>
      <c r="BW53" s="93"/>
      <c r="BX53" s="93"/>
      <c r="BY53" s="93"/>
      <c r="BZ53" s="93"/>
      <c r="CA53" s="93"/>
      <c r="CB53" s="93"/>
    </row>
    <row r="54" spans="2:80" s="104"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87">
        <f t="shared" ref="BP54:BP60" si="133">1/(1-G54)</f>
        <v>1</v>
      </c>
      <c r="BQ54" s="93"/>
      <c r="BR54" s="93"/>
      <c r="BS54" s="93"/>
      <c r="BT54" s="93"/>
      <c r="BU54" s="93"/>
      <c r="BV54" s="93"/>
      <c r="BW54" s="93"/>
      <c r="BX54" s="93"/>
      <c r="BY54" s="93"/>
      <c r="BZ54" s="93"/>
      <c r="CA54" s="93"/>
      <c r="CB54" s="93"/>
    </row>
    <row r="55" spans="2:80" s="104"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87">
        <f t="shared" si="133"/>
        <v>1</v>
      </c>
      <c r="BQ55" s="93"/>
      <c r="BR55" s="93"/>
      <c r="BS55" s="93"/>
      <c r="BT55" s="93"/>
      <c r="BU55" s="93"/>
      <c r="BV55" s="93"/>
      <c r="BW55" s="93"/>
      <c r="BX55" s="93"/>
      <c r="BY55" s="93"/>
      <c r="BZ55" s="93"/>
      <c r="CA55" s="93"/>
      <c r="CB55" s="93"/>
    </row>
    <row r="56" spans="2:80" s="104"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87">
        <f t="shared" si="133"/>
        <v>1</v>
      </c>
      <c r="BQ56" s="93"/>
      <c r="BR56" s="93"/>
      <c r="BS56" s="93"/>
      <c r="BT56" s="93"/>
      <c r="BU56" s="93"/>
      <c r="BV56" s="93"/>
      <c r="BW56" s="93"/>
      <c r="BX56" s="93"/>
      <c r="BY56" s="93"/>
      <c r="BZ56" s="93"/>
      <c r="CA56" s="93"/>
      <c r="CB56" s="93"/>
    </row>
    <row r="57" spans="2:80" s="104"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87">
        <f t="shared" si="133"/>
        <v>1</v>
      </c>
      <c r="BQ57" s="93"/>
      <c r="BR57" s="93"/>
      <c r="BS57" s="93"/>
      <c r="BT57" s="93"/>
      <c r="BU57" s="93"/>
      <c r="BV57" s="93"/>
      <c r="BW57" s="93"/>
      <c r="BX57" s="93"/>
      <c r="BY57" s="93"/>
      <c r="BZ57" s="93"/>
      <c r="CA57" s="93"/>
      <c r="CB57" s="93"/>
    </row>
    <row r="58" spans="2:80" s="104"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87">
        <f t="shared" si="133"/>
        <v>1</v>
      </c>
      <c r="BQ58" s="93"/>
      <c r="BR58" s="93"/>
      <c r="BS58" s="93"/>
      <c r="BT58" s="93"/>
      <c r="BU58" s="93"/>
      <c r="BV58" s="93"/>
      <c r="BW58" s="93"/>
      <c r="BX58" s="93"/>
      <c r="BY58" s="93"/>
      <c r="BZ58" s="93"/>
      <c r="CA58" s="93"/>
      <c r="CB58" s="93"/>
    </row>
    <row r="59" spans="2:80" s="104"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87">
        <f t="shared" si="133"/>
        <v>1</v>
      </c>
      <c r="BQ59" s="288"/>
      <c r="BR59" s="93"/>
      <c r="BS59" s="93"/>
      <c r="BT59" s="93"/>
      <c r="BU59" s="93"/>
      <c r="BV59" s="93"/>
      <c r="BW59" s="93"/>
      <c r="BX59" s="93"/>
      <c r="BY59" s="93"/>
      <c r="BZ59" s="93"/>
      <c r="CA59" s="93"/>
      <c r="CB59" s="93"/>
    </row>
    <row r="60" spans="2:80" s="104"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87">
        <f t="shared" si="133"/>
        <v>1</v>
      </c>
      <c r="BQ60" s="93"/>
      <c r="BR60" s="93"/>
      <c r="BS60" s="93"/>
      <c r="BT60" s="93"/>
      <c r="BU60" s="93"/>
      <c r="BV60" s="93"/>
      <c r="BW60" s="93"/>
      <c r="BX60" s="93"/>
      <c r="BY60" s="93"/>
      <c r="BZ60" s="93"/>
      <c r="CA60" s="93"/>
      <c r="CB60" s="93"/>
    </row>
    <row r="61" spans="2:80" ht="20.149999999999999" customHeight="1" x14ac:dyDescent="0.25">
      <c r="B61" s="117" t="s">
        <v>147</v>
      </c>
      <c r="C61" s="118"/>
      <c r="D61" s="119"/>
      <c r="E61" s="119"/>
      <c r="F61" s="120"/>
      <c r="G61" s="120"/>
      <c r="H61" s="120">
        <f t="shared" ref="H61:AD61" si="134">SUM(H53:H60)</f>
        <v>0</v>
      </c>
      <c r="I61" s="120">
        <f t="shared" si="134"/>
        <v>0</v>
      </c>
      <c r="J61" s="120">
        <f t="shared" si="134"/>
        <v>0</v>
      </c>
      <c r="K61" s="120">
        <f t="shared" si="134"/>
        <v>0</v>
      </c>
      <c r="L61" s="120">
        <f t="shared" si="134"/>
        <v>0</v>
      </c>
      <c r="M61" s="120">
        <f t="shared" si="134"/>
        <v>0</v>
      </c>
      <c r="N61" s="120">
        <f t="shared" si="134"/>
        <v>0</v>
      </c>
      <c r="O61" s="120">
        <f t="shared" si="134"/>
        <v>0</v>
      </c>
      <c r="P61" s="120">
        <f t="shared" si="134"/>
        <v>0</v>
      </c>
      <c r="Q61" s="120">
        <f>SUM(Q53:Q60)</f>
        <v>0</v>
      </c>
      <c r="R61" s="120">
        <f t="shared" si="134"/>
        <v>0</v>
      </c>
      <c r="S61" s="120">
        <f t="shared" si="134"/>
        <v>0</v>
      </c>
      <c r="T61" s="120">
        <f t="shared" si="134"/>
        <v>0</v>
      </c>
      <c r="U61" s="120">
        <f t="shared" si="134"/>
        <v>0</v>
      </c>
      <c r="V61" s="120">
        <f>SUM(V53:V60)</f>
        <v>0</v>
      </c>
      <c r="W61" s="120">
        <f t="shared" si="134"/>
        <v>0</v>
      </c>
      <c r="X61" s="120">
        <f t="shared" si="134"/>
        <v>0</v>
      </c>
      <c r="Y61" s="120">
        <f t="shared" si="134"/>
        <v>0</v>
      </c>
      <c r="Z61" s="120">
        <f t="shared" si="134"/>
        <v>0</v>
      </c>
      <c r="AA61" s="120">
        <f t="shared" si="134"/>
        <v>0</v>
      </c>
      <c r="AB61" s="120">
        <f t="shared" si="134"/>
        <v>0</v>
      </c>
      <c r="AC61" s="120">
        <f t="shared" si="134"/>
        <v>0</v>
      </c>
      <c r="AD61" s="120">
        <f t="shared" si="134"/>
        <v>0</v>
      </c>
      <c r="AE61" s="120">
        <f t="shared" ref="AE61" si="135">SUM(AE53:AE60)</f>
        <v>0</v>
      </c>
      <c r="AF61" s="120">
        <f t="shared" ref="AF61:BO61" si="136">SUM(AF53:AF60)</f>
        <v>0</v>
      </c>
      <c r="AG61" s="120">
        <f t="shared" si="136"/>
        <v>0</v>
      </c>
      <c r="AH61" s="120">
        <f t="shared" si="136"/>
        <v>0</v>
      </c>
      <c r="AI61" s="120">
        <f t="shared" si="136"/>
        <v>0</v>
      </c>
      <c r="AJ61" s="120">
        <f t="shared" si="136"/>
        <v>0</v>
      </c>
      <c r="AK61" s="120">
        <f t="shared" si="136"/>
        <v>0</v>
      </c>
      <c r="AL61" s="120">
        <f t="shared" si="136"/>
        <v>0</v>
      </c>
      <c r="AM61" s="120">
        <f t="shared" si="136"/>
        <v>0</v>
      </c>
      <c r="AN61" s="120">
        <f t="shared" si="136"/>
        <v>0</v>
      </c>
      <c r="AO61" s="120">
        <f t="shared" si="136"/>
        <v>0</v>
      </c>
      <c r="AP61" s="120">
        <f t="shared" si="136"/>
        <v>0</v>
      </c>
      <c r="AQ61" s="120">
        <f t="shared" si="136"/>
        <v>0</v>
      </c>
      <c r="AR61" s="120">
        <f t="shared" si="136"/>
        <v>0</v>
      </c>
      <c r="AS61" s="120">
        <f t="shared" si="136"/>
        <v>0</v>
      </c>
      <c r="AT61" s="120">
        <f t="shared" si="136"/>
        <v>0</v>
      </c>
      <c r="AU61" s="120">
        <f t="shared" si="136"/>
        <v>0</v>
      </c>
      <c r="AV61" s="120">
        <f t="shared" si="136"/>
        <v>0</v>
      </c>
      <c r="AW61" s="120">
        <f t="shared" si="136"/>
        <v>0</v>
      </c>
      <c r="AX61" s="120">
        <f t="shared" si="136"/>
        <v>0</v>
      </c>
      <c r="AY61" s="120">
        <f t="shared" si="136"/>
        <v>0</v>
      </c>
      <c r="AZ61" s="120">
        <f t="shared" si="136"/>
        <v>0</v>
      </c>
      <c r="BA61" s="120">
        <f t="shared" si="136"/>
        <v>0</v>
      </c>
      <c r="BB61" s="120">
        <f t="shared" si="136"/>
        <v>0</v>
      </c>
      <c r="BC61" s="120">
        <f t="shared" si="136"/>
        <v>0</v>
      </c>
      <c r="BD61" s="120">
        <f t="shared" si="136"/>
        <v>0</v>
      </c>
      <c r="BE61" s="120">
        <f t="shared" si="136"/>
        <v>0</v>
      </c>
      <c r="BF61" s="120">
        <f t="shared" si="136"/>
        <v>0</v>
      </c>
      <c r="BG61" s="120">
        <f t="shared" si="136"/>
        <v>0</v>
      </c>
      <c r="BH61" s="120">
        <f t="shared" si="136"/>
        <v>0</v>
      </c>
      <c r="BI61" s="120">
        <f t="shared" si="136"/>
        <v>0</v>
      </c>
      <c r="BJ61" s="120">
        <f t="shared" si="136"/>
        <v>0</v>
      </c>
      <c r="BK61" s="120">
        <f t="shared" si="136"/>
        <v>0</v>
      </c>
      <c r="BL61" s="120">
        <f t="shared" si="136"/>
        <v>0</v>
      </c>
      <c r="BM61" s="120">
        <f t="shared" si="136"/>
        <v>0</v>
      </c>
      <c r="BN61" s="120">
        <f t="shared" si="136"/>
        <v>0</v>
      </c>
      <c r="BO61" s="120">
        <f t="shared" si="136"/>
        <v>0</v>
      </c>
    </row>
    <row r="62" spans="2:80" ht="20.149999999999999" customHeight="1" x14ac:dyDescent="0.25">
      <c r="B62" s="121" t="s">
        <v>148</v>
      </c>
      <c r="C62" s="122"/>
      <c r="D62" s="123"/>
      <c r="E62" s="123"/>
      <c r="F62" s="120"/>
      <c r="G62" s="120"/>
      <c r="H62" s="282" cm="1">
        <f t="array" ref="H62">SUMPRODUCT(($F$53:$F$60="SI")*1,$BP$53:$BP$60,H53:H60)</f>
        <v>0</v>
      </c>
      <c r="I62" s="282" cm="1">
        <f t="array" ref="I62">SUMPRODUCT(($F$53:$F$60="SI")*1,$BP$53:$BP$60,I53:I60)</f>
        <v>0</v>
      </c>
      <c r="J62" s="282" cm="1">
        <f t="array" ref="J62">SUMPRODUCT(($F$53:$F$60="SI")*1,$BP$53:$BP$60,J53:J60)</f>
        <v>0</v>
      </c>
      <c r="K62" s="282" cm="1">
        <f t="array" ref="K62">SUMPRODUCT(($F$53:$F$60="SI")*1,$BP$53:$BP$60,K53:K60)</f>
        <v>0</v>
      </c>
      <c r="L62" s="282" cm="1">
        <f t="array" ref="L62">SUMPRODUCT(($F$53:$F$60="SI")*1,$BP$53:$BP$60,L53:L60)</f>
        <v>0</v>
      </c>
      <c r="M62" s="282" cm="1">
        <f t="array" ref="M62">SUMPRODUCT(($F$53:$F$60="SI")*1,$BP$53:$BP$60,M53:M60)</f>
        <v>0</v>
      </c>
      <c r="N62" s="282" cm="1">
        <f t="array" ref="N62">SUMPRODUCT(($F$53:$F$60="SI")*1,$BP$53:$BP$60,N53:N60)</f>
        <v>0</v>
      </c>
      <c r="O62" s="282" cm="1">
        <f t="array" ref="O62">SUMPRODUCT(($F$53:$F$60="SI")*1,$BP$53:$BP$60,O53:O60)</f>
        <v>0</v>
      </c>
      <c r="P62" s="282" cm="1">
        <f t="array" ref="P62">SUMPRODUCT(($F$53:$F$60="SI")*1,$BP$53:$BP$60,P53:P60)</f>
        <v>0</v>
      </c>
      <c r="Q62" s="282" cm="1">
        <f t="array" ref="Q62">SUMPRODUCT(($F$53:$F$60="SI")*1,$BP$53:$BP$60,Q53:Q60)</f>
        <v>0</v>
      </c>
      <c r="R62" s="282" cm="1">
        <f t="array" ref="R62">SUMPRODUCT(($F$53:$F$60="SI")*1,$BP$53:$BP$60,R53:R60)</f>
        <v>0</v>
      </c>
      <c r="S62" s="282" cm="1">
        <f t="array" ref="S62">SUMPRODUCT(($F$53:$F$60="SI")*1,$BP$53:$BP$60,S53:S60)</f>
        <v>0</v>
      </c>
      <c r="T62" s="282" cm="1">
        <f t="array" ref="T62">SUMPRODUCT(($F$53:$F$60="SI")*1,$BP$53:$BP$60,T53:T60)</f>
        <v>0</v>
      </c>
      <c r="U62" s="282" cm="1">
        <f t="array" ref="U62">SUMPRODUCT(($F$53:$F$60="SI")*1,$BP$53:$BP$60,U53:U60)</f>
        <v>0</v>
      </c>
      <c r="V62" s="282" cm="1">
        <f t="array" ref="V62">SUMPRODUCT(($F$53:$F$60="SI")*1,$BP$53:$BP$60,V53:V60)</f>
        <v>0</v>
      </c>
      <c r="W62" s="282" cm="1">
        <f t="array" ref="W62">SUMPRODUCT(($F$53:$F$60="SI")*1,$BP$53:$BP$60,W53:W60)</f>
        <v>0</v>
      </c>
      <c r="X62" s="282" cm="1">
        <f t="array" ref="X62">SUMPRODUCT(($F$53:$F$60="SI")*1,$BP$53:$BP$60,X53:X60)</f>
        <v>0</v>
      </c>
      <c r="Y62" s="282" cm="1">
        <f t="array" ref="Y62">SUMPRODUCT(($F$53:$F$60="SI")*1,$BP$53:$BP$60,Y53:Y60)</f>
        <v>0</v>
      </c>
      <c r="Z62" s="282" cm="1">
        <f t="array" ref="Z62">SUMPRODUCT(($F$53:$F$60="SI")*1,$BP$53:$BP$60,Z53:Z60)</f>
        <v>0</v>
      </c>
      <c r="AA62" s="282" cm="1">
        <f t="array" ref="AA62">SUMPRODUCT(($F$53:$F$60="SI")*1,$BP$53:$BP$60,AA53:AA60)</f>
        <v>0</v>
      </c>
      <c r="AB62" s="282" cm="1">
        <f t="array" ref="AB62">SUMPRODUCT(($F$53:$F$60="SI")*1,$BP$53:$BP$60,AB53:AB60)</f>
        <v>0</v>
      </c>
      <c r="AC62" s="282" cm="1">
        <f t="array" ref="AC62">SUMPRODUCT(($F$53:$F$60="SI")*1,$BP$53:$BP$60,AC53:AC60)</f>
        <v>0</v>
      </c>
      <c r="AD62" s="282" cm="1">
        <f t="array" ref="AD62">SUMPRODUCT(($F$53:$F$60="SI")*1,$BP$53:$BP$60,AD53:AD60)</f>
        <v>0</v>
      </c>
      <c r="AE62" s="282" cm="1">
        <f t="array" ref="AE62">SUMPRODUCT(($F$53:$F$60="SI")*1,$BP$53:$BP$60,AE53:AE60)</f>
        <v>0</v>
      </c>
      <c r="AF62" s="282" cm="1">
        <f t="array" ref="AF62">SUMPRODUCT(($F$53:$F$60="SI")*1,$BP$53:$BP$60,AF53:AF60)</f>
        <v>0</v>
      </c>
      <c r="AG62" s="282" cm="1">
        <f t="array" ref="AG62">SUMPRODUCT(($F$53:$F$60="SI")*1,$BP$53:$BP$60,AG53:AG60)</f>
        <v>0</v>
      </c>
      <c r="AH62" s="282" cm="1">
        <f t="array" ref="AH62">SUMPRODUCT(($F$53:$F$60="SI")*1,$BP$53:$BP$60,AH53:AH60)</f>
        <v>0</v>
      </c>
      <c r="AI62" s="282" cm="1">
        <f t="array" ref="AI62">SUMPRODUCT(($F$53:$F$60="SI")*1,$BP$53:$BP$60,AI53:AI60)</f>
        <v>0</v>
      </c>
      <c r="AJ62" s="282" cm="1">
        <f t="array" ref="AJ62">SUMPRODUCT(($F$53:$F$60="SI")*1,$BP$53:$BP$60,AJ53:AJ60)</f>
        <v>0</v>
      </c>
      <c r="AK62" s="282" cm="1">
        <f t="array" ref="AK62">SUMPRODUCT(($F$53:$F$60="SI")*1,$BP$53:$BP$60,AK53:AK60)</f>
        <v>0</v>
      </c>
      <c r="AL62" s="282" cm="1">
        <f t="array" ref="AL62">SUMPRODUCT(($F$53:$F$60="SI")*1,$BP$53:$BP$60,AL53:AL60)</f>
        <v>0</v>
      </c>
      <c r="AM62" s="282" cm="1">
        <f t="array" ref="AM62">SUMPRODUCT(($F$53:$F$60="SI")*1,$BP$53:$BP$60,AM53:AM60)</f>
        <v>0</v>
      </c>
      <c r="AN62" s="282" cm="1">
        <f t="array" ref="AN62">SUMPRODUCT(($F$53:$F$60="SI")*1,$BP$53:$BP$60,AN53:AN60)</f>
        <v>0</v>
      </c>
      <c r="AO62" s="282" cm="1">
        <f t="array" ref="AO62">SUMPRODUCT(($F$53:$F$60="SI")*1,$BP$53:$BP$60,AO53:AO60)</f>
        <v>0</v>
      </c>
      <c r="AP62" s="282" cm="1">
        <f t="array" ref="AP62">SUMPRODUCT(($F$53:$F$60="SI")*1,$BP$53:$BP$60,AP53:AP60)</f>
        <v>0</v>
      </c>
      <c r="AQ62" s="282" cm="1">
        <f t="array" ref="AQ62">SUMPRODUCT(($F$53:$F$60="SI")*1,$BP$53:$BP$60,AQ53:AQ60)</f>
        <v>0</v>
      </c>
      <c r="AR62" s="282" cm="1">
        <f t="array" ref="AR62">SUMPRODUCT(($F$53:$F$60="SI")*1,$BP$53:$BP$60,AR53:AR60)</f>
        <v>0</v>
      </c>
      <c r="AS62" s="282" cm="1">
        <f t="array" ref="AS62">SUMPRODUCT(($F$53:$F$60="SI")*1,$BP$53:$BP$60,AS53:AS60)</f>
        <v>0</v>
      </c>
      <c r="AT62" s="282" cm="1">
        <f t="array" ref="AT62">SUMPRODUCT(($F$53:$F$60="SI")*1,$BP$53:$BP$60,AT53:AT60)</f>
        <v>0</v>
      </c>
      <c r="AU62" s="282" cm="1">
        <f t="array" ref="AU62">SUMPRODUCT(($F$53:$F$60="SI")*1,$BP$53:$BP$60,AU53:AU60)</f>
        <v>0</v>
      </c>
      <c r="AV62" s="282" cm="1">
        <f t="array" ref="AV62">SUMPRODUCT(($F$53:$F$60="SI")*1,$BP$53:$BP$60,AV53:AV60)</f>
        <v>0</v>
      </c>
      <c r="AW62" s="282" cm="1">
        <f t="array" ref="AW62">SUMPRODUCT(($F$53:$F$60="SI")*1,$BP$53:$BP$60,AW53:AW60)</f>
        <v>0</v>
      </c>
      <c r="AX62" s="282" cm="1">
        <f t="array" ref="AX62">SUMPRODUCT(($F$53:$F$60="SI")*1,$BP$53:$BP$60,AX53:AX60)</f>
        <v>0</v>
      </c>
      <c r="AY62" s="282" cm="1">
        <f t="array" ref="AY62">SUMPRODUCT(($F$53:$F$60="SI")*1,$BP$53:$BP$60,AY53:AY60)</f>
        <v>0</v>
      </c>
      <c r="AZ62" s="282" cm="1">
        <f t="array" ref="AZ62">SUMPRODUCT(($F$53:$F$60="SI")*1,$BP$53:$BP$60,AZ53:AZ60)</f>
        <v>0</v>
      </c>
      <c r="BA62" s="282" cm="1">
        <f t="array" ref="BA62">SUMPRODUCT(($F$53:$F$60="SI")*1,$BP$53:$BP$60,BA53:BA60)</f>
        <v>0</v>
      </c>
      <c r="BB62" s="282" cm="1">
        <f t="array" ref="BB62">SUMPRODUCT(($F$53:$F$60="SI")*1,$BP$53:$BP$60,BB53:BB60)</f>
        <v>0</v>
      </c>
      <c r="BC62" s="282" cm="1">
        <f t="array" ref="BC62">SUMPRODUCT(($F$53:$F$60="SI")*1,$BP$53:$BP$60,BC53:BC60)</f>
        <v>0</v>
      </c>
      <c r="BD62" s="282" cm="1">
        <f t="array" ref="BD62">SUMPRODUCT(($F$53:$F$60="SI")*1,$BP$53:$BP$60,BD53:BD60)</f>
        <v>0</v>
      </c>
      <c r="BE62" s="282" cm="1">
        <f t="array" ref="BE62">SUMPRODUCT(($F$53:$F$60="SI")*1,$BP$53:$BP$60,BE53:BE60)</f>
        <v>0</v>
      </c>
      <c r="BF62" s="282" cm="1">
        <f t="array" ref="BF62">SUMPRODUCT(($F$53:$F$60="SI")*1,$BP$53:$BP$60,BF53:BF60)</f>
        <v>0</v>
      </c>
      <c r="BG62" s="282" cm="1">
        <f t="array" ref="BG62">SUMPRODUCT(($F$53:$F$60="SI")*1,$BP$53:$BP$60,BG53:BG60)</f>
        <v>0</v>
      </c>
      <c r="BH62" s="282" cm="1">
        <f t="array" ref="BH62">SUMPRODUCT(($F$53:$F$60="SI")*1,$BP$53:$BP$60,BH53:BH60)</f>
        <v>0</v>
      </c>
      <c r="BI62" s="282" cm="1">
        <f t="array" ref="BI62">SUMPRODUCT(($F$53:$F$60="SI")*1,$BP$53:$BP$60,BI53:BI60)</f>
        <v>0</v>
      </c>
      <c r="BJ62" s="282" cm="1">
        <f t="array" ref="BJ62">SUMPRODUCT(($F$53:$F$60="SI")*1,$BP$53:$BP$60,BJ53:BJ60)</f>
        <v>0</v>
      </c>
      <c r="BK62" s="282" cm="1">
        <f t="array" ref="BK62">SUMPRODUCT(($F$53:$F$60="SI")*1,$BP$53:$BP$60,BK53:BK60)</f>
        <v>0</v>
      </c>
      <c r="BL62" s="282" cm="1">
        <f t="array" ref="BL62">SUMPRODUCT(($F$53:$F$60="SI")*1,$BP$53:$BP$60,BL53:BL60)</f>
        <v>0</v>
      </c>
      <c r="BM62" s="282" cm="1">
        <f t="array" ref="BM62">SUMPRODUCT(($F$53:$F$60="SI")*1,$BP$53:$BP$60,BM53:BM60)</f>
        <v>0</v>
      </c>
      <c r="BN62" s="282" cm="1">
        <f t="array" ref="BN62">SUMPRODUCT(($F$53:$F$60="SI")*1,$BP$53:$BP$60,BN53:BN60)</f>
        <v>0</v>
      </c>
      <c r="BO62" s="282" cm="1">
        <f t="array" ref="BO62">SUMPRODUCT(($F$53:$F$60="SI")*1,$BP$53:$BP$60,BO53:BO60)</f>
        <v>0</v>
      </c>
    </row>
    <row r="63" spans="2:80" ht="25" customHeight="1" thickBot="1" x14ac:dyDescent="0.3">
      <c r="B63" s="98"/>
      <c r="C63" s="99"/>
      <c r="D63" s="109"/>
      <c r="E63" s="109"/>
      <c r="F63" s="109"/>
      <c r="G63" s="109"/>
      <c r="H63" s="137"/>
      <c r="I63" s="137"/>
      <c r="J63" s="137"/>
      <c r="K63" s="99"/>
      <c r="L63" s="99"/>
      <c r="M63" s="99"/>
      <c r="N63" s="99"/>
      <c r="O63" s="99"/>
      <c r="P63" s="99"/>
      <c r="Q63" s="99"/>
    </row>
    <row r="64" spans="2:80" ht="20.149999999999999" customHeight="1" thickBot="1" x14ac:dyDescent="0.35">
      <c r="B64" s="74" t="s">
        <v>64</v>
      </c>
      <c r="C64" s="99"/>
      <c r="D64" s="111" t="s">
        <v>149</v>
      </c>
      <c r="E64" s="111"/>
      <c r="F64" s="278">
        <f>'Cost Overview'!L8</f>
        <v>0</v>
      </c>
      <c r="G64" s="279"/>
      <c r="H64" s="277" t="s">
        <v>126</v>
      </c>
      <c r="I64" s="276"/>
      <c r="J64" s="114">
        <f>ROUND(F64-SUM(F77:BO77),2)</f>
        <v>0</v>
      </c>
      <c r="K64" s="99"/>
      <c r="L64" s="296" t="str">
        <f>IF(J64&lt;-0.005,"(!) El coste de COMPRAS planificado es mayor que el de la BASELINE","")</f>
        <v/>
      </c>
      <c r="M64" s="296"/>
      <c r="N64" s="296"/>
      <c r="O64" s="296"/>
      <c r="P64" s="296"/>
      <c r="Q64" s="296"/>
      <c r="S64" s="99"/>
    </row>
    <row r="65" spans="2:80" ht="12" customHeight="1" x14ac:dyDescent="0.25">
      <c r="B65" s="98"/>
      <c r="C65" s="99"/>
      <c r="D65" s="109"/>
      <c r="E65" s="109"/>
      <c r="F65" s="109"/>
      <c r="G65" s="280"/>
      <c r="H65" s="99"/>
      <c r="I65" s="99"/>
      <c r="J65" s="99"/>
      <c r="K65" s="99"/>
      <c r="L65" s="99"/>
      <c r="M65" s="99"/>
      <c r="N65" s="99"/>
      <c r="O65" s="99"/>
      <c r="P65" s="99"/>
      <c r="Q65" s="99"/>
    </row>
    <row r="66" spans="2:80" s="103" customFormat="1" ht="35.15" customHeight="1" x14ac:dyDescent="0.25">
      <c r="B66" s="291" t="s">
        <v>150</v>
      </c>
      <c r="C66" s="291" t="s">
        <v>151</v>
      </c>
      <c r="D66" s="291" t="s">
        <v>152</v>
      </c>
      <c r="E66" s="291" t="s">
        <v>153</v>
      </c>
      <c r="F66" s="101" t="s">
        <v>145</v>
      </c>
      <c r="G66" s="101" t="s">
        <v>146</v>
      </c>
      <c r="H66" s="102">
        <f>'Project Infor'!C8</f>
        <v>46023</v>
      </c>
      <c r="I66" s="102">
        <f t="shared" ref="I66" si="137">EOMONTH(H66,1)</f>
        <v>46081</v>
      </c>
      <c r="J66" s="102">
        <f t="shared" ref="J66" si="138">EOMONTH(I66,1)</f>
        <v>46112</v>
      </c>
      <c r="K66" s="102">
        <f t="shared" ref="K66" si="139">EOMONTH(J66,1)</f>
        <v>46142</v>
      </c>
      <c r="L66" s="102">
        <f t="shared" ref="L66" si="140">EOMONTH(K66,1)</f>
        <v>46173</v>
      </c>
      <c r="M66" s="102">
        <f t="shared" ref="M66" si="141">EOMONTH(L66,1)</f>
        <v>46203</v>
      </c>
      <c r="N66" s="102">
        <f t="shared" ref="N66" si="142">EOMONTH(M66,1)</f>
        <v>46234</v>
      </c>
      <c r="O66" s="102">
        <f t="shared" ref="O66" si="143">EOMONTH(N66,1)</f>
        <v>46265</v>
      </c>
      <c r="P66" s="102">
        <f t="shared" ref="P66" si="144">EOMONTH(O66,1)</f>
        <v>46295</v>
      </c>
      <c r="Q66" s="102">
        <f t="shared" ref="Q66" si="145">EOMONTH(P66,1)</f>
        <v>46326</v>
      </c>
      <c r="R66" s="102">
        <f t="shared" ref="R66" si="146">EOMONTH(Q66,1)</f>
        <v>46356</v>
      </c>
      <c r="S66" s="102">
        <f t="shared" ref="S66" si="147">EOMONTH(R66,1)</f>
        <v>46387</v>
      </c>
      <c r="T66" s="102">
        <f t="shared" ref="T66" si="148">EOMONTH(S66,1)</f>
        <v>46418</v>
      </c>
      <c r="U66" s="102">
        <f t="shared" ref="U66" si="149">EOMONTH(T66,1)</f>
        <v>46446</v>
      </c>
      <c r="V66" s="102">
        <f t="shared" ref="V66" si="150">EOMONTH(U66,1)</f>
        <v>46477</v>
      </c>
      <c r="W66" s="102">
        <f t="shared" ref="W66" si="151">EOMONTH(V66,1)</f>
        <v>46507</v>
      </c>
      <c r="X66" s="102">
        <f t="shared" ref="X66" si="152">EOMONTH(W66,1)</f>
        <v>46538</v>
      </c>
      <c r="Y66" s="102">
        <f t="shared" ref="Y66" si="153">EOMONTH(X66,1)</f>
        <v>46568</v>
      </c>
      <c r="Z66" s="102">
        <f t="shared" ref="Z66" si="154">EOMONTH(Y66,1)</f>
        <v>46599</v>
      </c>
      <c r="AA66" s="102">
        <f t="shared" ref="AA66" si="155">EOMONTH(Z66,1)</f>
        <v>46630</v>
      </c>
      <c r="AB66" s="102">
        <f t="shared" ref="AB66" si="156">EOMONTH(AA66,1)</f>
        <v>46660</v>
      </c>
      <c r="AC66" s="102">
        <f t="shared" ref="AC66" si="157">EOMONTH(AB66,1)</f>
        <v>46691</v>
      </c>
      <c r="AD66" s="102">
        <f t="shared" ref="AD66" si="158">EOMONTH(AC66,1)</f>
        <v>46721</v>
      </c>
      <c r="AE66" s="102">
        <f t="shared" ref="AE66" si="159">EOMONTH(AD66,1)</f>
        <v>46752</v>
      </c>
      <c r="AF66" s="102">
        <f t="shared" ref="AF66" si="160">EOMONTH(AE66,1)</f>
        <v>46783</v>
      </c>
      <c r="AG66" s="102">
        <f t="shared" ref="AG66" si="161">EOMONTH(AF66,1)</f>
        <v>46812</v>
      </c>
      <c r="AH66" s="102">
        <f t="shared" ref="AH66" si="162">EOMONTH(AG66,1)</f>
        <v>46843</v>
      </c>
      <c r="AI66" s="102">
        <f t="shared" ref="AI66" si="163">EOMONTH(AH66,1)</f>
        <v>46873</v>
      </c>
      <c r="AJ66" s="102">
        <f t="shared" ref="AJ66" si="164">EOMONTH(AI66,1)</f>
        <v>46904</v>
      </c>
      <c r="AK66" s="102">
        <f t="shared" ref="AK66" si="165">EOMONTH(AJ66,1)</f>
        <v>46934</v>
      </c>
      <c r="AL66" s="102">
        <f t="shared" ref="AL66" si="166">EOMONTH(AK66,1)</f>
        <v>46965</v>
      </c>
      <c r="AM66" s="102">
        <f t="shared" ref="AM66" si="167">EOMONTH(AL66,1)</f>
        <v>46996</v>
      </c>
      <c r="AN66" s="102">
        <f t="shared" ref="AN66" si="168">EOMONTH(AM66,1)</f>
        <v>47026</v>
      </c>
      <c r="AO66" s="102">
        <f t="shared" ref="AO66" si="169">EOMONTH(AN66,1)</f>
        <v>47057</v>
      </c>
      <c r="AP66" s="102">
        <f t="shared" ref="AP66" si="170">EOMONTH(AO66,1)</f>
        <v>47087</v>
      </c>
      <c r="AQ66" s="102">
        <f t="shared" ref="AQ66" si="171">EOMONTH(AP66,1)</f>
        <v>47118</v>
      </c>
      <c r="AR66" s="102">
        <f t="shared" ref="AR66" si="172">EOMONTH(AQ66,1)</f>
        <v>47149</v>
      </c>
      <c r="AS66" s="102">
        <f t="shared" ref="AS66" si="173">EOMONTH(AR66,1)</f>
        <v>47177</v>
      </c>
      <c r="AT66" s="102">
        <f t="shared" ref="AT66" si="174">EOMONTH(AS66,1)</f>
        <v>47208</v>
      </c>
      <c r="AU66" s="102">
        <f t="shared" ref="AU66" si="175">EOMONTH(AT66,1)</f>
        <v>47238</v>
      </c>
      <c r="AV66" s="102">
        <f t="shared" ref="AV66" si="176">EOMONTH(AU66,1)</f>
        <v>47269</v>
      </c>
      <c r="AW66" s="102">
        <f t="shared" ref="AW66" si="177">EOMONTH(AV66,1)</f>
        <v>47299</v>
      </c>
      <c r="AX66" s="102">
        <f t="shared" ref="AX66" si="178">EOMONTH(AW66,1)</f>
        <v>47330</v>
      </c>
      <c r="AY66" s="102">
        <f t="shared" ref="AY66" si="179">EOMONTH(AX66,1)</f>
        <v>47361</v>
      </c>
      <c r="AZ66" s="102">
        <f t="shared" ref="AZ66" si="180">EOMONTH(AY66,1)</f>
        <v>47391</v>
      </c>
      <c r="BA66" s="102">
        <f t="shared" ref="BA66" si="181">EOMONTH(AZ66,1)</f>
        <v>47422</v>
      </c>
      <c r="BB66" s="102">
        <f t="shared" ref="BB66" si="182">EOMONTH(BA66,1)</f>
        <v>47452</v>
      </c>
      <c r="BC66" s="102">
        <f t="shared" ref="BC66" si="183">EOMONTH(BB66,1)</f>
        <v>47483</v>
      </c>
      <c r="BD66" s="102">
        <f t="shared" ref="BD66" si="184">EOMONTH(BC66,1)</f>
        <v>47514</v>
      </c>
      <c r="BE66" s="102">
        <f t="shared" ref="BE66" si="185">EOMONTH(BD66,1)</f>
        <v>47542</v>
      </c>
      <c r="BF66" s="102">
        <f t="shared" ref="BF66" si="186">EOMONTH(BE66,1)</f>
        <v>47573</v>
      </c>
      <c r="BG66" s="102">
        <f t="shared" ref="BG66" si="187">EOMONTH(BF66,1)</f>
        <v>47603</v>
      </c>
      <c r="BH66" s="102">
        <f t="shared" ref="BH66" si="188">EOMONTH(BG66,1)</f>
        <v>47634</v>
      </c>
      <c r="BI66" s="102">
        <f t="shared" ref="BI66" si="189">EOMONTH(BH66,1)</f>
        <v>47664</v>
      </c>
      <c r="BJ66" s="102">
        <f t="shared" ref="BJ66" si="190">EOMONTH(BI66,1)</f>
        <v>47695</v>
      </c>
      <c r="BK66" s="102">
        <f t="shared" ref="BK66" si="191">EOMONTH(BJ66,1)</f>
        <v>47726</v>
      </c>
      <c r="BL66" s="102">
        <f t="shared" ref="BL66" si="192">EOMONTH(BK66,1)</f>
        <v>47756</v>
      </c>
      <c r="BM66" s="102">
        <f t="shared" ref="BM66" si="193">EOMONTH(BL66,1)</f>
        <v>47787</v>
      </c>
      <c r="BN66" s="102">
        <f t="shared" ref="BN66" si="194">EOMONTH(BM66,1)</f>
        <v>47817</v>
      </c>
      <c r="BO66" s="102">
        <f t="shared" ref="BO66" si="195">EOMONTH(BN66,1)</f>
        <v>47848</v>
      </c>
      <c r="BP66" s="93"/>
      <c r="BQ66" s="93"/>
      <c r="BR66" s="93"/>
      <c r="BS66" s="93"/>
      <c r="BT66" s="93"/>
      <c r="BU66" s="93"/>
      <c r="BV66" s="93"/>
      <c r="BW66" s="93"/>
      <c r="BX66" s="93"/>
      <c r="BY66" s="93"/>
      <c r="BZ66" s="93"/>
      <c r="CA66" s="93"/>
      <c r="CB66" s="93"/>
    </row>
    <row r="67" spans="2:80" s="104"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87">
        <f>1/(1-G67)</f>
        <v>1</v>
      </c>
      <c r="BQ67" s="93"/>
      <c r="BR67" s="93"/>
      <c r="BS67" s="93"/>
      <c r="BT67" s="93"/>
      <c r="BU67" s="93"/>
      <c r="BV67" s="93"/>
      <c r="BW67" s="93"/>
      <c r="BX67" s="93"/>
      <c r="BY67" s="93"/>
      <c r="BZ67" s="93"/>
      <c r="CA67" s="93"/>
      <c r="CB67" s="93"/>
    </row>
    <row r="68" spans="2:80" s="104"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87">
        <f t="shared" ref="BP68:BP76" si="196">1/(1-G68)</f>
        <v>1</v>
      </c>
      <c r="BQ68" s="93"/>
      <c r="BR68" s="93"/>
      <c r="BS68" s="93"/>
      <c r="BT68" s="93"/>
      <c r="BU68" s="93"/>
      <c r="BV68" s="93"/>
      <c r="BW68" s="93"/>
      <c r="BX68" s="93"/>
      <c r="BY68" s="93"/>
      <c r="BZ68" s="93"/>
      <c r="CA68" s="93"/>
      <c r="CB68" s="93"/>
    </row>
    <row r="69" spans="2:80" s="104"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87">
        <f t="shared" si="196"/>
        <v>1</v>
      </c>
      <c r="BQ69" s="93"/>
      <c r="BR69" s="93"/>
      <c r="BS69" s="93"/>
      <c r="BT69" s="93"/>
      <c r="BU69" s="93"/>
      <c r="BV69" s="93"/>
      <c r="BW69" s="93"/>
      <c r="BX69" s="93"/>
      <c r="BY69" s="93"/>
      <c r="BZ69" s="93"/>
      <c r="CA69" s="93"/>
      <c r="CB69" s="93"/>
    </row>
    <row r="70" spans="2:80" s="104"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87">
        <f t="shared" si="196"/>
        <v>1</v>
      </c>
      <c r="BQ70" s="93"/>
      <c r="BR70" s="93"/>
      <c r="BS70" s="93"/>
      <c r="BT70" s="93"/>
      <c r="BU70" s="93"/>
      <c r="BV70" s="93"/>
      <c r="BW70" s="93"/>
      <c r="BX70" s="93"/>
      <c r="BY70" s="93"/>
      <c r="BZ70" s="93"/>
      <c r="CA70" s="93"/>
      <c r="CB70" s="93"/>
    </row>
    <row r="71" spans="2:80" s="104"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87">
        <f t="shared" si="196"/>
        <v>1</v>
      </c>
      <c r="BQ71" s="93"/>
      <c r="BR71" s="93"/>
      <c r="BS71" s="93"/>
      <c r="BT71" s="93"/>
      <c r="BU71" s="93"/>
      <c r="BV71" s="93"/>
      <c r="BW71" s="93"/>
      <c r="BX71" s="93"/>
      <c r="BY71" s="93"/>
      <c r="BZ71" s="93"/>
      <c r="CA71" s="93"/>
      <c r="CB71" s="93"/>
    </row>
    <row r="72" spans="2:80" s="104"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87">
        <f t="shared" si="196"/>
        <v>1</v>
      </c>
      <c r="BQ72" s="93"/>
      <c r="BR72" s="93"/>
      <c r="BS72" s="93"/>
      <c r="BT72" s="93"/>
      <c r="BU72" s="93"/>
      <c r="BV72" s="93"/>
      <c r="BW72" s="93"/>
      <c r="BX72" s="93"/>
      <c r="BY72" s="93"/>
      <c r="BZ72" s="93"/>
      <c r="CA72" s="93"/>
      <c r="CB72" s="93"/>
    </row>
    <row r="73" spans="2:80" s="104"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87">
        <f t="shared" si="196"/>
        <v>1</v>
      </c>
      <c r="BQ73" s="93"/>
      <c r="BR73" s="93"/>
      <c r="BS73" s="93"/>
      <c r="BT73" s="93"/>
      <c r="BU73" s="93"/>
      <c r="BV73" s="93"/>
      <c r="BW73" s="93"/>
      <c r="BX73" s="93"/>
      <c r="BY73" s="93"/>
      <c r="BZ73" s="93"/>
      <c r="CA73" s="93"/>
      <c r="CB73" s="93"/>
    </row>
    <row r="74" spans="2:80" s="104"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87">
        <f t="shared" si="196"/>
        <v>1</v>
      </c>
      <c r="BQ74" s="93"/>
      <c r="BR74" s="93"/>
      <c r="BS74" s="93"/>
      <c r="BT74" s="93"/>
      <c r="BU74" s="93"/>
      <c r="BV74" s="93"/>
      <c r="BW74" s="93"/>
      <c r="BX74" s="93"/>
      <c r="BY74" s="93"/>
      <c r="BZ74" s="93"/>
      <c r="CA74" s="93"/>
      <c r="CB74" s="93"/>
    </row>
    <row r="75" spans="2:80" s="104"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87">
        <f t="shared" si="196"/>
        <v>1</v>
      </c>
      <c r="BQ75" s="93"/>
      <c r="BR75" s="93"/>
      <c r="BS75" s="93"/>
      <c r="BT75" s="93"/>
      <c r="BU75" s="93"/>
      <c r="BV75" s="93"/>
      <c r="BW75" s="93"/>
      <c r="BX75" s="93"/>
      <c r="BY75" s="93"/>
      <c r="BZ75" s="93"/>
      <c r="CA75" s="93"/>
      <c r="CB75" s="93"/>
    </row>
    <row r="76" spans="2:80" s="104"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87">
        <f t="shared" si="196"/>
        <v>1</v>
      </c>
      <c r="BQ76" s="93"/>
      <c r="BR76" s="93"/>
      <c r="BS76" s="93"/>
      <c r="BT76" s="93"/>
      <c r="BU76" s="93"/>
      <c r="BV76" s="93"/>
      <c r="BW76" s="93"/>
      <c r="BX76" s="93"/>
      <c r="BY76" s="93"/>
      <c r="BZ76" s="93"/>
      <c r="CA76" s="93"/>
      <c r="CB76" s="93"/>
    </row>
    <row r="77" spans="2:80" ht="20.149999999999999" customHeight="1" x14ac:dyDescent="0.25">
      <c r="B77" s="138" t="s">
        <v>155</v>
      </c>
      <c r="C77" s="139"/>
      <c r="D77" s="139"/>
      <c r="E77" s="139"/>
      <c r="F77" s="140"/>
      <c r="G77" s="140"/>
      <c r="H77" s="140">
        <f>SUM(H67:H76)</f>
        <v>0</v>
      </c>
      <c r="I77" s="140">
        <f>SUM(I67:I76)</f>
        <v>0</v>
      </c>
      <c r="J77" s="140">
        <f t="shared" ref="J77:AD77" si="197">SUM(J67:J76)</f>
        <v>0</v>
      </c>
      <c r="K77" s="140">
        <f t="shared" si="197"/>
        <v>0</v>
      </c>
      <c r="L77" s="140">
        <f t="shared" si="197"/>
        <v>0</v>
      </c>
      <c r="M77" s="140">
        <f t="shared" si="197"/>
        <v>0</v>
      </c>
      <c r="N77" s="140">
        <f t="shared" si="197"/>
        <v>0</v>
      </c>
      <c r="O77" s="140">
        <f t="shared" si="197"/>
        <v>0</v>
      </c>
      <c r="P77" s="140">
        <f t="shared" si="197"/>
        <v>0</v>
      </c>
      <c r="Q77" s="140">
        <f t="shared" si="197"/>
        <v>0</v>
      </c>
      <c r="R77" s="140">
        <f t="shared" si="197"/>
        <v>0</v>
      </c>
      <c r="S77" s="140">
        <f t="shared" si="197"/>
        <v>0</v>
      </c>
      <c r="T77" s="140">
        <f t="shared" si="197"/>
        <v>0</v>
      </c>
      <c r="U77" s="140">
        <f t="shared" si="197"/>
        <v>0</v>
      </c>
      <c r="V77" s="140">
        <f t="shared" si="197"/>
        <v>0</v>
      </c>
      <c r="W77" s="140">
        <f t="shared" si="197"/>
        <v>0</v>
      </c>
      <c r="X77" s="140">
        <f t="shared" si="197"/>
        <v>0</v>
      </c>
      <c r="Y77" s="140">
        <f t="shared" si="197"/>
        <v>0</v>
      </c>
      <c r="Z77" s="140">
        <f t="shared" si="197"/>
        <v>0</v>
      </c>
      <c r="AA77" s="140">
        <f t="shared" si="197"/>
        <v>0</v>
      </c>
      <c r="AB77" s="140">
        <f t="shared" si="197"/>
        <v>0</v>
      </c>
      <c r="AC77" s="140">
        <f t="shared" si="197"/>
        <v>0</v>
      </c>
      <c r="AD77" s="140">
        <f t="shared" si="197"/>
        <v>0</v>
      </c>
      <c r="AE77" s="140">
        <f t="shared" ref="AE77" si="198">SUM(AE67:AE76)</f>
        <v>0</v>
      </c>
      <c r="AF77" s="140">
        <f t="shared" ref="AF77:BO77" si="199">SUM(AF67:AF76)</f>
        <v>0</v>
      </c>
      <c r="AG77" s="140">
        <f t="shared" si="199"/>
        <v>0</v>
      </c>
      <c r="AH77" s="140">
        <f t="shared" si="199"/>
        <v>0</v>
      </c>
      <c r="AI77" s="140">
        <f t="shared" si="199"/>
        <v>0</v>
      </c>
      <c r="AJ77" s="140">
        <f t="shared" si="199"/>
        <v>0</v>
      </c>
      <c r="AK77" s="140">
        <f t="shared" si="199"/>
        <v>0</v>
      </c>
      <c r="AL77" s="140">
        <f t="shared" si="199"/>
        <v>0</v>
      </c>
      <c r="AM77" s="140">
        <f t="shared" si="199"/>
        <v>0</v>
      </c>
      <c r="AN77" s="140">
        <f t="shared" si="199"/>
        <v>0</v>
      </c>
      <c r="AO77" s="140">
        <f t="shared" si="199"/>
        <v>0</v>
      </c>
      <c r="AP77" s="140">
        <f t="shared" si="199"/>
        <v>0</v>
      </c>
      <c r="AQ77" s="140">
        <f t="shared" si="199"/>
        <v>0</v>
      </c>
      <c r="AR77" s="140">
        <f t="shared" si="199"/>
        <v>0</v>
      </c>
      <c r="AS77" s="140">
        <f t="shared" si="199"/>
        <v>0</v>
      </c>
      <c r="AT77" s="140">
        <f t="shared" si="199"/>
        <v>0</v>
      </c>
      <c r="AU77" s="140">
        <f t="shared" si="199"/>
        <v>0</v>
      </c>
      <c r="AV77" s="140">
        <f t="shared" si="199"/>
        <v>0</v>
      </c>
      <c r="AW77" s="140">
        <f t="shared" si="199"/>
        <v>0</v>
      </c>
      <c r="AX77" s="140">
        <f t="shared" si="199"/>
        <v>0</v>
      </c>
      <c r="AY77" s="140">
        <f t="shared" si="199"/>
        <v>0</v>
      </c>
      <c r="AZ77" s="140">
        <f t="shared" si="199"/>
        <v>0</v>
      </c>
      <c r="BA77" s="140">
        <f t="shared" si="199"/>
        <v>0</v>
      </c>
      <c r="BB77" s="140">
        <f t="shared" si="199"/>
        <v>0</v>
      </c>
      <c r="BC77" s="140">
        <f t="shared" si="199"/>
        <v>0</v>
      </c>
      <c r="BD77" s="140">
        <f t="shared" si="199"/>
        <v>0</v>
      </c>
      <c r="BE77" s="140">
        <f t="shared" si="199"/>
        <v>0</v>
      </c>
      <c r="BF77" s="140">
        <f t="shared" si="199"/>
        <v>0</v>
      </c>
      <c r="BG77" s="140">
        <f t="shared" si="199"/>
        <v>0</v>
      </c>
      <c r="BH77" s="140">
        <f t="shared" si="199"/>
        <v>0</v>
      </c>
      <c r="BI77" s="140">
        <f t="shared" si="199"/>
        <v>0</v>
      </c>
      <c r="BJ77" s="140">
        <f t="shared" si="199"/>
        <v>0</v>
      </c>
      <c r="BK77" s="140">
        <f t="shared" si="199"/>
        <v>0</v>
      </c>
      <c r="BL77" s="140">
        <f t="shared" si="199"/>
        <v>0</v>
      </c>
      <c r="BM77" s="140">
        <f t="shared" si="199"/>
        <v>0</v>
      </c>
      <c r="BN77" s="140">
        <f t="shared" si="199"/>
        <v>0</v>
      </c>
      <c r="BO77" s="140">
        <f t="shared" si="199"/>
        <v>0</v>
      </c>
    </row>
    <row r="78" spans="2:80" ht="20.149999999999999" customHeight="1" x14ac:dyDescent="0.25">
      <c r="B78" s="121" t="s">
        <v>156</v>
      </c>
      <c r="C78" s="122"/>
      <c r="D78" s="123"/>
      <c r="E78" s="123"/>
      <c r="F78" s="120"/>
      <c r="G78" s="120"/>
      <c r="H78" s="282" cm="1">
        <f t="array" ref="H78">SUMPRODUCT(($F$67:$F$76="SI")*1,$BP$67:$BP$76,H67:H76)</f>
        <v>0</v>
      </c>
      <c r="I78" s="282" cm="1">
        <f t="array" ref="I78">SUMPRODUCT(($F$67:$F$76="SI")*1,$BP$67:$BP$76,I67:I76)</f>
        <v>0</v>
      </c>
      <c r="J78" s="282" cm="1">
        <f t="array" ref="J78">SUMPRODUCT(($F$67:$F$76="SI")*1,$BP$67:$BP$76,J67:J76)</f>
        <v>0</v>
      </c>
      <c r="K78" s="282" cm="1">
        <f t="array" ref="K78">SUMPRODUCT(($F$67:$F$76="SI")*1,$BP$67:$BP$76,K67:K76)</f>
        <v>0</v>
      </c>
      <c r="L78" s="282" cm="1">
        <f t="array" ref="L78">SUMPRODUCT(($F$67:$F$76="SI")*1,$BP$67:$BP$76,L67:L76)</f>
        <v>0</v>
      </c>
      <c r="M78" s="282" cm="1">
        <f t="array" ref="M78">SUMPRODUCT(($F$67:$F$76="SI")*1,$BP$67:$BP$76,M67:M76)</f>
        <v>0</v>
      </c>
      <c r="N78" s="282" cm="1">
        <f t="array" ref="N78">SUMPRODUCT(($F$67:$F$76="SI")*1,$BP$67:$BP$76,N67:N76)</f>
        <v>0</v>
      </c>
      <c r="O78" s="282" cm="1">
        <f t="array" ref="O78">SUMPRODUCT(($F$67:$F$76="SI")*1,$BP$67:$BP$76,O67:O76)</f>
        <v>0</v>
      </c>
      <c r="P78" s="282" cm="1">
        <f t="array" ref="P78">SUMPRODUCT(($F$67:$F$76="SI")*1,$BP$67:$BP$76,P67:P76)</f>
        <v>0</v>
      </c>
      <c r="Q78" s="282" cm="1">
        <f t="array" ref="Q78">SUMPRODUCT(($F$67:$F$76="SI")*1,$BP$67:$BP$76,Q67:Q76)</f>
        <v>0</v>
      </c>
      <c r="R78" s="282" cm="1">
        <f t="array" ref="R78">SUMPRODUCT(($F$67:$F$76="SI")*1,$BP$67:$BP$76,R67:R76)</f>
        <v>0</v>
      </c>
      <c r="S78" s="282" cm="1">
        <f t="array" ref="S78">SUMPRODUCT(($F$67:$F$76="SI")*1,$BP$67:$BP$76,S67:S76)</f>
        <v>0</v>
      </c>
      <c r="T78" s="282" cm="1">
        <f t="array" ref="T78">SUMPRODUCT(($F$67:$F$76="SI")*1,$BP$67:$BP$76,T67:T76)</f>
        <v>0</v>
      </c>
      <c r="U78" s="282" cm="1">
        <f t="array" ref="U78">SUMPRODUCT(($F$67:$F$76="SI")*1,$BP$67:$BP$76,U67:U76)</f>
        <v>0</v>
      </c>
      <c r="V78" s="282" cm="1">
        <f t="array" ref="V78">SUMPRODUCT(($F$67:$F$76="SI")*1,$BP$67:$BP$76,V67:V76)</f>
        <v>0</v>
      </c>
      <c r="W78" s="282" cm="1">
        <f t="array" ref="W78">SUMPRODUCT(($F$67:$F$76="SI")*1,$BP$67:$BP$76,W67:W76)</f>
        <v>0</v>
      </c>
      <c r="X78" s="282" cm="1">
        <f t="array" ref="X78">SUMPRODUCT(($F$67:$F$76="SI")*1,$BP$67:$BP$76,X67:X76)</f>
        <v>0</v>
      </c>
      <c r="Y78" s="282" cm="1">
        <f t="array" ref="Y78">SUMPRODUCT(($F$67:$F$76="SI")*1,$BP$67:$BP$76,Y67:Y76)</f>
        <v>0</v>
      </c>
      <c r="Z78" s="282" cm="1">
        <f t="array" ref="Z78">SUMPRODUCT(($F$67:$F$76="SI")*1,$BP$67:$BP$76,Z67:Z76)</f>
        <v>0</v>
      </c>
      <c r="AA78" s="282" cm="1">
        <f t="array" ref="AA78">SUMPRODUCT(($F$67:$F$76="SI")*1,$BP$67:$BP$76,AA67:AA76)</f>
        <v>0</v>
      </c>
      <c r="AB78" s="282" cm="1">
        <f t="array" ref="AB78">SUMPRODUCT(($F$67:$F$76="SI")*1,$BP$67:$BP$76,AB67:AB76)</f>
        <v>0</v>
      </c>
      <c r="AC78" s="282" cm="1">
        <f t="array" ref="AC78">SUMPRODUCT(($F$67:$F$76="SI")*1,$BP$67:$BP$76,AC67:AC76)</f>
        <v>0</v>
      </c>
      <c r="AD78" s="282" cm="1">
        <f t="array" ref="AD78">SUMPRODUCT(($F$67:$F$76="SI")*1,$BP$67:$BP$76,AD67:AD76)</f>
        <v>0</v>
      </c>
      <c r="AE78" s="282" cm="1">
        <f t="array" ref="AE78">SUMPRODUCT(($F$67:$F$76="SI")*1,$BP$67:$BP$76,AE67:AE76)</f>
        <v>0</v>
      </c>
      <c r="AF78" s="282" cm="1">
        <f t="array" ref="AF78">SUMPRODUCT(($F$67:$F$76="SI")*1,$BP$67:$BP$76,AF67:AF76)</f>
        <v>0</v>
      </c>
      <c r="AG78" s="282" cm="1">
        <f t="array" ref="AG78">SUMPRODUCT(($F$67:$F$76="SI")*1,$BP$67:$BP$76,AG67:AG76)</f>
        <v>0</v>
      </c>
      <c r="AH78" s="282" cm="1">
        <f t="array" ref="AH78">SUMPRODUCT(($F$67:$F$76="SI")*1,$BP$67:$BP$76,AH67:AH76)</f>
        <v>0</v>
      </c>
      <c r="AI78" s="282" cm="1">
        <f t="array" ref="AI78">SUMPRODUCT(($F$67:$F$76="SI")*1,$BP$67:$BP$76,AI67:AI76)</f>
        <v>0</v>
      </c>
      <c r="AJ78" s="282" cm="1">
        <f t="array" ref="AJ78">SUMPRODUCT(($F$67:$F$76="SI")*1,$BP$67:$BP$76,AJ67:AJ76)</f>
        <v>0</v>
      </c>
      <c r="AK78" s="282" cm="1">
        <f t="array" ref="AK78">SUMPRODUCT(($F$67:$F$76="SI")*1,$BP$67:$BP$76,AK67:AK76)</f>
        <v>0</v>
      </c>
      <c r="AL78" s="282" cm="1">
        <f t="array" ref="AL78">SUMPRODUCT(($F$67:$F$76="SI")*1,$BP$67:$BP$76,AL67:AL76)</f>
        <v>0</v>
      </c>
      <c r="AM78" s="282" cm="1">
        <f t="array" ref="AM78">SUMPRODUCT(($F$67:$F$76="SI")*1,$BP$67:$BP$76,AM67:AM76)</f>
        <v>0</v>
      </c>
      <c r="AN78" s="282" cm="1">
        <f t="array" ref="AN78">SUMPRODUCT(($F$67:$F$76="SI")*1,$BP$67:$BP$76,AN67:AN76)</f>
        <v>0</v>
      </c>
      <c r="AO78" s="282" cm="1">
        <f t="array" ref="AO78">SUMPRODUCT(($F$67:$F$76="SI")*1,$BP$67:$BP$76,AO67:AO76)</f>
        <v>0</v>
      </c>
      <c r="AP78" s="282" cm="1">
        <f t="array" ref="AP78">SUMPRODUCT(($F$67:$F$76="SI")*1,$BP$67:$BP$76,AP67:AP76)</f>
        <v>0</v>
      </c>
      <c r="AQ78" s="282" cm="1">
        <f t="array" ref="AQ78">SUMPRODUCT(($F$67:$F$76="SI")*1,$BP$67:$BP$76,AQ67:AQ76)</f>
        <v>0</v>
      </c>
      <c r="AR78" s="282" cm="1">
        <f t="array" ref="AR78">SUMPRODUCT(($F$67:$F$76="SI")*1,$BP$67:$BP$76,AR67:AR76)</f>
        <v>0</v>
      </c>
      <c r="AS78" s="282" cm="1">
        <f t="array" ref="AS78">SUMPRODUCT(($F$67:$F$76="SI")*1,$BP$67:$BP$76,AS67:AS76)</f>
        <v>0</v>
      </c>
      <c r="AT78" s="282" cm="1">
        <f t="array" ref="AT78">SUMPRODUCT(($F$67:$F$76="SI")*1,$BP$67:$BP$76,AT67:AT76)</f>
        <v>0</v>
      </c>
      <c r="AU78" s="282" cm="1">
        <f t="array" ref="AU78">SUMPRODUCT(($F$67:$F$76="SI")*1,$BP$67:$BP$76,AU67:AU76)</f>
        <v>0</v>
      </c>
      <c r="AV78" s="282" cm="1">
        <f t="array" ref="AV78">SUMPRODUCT(($F$67:$F$76="SI")*1,$BP$67:$BP$76,AV67:AV76)</f>
        <v>0</v>
      </c>
      <c r="AW78" s="282" cm="1">
        <f t="array" ref="AW78">SUMPRODUCT(($F$67:$F$76="SI")*1,$BP$67:$BP$76,AW67:AW76)</f>
        <v>0</v>
      </c>
      <c r="AX78" s="282" cm="1">
        <f t="array" ref="AX78">SUMPRODUCT(($F$67:$F$76="SI")*1,$BP$67:$BP$76,AX67:AX76)</f>
        <v>0</v>
      </c>
      <c r="AY78" s="282" cm="1">
        <f t="array" ref="AY78">SUMPRODUCT(($F$67:$F$76="SI")*1,$BP$67:$BP$76,AY67:AY76)</f>
        <v>0</v>
      </c>
      <c r="AZ78" s="282" cm="1">
        <f t="array" ref="AZ78">SUMPRODUCT(($F$67:$F$76="SI")*1,$BP$67:$BP$76,AZ67:AZ76)</f>
        <v>0</v>
      </c>
      <c r="BA78" s="282" cm="1">
        <f t="array" ref="BA78">SUMPRODUCT(($F$67:$F$76="SI")*1,$BP$67:$BP$76,BA67:BA76)</f>
        <v>0</v>
      </c>
      <c r="BB78" s="282" cm="1">
        <f t="array" ref="BB78">SUMPRODUCT(($F$67:$F$76="SI")*1,$BP$67:$BP$76,BB67:BB76)</f>
        <v>0</v>
      </c>
      <c r="BC78" s="282" cm="1">
        <f t="array" ref="BC78">SUMPRODUCT(($F$67:$F$76="SI")*1,$BP$67:$BP$76,BC67:BC76)</f>
        <v>0</v>
      </c>
      <c r="BD78" s="282" cm="1">
        <f t="array" ref="BD78">SUMPRODUCT(($F$67:$F$76="SI")*1,$BP$67:$BP$76,BD67:BD76)</f>
        <v>0</v>
      </c>
      <c r="BE78" s="282" cm="1">
        <f t="array" ref="BE78">SUMPRODUCT(($F$67:$F$76="SI")*1,$BP$67:$BP$76,BE67:BE76)</f>
        <v>0</v>
      </c>
      <c r="BF78" s="282" cm="1">
        <f t="array" ref="BF78">SUMPRODUCT(($F$67:$F$76="SI")*1,$BP$67:$BP$76,BF67:BF76)</f>
        <v>0</v>
      </c>
      <c r="BG78" s="282" cm="1">
        <f t="array" ref="BG78">SUMPRODUCT(($F$67:$F$76="SI")*1,$BP$67:$BP$76,BG67:BG76)</f>
        <v>0</v>
      </c>
      <c r="BH78" s="282" cm="1">
        <f t="array" ref="BH78">SUMPRODUCT(($F$67:$F$76="SI")*1,$BP$67:$BP$76,BH67:BH76)</f>
        <v>0</v>
      </c>
      <c r="BI78" s="282" cm="1">
        <f t="array" ref="BI78">SUMPRODUCT(($F$67:$F$76="SI")*1,$BP$67:$BP$76,BI67:BI76)</f>
        <v>0</v>
      </c>
      <c r="BJ78" s="282" cm="1">
        <f t="array" ref="BJ78">SUMPRODUCT(($F$67:$F$76="SI")*1,$BP$67:$BP$76,BJ67:BJ76)</f>
        <v>0</v>
      </c>
      <c r="BK78" s="282" cm="1">
        <f t="array" ref="BK78">SUMPRODUCT(($F$67:$F$76="SI")*1,$BP$67:$BP$76,BK67:BK76)</f>
        <v>0</v>
      </c>
      <c r="BL78" s="282" cm="1">
        <f t="array" ref="BL78">SUMPRODUCT(($F$67:$F$76="SI")*1,$BP$67:$BP$76,BL67:BL76)</f>
        <v>0</v>
      </c>
      <c r="BM78" s="282" cm="1">
        <f t="array" ref="BM78">SUMPRODUCT(($F$67:$F$76="SI")*1,$BP$67:$BP$76,BM67:BM76)</f>
        <v>0</v>
      </c>
      <c r="BN78" s="282" cm="1">
        <f t="array" ref="BN78">SUMPRODUCT(($F$67:$F$76="SI")*1,$BP$67:$BP$76,BN67:BN76)</f>
        <v>0</v>
      </c>
      <c r="BO78" s="282" cm="1">
        <f t="array" ref="BO78">SUMPRODUCT(($F$67:$F$76="SI")*1,$BP$67:$BP$76,BO67:BO76)</f>
        <v>0</v>
      </c>
    </row>
    <row r="79" spans="2:80" ht="20.149999999999999" customHeight="1" x14ac:dyDescent="0.25">
      <c r="C79" s="99"/>
      <c r="D79" s="99"/>
      <c r="E79" s="109"/>
      <c r="F79" s="124"/>
      <c r="G79" s="124"/>
      <c r="H79" s="124"/>
      <c r="I79" s="124"/>
      <c r="J79" s="124"/>
      <c r="K79" s="124"/>
      <c r="L79" s="124"/>
      <c r="M79" s="124"/>
      <c r="N79" s="124"/>
      <c r="O79" s="124"/>
      <c r="P79" s="124"/>
      <c r="Q79" s="124"/>
      <c r="R79" s="124"/>
      <c r="S79" s="124"/>
      <c r="T79" s="124"/>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5"/>
      <c r="AY79" s="125"/>
      <c r="AZ79" s="125"/>
      <c r="BA79" s="125"/>
      <c r="BB79" s="125"/>
      <c r="BC79" s="125"/>
      <c r="BD79" s="125"/>
      <c r="BE79" s="125"/>
      <c r="BF79" s="125"/>
      <c r="BG79" s="125"/>
      <c r="BH79" s="125"/>
      <c r="BI79" s="125"/>
      <c r="BJ79" s="125"/>
      <c r="BK79" s="125"/>
      <c r="BL79" s="125"/>
      <c r="BM79" s="125"/>
      <c r="BN79" s="125"/>
      <c r="BO79" s="125"/>
    </row>
    <row r="80" spans="2:80" ht="20.149999999999999" customHeight="1" x14ac:dyDescent="0.25">
      <c r="B80" s="98"/>
      <c r="C80" s="99"/>
      <c r="D80" s="99"/>
      <c r="E80" s="109"/>
      <c r="F80" s="124"/>
      <c r="G80" s="124"/>
      <c r="H80" s="124"/>
      <c r="I80" s="124"/>
      <c r="J80" s="124"/>
      <c r="K80" s="124"/>
      <c r="L80" s="124"/>
      <c r="M80" s="124"/>
      <c r="N80" s="124"/>
      <c r="O80" s="124"/>
      <c r="P80" s="124"/>
      <c r="Q80" s="124"/>
      <c r="R80" s="124"/>
      <c r="S80" s="124"/>
      <c r="T80" s="124"/>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5"/>
      <c r="AY80" s="125"/>
      <c r="AZ80" s="125"/>
      <c r="BA80" s="125"/>
      <c r="BB80" s="125"/>
      <c r="BC80" s="125"/>
      <c r="BD80" s="125"/>
      <c r="BE80" s="125"/>
      <c r="BF80" s="125"/>
      <c r="BG80" s="125"/>
      <c r="BH80" s="125"/>
      <c r="BI80" s="125"/>
      <c r="BJ80" s="125"/>
      <c r="BK80" s="125"/>
      <c r="BL80" s="125"/>
      <c r="BM80" s="125"/>
      <c r="BN80" s="125"/>
      <c r="BO80" s="125"/>
    </row>
    <row r="81" spans="2:67" ht="20.149999999999999" customHeight="1" x14ac:dyDescent="0.25">
      <c r="B81" s="98"/>
      <c r="C81" s="99"/>
      <c r="D81" s="99"/>
      <c r="E81" s="109"/>
      <c r="F81" s="124"/>
      <c r="G81" s="124"/>
      <c r="H81" s="124"/>
      <c r="I81" s="124"/>
      <c r="J81" s="124"/>
      <c r="K81" s="124"/>
      <c r="L81" s="124"/>
      <c r="M81" s="124"/>
      <c r="N81" s="124"/>
      <c r="O81" s="124"/>
      <c r="P81" s="124"/>
      <c r="Q81" s="124"/>
      <c r="R81" s="124"/>
      <c r="S81" s="124"/>
      <c r="T81" s="124"/>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5"/>
      <c r="AY81" s="125"/>
      <c r="AZ81" s="125"/>
      <c r="BA81" s="125"/>
      <c r="BB81" s="125"/>
      <c r="BC81" s="125"/>
      <c r="BD81" s="125"/>
      <c r="BE81" s="125"/>
      <c r="BF81" s="125"/>
      <c r="BG81" s="125"/>
      <c r="BH81" s="125"/>
      <c r="BI81" s="125"/>
      <c r="BJ81" s="125"/>
      <c r="BK81" s="125"/>
      <c r="BL81" s="125"/>
      <c r="BM81" s="125"/>
      <c r="BN81" s="125"/>
      <c r="BO81" s="125"/>
    </row>
    <row r="82" spans="2:67" x14ac:dyDescent="0.25">
      <c r="H82" s="99"/>
      <c r="I82" s="99"/>
      <c r="J82" s="99"/>
      <c r="K82" s="99"/>
      <c r="L82" s="99"/>
      <c r="M82" s="99"/>
      <c r="N82" s="99"/>
      <c r="O82" s="99"/>
      <c r="P82" s="99"/>
      <c r="Q82" s="99"/>
    </row>
    <row r="88" spans="2:67" ht="14" x14ac:dyDescent="0.3">
      <c r="B88" s="141" t="s">
        <v>157</v>
      </c>
    </row>
    <row r="89" spans="2:67" ht="14" x14ac:dyDescent="0.3">
      <c r="B89" s="21" t="s">
        <v>158</v>
      </c>
    </row>
    <row r="90" spans="2:67" ht="14" x14ac:dyDescent="0.3">
      <c r="B90" s="21" t="s">
        <v>159</v>
      </c>
    </row>
    <row r="91" spans="2:67" ht="14" x14ac:dyDescent="0.3">
      <c r="B91" s="21" t="s">
        <v>160</v>
      </c>
    </row>
    <row r="92" spans="2:67" ht="14" x14ac:dyDescent="0.3">
      <c r="B92" s="21" t="s">
        <v>161</v>
      </c>
    </row>
    <row r="93" spans="2:67" ht="14" x14ac:dyDescent="0.3">
      <c r="B93" s="21" t="s">
        <v>162</v>
      </c>
    </row>
    <row r="94" spans="2:67" ht="14" x14ac:dyDescent="0.3">
      <c r="B94" s="21" t="s">
        <v>163</v>
      </c>
    </row>
    <row r="95" spans="2:67" ht="14" x14ac:dyDescent="0.3">
      <c r="B95" s="21"/>
    </row>
    <row r="96" spans="2:67" ht="14" x14ac:dyDescent="0.3">
      <c r="B96" s="21"/>
    </row>
    <row r="97" spans="2:2" ht="14" x14ac:dyDescent="0.3">
      <c r="B97" s="21"/>
    </row>
    <row r="98" spans="2:2" ht="14" x14ac:dyDescent="0.3">
      <c r="B98" s="21"/>
    </row>
    <row r="99" spans="2:2" ht="14" x14ac:dyDescent="0.3">
      <c r="B99" s="21"/>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1" customWidth="1"/>
    <col min="2" max="2" width="21.453125" style="21" customWidth="1"/>
    <col min="3" max="3" width="29" style="21" customWidth="1"/>
    <col min="4" max="4" width="18.1796875" style="56" customWidth="1"/>
    <col min="5" max="64" width="16.7265625" style="21" customWidth="1"/>
    <col min="65" max="65" width="11.26953125" style="21" customWidth="1"/>
    <col min="66" max="16384" width="9.1796875" style="21"/>
  </cols>
  <sheetData>
    <row r="1" spans="2:77" ht="14.5" x14ac:dyDescent="0.35">
      <c r="E1"/>
    </row>
    <row r="2" spans="2:77" ht="21" customHeight="1" x14ac:dyDescent="0.3">
      <c r="B2" s="19" t="s">
        <v>5</v>
      </c>
      <c r="C2" s="20" t="str">
        <f>'Project Infor'!C10</f>
        <v>ZEV-ATE0012-1001</v>
      </c>
      <c r="D2" s="95" t="str">
        <f>'Project Infor'!C11</f>
        <v>Lote 2: Núcleo Estructural Java</v>
      </c>
      <c r="E2" s="96"/>
      <c r="F2" s="96"/>
      <c r="G2" s="96"/>
      <c r="I2" s="294" t="s">
        <v>164</v>
      </c>
      <c r="J2" s="294"/>
      <c r="K2" s="294"/>
      <c r="L2" s="294"/>
      <c r="M2" s="168">
        <f>'Cost Planning'!N5</f>
        <v>0</v>
      </c>
    </row>
    <row r="3" spans="2:77" ht="6" customHeight="1" x14ac:dyDescent="0.3">
      <c r="B3" s="22"/>
      <c r="C3" s="22"/>
      <c r="D3" s="142"/>
      <c r="E3" s="22"/>
      <c r="F3" s="22"/>
    </row>
    <row r="4" spans="2:77" ht="20.149999999999999" customHeight="1" x14ac:dyDescent="0.3">
      <c r="B4" s="24"/>
      <c r="C4" s="24"/>
      <c r="D4" s="143"/>
      <c r="E4" s="144" t="str">
        <f t="shared" ref="E4:BL4" si="0">IF(E5&gt;EOMONTH(FIN,0),"Fin",IF(E5&gt;FECHA,"Prev","Real"))</f>
        <v>Prev</v>
      </c>
      <c r="F4" s="144" t="str">
        <f t="shared" si="0"/>
        <v>Prev</v>
      </c>
      <c r="G4" s="144" t="str">
        <f>IF(G5&gt;EOMONTH(FIN,0),"Fin",IF(G5&gt;FECHA,"Prev","Real"))</f>
        <v>Prev</v>
      </c>
      <c r="H4" s="144" t="str">
        <f t="shared" si="0"/>
        <v>Prev</v>
      </c>
      <c r="I4" s="144" t="str">
        <f>IF(I5&gt;EOMONTH(FIN,0),"Fin",IF(I5&gt;FECHA,"Prev","Real"))</f>
        <v>Prev</v>
      </c>
      <c r="J4" s="144" t="str">
        <f t="shared" si="0"/>
        <v>Prev</v>
      </c>
      <c r="K4" s="144" t="str">
        <f t="shared" si="0"/>
        <v>Prev</v>
      </c>
      <c r="L4" s="144" t="str">
        <f t="shared" si="0"/>
        <v>Prev</v>
      </c>
      <c r="M4" s="144" t="str">
        <f t="shared" si="0"/>
        <v>Prev</v>
      </c>
      <c r="N4" s="144" t="str">
        <f t="shared" si="0"/>
        <v>Prev</v>
      </c>
      <c r="O4" s="144" t="str">
        <f t="shared" si="0"/>
        <v>Prev</v>
      </c>
      <c r="P4" s="144" t="str">
        <f t="shared" si="0"/>
        <v>Prev</v>
      </c>
      <c r="Q4" s="144" t="str">
        <f t="shared" si="0"/>
        <v>Prev</v>
      </c>
      <c r="R4" s="144" t="str">
        <f t="shared" si="0"/>
        <v>Prev</v>
      </c>
      <c r="S4" s="144" t="str">
        <f t="shared" si="0"/>
        <v>Prev</v>
      </c>
      <c r="T4" s="144" t="str">
        <f t="shared" si="0"/>
        <v>Prev</v>
      </c>
      <c r="U4" s="144" t="str">
        <f t="shared" si="0"/>
        <v>Prev</v>
      </c>
      <c r="V4" s="144" t="str">
        <f t="shared" si="0"/>
        <v>Prev</v>
      </c>
      <c r="W4" s="144" t="str">
        <f t="shared" si="0"/>
        <v>Prev</v>
      </c>
      <c r="X4" s="144" t="str">
        <f>IF(X5&gt;EOMONTH(FIN,0),"Fin",IF(X5&gt;FECHA,"Prev","Real"))</f>
        <v>Prev</v>
      </c>
      <c r="Y4" s="144" t="str">
        <f t="shared" si="0"/>
        <v>Prev</v>
      </c>
      <c r="Z4" s="144" t="str">
        <f t="shared" si="0"/>
        <v>Prev</v>
      </c>
      <c r="AA4" s="144" t="str">
        <f t="shared" si="0"/>
        <v>Prev</v>
      </c>
      <c r="AB4" s="144" t="str">
        <f t="shared" si="0"/>
        <v>Prev</v>
      </c>
      <c r="AC4" s="144" t="str">
        <f t="shared" si="0"/>
        <v>Prev</v>
      </c>
      <c r="AD4" s="144" t="str">
        <f t="shared" si="0"/>
        <v>Prev</v>
      </c>
      <c r="AE4" s="144" t="str">
        <f t="shared" si="0"/>
        <v>Prev</v>
      </c>
      <c r="AF4" s="144" t="str">
        <f t="shared" si="0"/>
        <v>Prev</v>
      </c>
      <c r="AG4" s="144" t="str">
        <f t="shared" si="0"/>
        <v>Prev</v>
      </c>
      <c r="AH4" s="144" t="str">
        <f t="shared" si="0"/>
        <v>Prev</v>
      </c>
      <c r="AI4" s="144" t="str">
        <f t="shared" si="0"/>
        <v>Prev</v>
      </c>
      <c r="AJ4" s="144" t="str">
        <f t="shared" si="0"/>
        <v>Prev</v>
      </c>
      <c r="AK4" s="144" t="str">
        <f t="shared" si="0"/>
        <v>Prev</v>
      </c>
      <c r="AL4" s="144" t="str">
        <f t="shared" si="0"/>
        <v>Prev</v>
      </c>
      <c r="AM4" s="144" t="str">
        <f t="shared" si="0"/>
        <v>Prev</v>
      </c>
      <c r="AN4" s="144" t="str">
        <f t="shared" si="0"/>
        <v>Prev</v>
      </c>
      <c r="AO4" s="144" t="str">
        <f t="shared" si="0"/>
        <v>Prev</v>
      </c>
      <c r="AP4" s="144" t="str">
        <f t="shared" si="0"/>
        <v>Prev</v>
      </c>
      <c r="AQ4" s="144" t="str">
        <f t="shared" si="0"/>
        <v>Prev</v>
      </c>
      <c r="AR4" s="144" t="str">
        <f t="shared" si="0"/>
        <v>Prev</v>
      </c>
      <c r="AS4" s="144" t="str">
        <f t="shared" si="0"/>
        <v>Prev</v>
      </c>
      <c r="AT4" s="144" t="str">
        <f t="shared" si="0"/>
        <v>Prev</v>
      </c>
      <c r="AU4" s="144" t="str">
        <f t="shared" si="0"/>
        <v>Prev</v>
      </c>
      <c r="AV4" s="144" t="str">
        <f t="shared" si="0"/>
        <v>Prev</v>
      </c>
      <c r="AW4" s="144" t="str">
        <f t="shared" si="0"/>
        <v>Prev</v>
      </c>
      <c r="AX4" s="144" t="str">
        <f t="shared" si="0"/>
        <v>Prev</v>
      </c>
      <c r="AY4" s="144" t="str">
        <f t="shared" si="0"/>
        <v>Prev</v>
      </c>
      <c r="AZ4" s="144" t="str">
        <f t="shared" si="0"/>
        <v>Prev</v>
      </c>
      <c r="BA4" s="144" t="str">
        <f t="shared" si="0"/>
        <v>Fin</v>
      </c>
      <c r="BB4" s="144" t="str">
        <f t="shared" si="0"/>
        <v>Fin</v>
      </c>
      <c r="BC4" s="144" t="str">
        <f t="shared" si="0"/>
        <v>Fin</v>
      </c>
      <c r="BD4" s="144" t="str">
        <f t="shared" si="0"/>
        <v>Fin</v>
      </c>
      <c r="BE4" s="144" t="str">
        <f t="shared" si="0"/>
        <v>Fin</v>
      </c>
      <c r="BF4" s="144" t="str">
        <f t="shared" si="0"/>
        <v>Fin</v>
      </c>
      <c r="BG4" s="144" t="str">
        <f t="shared" si="0"/>
        <v>Fin</v>
      </c>
      <c r="BH4" s="144" t="str">
        <f t="shared" si="0"/>
        <v>Fin</v>
      </c>
      <c r="BI4" s="144" t="str">
        <f t="shared" si="0"/>
        <v>Fin</v>
      </c>
      <c r="BJ4" s="144" t="str">
        <f t="shared" si="0"/>
        <v>Fin</v>
      </c>
      <c r="BK4" s="144" t="str">
        <f t="shared" si="0"/>
        <v>Fin</v>
      </c>
      <c r="BL4" s="144" t="str">
        <f t="shared" si="0"/>
        <v>Fin</v>
      </c>
    </row>
    <row r="5" spans="2:77" s="86" customFormat="1" ht="25" customHeight="1" x14ac:dyDescent="0.3">
      <c r="B5" s="291" t="s">
        <v>165</v>
      </c>
      <c r="C5" s="291"/>
      <c r="D5" s="145" t="s">
        <v>166</v>
      </c>
      <c r="E5" s="146">
        <v>46023</v>
      </c>
      <c r="F5" s="146">
        <v>46054</v>
      </c>
      <c r="G5" s="146">
        <v>46082</v>
      </c>
      <c r="H5" s="146">
        <v>46113</v>
      </c>
      <c r="I5" s="146">
        <v>46143</v>
      </c>
      <c r="J5" s="146">
        <v>46174</v>
      </c>
      <c r="K5" s="146">
        <v>46204</v>
      </c>
      <c r="L5" s="147">
        <v>46235</v>
      </c>
      <c r="M5" s="147">
        <v>46266</v>
      </c>
      <c r="N5" s="146">
        <v>46296</v>
      </c>
      <c r="O5" s="148">
        <v>46327</v>
      </c>
      <c r="P5" s="148">
        <v>46357</v>
      </c>
      <c r="Q5" s="148">
        <v>46388</v>
      </c>
      <c r="R5" s="148">
        <v>46419</v>
      </c>
      <c r="S5" s="148">
        <v>46447</v>
      </c>
      <c r="T5" s="148">
        <v>46478</v>
      </c>
      <c r="U5" s="148">
        <v>46508</v>
      </c>
      <c r="V5" s="148">
        <v>46539</v>
      </c>
      <c r="W5" s="148">
        <v>46569</v>
      </c>
      <c r="X5" s="148">
        <v>46600</v>
      </c>
      <c r="Y5" s="148">
        <v>46631</v>
      </c>
      <c r="Z5" s="148">
        <v>46661</v>
      </c>
      <c r="AA5" s="148">
        <v>46692</v>
      </c>
      <c r="AB5" s="148">
        <v>46722</v>
      </c>
      <c r="AC5" s="148">
        <v>46753</v>
      </c>
      <c r="AD5" s="148">
        <v>46784</v>
      </c>
      <c r="AE5" s="148">
        <v>46813</v>
      </c>
      <c r="AF5" s="148">
        <v>46844</v>
      </c>
      <c r="AG5" s="148">
        <v>46874</v>
      </c>
      <c r="AH5" s="148">
        <v>46905</v>
      </c>
      <c r="AI5" s="148">
        <v>46935</v>
      </c>
      <c r="AJ5" s="148">
        <v>46966</v>
      </c>
      <c r="AK5" s="148">
        <v>46997</v>
      </c>
      <c r="AL5" s="148">
        <v>47027</v>
      </c>
      <c r="AM5" s="148">
        <v>47058</v>
      </c>
      <c r="AN5" s="148">
        <v>47088</v>
      </c>
      <c r="AO5" s="148">
        <v>47119</v>
      </c>
      <c r="AP5" s="148">
        <v>47150</v>
      </c>
      <c r="AQ5" s="148">
        <v>47178</v>
      </c>
      <c r="AR5" s="148">
        <v>47209</v>
      </c>
      <c r="AS5" s="148">
        <v>47239</v>
      </c>
      <c r="AT5" s="148">
        <v>47270</v>
      </c>
      <c r="AU5" s="148">
        <v>47300</v>
      </c>
      <c r="AV5" s="148">
        <v>47331</v>
      </c>
      <c r="AW5" s="148">
        <v>47362</v>
      </c>
      <c r="AX5" s="148">
        <v>47392</v>
      </c>
      <c r="AY5" s="148">
        <v>47423</v>
      </c>
      <c r="AZ5" s="148">
        <v>47453</v>
      </c>
      <c r="BA5" s="148">
        <f t="shared" ref="BA5" si="1">EOMONTH(AZ5,1)</f>
        <v>47514</v>
      </c>
      <c r="BB5" s="148">
        <f t="shared" ref="BB5" si="2">EOMONTH(BA5,1)</f>
        <v>47542</v>
      </c>
      <c r="BC5" s="148">
        <f t="shared" ref="BC5" si="3">EOMONTH(BB5,1)</f>
        <v>47573</v>
      </c>
      <c r="BD5" s="148">
        <f t="shared" ref="BD5" si="4">EOMONTH(BC5,1)</f>
        <v>47603</v>
      </c>
      <c r="BE5" s="148">
        <f t="shared" ref="BE5" si="5">EOMONTH(BD5,1)</f>
        <v>47634</v>
      </c>
      <c r="BF5" s="148">
        <f t="shared" ref="BF5" si="6">EOMONTH(BE5,1)</f>
        <v>47664</v>
      </c>
      <c r="BG5" s="148">
        <f t="shared" ref="BG5" si="7">EOMONTH(BF5,1)</f>
        <v>47695</v>
      </c>
      <c r="BH5" s="148">
        <f t="shared" ref="BH5" si="8">EOMONTH(BG5,1)</f>
        <v>47726</v>
      </c>
      <c r="BI5" s="148">
        <f t="shared" ref="BI5" si="9">EOMONTH(BH5,1)</f>
        <v>47756</v>
      </c>
      <c r="BJ5" s="148">
        <f t="shared" ref="BJ5" si="10">EOMONTH(BI5,1)</f>
        <v>47787</v>
      </c>
      <c r="BK5" s="148">
        <f t="shared" ref="BK5" si="11">EOMONTH(BJ5,1)</f>
        <v>47817</v>
      </c>
      <c r="BL5" s="148">
        <f t="shared" ref="BL5" si="12">EOMONTH(BK5,1)</f>
        <v>47848</v>
      </c>
      <c r="BM5" s="21"/>
      <c r="BN5" s="21"/>
      <c r="BO5" s="21"/>
      <c r="BP5" s="21"/>
      <c r="BQ5" s="21"/>
      <c r="BR5" s="21"/>
      <c r="BS5" s="21"/>
      <c r="BT5" s="21"/>
      <c r="BU5" s="21"/>
      <c r="BV5" s="21"/>
      <c r="BW5" s="21"/>
      <c r="BX5" s="21"/>
      <c r="BY5" s="21"/>
    </row>
    <row r="6" spans="2:77" s="67" customFormat="1" ht="25" customHeight="1" x14ac:dyDescent="0.3">
      <c r="B6" s="297" t="s">
        <v>167</v>
      </c>
      <c r="C6" s="297"/>
      <c r="D6" s="149">
        <f>'Project Infor'!C28</f>
        <v>465000</v>
      </c>
      <c r="E6" s="150">
        <f>D6+SUMIF('Cost Overview'!$T$16:$T$35,(YEAR(E$5)&amp;MONTH(E$5)),'Cost Overview'!$F$16:$F$35)</f>
        <v>465000</v>
      </c>
      <c r="F6" s="150">
        <f>E6+SUMIF('Cost Overview'!$T$16:$T$35,(YEAR(F$5)&amp;MONTH(F$5)),'Cost Overview'!$F$16:$F$35)</f>
        <v>465000</v>
      </c>
      <c r="G6" s="150">
        <f>F6+SUMIF('Cost Overview'!$T$16:$T$35,(YEAR(G$5)&amp;MONTH(G$5)),'Cost Overview'!$F$16:$F$35)</f>
        <v>465000</v>
      </c>
      <c r="H6" s="150">
        <f>G6+SUMIF('Cost Overview'!$T$16:$T$35,(YEAR(H$5)&amp;MONTH(H$5)),'Cost Overview'!$F$16:$F$35)</f>
        <v>465000</v>
      </c>
      <c r="I6" s="150">
        <f>H6+SUMIF('Cost Overview'!$T$16:$T$35,(YEAR(I$5)&amp;MONTH(I$5)),'Cost Overview'!$F$16:$F$35)</f>
        <v>465000</v>
      </c>
      <c r="J6" s="150">
        <f>I6+SUMIF('Cost Overview'!$T$16:$T$35,(YEAR(J$5)&amp;MONTH(J$5)),'Cost Overview'!$F$16:$F$35)</f>
        <v>465000</v>
      </c>
      <c r="K6" s="150">
        <f>J6+SUMIF('Cost Overview'!$T$16:$T$35,(YEAR(K$5)&amp;MONTH(K$5)),'Cost Overview'!$F$16:$F$35)</f>
        <v>465000</v>
      </c>
      <c r="L6" s="150">
        <f>K6+SUMIF('Cost Overview'!$T$16:$T$35,(YEAR(L$5)&amp;MONTH(L$5)),'Cost Overview'!$F$16:$F$35)</f>
        <v>465000</v>
      </c>
      <c r="M6" s="150">
        <f>L6+SUMIF('Cost Overview'!$T$16:$T$35,(YEAR(M$5)&amp;MONTH(M$5)),'Cost Overview'!$F$16:$F$35)</f>
        <v>465000</v>
      </c>
      <c r="N6" s="150">
        <f>M6+SUMIF('Cost Overview'!$T$16:$T$35,(YEAR(N$5)&amp;MONTH(N$5)),'Cost Overview'!$F$16:$F$35)</f>
        <v>465000</v>
      </c>
      <c r="O6" s="150">
        <f>N6+SUMIF('Cost Overview'!$T$16:$T$35,(YEAR(O$5)&amp;MONTH(O$5)),'Cost Overview'!$F$16:$F$35)</f>
        <v>465000</v>
      </c>
      <c r="P6" s="150">
        <f>O6+SUMIF('Cost Overview'!$T$16:$T$35,(YEAR(P$5)&amp;MONTH(P$5)),'Cost Overview'!$F$16:$F$35)</f>
        <v>465000</v>
      </c>
      <c r="Q6" s="150">
        <f>P6+SUMIF('Cost Overview'!$T$16:$T$35,(YEAR(Q$5)&amp;MONTH(Q$5)),'Cost Overview'!$F$16:$F$35)</f>
        <v>465000</v>
      </c>
      <c r="R6" s="150">
        <f>Q6+SUMIF('Cost Overview'!$T$16:$T$35,(YEAR(R$5)&amp;MONTH(R$5)),'Cost Overview'!$F$16:$F$35)</f>
        <v>465000</v>
      </c>
      <c r="S6" s="150">
        <f>R6+SUMIF('Cost Overview'!$T$16:$T$35,(YEAR(S$5)&amp;MONTH(S$5)),'Cost Overview'!$F$16:$F$35)</f>
        <v>465000</v>
      </c>
      <c r="T6" s="150">
        <f>S6+SUMIF('Cost Overview'!$T$16:$T$35,(YEAR(T$5)&amp;MONTH(T$5)),'Cost Overview'!$F$16:$F$35)</f>
        <v>465000</v>
      </c>
      <c r="U6" s="150">
        <f>T6+SUMIF('Cost Overview'!$T$16:$T$35,(YEAR(U$5)&amp;MONTH(U$5)),'Cost Overview'!$F$16:$F$35)</f>
        <v>465000</v>
      </c>
      <c r="V6" s="150">
        <f>U6+SUMIF('Cost Overview'!$T$16:$T$35,(YEAR(V$5)&amp;MONTH(V$5)),'Cost Overview'!$F$16:$F$35)</f>
        <v>465000</v>
      </c>
      <c r="W6" s="150">
        <f>V6+SUMIF('Cost Overview'!$T$16:$T$35,(YEAR(W$5)&amp;MONTH(W$5)),'Cost Overview'!$F$16:$F$35)</f>
        <v>465000</v>
      </c>
      <c r="X6" s="150">
        <f>W6+SUMIF('Cost Overview'!$T$16:$T$35,(YEAR(X$5)&amp;MONTH(X$5)),'Cost Overview'!$F$16:$F$35)</f>
        <v>465000</v>
      </c>
      <c r="Y6" s="150">
        <f>X6+SUMIF('Cost Overview'!$T$16:$T$35,(YEAR(Y$5)&amp;MONTH(Y$5)),'Cost Overview'!$F$16:$F$35)</f>
        <v>465000</v>
      </c>
      <c r="Z6" s="150">
        <f>Y6+SUMIF('Cost Overview'!$T$16:$T$35,(YEAR(Z$5)&amp;MONTH(Z$5)),'Cost Overview'!$F$16:$F$35)</f>
        <v>465000</v>
      </c>
      <c r="AA6" s="150">
        <f>Z6+SUMIF('Cost Overview'!$T$16:$T$35,(YEAR(AA$5)&amp;MONTH(AA$5)),'Cost Overview'!$F$16:$F$35)</f>
        <v>465000</v>
      </c>
      <c r="AB6" s="150">
        <f>AA6+SUMIF('Cost Overview'!$T$16:$T$35,(YEAR(AB$5)&amp;MONTH(AB$5)),'Cost Overview'!$F$16:$F$35)</f>
        <v>465000</v>
      </c>
      <c r="AC6" s="150">
        <f>AB6+SUMIF('Cost Overview'!$T$16:$T$35,(YEAR(AC$5)&amp;MONTH(AC$5)),'Cost Overview'!$F$16:$F$35)</f>
        <v>465000</v>
      </c>
      <c r="AD6" s="150">
        <f>AC6+SUMIF('Cost Overview'!$T$16:$T$35,(YEAR(AD$5)&amp;MONTH(AD$5)),'Cost Overview'!$F$16:$F$35)</f>
        <v>465000</v>
      </c>
      <c r="AE6" s="150">
        <f>AD6+SUMIF('Cost Overview'!$T$16:$T$35,(YEAR(AE$5)&amp;MONTH(AE$5)),'Cost Overview'!$F$16:$F$35)</f>
        <v>465000</v>
      </c>
      <c r="AF6" s="150">
        <f>AE6+SUMIF('Cost Overview'!$T$16:$T$35,(YEAR(AF$5)&amp;MONTH(AF$5)),'Cost Overview'!$F$16:$F$35)</f>
        <v>465000</v>
      </c>
      <c r="AG6" s="150">
        <f>AF6+SUMIF('Cost Overview'!$T$16:$T$35,(YEAR(AG$5)&amp;MONTH(AG$5)),'Cost Overview'!$F$16:$F$35)</f>
        <v>465000</v>
      </c>
      <c r="AH6" s="150">
        <f>AG6+SUMIF('Cost Overview'!$T$16:$T$35,(YEAR(AH$5)&amp;MONTH(AH$5)),'Cost Overview'!$F$16:$F$35)</f>
        <v>465000</v>
      </c>
      <c r="AI6" s="150">
        <f>AH6+SUMIF('Cost Overview'!$T$16:$T$35,(YEAR(AI$5)&amp;MONTH(AI$5)),'Cost Overview'!$F$16:$F$35)</f>
        <v>465000</v>
      </c>
      <c r="AJ6" s="150">
        <f>AI6+SUMIF('Cost Overview'!$T$16:$T$35,(YEAR(AJ$5)&amp;MONTH(AJ$5)),'Cost Overview'!$F$16:$F$35)</f>
        <v>465000</v>
      </c>
      <c r="AK6" s="150">
        <f>AJ6+SUMIF('Cost Overview'!$T$16:$T$35,(YEAR(AK$5)&amp;MONTH(AK$5)),'Cost Overview'!$F$16:$F$35)</f>
        <v>465000</v>
      </c>
      <c r="AL6" s="150">
        <f>AK6+SUMIF('Cost Overview'!$T$16:$T$35,(YEAR(AL$5)&amp;MONTH(AL$5)),'Cost Overview'!$F$16:$F$35)</f>
        <v>465000</v>
      </c>
      <c r="AM6" s="150">
        <f>AL6+SUMIF('Cost Overview'!$T$16:$T$35,(YEAR(AM$5)&amp;MONTH(AM$5)),'Cost Overview'!$F$16:$F$35)</f>
        <v>465000</v>
      </c>
      <c r="AN6" s="150">
        <f>AM6+SUMIF('Cost Overview'!$T$16:$T$35,(YEAR(AN$5)&amp;MONTH(AN$5)),'Cost Overview'!$F$16:$F$35)</f>
        <v>465000</v>
      </c>
      <c r="AO6" s="150">
        <f>AN6+SUMIF('Cost Overview'!$T$16:$T$35,(YEAR(AO$5)&amp;MONTH(AO$5)),'Cost Overview'!$F$16:$F$35)</f>
        <v>465000</v>
      </c>
      <c r="AP6" s="150">
        <f>AO6+SUMIF('Cost Overview'!$T$16:$T$35,(YEAR(AP$5)&amp;MONTH(AP$5)),'Cost Overview'!$F$16:$F$35)</f>
        <v>465000</v>
      </c>
      <c r="AQ6" s="150">
        <f>AP6+SUMIF('Cost Overview'!$T$16:$T$35,(YEAR(AQ$5)&amp;MONTH(AQ$5)),'Cost Overview'!$F$16:$F$35)</f>
        <v>465000</v>
      </c>
      <c r="AR6" s="150">
        <f>AQ6+SUMIF('Cost Overview'!$T$16:$T$35,(YEAR(AR$5)&amp;MONTH(AR$5)),'Cost Overview'!$F$16:$F$35)</f>
        <v>465000</v>
      </c>
      <c r="AS6" s="150">
        <f>AR6+SUMIF('Cost Overview'!$T$16:$T$35,(YEAR(AS$5)&amp;MONTH(AS$5)),'Cost Overview'!$F$16:$F$35)</f>
        <v>465000</v>
      </c>
      <c r="AT6" s="150">
        <f>AS6+SUMIF('Cost Overview'!$T$16:$T$35,(YEAR(AT$5)&amp;MONTH(AT$5)),'Cost Overview'!$F$16:$F$35)</f>
        <v>465000</v>
      </c>
      <c r="AU6" s="150">
        <f>AT6+SUMIF('Cost Overview'!$T$16:$T$35,(YEAR(AU$5)&amp;MONTH(AU$5)),'Cost Overview'!$F$16:$F$35)</f>
        <v>465000</v>
      </c>
      <c r="AV6" s="150">
        <f>AU6+SUMIF('Cost Overview'!$T$16:$T$35,(YEAR(AV$5)&amp;MONTH(AV$5)),'Cost Overview'!$F$16:$F$35)</f>
        <v>465000</v>
      </c>
      <c r="AW6" s="150">
        <f>AV6+SUMIF('Cost Overview'!$T$16:$T$35,(YEAR(AW$5)&amp;MONTH(AW$5)),'Cost Overview'!$F$16:$F$35)</f>
        <v>465000</v>
      </c>
      <c r="AX6" s="150">
        <f>AW6+SUMIF('Cost Overview'!$T$16:$T$35,(YEAR(AX$5)&amp;MONTH(AX$5)),'Cost Overview'!$F$16:$F$35)</f>
        <v>465000</v>
      </c>
      <c r="AY6" s="150">
        <f>AX6+SUMIF('Cost Overview'!$T$16:$T$35,(YEAR(AY$5)&amp;MONTH(AY$5)),'Cost Overview'!$F$16:$F$35)</f>
        <v>465000</v>
      </c>
      <c r="AZ6" s="150">
        <f>AY6+SUMIF('Cost Overview'!$T$16:$T$35,(YEAR(AZ$5)&amp;MONTH(AZ$5)),'Cost Overview'!$F$16:$F$35)</f>
        <v>465000</v>
      </c>
      <c r="BA6" s="150">
        <f>AZ6+SUMIF('Cost Overview'!$T$16:$T$35,(YEAR(BA$5)&amp;MONTH(BA$5)),'Cost Overview'!$F$16:$F$35)</f>
        <v>465000</v>
      </c>
      <c r="BB6" s="150">
        <f>BA6+SUMIF('Cost Overview'!$T$16:$T$35,(YEAR(BB$5)&amp;MONTH(BB$5)),'Cost Overview'!$F$16:$F$35)</f>
        <v>465000</v>
      </c>
      <c r="BC6" s="150">
        <f>BB6+SUMIF('Cost Overview'!$T$16:$T$35,(YEAR(BC$5)&amp;MONTH(BC$5)),'Cost Overview'!$F$16:$F$35)</f>
        <v>465000</v>
      </c>
      <c r="BD6" s="150">
        <f>BC6+SUMIF('Cost Overview'!$T$16:$T$35,(YEAR(BD$5)&amp;MONTH(BD$5)),'Cost Overview'!$F$16:$F$35)</f>
        <v>465000</v>
      </c>
      <c r="BE6" s="150">
        <f>BD6+SUMIF('Cost Overview'!$T$16:$T$35,(YEAR(BE$5)&amp;MONTH(BE$5)),'Cost Overview'!$F$16:$F$35)</f>
        <v>465000</v>
      </c>
      <c r="BF6" s="150">
        <f>BE6+SUMIF('Cost Overview'!$T$16:$T$35,(YEAR(BF$5)&amp;MONTH(BF$5)),'Cost Overview'!$F$16:$F$35)</f>
        <v>465000</v>
      </c>
      <c r="BG6" s="150">
        <f>BF6+SUMIF('Cost Overview'!$T$16:$T$35,(YEAR(BG$5)&amp;MONTH(BG$5)),'Cost Overview'!$F$16:$F$35)</f>
        <v>465000</v>
      </c>
      <c r="BH6" s="150">
        <f>BG6+SUMIF('Cost Overview'!$T$16:$T$35,(YEAR(BH$5)&amp;MONTH(BH$5)),'Cost Overview'!$F$16:$F$35)</f>
        <v>465000</v>
      </c>
      <c r="BI6" s="150">
        <f>BH6+SUMIF('Cost Overview'!$T$16:$T$35,(YEAR(BI$5)&amp;MONTH(BI$5)),'Cost Overview'!$F$16:$F$35)</f>
        <v>465000</v>
      </c>
      <c r="BJ6" s="150">
        <f>BI6+SUMIF('Cost Overview'!$T$16:$T$35,(YEAR(BJ$5)&amp;MONTH(BJ$5)),'Cost Overview'!$F$16:$F$35)</f>
        <v>465000</v>
      </c>
      <c r="BK6" s="150">
        <f>BJ6+SUMIF('Cost Overview'!$T$16:$T$35,(YEAR(BK$5)&amp;MONTH(BK$5)),'Cost Overview'!$F$16:$F$35)</f>
        <v>465000</v>
      </c>
      <c r="BL6" s="150">
        <f>BK6+SUMIF('Cost Overview'!$T$16:$T$35,(YEAR(BL$5)&amp;MONTH(BL$5)),'Cost Overview'!$F$16:$F$35)</f>
        <v>465000</v>
      </c>
      <c r="BM6" s="21"/>
      <c r="BN6" s="21"/>
      <c r="BO6" s="21"/>
      <c r="BP6" s="21"/>
      <c r="BQ6" s="21"/>
      <c r="BR6" s="21"/>
      <c r="BS6" s="21"/>
      <c r="BT6" s="21"/>
      <c r="BU6" s="21"/>
      <c r="BV6" s="21"/>
      <c r="BW6" s="21"/>
      <c r="BX6" s="21"/>
      <c r="BY6" s="21"/>
    </row>
    <row r="7" spans="2:77" s="67" customFormat="1" ht="25" customHeight="1" outlineLevel="1" x14ac:dyDescent="0.3">
      <c r="B7" s="298" t="s">
        <v>60</v>
      </c>
      <c r="C7" s="298"/>
      <c r="D7" s="151">
        <f>'Project Infor'!C29</f>
        <v>14256</v>
      </c>
      <c r="E7" s="152">
        <f>D7+SUMIF('Cost Overview'!$T$16:$T$35,(YEAR(E$5)&amp;MONTH(E$5)),'Cost Overview'!$H$16:$H$35)</f>
        <v>14256</v>
      </c>
      <c r="F7" s="152">
        <f>E7+SUMIF('Cost Overview'!$T$16:$T$35,(YEAR(F$5)&amp;MONTH(F$5)),'Cost Overview'!$H$16:$H$35)</f>
        <v>14256</v>
      </c>
      <c r="G7" s="152">
        <f>F7+SUMIF('Cost Overview'!$T$16:$T$35,(YEAR(G$5)&amp;MONTH(G$5)),'Cost Overview'!$H$16:$H$35)</f>
        <v>14256</v>
      </c>
      <c r="H7" s="152">
        <f>G7+SUMIF('Cost Overview'!$T$16:$T$35,(YEAR(H$5)&amp;MONTH(H$5)),'Cost Overview'!$H$16:$H$35)</f>
        <v>14256</v>
      </c>
      <c r="I7" s="152">
        <f>H7+SUMIF('Cost Overview'!$T$16:$T$35,(YEAR(I$5)&amp;MONTH(I$5)),'Cost Overview'!$H$16:$H$35)</f>
        <v>14256</v>
      </c>
      <c r="J7" s="152">
        <f>I7+SUMIF('Cost Overview'!$T$16:$T$35,(YEAR(J$5)&amp;MONTH(J$5)),'Cost Overview'!$H$16:$H$35)</f>
        <v>14256</v>
      </c>
      <c r="K7" s="152">
        <f>J7+SUMIF('Cost Overview'!$T$16:$T$35,(YEAR(K$5)&amp;MONTH(K$5)),'Cost Overview'!$H$16:$H$35)</f>
        <v>14256</v>
      </c>
      <c r="L7" s="152">
        <f>K7+SUMIF('Cost Overview'!$T$16:$T$35,(YEAR(L$5)&amp;MONTH(L$5)),'Cost Overview'!$H$16:$H$35)</f>
        <v>14256</v>
      </c>
      <c r="M7" s="152">
        <f>L7+SUMIF('Cost Overview'!$T$16:$T$35,(YEAR(M$5)&amp;MONTH(M$5)),'Cost Overview'!$H$16:$H$35)</f>
        <v>14256</v>
      </c>
      <c r="N7" s="152">
        <f>M7+SUMIF('Cost Overview'!$T$16:$T$35,(YEAR(N$5)&amp;MONTH(N$5)),'Cost Overview'!$H$16:$H$35)</f>
        <v>14256</v>
      </c>
      <c r="O7" s="152">
        <f>N7+SUMIF('Cost Overview'!$T$16:$T$35,(YEAR(O$5)&amp;MONTH(O$5)),'Cost Overview'!$H$16:$H$35)</f>
        <v>14256</v>
      </c>
      <c r="P7" s="152">
        <f>O7+SUMIF('Cost Overview'!$T$16:$T$35,(YEAR(P$5)&amp;MONTH(P$5)),'Cost Overview'!$H$16:$H$35)</f>
        <v>14256</v>
      </c>
      <c r="Q7" s="152">
        <f>P7+SUMIF('Cost Overview'!$T$16:$T$35,(YEAR(Q$5)&amp;MONTH(Q$5)),'Cost Overview'!$H$16:$H$35)</f>
        <v>14256</v>
      </c>
      <c r="R7" s="152">
        <f>Q7+SUMIF('Cost Overview'!$T$16:$T$35,(YEAR(R$5)&amp;MONTH(R$5)),'Cost Overview'!$H$16:$H$35)</f>
        <v>14256</v>
      </c>
      <c r="S7" s="152">
        <f>R7+SUMIF('Cost Overview'!$T$16:$T$35,(YEAR(S$5)&amp;MONTH(S$5)),'Cost Overview'!$H$16:$H$35)</f>
        <v>14256</v>
      </c>
      <c r="T7" s="152">
        <f>S7+SUMIF('Cost Overview'!$T$16:$T$35,(YEAR(T$5)&amp;MONTH(T$5)),'Cost Overview'!$H$16:$H$35)</f>
        <v>14256</v>
      </c>
      <c r="U7" s="152">
        <f>T7+SUMIF('Cost Overview'!$T$16:$T$35,(YEAR(U$5)&amp;MONTH(U$5)),'Cost Overview'!$H$16:$H$35)</f>
        <v>14256</v>
      </c>
      <c r="V7" s="152">
        <f>U7+SUMIF('Cost Overview'!$T$16:$T$35,(YEAR(V$5)&amp;MONTH(V$5)),'Cost Overview'!$H$16:$H$35)</f>
        <v>14256</v>
      </c>
      <c r="W7" s="152">
        <f>V7+SUMIF('Cost Overview'!$T$16:$T$35,(YEAR(W$5)&amp;MONTH(W$5)),'Cost Overview'!$H$16:$H$35)</f>
        <v>14256</v>
      </c>
      <c r="X7" s="152">
        <f>W7+SUMIF('Cost Overview'!$T$16:$T$35,(YEAR(X$5)&amp;MONTH(X$5)),'Cost Overview'!$H$16:$H$35)</f>
        <v>14256</v>
      </c>
      <c r="Y7" s="152">
        <f>X7+SUMIF('Cost Overview'!$T$16:$T$35,(YEAR(Y$5)&amp;MONTH(Y$5)),'Cost Overview'!$H$16:$H$35)</f>
        <v>14256</v>
      </c>
      <c r="Z7" s="152">
        <f>Y7+SUMIF('Cost Overview'!$T$16:$T$35,(YEAR(Z$5)&amp;MONTH(Z$5)),'Cost Overview'!$H$16:$H$35)</f>
        <v>14256</v>
      </c>
      <c r="AA7" s="152">
        <f>Z7+SUMIF('Cost Overview'!$T$16:$T$35,(YEAR(AA$5)&amp;MONTH(AA$5)),'Cost Overview'!$H$16:$H$35)</f>
        <v>14256</v>
      </c>
      <c r="AB7" s="152">
        <f>AA7+SUMIF('Cost Overview'!$T$16:$T$35,(YEAR(AB$5)&amp;MONTH(AB$5)),'Cost Overview'!$H$16:$H$35)</f>
        <v>14256</v>
      </c>
      <c r="AC7" s="152">
        <f>AB7+SUMIF('Cost Overview'!$T$16:$T$35,(YEAR(AC$5)&amp;MONTH(AC$5)),'Cost Overview'!$H$16:$H$35)</f>
        <v>14256</v>
      </c>
      <c r="AD7" s="152">
        <f>AC7+SUMIF('Cost Overview'!$T$16:$T$35,(YEAR(AD$5)&amp;MONTH(AD$5)),'Cost Overview'!$H$16:$H$35)</f>
        <v>14256</v>
      </c>
      <c r="AE7" s="152">
        <f>AD7+SUMIF('Cost Overview'!$T$16:$T$35,(YEAR(AE$5)&amp;MONTH(AE$5)),'Cost Overview'!$H$16:$H$35)</f>
        <v>14256</v>
      </c>
      <c r="AF7" s="152">
        <f>AE7+SUMIF('Cost Overview'!$T$16:$T$35,(YEAR(AF$5)&amp;MONTH(AF$5)),'Cost Overview'!$H$16:$H$35)</f>
        <v>14256</v>
      </c>
      <c r="AG7" s="152">
        <f>AF7+SUMIF('Cost Overview'!$T$16:$T$35,(YEAR(AG$5)&amp;MONTH(AG$5)),'Cost Overview'!$H$16:$H$35)</f>
        <v>14256</v>
      </c>
      <c r="AH7" s="152">
        <f>AG7+SUMIF('Cost Overview'!$T$16:$T$35,(YEAR(AH$5)&amp;MONTH(AH$5)),'Cost Overview'!$H$16:$H$35)</f>
        <v>14256</v>
      </c>
      <c r="AI7" s="152">
        <f>AH7+SUMIF('Cost Overview'!$T$16:$T$35,(YEAR(AI$5)&amp;MONTH(AI$5)),'Cost Overview'!$H$16:$H$35)</f>
        <v>14256</v>
      </c>
      <c r="AJ7" s="152">
        <f>AI7+SUMIF('Cost Overview'!$T$16:$T$35,(YEAR(AJ$5)&amp;MONTH(AJ$5)),'Cost Overview'!$H$16:$H$35)</f>
        <v>14256</v>
      </c>
      <c r="AK7" s="152">
        <f>AJ7+SUMIF('Cost Overview'!$T$16:$T$35,(YEAR(AK$5)&amp;MONTH(AK$5)),'Cost Overview'!$H$16:$H$35)</f>
        <v>14256</v>
      </c>
      <c r="AL7" s="152">
        <f>AK7+SUMIF('Cost Overview'!$T$16:$T$35,(YEAR(AL$5)&amp;MONTH(AL$5)),'Cost Overview'!$H$16:$H$35)</f>
        <v>14256</v>
      </c>
      <c r="AM7" s="152">
        <f>AL7+SUMIF('Cost Overview'!$T$16:$T$35,(YEAR(AM$5)&amp;MONTH(AM$5)),'Cost Overview'!$H$16:$H$35)</f>
        <v>14256</v>
      </c>
      <c r="AN7" s="152">
        <f>AM7+SUMIF('Cost Overview'!$T$16:$T$35,(YEAR(AN$5)&amp;MONTH(AN$5)),'Cost Overview'!$H$16:$H$35)</f>
        <v>14256</v>
      </c>
      <c r="AO7" s="152">
        <f>AN7+SUMIF('Cost Overview'!$T$16:$T$35,(YEAR(AO$5)&amp;MONTH(AO$5)),'Cost Overview'!$H$16:$H$35)</f>
        <v>14256</v>
      </c>
      <c r="AP7" s="152">
        <f>AO7+SUMIF('Cost Overview'!$T$16:$T$35,(YEAR(AP$5)&amp;MONTH(AP$5)),'Cost Overview'!$H$16:$H$35)</f>
        <v>14256</v>
      </c>
      <c r="AQ7" s="152">
        <f>AP7+SUMIF('Cost Overview'!$T$16:$T$35,(YEAR(AQ$5)&amp;MONTH(AQ$5)),'Cost Overview'!$H$16:$H$35)</f>
        <v>14256</v>
      </c>
      <c r="AR7" s="152">
        <f>AQ7+SUMIF('Cost Overview'!$T$16:$T$35,(YEAR(AR$5)&amp;MONTH(AR$5)),'Cost Overview'!$H$16:$H$35)</f>
        <v>14256</v>
      </c>
      <c r="AS7" s="152">
        <f>AR7+SUMIF('Cost Overview'!$T$16:$T$35,(YEAR(AS$5)&amp;MONTH(AS$5)),'Cost Overview'!$H$16:$H$35)</f>
        <v>14256</v>
      </c>
      <c r="AT7" s="152">
        <f>AS7+SUMIF('Cost Overview'!$T$16:$T$35,(YEAR(AT$5)&amp;MONTH(AT$5)),'Cost Overview'!$H$16:$H$35)</f>
        <v>14256</v>
      </c>
      <c r="AU7" s="152">
        <f>AT7+SUMIF('Cost Overview'!$T$16:$T$35,(YEAR(AU$5)&amp;MONTH(AU$5)),'Cost Overview'!$H$16:$H$35)</f>
        <v>14256</v>
      </c>
      <c r="AV7" s="152">
        <f>AU7+SUMIF('Cost Overview'!$T$16:$T$35,(YEAR(AV$5)&amp;MONTH(AV$5)),'Cost Overview'!$H$16:$H$35)</f>
        <v>14256</v>
      </c>
      <c r="AW7" s="152">
        <f>AV7+SUMIF('Cost Overview'!$T$16:$T$35,(YEAR(AW$5)&amp;MONTH(AW$5)),'Cost Overview'!$H$16:$H$35)</f>
        <v>14256</v>
      </c>
      <c r="AX7" s="152">
        <f>AW7+SUMIF('Cost Overview'!$T$16:$T$35,(YEAR(AX$5)&amp;MONTH(AX$5)),'Cost Overview'!$H$16:$H$35)</f>
        <v>14256</v>
      </c>
      <c r="AY7" s="152">
        <f>AX7+SUMIF('Cost Overview'!$T$16:$T$35,(YEAR(AY$5)&amp;MONTH(AY$5)),'Cost Overview'!$H$16:$H$35)</f>
        <v>14256</v>
      </c>
      <c r="AZ7" s="152">
        <f>AY7+SUMIF('Cost Overview'!$T$16:$T$35,(YEAR(AZ$5)&amp;MONTH(AZ$5)),'Cost Overview'!$H$16:$H$35)</f>
        <v>14256</v>
      </c>
      <c r="BA7" s="152">
        <f>AZ7+SUMIF('Cost Overview'!$T$16:$T$35,(YEAR(BA$5)&amp;MONTH(BA$5)),'Cost Overview'!$H$16:$H$35)</f>
        <v>14256</v>
      </c>
      <c r="BB7" s="152">
        <f>BA7+SUMIF('Cost Overview'!$T$16:$T$35,(YEAR(BB$5)&amp;MONTH(BB$5)),'Cost Overview'!$H$16:$H$35)</f>
        <v>14256</v>
      </c>
      <c r="BC7" s="152">
        <f>BB7+SUMIF('Cost Overview'!$T$16:$T$35,(YEAR(BC$5)&amp;MONTH(BC$5)),'Cost Overview'!$H$16:$H$35)</f>
        <v>14256</v>
      </c>
      <c r="BD7" s="152">
        <f>BC7+SUMIF('Cost Overview'!$T$16:$T$35,(YEAR(BD$5)&amp;MONTH(BD$5)),'Cost Overview'!$H$16:$H$35)</f>
        <v>14256</v>
      </c>
      <c r="BE7" s="152">
        <f>BD7+SUMIF('Cost Overview'!$T$16:$T$35,(YEAR(BE$5)&amp;MONTH(BE$5)),'Cost Overview'!$H$16:$H$35)</f>
        <v>14256</v>
      </c>
      <c r="BF7" s="152">
        <f>BE7+SUMIF('Cost Overview'!$T$16:$T$35,(YEAR(BF$5)&amp;MONTH(BF$5)),'Cost Overview'!$H$16:$H$35)</f>
        <v>14256</v>
      </c>
      <c r="BG7" s="152">
        <f>BF7+SUMIF('Cost Overview'!$T$16:$T$35,(YEAR(BG$5)&amp;MONTH(BG$5)),'Cost Overview'!$H$16:$H$35)</f>
        <v>14256</v>
      </c>
      <c r="BH7" s="152">
        <f>BG7+SUMIF('Cost Overview'!$T$16:$T$35,(YEAR(BH$5)&amp;MONTH(BH$5)),'Cost Overview'!$H$16:$H$35)</f>
        <v>14256</v>
      </c>
      <c r="BI7" s="152">
        <f>BH7+SUMIF('Cost Overview'!$T$16:$T$35,(YEAR(BI$5)&amp;MONTH(BI$5)),'Cost Overview'!$H$16:$H$35)</f>
        <v>14256</v>
      </c>
      <c r="BJ7" s="152">
        <f>BI7+SUMIF('Cost Overview'!$T$16:$T$35,(YEAR(BJ$5)&amp;MONTH(BJ$5)),'Cost Overview'!$H$16:$H$35)</f>
        <v>14256</v>
      </c>
      <c r="BK7" s="152">
        <f>BJ7+SUMIF('Cost Overview'!$T$16:$T$35,(YEAR(BK$5)&amp;MONTH(BK$5)),'Cost Overview'!$H$16:$H$35)</f>
        <v>14256</v>
      </c>
      <c r="BL7" s="152">
        <f>BK7+SUMIF('Cost Overview'!$T$16:$T$35,(YEAR(BL$5)&amp;MONTH(BL$5)),'Cost Overview'!$H$16:$H$35)</f>
        <v>14256</v>
      </c>
      <c r="BN7" s="21"/>
      <c r="BO7" s="21"/>
      <c r="BP7" s="21"/>
      <c r="BQ7" s="21"/>
      <c r="BR7" s="21"/>
      <c r="BS7" s="21"/>
      <c r="BT7" s="21"/>
      <c r="BU7" s="21"/>
      <c r="BV7" s="21"/>
      <c r="BW7" s="21"/>
      <c r="BX7" s="21"/>
      <c r="BY7" s="21"/>
    </row>
    <row r="8" spans="2:77" s="67" customFormat="1" ht="25" customHeight="1" outlineLevel="1" x14ac:dyDescent="0.3">
      <c r="B8" s="298" t="s">
        <v>168</v>
      </c>
      <c r="C8" s="298"/>
      <c r="D8" s="151">
        <f>'Project Infor'!C30</f>
        <v>356584.84</v>
      </c>
      <c r="E8" s="152">
        <f>D8+SUMIF('Cost Overview'!$T$16:$T$35,(YEAR(E$5)&amp;MONTH(E$5)),'Cost Overview'!$G$16:$G$35)</f>
        <v>356584.84</v>
      </c>
      <c r="F8" s="152">
        <f>E8+SUMIF('Cost Overview'!$T$16:$T$35,(YEAR(F$5)&amp;MONTH(F$5)),'Cost Overview'!$G$16:$G$35)</f>
        <v>356584.84</v>
      </c>
      <c r="G8" s="152">
        <f>F8+SUMIF('Cost Overview'!$T$16:$T$35,(YEAR(G$5)&amp;MONTH(G$5)),'Cost Overview'!$G$16:$G$35)</f>
        <v>356584.84</v>
      </c>
      <c r="H8" s="152">
        <f>G8+SUMIF('Cost Overview'!$T$16:$T$35,(YEAR(H$5)&amp;MONTH(H$5)),'Cost Overview'!$G$16:$G$35)</f>
        <v>356584.84</v>
      </c>
      <c r="I8" s="152">
        <f>H8+SUMIF('Cost Overview'!$T$16:$T$35,(YEAR(I$5)&amp;MONTH(I$5)),'Cost Overview'!$G$16:$G$35)</f>
        <v>356584.84</v>
      </c>
      <c r="J8" s="152">
        <f>I8+SUMIF('Cost Overview'!$T$16:$T$35,(YEAR(J$5)&amp;MONTH(J$5)),'Cost Overview'!$G$16:$G$35)</f>
        <v>356584.84</v>
      </c>
      <c r="K8" s="152">
        <f>J8+SUMIF('Cost Overview'!$T$16:$T$35,(YEAR(K$5)&amp;MONTH(K$5)),'Cost Overview'!$G$16:$G$35)</f>
        <v>356584.84</v>
      </c>
      <c r="L8" s="152">
        <f>K8+SUMIF('Cost Overview'!$T$16:$T$35,(YEAR(L$5)&amp;MONTH(L$5)),'Cost Overview'!$G$16:$G$35)</f>
        <v>356584.84</v>
      </c>
      <c r="M8" s="152">
        <f>L8+SUMIF('Cost Overview'!$T$16:$T$35,(YEAR(M$5)&amp;MONTH(M$5)),'Cost Overview'!$G$16:$G$35)</f>
        <v>356584.84</v>
      </c>
      <c r="N8" s="152">
        <f>M8+SUMIF('Cost Overview'!$T$16:$T$35,(YEAR(N$5)&amp;MONTH(N$5)),'Cost Overview'!$G$16:$G$35)</f>
        <v>356584.84</v>
      </c>
      <c r="O8" s="152">
        <f>N8+SUMIF('Cost Overview'!$T$16:$T$35,(YEAR(O$5)&amp;MONTH(O$5)),'Cost Overview'!$G$16:$G$35)</f>
        <v>356584.84</v>
      </c>
      <c r="P8" s="152">
        <f>O8+SUMIF('Cost Overview'!$T$16:$T$35,(YEAR(P$5)&amp;MONTH(P$5)),'Cost Overview'!$G$16:$G$35)</f>
        <v>356584.84</v>
      </c>
      <c r="Q8" s="152">
        <f>P8+SUMIF('Cost Overview'!$T$16:$T$35,(YEAR(Q$5)&amp;MONTH(Q$5)),'Cost Overview'!$G$16:$G$35)</f>
        <v>356584.84</v>
      </c>
      <c r="R8" s="152">
        <f>Q8+SUMIF('Cost Overview'!$T$16:$T$35,(YEAR(R$5)&amp;MONTH(R$5)),'Cost Overview'!$G$16:$G$35)</f>
        <v>356584.84</v>
      </c>
      <c r="S8" s="152">
        <f>R8+SUMIF('Cost Overview'!$T$16:$T$35,(YEAR(S$5)&amp;MONTH(S$5)),'Cost Overview'!$G$16:$G$35)</f>
        <v>356584.84</v>
      </c>
      <c r="T8" s="152">
        <f>S8+SUMIF('Cost Overview'!$T$16:$T$35,(YEAR(T$5)&amp;MONTH(T$5)),'Cost Overview'!$G$16:$G$35)</f>
        <v>356584.84</v>
      </c>
      <c r="U8" s="152">
        <f>T8+SUMIF('Cost Overview'!$T$16:$T$35,(YEAR(U$5)&amp;MONTH(U$5)),'Cost Overview'!$G$16:$G$35)</f>
        <v>356584.84</v>
      </c>
      <c r="V8" s="152">
        <f>U8+SUMIF('Cost Overview'!$T$16:$T$35,(YEAR(V$5)&amp;MONTH(V$5)),'Cost Overview'!$G$16:$G$35)</f>
        <v>356584.84</v>
      </c>
      <c r="W8" s="152">
        <f>V8+SUMIF('Cost Overview'!$T$16:$T$35,(YEAR(W$5)&amp;MONTH(W$5)),'Cost Overview'!$G$16:$G$35)</f>
        <v>356584.84</v>
      </c>
      <c r="X8" s="152">
        <f>W8+SUMIF('Cost Overview'!$T$16:$T$35,(YEAR(X$5)&amp;MONTH(X$5)),'Cost Overview'!$G$16:$G$35)</f>
        <v>356584.84</v>
      </c>
      <c r="Y8" s="152">
        <f>X8+SUMIF('Cost Overview'!$T$16:$T$35,(YEAR(Y$5)&amp;MONTH(Y$5)),'Cost Overview'!$G$16:$G$35)</f>
        <v>356584.84</v>
      </c>
      <c r="Z8" s="152">
        <f>Y8+SUMIF('Cost Overview'!$T$16:$T$35,(YEAR(Z$5)&amp;MONTH(Z$5)),'Cost Overview'!$G$16:$G$35)</f>
        <v>356584.84</v>
      </c>
      <c r="AA8" s="152">
        <f>Z8+SUMIF('Cost Overview'!$T$16:$T$35,(YEAR(AA$5)&amp;MONTH(AA$5)),'Cost Overview'!$G$16:$G$35)</f>
        <v>356584.84</v>
      </c>
      <c r="AB8" s="152">
        <f>AA8+SUMIF('Cost Overview'!$T$16:$T$35,(YEAR(AB$5)&amp;MONTH(AB$5)),'Cost Overview'!$G$16:$G$35)</f>
        <v>356584.84</v>
      </c>
      <c r="AC8" s="152">
        <f>AB8+SUMIF('Cost Overview'!$T$16:$T$35,(YEAR(AC$5)&amp;MONTH(AC$5)),'Cost Overview'!$G$16:$G$35)</f>
        <v>356584.84</v>
      </c>
      <c r="AD8" s="152">
        <f>AC8+SUMIF('Cost Overview'!$T$16:$T$35,(YEAR(AD$5)&amp;MONTH(AD$5)),'Cost Overview'!$G$16:$G$35)</f>
        <v>356584.84</v>
      </c>
      <c r="AE8" s="152">
        <f>AD8+SUMIF('Cost Overview'!$T$16:$T$35,(YEAR(AE$5)&amp;MONTH(AE$5)),'Cost Overview'!$G$16:$G$35)</f>
        <v>356584.84</v>
      </c>
      <c r="AF8" s="152">
        <f>AE8+SUMIF('Cost Overview'!$T$16:$T$35,(YEAR(AF$5)&amp;MONTH(AF$5)),'Cost Overview'!$G$16:$G$35)</f>
        <v>356584.84</v>
      </c>
      <c r="AG8" s="152">
        <f>AF8+SUMIF('Cost Overview'!$T$16:$T$35,(YEAR(AG$5)&amp;MONTH(AG$5)),'Cost Overview'!$G$16:$G$35)</f>
        <v>356584.84</v>
      </c>
      <c r="AH8" s="152">
        <f>AG8+SUMIF('Cost Overview'!$T$16:$T$35,(YEAR(AH$5)&amp;MONTH(AH$5)),'Cost Overview'!$G$16:$G$35)</f>
        <v>356584.84</v>
      </c>
      <c r="AI8" s="152">
        <f>AH8+SUMIF('Cost Overview'!$T$16:$T$35,(YEAR(AI$5)&amp;MONTH(AI$5)),'Cost Overview'!$G$16:$G$35)</f>
        <v>356584.84</v>
      </c>
      <c r="AJ8" s="152">
        <f>AI8+SUMIF('Cost Overview'!$T$16:$T$35,(YEAR(AJ$5)&amp;MONTH(AJ$5)),'Cost Overview'!$G$16:$G$35)</f>
        <v>356584.84</v>
      </c>
      <c r="AK8" s="152">
        <f>AJ8+SUMIF('Cost Overview'!$T$16:$T$35,(YEAR(AK$5)&amp;MONTH(AK$5)),'Cost Overview'!$G$16:$G$35)</f>
        <v>356584.84</v>
      </c>
      <c r="AL8" s="152">
        <f>AK8+SUMIF('Cost Overview'!$T$16:$T$35,(YEAR(AL$5)&amp;MONTH(AL$5)),'Cost Overview'!$G$16:$G$35)</f>
        <v>356584.84</v>
      </c>
      <c r="AM8" s="152">
        <f>AL8+SUMIF('Cost Overview'!$T$16:$T$35,(YEAR(AM$5)&amp;MONTH(AM$5)),'Cost Overview'!$G$16:$G$35)</f>
        <v>356584.84</v>
      </c>
      <c r="AN8" s="152">
        <f>AM8+SUMIF('Cost Overview'!$T$16:$T$35,(YEAR(AN$5)&amp;MONTH(AN$5)),'Cost Overview'!$G$16:$G$35)</f>
        <v>356584.84</v>
      </c>
      <c r="AO8" s="152">
        <f>AN8+SUMIF('Cost Overview'!$T$16:$T$35,(YEAR(AO$5)&amp;MONTH(AO$5)),'Cost Overview'!$G$16:$G$35)</f>
        <v>356584.84</v>
      </c>
      <c r="AP8" s="152">
        <f>AO8+SUMIF('Cost Overview'!$T$16:$T$35,(YEAR(AP$5)&amp;MONTH(AP$5)),'Cost Overview'!$G$16:$G$35)</f>
        <v>356584.84</v>
      </c>
      <c r="AQ8" s="152">
        <f>AP8+SUMIF('Cost Overview'!$T$16:$T$35,(YEAR(AQ$5)&amp;MONTH(AQ$5)),'Cost Overview'!$G$16:$G$35)</f>
        <v>356584.84</v>
      </c>
      <c r="AR8" s="152">
        <f>AQ8+SUMIF('Cost Overview'!$T$16:$T$35,(YEAR(AR$5)&amp;MONTH(AR$5)),'Cost Overview'!$G$16:$G$35)</f>
        <v>356584.84</v>
      </c>
      <c r="AS8" s="152">
        <f>AR8+SUMIF('Cost Overview'!$T$16:$T$35,(YEAR(AS$5)&amp;MONTH(AS$5)),'Cost Overview'!$G$16:$G$35)</f>
        <v>356584.84</v>
      </c>
      <c r="AT8" s="152">
        <f>AS8+SUMIF('Cost Overview'!$T$16:$T$35,(YEAR(AT$5)&amp;MONTH(AT$5)),'Cost Overview'!$G$16:$G$35)</f>
        <v>356584.84</v>
      </c>
      <c r="AU8" s="152">
        <f>AT8+SUMIF('Cost Overview'!$T$16:$T$35,(YEAR(AU$5)&amp;MONTH(AU$5)),'Cost Overview'!$G$16:$G$35)</f>
        <v>356584.84</v>
      </c>
      <c r="AV8" s="152">
        <f>AU8+SUMIF('Cost Overview'!$T$16:$T$35,(YEAR(AV$5)&amp;MONTH(AV$5)),'Cost Overview'!$G$16:$G$35)</f>
        <v>356584.84</v>
      </c>
      <c r="AW8" s="152">
        <f>AV8+SUMIF('Cost Overview'!$T$16:$T$35,(YEAR(AW$5)&amp;MONTH(AW$5)),'Cost Overview'!$G$16:$G$35)</f>
        <v>356584.84</v>
      </c>
      <c r="AX8" s="152">
        <f>AW8+SUMIF('Cost Overview'!$T$16:$T$35,(YEAR(AX$5)&amp;MONTH(AX$5)),'Cost Overview'!$G$16:$G$35)</f>
        <v>356584.84</v>
      </c>
      <c r="AY8" s="152">
        <f>AX8+SUMIF('Cost Overview'!$T$16:$T$35,(YEAR(AY$5)&amp;MONTH(AY$5)),'Cost Overview'!$G$16:$G$35)</f>
        <v>356584.84</v>
      </c>
      <c r="AZ8" s="152">
        <f>AY8+SUMIF('Cost Overview'!$T$16:$T$35,(YEAR(AZ$5)&amp;MONTH(AZ$5)),'Cost Overview'!$G$16:$G$35)</f>
        <v>356584.84</v>
      </c>
      <c r="BA8" s="152">
        <f>AZ8+SUMIF('Cost Overview'!$T$16:$T$35,(YEAR(BA$5)&amp;MONTH(BA$5)),'Cost Overview'!$G$16:$G$35)</f>
        <v>356584.84</v>
      </c>
      <c r="BB8" s="152">
        <f>BA8+SUMIF('Cost Overview'!$T$16:$T$35,(YEAR(BB$5)&amp;MONTH(BB$5)),'Cost Overview'!$G$16:$G$35)</f>
        <v>356584.84</v>
      </c>
      <c r="BC8" s="152">
        <f>BB8+SUMIF('Cost Overview'!$T$16:$T$35,(YEAR(BC$5)&amp;MONTH(BC$5)),'Cost Overview'!$G$16:$G$35)</f>
        <v>356584.84</v>
      </c>
      <c r="BD8" s="152">
        <f>BC8+SUMIF('Cost Overview'!$T$16:$T$35,(YEAR(BD$5)&amp;MONTH(BD$5)),'Cost Overview'!$G$16:$G$35)</f>
        <v>356584.84</v>
      </c>
      <c r="BE8" s="152">
        <f>BD8+SUMIF('Cost Overview'!$T$16:$T$35,(YEAR(BE$5)&amp;MONTH(BE$5)),'Cost Overview'!$G$16:$G$35)</f>
        <v>356584.84</v>
      </c>
      <c r="BF8" s="152">
        <f>BE8+SUMIF('Cost Overview'!$T$16:$T$35,(YEAR(BF$5)&amp;MONTH(BF$5)),'Cost Overview'!$G$16:$G$35)</f>
        <v>356584.84</v>
      </c>
      <c r="BG8" s="152">
        <f>BF8+SUMIF('Cost Overview'!$T$16:$T$35,(YEAR(BG$5)&amp;MONTH(BG$5)),'Cost Overview'!$G$16:$G$35)</f>
        <v>356584.84</v>
      </c>
      <c r="BH8" s="152">
        <f>BG8+SUMIF('Cost Overview'!$T$16:$T$35,(YEAR(BH$5)&amp;MONTH(BH$5)),'Cost Overview'!$G$16:$G$35)</f>
        <v>356584.84</v>
      </c>
      <c r="BI8" s="152">
        <f>BH8+SUMIF('Cost Overview'!$T$16:$T$35,(YEAR(BI$5)&amp;MONTH(BI$5)),'Cost Overview'!$G$16:$G$35)</f>
        <v>356584.84</v>
      </c>
      <c r="BJ8" s="152">
        <f>BI8+SUMIF('Cost Overview'!$T$16:$T$35,(YEAR(BJ$5)&amp;MONTH(BJ$5)),'Cost Overview'!$G$16:$G$35)</f>
        <v>356584.84</v>
      </c>
      <c r="BK8" s="152">
        <f>BJ8+SUMIF('Cost Overview'!$T$16:$T$35,(YEAR(BK$5)&amp;MONTH(BK$5)),'Cost Overview'!$G$16:$G$35)</f>
        <v>356584.84</v>
      </c>
      <c r="BL8" s="152">
        <f>BK8+SUMIF('Cost Overview'!$T$16:$T$35,(YEAR(BL$5)&amp;MONTH(BL$5)),'Cost Overview'!$G$16:$G$35)</f>
        <v>356584.84</v>
      </c>
      <c r="BN8" s="21"/>
      <c r="BO8" s="21"/>
      <c r="BP8" s="21"/>
      <c r="BQ8" s="21"/>
      <c r="BR8" s="21"/>
      <c r="BS8" s="21"/>
      <c r="BT8" s="21"/>
      <c r="BU8" s="21"/>
      <c r="BV8" s="21"/>
      <c r="BW8" s="21"/>
      <c r="BX8" s="21"/>
      <c r="BY8" s="21"/>
    </row>
    <row r="9" spans="2:77" s="67" customFormat="1" ht="25" customHeight="1" outlineLevel="1" x14ac:dyDescent="0.3">
      <c r="B9" s="298" t="s">
        <v>169</v>
      </c>
      <c r="C9" s="298"/>
      <c r="D9" s="151">
        <f>'Project Infor'!C31</f>
        <v>3565.85</v>
      </c>
      <c r="E9" s="152">
        <f>D9+SUMIF('Cost Overview'!$T$16:$T$35,(YEAR(E$5)&amp;MONTH(E$5)),'Cost Overview'!$I$16:$I$35)</f>
        <v>3565.85</v>
      </c>
      <c r="F9" s="152">
        <f>E9+SUMIF('Cost Overview'!$T$16:$T$35,(YEAR(F$5)&amp;MONTH(F$5)),'Cost Overview'!$I$16:$I$35)</f>
        <v>3565.85</v>
      </c>
      <c r="G9" s="152">
        <f>F9+SUMIF('Cost Overview'!$T$16:$T$35,(YEAR(G$5)&amp;MONTH(G$5)),'Cost Overview'!$I$16:$I$35)</f>
        <v>3565.85</v>
      </c>
      <c r="H9" s="152">
        <f>G9+SUMIF('Cost Overview'!$T$16:$T$35,(YEAR(H$5)&amp;MONTH(H$5)),'Cost Overview'!$I$16:$I$35)</f>
        <v>3565.85</v>
      </c>
      <c r="I9" s="152">
        <f>H9+SUMIF('Cost Overview'!$T$16:$T$35,(YEAR(I$5)&amp;MONTH(I$5)),'Cost Overview'!$I$16:$I$35)</f>
        <v>3565.85</v>
      </c>
      <c r="J9" s="152">
        <f>I9+SUMIF('Cost Overview'!$T$16:$T$35,(YEAR(J$5)&amp;MONTH(J$5)),'Cost Overview'!$I$16:$I$35)</f>
        <v>3565.85</v>
      </c>
      <c r="K9" s="152">
        <f>J9+SUMIF('Cost Overview'!$T$16:$T$35,(YEAR(K$5)&amp;MONTH(K$5)),'Cost Overview'!$I$16:$I$35)</f>
        <v>3565.85</v>
      </c>
      <c r="L9" s="152">
        <f>K9+SUMIF('Cost Overview'!$T$16:$T$35,(YEAR(L$5)&amp;MONTH(L$5)),'Cost Overview'!$I$16:$I$35)</f>
        <v>3565.85</v>
      </c>
      <c r="M9" s="152">
        <f>L9+SUMIF('Cost Overview'!$T$16:$T$35,(YEAR(M$5)&amp;MONTH(M$5)),'Cost Overview'!$I$16:$I$35)</f>
        <v>3565.85</v>
      </c>
      <c r="N9" s="152">
        <f>M9+SUMIF('Cost Overview'!$T$16:$T$35,(YEAR(N$5)&amp;MONTH(N$5)),'Cost Overview'!$I$16:$I$35)</f>
        <v>3565.85</v>
      </c>
      <c r="O9" s="152">
        <f>N9+SUMIF('Cost Overview'!$T$16:$T$35,(YEAR(O$5)&amp;MONTH(O$5)),'Cost Overview'!$I$16:$I$35)</f>
        <v>3565.85</v>
      </c>
      <c r="P9" s="152">
        <f>O9+SUMIF('Cost Overview'!$T$16:$T$35,(YEAR(P$5)&amp;MONTH(P$5)),'Cost Overview'!$I$16:$I$35)</f>
        <v>3565.85</v>
      </c>
      <c r="Q9" s="152">
        <f>P9+SUMIF('Cost Overview'!$T$16:$T$35,(YEAR(Q$5)&amp;MONTH(Q$5)),'Cost Overview'!$I$16:$I$35)</f>
        <v>3565.85</v>
      </c>
      <c r="R9" s="152">
        <f>Q9+SUMIF('Cost Overview'!$T$16:$T$35,(YEAR(R$5)&amp;MONTH(R$5)),'Cost Overview'!$I$16:$I$35)</f>
        <v>3565.85</v>
      </c>
      <c r="S9" s="152">
        <f>R9+SUMIF('Cost Overview'!$T$16:$T$35,(YEAR(S$5)&amp;MONTH(S$5)),'Cost Overview'!$I$16:$I$35)</f>
        <v>3565.85</v>
      </c>
      <c r="T9" s="152">
        <f>S9+SUMIF('Cost Overview'!$T$16:$T$35,(YEAR(T$5)&amp;MONTH(T$5)),'Cost Overview'!$I$16:$I$35)</f>
        <v>3565.85</v>
      </c>
      <c r="U9" s="152">
        <f>T9+SUMIF('Cost Overview'!$T$16:$T$35,(YEAR(U$5)&amp;MONTH(U$5)),'Cost Overview'!$I$16:$I$35)</f>
        <v>3565.85</v>
      </c>
      <c r="V9" s="152">
        <f>U9+SUMIF('Cost Overview'!$T$16:$T$35,(YEAR(V$5)&amp;MONTH(V$5)),'Cost Overview'!$I$16:$I$35)</f>
        <v>3565.85</v>
      </c>
      <c r="W9" s="152">
        <f>V9+SUMIF('Cost Overview'!$T$16:$T$35,(YEAR(W$5)&amp;MONTH(W$5)),'Cost Overview'!$I$16:$I$35)</f>
        <v>3565.85</v>
      </c>
      <c r="X9" s="152">
        <f>W9+SUMIF('Cost Overview'!$T$16:$T$35,(YEAR(X$5)&amp;MONTH(X$5)),'Cost Overview'!$I$16:$I$35)</f>
        <v>3565.85</v>
      </c>
      <c r="Y9" s="152">
        <f>X9+SUMIF('Cost Overview'!$T$16:$T$35,(YEAR(Y$5)&amp;MONTH(Y$5)),'Cost Overview'!$I$16:$I$35)</f>
        <v>3565.85</v>
      </c>
      <c r="Z9" s="152">
        <f>Y9+SUMIF('Cost Overview'!$T$16:$T$35,(YEAR(Z$5)&amp;MONTH(Z$5)),'Cost Overview'!$I$16:$I$35)</f>
        <v>3565.85</v>
      </c>
      <c r="AA9" s="152">
        <f>Z9+SUMIF('Cost Overview'!$T$16:$T$35,(YEAR(AA$5)&amp;MONTH(AA$5)),'Cost Overview'!$I$16:$I$35)</f>
        <v>3565.85</v>
      </c>
      <c r="AB9" s="152">
        <f>AA9+SUMIF('Cost Overview'!$T$16:$T$35,(YEAR(AB$5)&amp;MONTH(AB$5)),'Cost Overview'!$I$16:$I$35)</f>
        <v>3565.85</v>
      </c>
      <c r="AC9" s="152">
        <f>AB9+SUMIF('Cost Overview'!$T$16:$T$35,(YEAR(AC$5)&amp;MONTH(AC$5)),'Cost Overview'!$I$16:$I$35)</f>
        <v>3565.85</v>
      </c>
      <c r="AD9" s="152">
        <f>AC9+SUMIF('Cost Overview'!$T$16:$T$35,(YEAR(AD$5)&amp;MONTH(AD$5)),'Cost Overview'!$I$16:$I$35)</f>
        <v>3565.85</v>
      </c>
      <c r="AE9" s="152">
        <f>AD9+SUMIF('Cost Overview'!$T$16:$T$35,(YEAR(AE$5)&amp;MONTH(AE$5)),'Cost Overview'!$I$16:$I$35)</f>
        <v>3565.85</v>
      </c>
      <c r="AF9" s="152">
        <f>AE9+SUMIF('Cost Overview'!$T$16:$T$35,(YEAR(AF$5)&amp;MONTH(AF$5)),'Cost Overview'!$I$16:$I$35)</f>
        <v>3565.85</v>
      </c>
      <c r="AG9" s="152">
        <f>AF9+SUMIF('Cost Overview'!$T$16:$T$35,(YEAR(AG$5)&amp;MONTH(AG$5)),'Cost Overview'!$I$16:$I$35)</f>
        <v>3565.85</v>
      </c>
      <c r="AH9" s="152">
        <f>AG9+SUMIF('Cost Overview'!$T$16:$T$35,(YEAR(AH$5)&amp;MONTH(AH$5)),'Cost Overview'!$I$16:$I$35)</f>
        <v>3565.85</v>
      </c>
      <c r="AI9" s="152">
        <f>AH9+SUMIF('Cost Overview'!$T$16:$T$35,(YEAR(AI$5)&amp;MONTH(AI$5)),'Cost Overview'!$I$16:$I$35)</f>
        <v>3565.85</v>
      </c>
      <c r="AJ9" s="152">
        <f>AI9+SUMIF('Cost Overview'!$T$16:$T$35,(YEAR(AJ$5)&amp;MONTH(AJ$5)),'Cost Overview'!$I$16:$I$35)</f>
        <v>3565.85</v>
      </c>
      <c r="AK9" s="152">
        <f>AJ9+SUMIF('Cost Overview'!$T$16:$T$35,(YEAR(AK$5)&amp;MONTH(AK$5)),'Cost Overview'!$I$16:$I$35)</f>
        <v>3565.85</v>
      </c>
      <c r="AL9" s="152">
        <f>AK9+SUMIF('Cost Overview'!$T$16:$T$35,(YEAR(AL$5)&amp;MONTH(AL$5)),'Cost Overview'!$I$16:$I$35)</f>
        <v>3565.85</v>
      </c>
      <c r="AM9" s="152">
        <f>AL9+SUMIF('Cost Overview'!$T$16:$T$35,(YEAR(AM$5)&amp;MONTH(AM$5)),'Cost Overview'!$I$16:$I$35)</f>
        <v>3565.85</v>
      </c>
      <c r="AN9" s="152">
        <f>AM9+SUMIF('Cost Overview'!$T$16:$T$35,(YEAR(AN$5)&amp;MONTH(AN$5)),'Cost Overview'!$I$16:$I$35)</f>
        <v>3565.85</v>
      </c>
      <c r="AO9" s="152">
        <f>AN9+SUMIF('Cost Overview'!$T$16:$T$35,(YEAR(AO$5)&amp;MONTH(AO$5)),'Cost Overview'!$I$16:$I$35)</f>
        <v>3565.85</v>
      </c>
      <c r="AP9" s="152">
        <f>AO9+SUMIF('Cost Overview'!$T$16:$T$35,(YEAR(AP$5)&amp;MONTH(AP$5)),'Cost Overview'!$I$16:$I$35)</f>
        <v>3565.85</v>
      </c>
      <c r="AQ9" s="152">
        <f>AP9+SUMIF('Cost Overview'!$T$16:$T$35,(YEAR(AQ$5)&amp;MONTH(AQ$5)),'Cost Overview'!$I$16:$I$35)</f>
        <v>3565.85</v>
      </c>
      <c r="AR9" s="152">
        <f>AQ9+SUMIF('Cost Overview'!$T$16:$T$35,(YEAR(AR$5)&amp;MONTH(AR$5)),'Cost Overview'!$I$16:$I$35)</f>
        <v>3565.85</v>
      </c>
      <c r="AS9" s="152">
        <f>AR9+SUMIF('Cost Overview'!$T$16:$T$35,(YEAR(AS$5)&amp;MONTH(AS$5)),'Cost Overview'!$I$16:$I$35)</f>
        <v>3565.85</v>
      </c>
      <c r="AT9" s="152">
        <f>AS9+SUMIF('Cost Overview'!$T$16:$T$35,(YEAR(AT$5)&amp;MONTH(AT$5)),'Cost Overview'!$I$16:$I$35)</f>
        <v>3565.85</v>
      </c>
      <c r="AU9" s="152">
        <f>AT9+SUMIF('Cost Overview'!$T$16:$T$35,(YEAR(AU$5)&amp;MONTH(AU$5)),'Cost Overview'!$I$16:$I$35)</f>
        <v>3565.85</v>
      </c>
      <c r="AV9" s="152">
        <f>AU9+SUMIF('Cost Overview'!$T$16:$T$35,(YEAR(AV$5)&amp;MONTH(AV$5)),'Cost Overview'!$I$16:$I$35)</f>
        <v>3565.85</v>
      </c>
      <c r="AW9" s="152">
        <f>AV9+SUMIF('Cost Overview'!$T$16:$T$35,(YEAR(AW$5)&amp;MONTH(AW$5)),'Cost Overview'!$I$16:$I$35)</f>
        <v>3565.85</v>
      </c>
      <c r="AX9" s="152">
        <f>AW9+SUMIF('Cost Overview'!$T$16:$T$35,(YEAR(AX$5)&amp;MONTH(AX$5)),'Cost Overview'!$I$16:$I$35)</f>
        <v>3565.85</v>
      </c>
      <c r="AY9" s="152">
        <f>AX9+SUMIF('Cost Overview'!$T$16:$T$35,(YEAR(AY$5)&amp;MONTH(AY$5)),'Cost Overview'!$I$16:$I$35)</f>
        <v>3565.85</v>
      </c>
      <c r="AZ9" s="152">
        <f>AY9+SUMIF('Cost Overview'!$T$16:$T$35,(YEAR(AZ$5)&amp;MONTH(AZ$5)),'Cost Overview'!$I$16:$I$35)</f>
        <v>3565.85</v>
      </c>
      <c r="BA9" s="152">
        <f>AZ9+SUMIF('Cost Overview'!$T$16:$T$35,(YEAR(BA$5)&amp;MONTH(BA$5)),'Cost Overview'!$I$16:$I$35)</f>
        <v>3565.85</v>
      </c>
      <c r="BB9" s="152">
        <f>BA9+SUMIF('Cost Overview'!$T$16:$T$35,(YEAR(BB$5)&amp;MONTH(BB$5)),'Cost Overview'!$I$16:$I$35)</f>
        <v>3565.85</v>
      </c>
      <c r="BC9" s="152">
        <f>BB9+SUMIF('Cost Overview'!$T$16:$T$35,(YEAR(BC$5)&amp;MONTH(BC$5)),'Cost Overview'!$I$16:$I$35)</f>
        <v>3565.85</v>
      </c>
      <c r="BD9" s="152">
        <f>BC9+SUMIF('Cost Overview'!$T$16:$T$35,(YEAR(BD$5)&amp;MONTH(BD$5)),'Cost Overview'!$I$16:$I$35)</f>
        <v>3565.85</v>
      </c>
      <c r="BE9" s="152">
        <f>BD9+SUMIF('Cost Overview'!$T$16:$T$35,(YEAR(BE$5)&amp;MONTH(BE$5)),'Cost Overview'!$I$16:$I$35)</f>
        <v>3565.85</v>
      </c>
      <c r="BF9" s="152">
        <f>BE9+SUMIF('Cost Overview'!$T$16:$T$35,(YEAR(BF$5)&amp;MONTH(BF$5)),'Cost Overview'!$I$16:$I$35)</f>
        <v>3565.85</v>
      </c>
      <c r="BG9" s="152">
        <f>BF9+SUMIF('Cost Overview'!$T$16:$T$35,(YEAR(BG$5)&amp;MONTH(BG$5)),'Cost Overview'!$I$16:$I$35)</f>
        <v>3565.85</v>
      </c>
      <c r="BH9" s="152">
        <f>BG9+SUMIF('Cost Overview'!$T$16:$T$35,(YEAR(BH$5)&amp;MONTH(BH$5)),'Cost Overview'!$I$16:$I$35)</f>
        <v>3565.85</v>
      </c>
      <c r="BI9" s="152">
        <f>BH9+SUMIF('Cost Overview'!$T$16:$T$35,(YEAR(BI$5)&amp;MONTH(BI$5)),'Cost Overview'!$I$16:$I$35)</f>
        <v>3565.85</v>
      </c>
      <c r="BJ9" s="152">
        <f>BI9+SUMIF('Cost Overview'!$T$16:$T$35,(YEAR(BJ$5)&amp;MONTH(BJ$5)),'Cost Overview'!$I$16:$I$35)</f>
        <v>3565.85</v>
      </c>
      <c r="BK9" s="152">
        <f>BJ9+SUMIF('Cost Overview'!$T$16:$T$35,(YEAR(BK$5)&amp;MONTH(BK$5)),'Cost Overview'!$I$16:$I$35)</f>
        <v>3565.85</v>
      </c>
      <c r="BL9" s="152">
        <f>BK9+SUMIF('Cost Overview'!$T$16:$T$35,(YEAR(BL$5)&amp;MONTH(BL$5)),'Cost Overview'!$I$16:$I$35)</f>
        <v>3565.85</v>
      </c>
      <c r="BN9" s="21"/>
      <c r="BO9" s="21"/>
      <c r="BP9" s="21"/>
      <c r="BQ9" s="21"/>
      <c r="BR9" s="21"/>
      <c r="BS9" s="21"/>
      <c r="BT9" s="21"/>
      <c r="BU9" s="21"/>
      <c r="BV9" s="21"/>
      <c r="BW9" s="21"/>
      <c r="BX9" s="21"/>
      <c r="BY9" s="21"/>
    </row>
    <row r="10" spans="2:77" s="67" customFormat="1" ht="25" customHeight="1" outlineLevel="1" x14ac:dyDescent="0.3">
      <c r="B10" s="298" t="s">
        <v>170</v>
      </c>
      <c r="C10" s="298"/>
      <c r="D10" s="151">
        <f>'Project Infor'!C32</f>
        <v>0</v>
      </c>
      <c r="E10" s="152">
        <f>D10+SUMIF('Cost Overview'!$T$16:$T$35,(YEAR(E$5)&amp;MONTH(E$5)),'Cost Overview'!$J$16:$J$35)</f>
        <v>0</v>
      </c>
      <c r="F10" s="152">
        <f>E10+SUMIF('Cost Overview'!$T$16:$T$35,(YEAR(F$5)&amp;MONTH(F$5)),'Cost Overview'!$J$16:$J$35)</f>
        <v>0</v>
      </c>
      <c r="G10" s="152">
        <f>F10+SUMIF('Cost Overview'!$T$16:$T$35,(YEAR(G$5)&amp;MONTH(G$5)),'Cost Overview'!$J$16:$J$35)</f>
        <v>0</v>
      </c>
      <c r="H10" s="152">
        <f>G10+SUMIF('Cost Overview'!$T$16:$T$35,(YEAR(H$5)&amp;MONTH(H$5)),'Cost Overview'!$J$16:$J$35)</f>
        <v>0</v>
      </c>
      <c r="I10" s="152">
        <f>H10+SUMIF('Cost Overview'!$T$16:$T$35,(YEAR(I$5)&amp;MONTH(I$5)),'Cost Overview'!$J$16:$J$35)</f>
        <v>0</v>
      </c>
      <c r="J10" s="152">
        <f>I10+SUMIF('Cost Overview'!$T$16:$T$35,(YEAR(J$5)&amp;MONTH(J$5)),'Cost Overview'!$J$16:$J$35)</f>
        <v>0</v>
      </c>
      <c r="K10" s="152">
        <f>J10+SUMIF('Cost Overview'!$T$16:$T$35,(YEAR(K$5)&amp;MONTH(K$5)),'Cost Overview'!$J$16:$J$35)</f>
        <v>0</v>
      </c>
      <c r="L10" s="152">
        <f>K10+SUMIF('Cost Overview'!$T$16:$T$35,(YEAR(L$5)&amp;MONTH(L$5)),'Cost Overview'!$J$16:$J$35)</f>
        <v>0</v>
      </c>
      <c r="M10" s="152">
        <f>L10+SUMIF('Cost Overview'!$T$16:$T$35,(YEAR(M$5)&amp;MONTH(M$5)),'Cost Overview'!$J$16:$J$35)</f>
        <v>0</v>
      </c>
      <c r="N10" s="152">
        <f>M10+SUMIF('Cost Overview'!$T$16:$T$35,(YEAR(N$5)&amp;MONTH(N$5)),'Cost Overview'!$J$16:$J$35)</f>
        <v>0</v>
      </c>
      <c r="O10" s="152">
        <f>N10+SUMIF('Cost Overview'!$T$16:$T$35,(YEAR(O$5)&amp;MONTH(O$5)),'Cost Overview'!$J$16:$J$35)</f>
        <v>0</v>
      </c>
      <c r="P10" s="152">
        <f>O10+SUMIF('Cost Overview'!$T$16:$T$35,(YEAR(P$5)&amp;MONTH(P$5)),'Cost Overview'!$J$16:$J$35)</f>
        <v>0</v>
      </c>
      <c r="Q10" s="152">
        <f>P10+SUMIF('Cost Overview'!$T$16:$T$35,(YEAR(Q$5)&amp;MONTH(Q$5)),'Cost Overview'!$J$16:$J$35)</f>
        <v>0</v>
      </c>
      <c r="R10" s="152">
        <f>Q10+SUMIF('Cost Overview'!$T$16:$T$35,(YEAR(R$5)&amp;MONTH(R$5)),'Cost Overview'!$J$16:$J$35)</f>
        <v>0</v>
      </c>
      <c r="S10" s="152">
        <f>R10+SUMIF('Cost Overview'!$T$16:$T$35,(YEAR(S$5)&amp;MONTH(S$5)),'Cost Overview'!$J$16:$J$35)</f>
        <v>0</v>
      </c>
      <c r="T10" s="152">
        <f>S10+SUMIF('Cost Overview'!$T$16:$T$35,(YEAR(T$5)&amp;MONTH(T$5)),'Cost Overview'!$J$16:$J$35)</f>
        <v>0</v>
      </c>
      <c r="U10" s="152">
        <f>T10+SUMIF('Cost Overview'!$T$16:$T$35,(YEAR(U$5)&amp;MONTH(U$5)),'Cost Overview'!$J$16:$J$35)</f>
        <v>0</v>
      </c>
      <c r="V10" s="152">
        <f>U10+SUMIF('Cost Overview'!$T$16:$T$35,(YEAR(V$5)&amp;MONTH(V$5)),'Cost Overview'!$J$16:$J$35)</f>
        <v>0</v>
      </c>
      <c r="W10" s="152">
        <f>V10+SUMIF('Cost Overview'!$T$16:$T$35,(YEAR(W$5)&amp;MONTH(W$5)),'Cost Overview'!$J$16:$J$35)</f>
        <v>0</v>
      </c>
      <c r="X10" s="152">
        <f>W10+SUMIF('Cost Overview'!$T$16:$T$35,(YEAR(X$5)&amp;MONTH(X$5)),'Cost Overview'!$J$16:$J$35)</f>
        <v>0</v>
      </c>
      <c r="Y10" s="152">
        <f>X10+SUMIF('Cost Overview'!$T$16:$T$35,(YEAR(Y$5)&amp;MONTH(Y$5)),'Cost Overview'!$J$16:$J$35)</f>
        <v>0</v>
      </c>
      <c r="Z10" s="152">
        <f>Y10+SUMIF('Cost Overview'!$T$16:$T$35,(YEAR(Z$5)&amp;MONTH(Z$5)),'Cost Overview'!$J$16:$J$35)</f>
        <v>0</v>
      </c>
      <c r="AA10" s="152">
        <f>Z10+SUMIF('Cost Overview'!$T$16:$T$35,(YEAR(AA$5)&amp;MONTH(AA$5)),'Cost Overview'!$J$16:$J$35)</f>
        <v>0</v>
      </c>
      <c r="AB10" s="152">
        <f>AA10+SUMIF('Cost Overview'!$T$16:$T$35,(YEAR(AB$5)&amp;MONTH(AB$5)),'Cost Overview'!$J$16:$J$35)</f>
        <v>0</v>
      </c>
      <c r="AC10" s="152">
        <f>AB10+SUMIF('Cost Overview'!$T$16:$T$35,(YEAR(AC$5)&amp;MONTH(AC$5)),'Cost Overview'!$J$16:$J$35)</f>
        <v>0</v>
      </c>
      <c r="AD10" s="152">
        <f>AC10+SUMIF('Cost Overview'!$T$16:$T$35,(YEAR(AD$5)&amp;MONTH(AD$5)),'Cost Overview'!$J$16:$J$35)</f>
        <v>0</v>
      </c>
      <c r="AE10" s="152">
        <f>AD10+SUMIF('Cost Overview'!$T$16:$T$35,(YEAR(AE$5)&amp;MONTH(AE$5)),'Cost Overview'!$J$16:$J$35)</f>
        <v>0</v>
      </c>
      <c r="AF10" s="152">
        <f>AE10+SUMIF('Cost Overview'!$T$16:$T$35,(YEAR(AF$5)&amp;MONTH(AF$5)),'Cost Overview'!$J$16:$J$35)</f>
        <v>0</v>
      </c>
      <c r="AG10" s="152">
        <f>AF10+SUMIF('Cost Overview'!$T$16:$T$35,(YEAR(AG$5)&amp;MONTH(AG$5)),'Cost Overview'!$J$16:$J$35)</f>
        <v>0</v>
      </c>
      <c r="AH10" s="152">
        <f>AG10+SUMIF('Cost Overview'!$T$16:$T$35,(YEAR(AH$5)&amp;MONTH(AH$5)),'Cost Overview'!$J$16:$J$35)</f>
        <v>0</v>
      </c>
      <c r="AI10" s="152">
        <f>AH10+SUMIF('Cost Overview'!$T$16:$T$35,(YEAR(AI$5)&amp;MONTH(AI$5)),'Cost Overview'!$J$16:$J$35)</f>
        <v>0</v>
      </c>
      <c r="AJ10" s="152">
        <f>AI10+SUMIF('Cost Overview'!$T$16:$T$35,(YEAR(AJ$5)&amp;MONTH(AJ$5)),'Cost Overview'!$J$16:$J$35)</f>
        <v>0</v>
      </c>
      <c r="AK10" s="152">
        <f>AJ10+SUMIF('Cost Overview'!$T$16:$T$35,(YEAR(AK$5)&amp;MONTH(AK$5)),'Cost Overview'!$J$16:$J$35)</f>
        <v>0</v>
      </c>
      <c r="AL10" s="152">
        <f>AK10+SUMIF('Cost Overview'!$T$16:$T$35,(YEAR(AL$5)&amp;MONTH(AL$5)),'Cost Overview'!$J$16:$J$35)</f>
        <v>0</v>
      </c>
      <c r="AM10" s="152">
        <f>AL10+SUMIF('Cost Overview'!$T$16:$T$35,(YEAR(AM$5)&amp;MONTH(AM$5)),'Cost Overview'!$J$16:$J$35)</f>
        <v>0</v>
      </c>
      <c r="AN10" s="152">
        <f>AM10+SUMIF('Cost Overview'!$T$16:$T$35,(YEAR(AN$5)&amp;MONTH(AN$5)),'Cost Overview'!$J$16:$J$35)</f>
        <v>0</v>
      </c>
      <c r="AO10" s="152">
        <f>AN10+SUMIF('Cost Overview'!$T$16:$T$35,(YEAR(AO$5)&amp;MONTH(AO$5)),'Cost Overview'!$J$16:$J$35)</f>
        <v>0</v>
      </c>
      <c r="AP10" s="152">
        <f>AO10+SUMIF('Cost Overview'!$T$16:$T$35,(YEAR(AP$5)&amp;MONTH(AP$5)),'Cost Overview'!$J$16:$J$35)</f>
        <v>0</v>
      </c>
      <c r="AQ10" s="152">
        <f>AP10+SUMIF('Cost Overview'!$T$16:$T$35,(YEAR(AQ$5)&amp;MONTH(AQ$5)),'Cost Overview'!$J$16:$J$35)</f>
        <v>0</v>
      </c>
      <c r="AR10" s="152">
        <f>AQ10+SUMIF('Cost Overview'!$T$16:$T$35,(YEAR(AR$5)&amp;MONTH(AR$5)),'Cost Overview'!$J$16:$J$35)</f>
        <v>0</v>
      </c>
      <c r="AS10" s="152">
        <f>AR10+SUMIF('Cost Overview'!$T$16:$T$35,(YEAR(AS$5)&amp;MONTH(AS$5)),'Cost Overview'!$J$16:$J$35)</f>
        <v>0</v>
      </c>
      <c r="AT10" s="152">
        <f>AS10+SUMIF('Cost Overview'!$T$16:$T$35,(YEAR(AT$5)&amp;MONTH(AT$5)),'Cost Overview'!$J$16:$J$35)</f>
        <v>0</v>
      </c>
      <c r="AU10" s="152">
        <f>AT10+SUMIF('Cost Overview'!$T$16:$T$35,(YEAR(AU$5)&amp;MONTH(AU$5)),'Cost Overview'!$J$16:$J$35)</f>
        <v>0</v>
      </c>
      <c r="AV10" s="152">
        <f>AU10+SUMIF('Cost Overview'!$T$16:$T$35,(YEAR(AV$5)&amp;MONTH(AV$5)),'Cost Overview'!$J$16:$J$35)</f>
        <v>0</v>
      </c>
      <c r="AW10" s="152">
        <f>AV10+SUMIF('Cost Overview'!$T$16:$T$35,(YEAR(AW$5)&amp;MONTH(AW$5)),'Cost Overview'!$J$16:$J$35)</f>
        <v>0</v>
      </c>
      <c r="AX10" s="152">
        <f>AW10+SUMIF('Cost Overview'!$T$16:$T$35,(YEAR(AX$5)&amp;MONTH(AX$5)),'Cost Overview'!$J$16:$J$35)</f>
        <v>0</v>
      </c>
      <c r="AY10" s="152">
        <f>AX10+SUMIF('Cost Overview'!$T$16:$T$35,(YEAR(AY$5)&amp;MONTH(AY$5)),'Cost Overview'!$J$16:$J$35)</f>
        <v>0</v>
      </c>
      <c r="AZ10" s="152">
        <f>AY10+SUMIF('Cost Overview'!$T$16:$T$35,(YEAR(AZ$5)&amp;MONTH(AZ$5)),'Cost Overview'!$J$16:$J$35)</f>
        <v>0</v>
      </c>
      <c r="BA10" s="152">
        <f>AZ10+SUMIF('Cost Overview'!$T$16:$T$35,(YEAR(BA$5)&amp;MONTH(BA$5)),'Cost Overview'!$J$16:$J$35)</f>
        <v>0</v>
      </c>
      <c r="BB10" s="152">
        <f>BA10+SUMIF('Cost Overview'!$T$16:$T$35,(YEAR(BB$5)&amp;MONTH(BB$5)),'Cost Overview'!$J$16:$J$35)</f>
        <v>0</v>
      </c>
      <c r="BC10" s="152">
        <f>BB10+SUMIF('Cost Overview'!$T$16:$T$35,(YEAR(BC$5)&amp;MONTH(BC$5)),'Cost Overview'!$J$16:$J$35)</f>
        <v>0</v>
      </c>
      <c r="BD10" s="152">
        <f>BC10+SUMIF('Cost Overview'!$T$16:$T$35,(YEAR(BD$5)&amp;MONTH(BD$5)),'Cost Overview'!$J$16:$J$35)</f>
        <v>0</v>
      </c>
      <c r="BE10" s="152">
        <f>BD10+SUMIF('Cost Overview'!$T$16:$T$35,(YEAR(BE$5)&amp;MONTH(BE$5)),'Cost Overview'!$J$16:$J$35)</f>
        <v>0</v>
      </c>
      <c r="BF10" s="152">
        <f>BE10+SUMIF('Cost Overview'!$T$16:$T$35,(YEAR(BF$5)&amp;MONTH(BF$5)),'Cost Overview'!$J$16:$J$35)</f>
        <v>0</v>
      </c>
      <c r="BG10" s="152">
        <f>BF10+SUMIF('Cost Overview'!$T$16:$T$35,(YEAR(BG$5)&amp;MONTH(BG$5)),'Cost Overview'!$J$16:$J$35)</f>
        <v>0</v>
      </c>
      <c r="BH10" s="152">
        <f>BG10+SUMIF('Cost Overview'!$T$16:$T$35,(YEAR(BH$5)&amp;MONTH(BH$5)),'Cost Overview'!$J$16:$J$35)</f>
        <v>0</v>
      </c>
      <c r="BI10" s="152">
        <f>BH10+SUMIF('Cost Overview'!$T$16:$T$35,(YEAR(BI$5)&amp;MONTH(BI$5)),'Cost Overview'!$J$16:$J$35)</f>
        <v>0</v>
      </c>
      <c r="BJ10" s="152">
        <f>BI10+SUMIF('Cost Overview'!$T$16:$T$35,(YEAR(BJ$5)&amp;MONTH(BJ$5)),'Cost Overview'!$J$16:$J$35)</f>
        <v>0</v>
      </c>
      <c r="BK10" s="152">
        <f>BJ10+SUMIF('Cost Overview'!$T$16:$T$35,(YEAR(BK$5)&amp;MONTH(BK$5)),'Cost Overview'!$J$16:$J$35)</f>
        <v>0</v>
      </c>
      <c r="BL10" s="152">
        <f>BK10+SUMIF('Cost Overview'!$T$16:$T$35,(YEAR(BL$5)&amp;MONTH(BL$5)),'Cost Overview'!$J$16:$J$35)</f>
        <v>0</v>
      </c>
      <c r="BN10" s="21"/>
      <c r="BO10" s="21"/>
      <c r="BP10" s="21"/>
      <c r="BQ10" s="21"/>
      <c r="BR10" s="21"/>
      <c r="BS10" s="21"/>
      <c r="BT10" s="21"/>
      <c r="BU10" s="21"/>
      <c r="BV10" s="21"/>
      <c r="BW10" s="21"/>
      <c r="BX10" s="21"/>
      <c r="BY10" s="21"/>
    </row>
    <row r="11" spans="2:77" s="67" customFormat="1" ht="25" customHeight="1" outlineLevel="1" x14ac:dyDescent="0.3">
      <c r="B11" s="298" t="s">
        <v>171</v>
      </c>
      <c r="C11" s="298"/>
      <c r="D11" s="151">
        <f>'Project Infor'!C33</f>
        <v>0</v>
      </c>
      <c r="E11" s="152">
        <f>D11+SUMIF('Cost Overview'!$T$16:$T$35,(YEAR(E$5)&amp;MONTH(E$5)),'Cost Overview'!$K$16:$K$35)</f>
        <v>0</v>
      </c>
      <c r="F11" s="152">
        <f>E11+SUMIF('Cost Overview'!$T$16:$T$35,(YEAR(F$5)&amp;MONTH(F$5)),'Cost Overview'!$K$16:$K$35)</f>
        <v>0</v>
      </c>
      <c r="G11" s="152">
        <f>F11+SUMIF('Cost Overview'!$T$16:$T$35,(YEAR(G$5)&amp;MONTH(G$5)),'Cost Overview'!$K$16:$K$35)</f>
        <v>0</v>
      </c>
      <c r="H11" s="152">
        <f>G11+SUMIF('Cost Overview'!$T$16:$T$35,(YEAR(H$5)&amp;MONTH(H$5)),'Cost Overview'!$K$16:$K$35)</f>
        <v>0</v>
      </c>
      <c r="I11" s="152">
        <f>H11+SUMIF('Cost Overview'!$T$16:$T$35,(YEAR(I$5)&amp;MONTH(I$5)),'Cost Overview'!$K$16:$K$35)</f>
        <v>0</v>
      </c>
      <c r="J11" s="152">
        <f>I11+SUMIF('Cost Overview'!$T$16:$T$35,(YEAR(J$5)&amp;MONTH(J$5)),'Cost Overview'!$K$16:$K$35)</f>
        <v>0</v>
      </c>
      <c r="K11" s="152">
        <f>J11+SUMIF('Cost Overview'!$T$16:$T$35,(YEAR(K$5)&amp;MONTH(K$5)),'Cost Overview'!$K$16:$K$35)</f>
        <v>0</v>
      </c>
      <c r="L11" s="152">
        <f>K11+SUMIF('Cost Overview'!$T$16:$T$35,(YEAR(L$5)&amp;MONTH(L$5)),'Cost Overview'!$K$16:$K$35)</f>
        <v>0</v>
      </c>
      <c r="M11" s="152">
        <f>L11+SUMIF('Cost Overview'!$T$16:$T$35,(YEAR(M$5)&amp;MONTH(M$5)),'Cost Overview'!$K$16:$K$35)</f>
        <v>0</v>
      </c>
      <c r="N11" s="152">
        <f>M11+SUMIF('Cost Overview'!$T$16:$T$35,(YEAR(N$5)&amp;MONTH(N$5)),'Cost Overview'!$K$16:$K$35)</f>
        <v>0</v>
      </c>
      <c r="O11" s="152">
        <f>N11+SUMIF('Cost Overview'!$T$16:$T$35,(YEAR(O$5)&amp;MONTH(O$5)),'Cost Overview'!$K$16:$K$35)</f>
        <v>0</v>
      </c>
      <c r="P11" s="152">
        <f>O11+SUMIF('Cost Overview'!$T$16:$T$35,(YEAR(P$5)&amp;MONTH(P$5)),'Cost Overview'!$K$16:$K$35)</f>
        <v>0</v>
      </c>
      <c r="Q11" s="152">
        <f>P11+SUMIF('Cost Overview'!$T$16:$T$35,(YEAR(Q$5)&amp;MONTH(Q$5)),'Cost Overview'!$K$16:$K$35)</f>
        <v>0</v>
      </c>
      <c r="R11" s="152">
        <f>Q11+SUMIF('Cost Overview'!$T$16:$T$35,(YEAR(R$5)&amp;MONTH(R$5)),'Cost Overview'!$K$16:$K$35)</f>
        <v>0</v>
      </c>
      <c r="S11" s="152">
        <f>R11+SUMIF('Cost Overview'!$T$16:$T$35,(YEAR(S$5)&amp;MONTH(S$5)),'Cost Overview'!$K$16:$K$35)</f>
        <v>0</v>
      </c>
      <c r="T11" s="152">
        <f>S11+SUMIF('Cost Overview'!$T$16:$T$35,(YEAR(T$5)&amp;MONTH(T$5)),'Cost Overview'!$K$16:$K$35)</f>
        <v>0</v>
      </c>
      <c r="U11" s="152">
        <f>T11+SUMIF('Cost Overview'!$T$16:$T$35,(YEAR(U$5)&amp;MONTH(U$5)),'Cost Overview'!$K$16:$K$35)</f>
        <v>0</v>
      </c>
      <c r="V11" s="152">
        <f>U11+SUMIF('Cost Overview'!$T$16:$T$35,(YEAR(V$5)&amp;MONTH(V$5)),'Cost Overview'!$K$16:$K$35)</f>
        <v>0</v>
      </c>
      <c r="W11" s="152">
        <f>V11+SUMIF('Cost Overview'!$T$16:$T$35,(YEAR(W$5)&amp;MONTH(W$5)),'Cost Overview'!$K$16:$K$35)</f>
        <v>0</v>
      </c>
      <c r="X11" s="152">
        <f>W11+SUMIF('Cost Overview'!$T$16:$T$35,(YEAR(X$5)&amp;MONTH(X$5)),'Cost Overview'!$K$16:$K$35)</f>
        <v>0</v>
      </c>
      <c r="Y11" s="152">
        <f>X11+SUMIF('Cost Overview'!$T$16:$T$35,(YEAR(Y$5)&amp;MONTH(Y$5)),'Cost Overview'!$K$16:$K$35)</f>
        <v>0</v>
      </c>
      <c r="Z11" s="152">
        <f>Y11+SUMIF('Cost Overview'!$T$16:$T$35,(YEAR(Z$5)&amp;MONTH(Z$5)),'Cost Overview'!$K$16:$K$35)</f>
        <v>0</v>
      </c>
      <c r="AA11" s="152">
        <f>Z11+SUMIF('Cost Overview'!$T$16:$T$35,(YEAR(AA$5)&amp;MONTH(AA$5)),'Cost Overview'!$K$16:$K$35)</f>
        <v>0</v>
      </c>
      <c r="AB11" s="152">
        <f>AA11+SUMIF('Cost Overview'!$T$16:$T$35,(YEAR(AB$5)&amp;MONTH(AB$5)),'Cost Overview'!$K$16:$K$35)</f>
        <v>0</v>
      </c>
      <c r="AC11" s="152">
        <f>AB11+SUMIF('Cost Overview'!$T$16:$T$35,(YEAR(AC$5)&amp;MONTH(AC$5)),'Cost Overview'!$K$16:$K$35)</f>
        <v>0</v>
      </c>
      <c r="AD11" s="152">
        <f>AC11+SUMIF('Cost Overview'!$T$16:$T$35,(YEAR(AD$5)&amp;MONTH(AD$5)),'Cost Overview'!$K$16:$K$35)</f>
        <v>0</v>
      </c>
      <c r="AE11" s="152">
        <f>AD11+SUMIF('Cost Overview'!$T$16:$T$35,(YEAR(AE$5)&amp;MONTH(AE$5)),'Cost Overview'!$K$16:$K$35)</f>
        <v>0</v>
      </c>
      <c r="AF11" s="152">
        <f>AE11+SUMIF('Cost Overview'!$T$16:$T$35,(YEAR(AF$5)&amp;MONTH(AF$5)),'Cost Overview'!$K$16:$K$35)</f>
        <v>0</v>
      </c>
      <c r="AG11" s="152">
        <f>AF11+SUMIF('Cost Overview'!$T$16:$T$35,(YEAR(AG$5)&amp;MONTH(AG$5)),'Cost Overview'!$K$16:$K$35)</f>
        <v>0</v>
      </c>
      <c r="AH11" s="152">
        <f>AG11+SUMIF('Cost Overview'!$T$16:$T$35,(YEAR(AH$5)&amp;MONTH(AH$5)),'Cost Overview'!$K$16:$K$35)</f>
        <v>0</v>
      </c>
      <c r="AI11" s="152">
        <f>AH11+SUMIF('Cost Overview'!$T$16:$T$35,(YEAR(AI$5)&amp;MONTH(AI$5)),'Cost Overview'!$K$16:$K$35)</f>
        <v>0</v>
      </c>
      <c r="AJ11" s="152">
        <f>AI11+SUMIF('Cost Overview'!$T$16:$T$35,(YEAR(AJ$5)&amp;MONTH(AJ$5)),'Cost Overview'!$K$16:$K$35)</f>
        <v>0</v>
      </c>
      <c r="AK11" s="152">
        <f>AJ11+SUMIF('Cost Overview'!$T$16:$T$35,(YEAR(AK$5)&amp;MONTH(AK$5)),'Cost Overview'!$K$16:$K$35)</f>
        <v>0</v>
      </c>
      <c r="AL11" s="152">
        <f>AK11+SUMIF('Cost Overview'!$T$16:$T$35,(YEAR(AL$5)&amp;MONTH(AL$5)),'Cost Overview'!$K$16:$K$35)</f>
        <v>0</v>
      </c>
      <c r="AM11" s="152">
        <f>AL11+SUMIF('Cost Overview'!$T$16:$T$35,(YEAR(AM$5)&amp;MONTH(AM$5)),'Cost Overview'!$K$16:$K$35)</f>
        <v>0</v>
      </c>
      <c r="AN11" s="152">
        <f>AM11+SUMIF('Cost Overview'!$T$16:$T$35,(YEAR(AN$5)&amp;MONTH(AN$5)),'Cost Overview'!$K$16:$K$35)</f>
        <v>0</v>
      </c>
      <c r="AO11" s="152">
        <f>AN11+SUMIF('Cost Overview'!$T$16:$T$35,(YEAR(AO$5)&amp;MONTH(AO$5)),'Cost Overview'!$K$16:$K$35)</f>
        <v>0</v>
      </c>
      <c r="AP11" s="152">
        <f>AO11+SUMIF('Cost Overview'!$T$16:$T$35,(YEAR(AP$5)&amp;MONTH(AP$5)),'Cost Overview'!$K$16:$K$35)</f>
        <v>0</v>
      </c>
      <c r="AQ11" s="152">
        <f>AP11+SUMIF('Cost Overview'!$T$16:$T$35,(YEAR(AQ$5)&amp;MONTH(AQ$5)),'Cost Overview'!$K$16:$K$35)</f>
        <v>0</v>
      </c>
      <c r="AR11" s="152">
        <f>AQ11+SUMIF('Cost Overview'!$T$16:$T$35,(YEAR(AR$5)&amp;MONTH(AR$5)),'Cost Overview'!$K$16:$K$35)</f>
        <v>0</v>
      </c>
      <c r="AS11" s="152">
        <f>AR11+SUMIF('Cost Overview'!$T$16:$T$35,(YEAR(AS$5)&amp;MONTH(AS$5)),'Cost Overview'!$K$16:$K$35)</f>
        <v>0</v>
      </c>
      <c r="AT11" s="152">
        <f>AS11+SUMIF('Cost Overview'!$T$16:$T$35,(YEAR(AT$5)&amp;MONTH(AT$5)),'Cost Overview'!$K$16:$K$35)</f>
        <v>0</v>
      </c>
      <c r="AU11" s="152">
        <f>AT11+SUMIF('Cost Overview'!$T$16:$T$35,(YEAR(AU$5)&amp;MONTH(AU$5)),'Cost Overview'!$K$16:$K$35)</f>
        <v>0</v>
      </c>
      <c r="AV11" s="152">
        <f>AU11+SUMIF('Cost Overview'!$T$16:$T$35,(YEAR(AV$5)&amp;MONTH(AV$5)),'Cost Overview'!$K$16:$K$35)</f>
        <v>0</v>
      </c>
      <c r="AW11" s="152">
        <f>AV11+SUMIF('Cost Overview'!$T$16:$T$35,(YEAR(AW$5)&amp;MONTH(AW$5)),'Cost Overview'!$K$16:$K$35)</f>
        <v>0</v>
      </c>
      <c r="AX11" s="152">
        <f>AW11+SUMIF('Cost Overview'!$T$16:$T$35,(YEAR(AX$5)&amp;MONTH(AX$5)),'Cost Overview'!$K$16:$K$35)</f>
        <v>0</v>
      </c>
      <c r="AY11" s="152">
        <f>AX11+SUMIF('Cost Overview'!$T$16:$T$35,(YEAR(AY$5)&amp;MONTH(AY$5)),'Cost Overview'!$K$16:$K$35)</f>
        <v>0</v>
      </c>
      <c r="AZ11" s="152">
        <f>AY11+SUMIF('Cost Overview'!$T$16:$T$35,(YEAR(AZ$5)&amp;MONTH(AZ$5)),'Cost Overview'!$K$16:$K$35)</f>
        <v>0</v>
      </c>
      <c r="BA11" s="152">
        <f>AZ11+SUMIF('Cost Overview'!$T$16:$T$35,(YEAR(BA$5)&amp;MONTH(BA$5)),'Cost Overview'!$K$16:$K$35)</f>
        <v>0</v>
      </c>
      <c r="BB11" s="152">
        <f>BA11+SUMIF('Cost Overview'!$T$16:$T$35,(YEAR(BB$5)&amp;MONTH(BB$5)),'Cost Overview'!$K$16:$K$35)</f>
        <v>0</v>
      </c>
      <c r="BC11" s="152">
        <f>BB11+SUMIF('Cost Overview'!$T$16:$T$35,(YEAR(BC$5)&amp;MONTH(BC$5)),'Cost Overview'!$K$16:$K$35)</f>
        <v>0</v>
      </c>
      <c r="BD11" s="152">
        <f>BC11+SUMIF('Cost Overview'!$T$16:$T$35,(YEAR(BD$5)&amp;MONTH(BD$5)),'Cost Overview'!$K$16:$K$35)</f>
        <v>0</v>
      </c>
      <c r="BE11" s="152">
        <f>BD11+SUMIF('Cost Overview'!$T$16:$T$35,(YEAR(BE$5)&amp;MONTH(BE$5)),'Cost Overview'!$K$16:$K$35)</f>
        <v>0</v>
      </c>
      <c r="BF11" s="152">
        <f>BE11+SUMIF('Cost Overview'!$T$16:$T$35,(YEAR(BF$5)&amp;MONTH(BF$5)),'Cost Overview'!$K$16:$K$35)</f>
        <v>0</v>
      </c>
      <c r="BG11" s="152">
        <f>BF11+SUMIF('Cost Overview'!$T$16:$T$35,(YEAR(BG$5)&amp;MONTH(BG$5)),'Cost Overview'!$K$16:$K$35)</f>
        <v>0</v>
      </c>
      <c r="BH11" s="152">
        <f>BG11+SUMIF('Cost Overview'!$T$16:$T$35,(YEAR(BH$5)&amp;MONTH(BH$5)),'Cost Overview'!$K$16:$K$35)</f>
        <v>0</v>
      </c>
      <c r="BI11" s="152">
        <f>BH11+SUMIF('Cost Overview'!$T$16:$T$35,(YEAR(BI$5)&amp;MONTH(BI$5)),'Cost Overview'!$K$16:$K$35)</f>
        <v>0</v>
      </c>
      <c r="BJ11" s="152">
        <f>BI11+SUMIF('Cost Overview'!$T$16:$T$35,(YEAR(BJ$5)&amp;MONTH(BJ$5)),'Cost Overview'!$K$16:$K$35)</f>
        <v>0</v>
      </c>
      <c r="BK11" s="152">
        <f>BJ11+SUMIF('Cost Overview'!$T$16:$T$35,(YEAR(BK$5)&amp;MONTH(BK$5)),'Cost Overview'!$K$16:$K$35)</f>
        <v>0</v>
      </c>
      <c r="BL11" s="152">
        <f>BK11+SUMIF('Cost Overview'!$T$16:$T$35,(YEAR(BL$5)&amp;MONTH(BL$5)),'Cost Overview'!$K$16:$K$35)</f>
        <v>0</v>
      </c>
    </row>
    <row r="12" spans="2:77" s="67" customFormat="1" ht="25" customHeight="1" outlineLevel="1" x14ac:dyDescent="0.3">
      <c r="B12" s="298" t="s">
        <v>172</v>
      </c>
      <c r="C12" s="298"/>
      <c r="D12" s="151">
        <f>'Project Infor'!C34</f>
        <v>0</v>
      </c>
      <c r="E12" s="152">
        <f>D12+SUMIF('Cost Overview'!$T$16:$T$35,(YEAR(E$5)&amp;MONTH(E$5)),'Cost Overview'!$L$16:$L$35)</f>
        <v>0</v>
      </c>
      <c r="F12" s="152">
        <f>E12+SUMIF('Cost Overview'!$T$16:$T$35,(YEAR(F$5)&amp;MONTH(F$5)),'Cost Overview'!$L$16:$L$35)</f>
        <v>0</v>
      </c>
      <c r="G12" s="152">
        <f>F12+SUMIF('Cost Overview'!$T$16:$T$35,(YEAR(G$5)&amp;MONTH(G$5)),'Cost Overview'!$L$16:$L$35)</f>
        <v>0</v>
      </c>
      <c r="H12" s="152">
        <f>G12+SUMIF('Cost Overview'!$T$16:$T$35,(YEAR(H$5)&amp;MONTH(H$5)),'Cost Overview'!$L$16:$L$35)</f>
        <v>0</v>
      </c>
      <c r="I12" s="152">
        <f>H12+SUMIF('Cost Overview'!$T$16:$T$35,(YEAR(I$5)&amp;MONTH(I$5)),'Cost Overview'!$L$16:$L$35)</f>
        <v>0</v>
      </c>
      <c r="J12" s="152">
        <f>I12+SUMIF('Cost Overview'!$T$16:$T$35,(YEAR(J$5)&amp;MONTH(J$5)),'Cost Overview'!$L$16:$L$35)</f>
        <v>0</v>
      </c>
      <c r="K12" s="152">
        <f>J12+SUMIF('Cost Overview'!$T$16:$T$35,(YEAR(K$5)&amp;MONTH(K$5)),'Cost Overview'!$L$16:$L$35)</f>
        <v>0</v>
      </c>
      <c r="L12" s="152">
        <f>K12+SUMIF('Cost Overview'!$T$16:$T$35,(YEAR(L$5)&amp;MONTH(L$5)),'Cost Overview'!$L$16:$L$35)</f>
        <v>0</v>
      </c>
      <c r="M12" s="152">
        <f>L12+SUMIF('Cost Overview'!$T$16:$T$35,(YEAR(M$5)&amp;MONTH(M$5)),'Cost Overview'!$L$16:$L$35)</f>
        <v>0</v>
      </c>
      <c r="N12" s="152">
        <f>M12+SUMIF('Cost Overview'!$T$16:$T$35,(YEAR(N$5)&amp;MONTH(N$5)),'Cost Overview'!$L$16:$L$35)</f>
        <v>0</v>
      </c>
      <c r="O12" s="152">
        <f>N12+SUMIF('Cost Overview'!$T$16:$T$35,(YEAR(O$5)&amp;MONTH(O$5)),'Cost Overview'!$L$16:$L$35)</f>
        <v>0</v>
      </c>
      <c r="P12" s="152">
        <f>O12+SUMIF('Cost Overview'!$T$16:$T$35,(YEAR(P$5)&amp;MONTH(P$5)),'Cost Overview'!$L$16:$L$35)</f>
        <v>0</v>
      </c>
      <c r="Q12" s="152">
        <f>P12+SUMIF('Cost Overview'!$T$16:$T$35,(YEAR(Q$5)&amp;MONTH(Q$5)),'Cost Overview'!$L$16:$L$35)</f>
        <v>0</v>
      </c>
      <c r="R12" s="152">
        <f>Q12+SUMIF('Cost Overview'!$T$16:$T$35,(YEAR(R$5)&amp;MONTH(R$5)),'Cost Overview'!$L$16:$L$35)</f>
        <v>0</v>
      </c>
      <c r="S12" s="152">
        <f>R12+SUMIF('Cost Overview'!$T$16:$T$35,(YEAR(S$5)&amp;MONTH(S$5)),'Cost Overview'!$L$16:$L$35)</f>
        <v>0</v>
      </c>
      <c r="T12" s="152">
        <f>S12+SUMIF('Cost Overview'!$T$16:$T$35,(YEAR(T$5)&amp;MONTH(T$5)),'Cost Overview'!$L$16:$L$35)</f>
        <v>0</v>
      </c>
      <c r="U12" s="152">
        <f>T12+SUMIF('Cost Overview'!$T$16:$T$35,(YEAR(U$5)&amp;MONTH(U$5)),'Cost Overview'!$L$16:$L$35)</f>
        <v>0</v>
      </c>
      <c r="V12" s="152">
        <f>U12+SUMIF('Cost Overview'!$T$16:$T$35,(YEAR(V$5)&amp;MONTH(V$5)),'Cost Overview'!$L$16:$L$35)</f>
        <v>0</v>
      </c>
      <c r="W12" s="152">
        <f>V12+SUMIF('Cost Overview'!$T$16:$T$35,(YEAR(W$5)&amp;MONTH(W$5)),'Cost Overview'!$L$16:$L$35)</f>
        <v>0</v>
      </c>
      <c r="X12" s="152">
        <f>W12+SUMIF('Cost Overview'!$T$16:$T$35,(YEAR(X$5)&amp;MONTH(X$5)),'Cost Overview'!$L$16:$L$35)</f>
        <v>0</v>
      </c>
      <c r="Y12" s="152">
        <f>X12+SUMIF('Cost Overview'!$T$16:$T$35,(YEAR(Y$5)&amp;MONTH(Y$5)),'Cost Overview'!$L$16:$L$35)</f>
        <v>0</v>
      </c>
      <c r="Z12" s="152">
        <f>Y12+SUMIF('Cost Overview'!$T$16:$T$35,(YEAR(Z$5)&amp;MONTH(Z$5)),'Cost Overview'!$L$16:$L$35)</f>
        <v>0</v>
      </c>
      <c r="AA12" s="152">
        <f>Z12+SUMIF('Cost Overview'!$T$16:$T$35,(YEAR(AA$5)&amp;MONTH(AA$5)),'Cost Overview'!$L$16:$L$35)</f>
        <v>0</v>
      </c>
      <c r="AB12" s="152">
        <f>AA12+SUMIF('Cost Overview'!$T$16:$T$35,(YEAR(AB$5)&amp;MONTH(AB$5)),'Cost Overview'!$L$16:$L$35)</f>
        <v>0</v>
      </c>
      <c r="AC12" s="152">
        <f>AB12+SUMIF('Cost Overview'!$T$16:$T$35,(YEAR(AC$5)&amp;MONTH(AC$5)),'Cost Overview'!$L$16:$L$35)</f>
        <v>0</v>
      </c>
      <c r="AD12" s="152">
        <f>AC12+SUMIF('Cost Overview'!$T$16:$T$35,(YEAR(AD$5)&amp;MONTH(AD$5)),'Cost Overview'!$L$16:$L$35)</f>
        <v>0</v>
      </c>
      <c r="AE12" s="152">
        <f>AD12+SUMIF('Cost Overview'!$T$16:$T$35,(YEAR(AE$5)&amp;MONTH(AE$5)),'Cost Overview'!$L$16:$L$35)</f>
        <v>0</v>
      </c>
      <c r="AF12" s="152">
        <f>AE12+SUMIF('Cost Overview'!$T$16:$T$35,(YEAR(AF$5)&amp;MONTH(AF$5)),'Cost Overview'!$L$16:$L$35)</f>
        <v>0</v>
      </c>
      <c r="AG12" s="152">
        <f>AF12+SUMIF('Cost Overview'!$T$16:$T$35,(YEAR(AG$5)&amp;MONTH(AG$5)),'Cost Overview'!$L$16:$L$35)</f>
        <v>0</v>
      </c>
      <c r="AH12" s="152">
        <f>AG12+SUMIF('Cost Overview'!$T$16:$T$35,(YEAR(AH$5)&amp;MONTH(AH$5)),'Cost Overview'!$L$16:$L$35)</f>
        <v>0</v>
      </c>
      <c r="AI12" s="152">
        <f>AH12+SUMIF('Cost Overview'!$T$16:$T$35,(YEAR(AI$5)&amp;MONTH(AI$5)),'Cost Overview'!$L$16:$L$35)</f>
        <v>0</v>
      </c>
      <c r="AJ12" s="152">
        <f>AI12+SUMIF('Cost Overview'!$T$16:$T$35,(YEAR(AJ$5)&amp;MONTH(AJ$5)),'Cost Overview'!$L$16:$L$35)</f>
        <v>0</v>
      </c>
      <c r="AK12" s="152">
        <f>AJ12+SUMIF('Cost Overview'!$T$16:$T$35,(YEAR(AK$5)&amp;MONTH(AK$5)),'Cost Overview'!$L$16:$L$35)</f>
        <v>0</v>
      </c>
      <c r="AL12" s="152">
        <f>AK12+SUMIF('Cost Overview'!$T$16:$T$35,(YEAR(AL$5)&amp;MONTH(AL$5)),'Cost Overview'!$L$16:$L$35)</f>
        <v>0</v>
      </c>
      <c r="AM12" s="152">
        <f>AL12+SUMIF('Cost Overview'!$T$16:$T$35,(YEAR(AM$5)&amp;MONTH(AM$5)),'Cost Overview'!$L$16:$L$35)</f>
        <v>0</v>
      </c>
      <c r="AN12" s="152">
        <f>AM12+SUMIF('Cost Overview'!$T$16:$T$35,(YEAR(AN$5)&amp;MONTH(AN$5)),'Cost Overview'!$L$16:$L$35)</f>
        <v>0</v>
      </c>
      <c r="AO12" s="152">
        <f>AN12+SUMIF('Cost Overview'!$T$16:$T$35,(YEAR(AO$5)&amp;MONTH(AO$5)),'Cost Overview'!$L$16:$L$35)</f>
        <v>0</v>
      </c>
      <c r="AP12" s="152">
        <f>AO12+SUMIF('Cost Overview'!$T$16:$T$35,(YEAR(AP$5)&amp;MONTH(AP$5)),'Cost Overview'!$L$16:$L$35)</f>
        <v>0</v>
      </c>
      <c r="AQ12" s="152">
        <f>AP12+SUMIF('Cost Overview'!$T$16:$T$35,(YEAR(AQ$5)&amp;MONTH(AQ$5)),'Cost Overview'!$L$16:$L$35)</f>
        <v>0</v>
      </c>
      <c r="AR12" s="152">
        <f>AQ12+SUMIF('Cost Overview'!$T$16:$T$35,(YEAR(AR$5)&amp;MONTH(AR$5)),'Cost Overview'!$L$16:$L$35)</f>
        <v>0</v>
      </c>
      <c r="AS12" s="152">
        <f>AR12+SUMIF('Cost Overview'!$T$16:$T$35,(YEAR(AS$5)&amp;MONTH(AS$5)),'Cost Overview'!$L$16:$L$35)</f>
        <v>0</v>
      </c>
      <c r="AT12" s="152">
        <f>AS12+SUMIF('Cost Overview'!$T$16:$T$35,(YEAR(AT$5)&amp;MONTH(AT$5)),'Cost Overview'!$L$16:$L$35)</f>
        <v>0</v>
      </c>
      <c r="AU12" s="152">
        <f>AT12+SUMIF('Cost Overview'!$T$16:$T$35,(YEAR(AU$5)&amp;MONTH(AU$5)),'Cost Overview'!$L$16:$L$35)</f>
        <v>0</v>
      </c>
      <c r="AV12" s="152">
        <f>AU12+SUMIF('Cost Overview'!$T$16:$T$35,(YEAR(AV$5)&amp;MONTH(AV$5)),'Cost Overview'!$L$16:$L$35)</f>
        <v>0</v>
      </c>
      <c r="AW12" s="152">
        <f>AV12+SUMIF('Cost Overview'!$T$16:$T$35,(YEAR(AW$5)&amp;MONTH(AW$5)),'Cost Overview'!$L$16:$L$35)</f>
        <v>0</v>
      </c>
      <c r="AX12" s="152">
        <f>AW12+SUMIF('Cost Overview'!$T$16:$T$35,(YEAR(AX$5)&amp;MONTH(AX$5)),'Cost Overview'!$L$16:$L$35)</f>
        <v>0</v>
      </c>
      <c r="AY12" s="152">
        <f>AX12+SUMIF('Cost Overview'!$T$16:$T$35,(YEAR(AY$5)&amp;MONTH(AY$5)),'Cost Overview'!$L$16:$L$35)</f>
        <v>0</v>
      </c>
      <c r="AZ12" s="152">
        <f>AY12+SUMIF('Cost Overview'!$T$16:$T$35,(YEAR(AZ$5)&amp;MONTH(AZ$5)),'Cost Overview'!$L$16:$L$35)</f>
        <v>0</v>
      </c>
      <c r="BA12" s="152">
        <f>AZ12+SUMIF('Cost Overview'!$T$16:$T$35,(YEAR(BA$5)&amp;MONTH(BA$5)),'Cost Overview'!$L$16:$L$35)</f>
        <v>0</v>
      </c>
      <c r="BB12" s="152">
        <f>BA12+SUMIF('Cost Overview'!$T$16:$T$35,(YEAR(BB$5)&amp;MONTH(BB$5)),'Cost Overview'!$L$16:$L$35)</f>
        <v>0</v>
      </c>
      <c r="BC12" s="152">
        <f>BB12+SUMIF('Cost Overview'!$T$16:$T$35,(YEAR(BC$5)&amp;MONTH(BC$5)),'Cost Overview'!$L$16:$L$35)</f>
        <v>0</v>
      </c>
      <c r="BD12" s="152">
        <f>BC12+SUMIF('Cost Overview'!$T$16:$T$35,(YEAR(BD$5)&amp;MONTH(BD$5)),'Cost Overview'!$L$16:$L$35)</f>
        <v>0</v>
      </c>
      <c r="BE12" s="152">
        <f>BD12+SUMIF('Cost Overview'!$T$16:$T$35,(YEAR(BE$5)&amp;MONTH(BE$5)),'Cost Overview'!$L$16:$L$35)</f>
        <v>0</v>
      </c>
      <c r="BF12" s="152">
        <f>BE12+SUMIF('Cost Overview'!$T$16:$T$35,(YEAR(BF$5)&amp;MONTH(BF$5)),'Cost Overview'!$L$16:$L$35)</f>
        <v>0</v>
      </c>
      <c r="BG12" s="152">
        <f>BF12+SUMIF('Cost Overview'!$T$16:$T$35,(YEAR(BG$5)&amp;MONTH(BG$5)),'Cost Overview'!$L$16:$L$35)</f>
        <v>0</v>
      </c>
      <c r="BH12" s="152">
        <f>BG12+SUMIF('Cost Overview'!$T$16:$T$35,(YEAR(BH$5)&amp;MONTH(BH$5)),'Cost Overview'!$L$16:$L$35)</f>
        <v>0</v>
      </c>
      <c r="BI12" s="152">
        <f>BH12+SUMIF('Cost Overview'!$T$16:$T$35,(YEAR(BI$5)&amp;MONTH(BI$5)),'Cost Overview'!$L$16:$L$35)</f>
        <v>0</v>
      </c>
      <c r="BJ12" s="152">
        <f>BI12+SUMIF('Cost Overview'!$T$16:$T$35,(YEAR(BJ$5)&amp;MONTH(BJ$5)),'Cost Overview'!$L$16:$L$35)</f>
        <v>0</v>
      </c>
      <c r="BK12" s="152">
        <f>BJ12+SUMIF('Cost Overview'!$T$16:$T$35,(YEAR(BK$5)&amp;MONTH(BK$5)),'Cost Overview'!$L$16:$L$35)</f>
        <v>0</v>
      </c>
      <c r="BL12" s="152">
        <f>BK12+SUMIF('Cost Overview'!$T$16:$T$35,(YEAR(BL$5)&amp;MONTH(BL$5)),'Cost Overview'!$L$16:$L$35)</f>
        <v>0</v>
      </c>
    </row>
    <row r="13" spans="2:77" s="67" customFormat="1" ht="25" customHeight="1" x14ac:dyDescent="0.3">
      <c r="B13" s="298" t="s">
        <v>65</v>
      </c>
      <c r="C13" s="298"/>
      <c r="D13" s="151">
        <f>SUM(D8:D12)</f>
        <v>360150.69</v>
      </c>
      <c r="E13" s="151">
        <f t="shared" ref="E13:N13" si="13">SUM(E8:E12)</f>
        <v>360150.69</v>
      </c>
      <c r="F13" s="151">
        <f t="shared" si="13"/>
        <v>360150.69</v>
      </c>
      <c r="G13" s="151">
        <f t="shared" si="13"/>
        <v>360150.69</v>
      </c>
      <c r="H13" s="151">
        <f t="shared" si="13"/>
        <v>360150.69</v>
      </c>
      <c r="I13" s="151">
        <f t="shared" si="13"/>
        <v>360150.69</v>
      </c>
      <c r="J13" s="151">
        <f t="shared" si="13"/>
        <v>360150.69</v>
      </c>
      <c r="K13" s="151">
        <f t="shared" si="13"/>
        <v>360150.69</v>
      </c>
      <c r="L13" s="151">
        <f>SUM(L8:L12)</f>
        <v>360150.69</v>
      </c>
      <c r="M13" s="151">
        <f t="shared" si="13"/>
        <v>360150.69</v>
      </c>
      <c r="N13" s="151">
        <f t="shared" si="13"/>
        <v>360150.69</v>
      </c>
      <c r="O13" s="151">
        <f t="shared" ref="O13" si="14">SUM(O8:O12)</f>
        <v>360150.69</v>
      </c>
      <c r="P13" s="151">
        <f t="shared" ref="P13" si="15">SUM(P8:P12)</f>
        <v>360150.69</v>
      </c>
      <c r="Q13" s="151">
        <f t="shared" ref="Q13" si="16">SUM(Q8:Q12)</f>
        <v>360150.69</v>
      </c>
      <c r="R13" s="151">
        <f t="shared" ref="R13" si="17">SUM(R8:R12)</f>
        <v>360150.69</v>
      </c>
      <c r="S13" s="151">
        <f t="shared" ref="S13" si="18">SUM(S8:S12)</f>
        <v>360150.69</v>
      </c>
      <c r="T13" s="151">
        <f t="shared" ref="T13" si="19">SUM(T8:T12)</f>
        <v>360150.69</v>
      </c>
      <c r="U13" s="151">
        <f t="shared" ref="U13" si="20">SUM(U8:U12)</f>
        <v>360150.69</v>
      </c>
      <c r="V13" s="151">
        <f t="shared" ref="V13" si="21">SUM(V8:V12)</f>
        <v>360150.69</v>
      </c>
      <c r="W13" s="151">
        <f t="shared" ref="W13" si="22">SUM(W8:W12)</f>
        <v>360150.69</v>
      </c>
      <c r="X13" s="151">
        <f t="shared" ref="X13" si="23">SUM(X8:X12)</f>
        <v>360150.69</v>
      </c>
      <c r="Y13" s="151">
        <f t="shared" ref="Y13" si="24">SUM(Y8:Y12)</f>
        <v>360150.69</v>
      </c>
      <c r="Z13" s="151">
        <f t="shared" ref="Z13" si="25">SUM(Z8:Z12)</f>
        <v>360150.69</v>
      </c>
      <c r="AA13" s="151">
        <f t="shared" ref="AA13:AB13" si="26">SUM(AA8:AA12)</f>
        <v>360150.69</v>
      </c>
      <c r="AB13" s="151">
        <f t="shared" si="26"/>
        <v>360150.69</v>
      </c>
      <c r="AC13" s="151">
        <f t="shared" ref="AC13:BL13" si="27">SUM(AC8:AC12)</f>
        <v>360150.69</v>
      </c>
      <c r="AD13" s="151">
        <f t="shared" si="27"/>
        <v>360150.69</v>
      </c>
      <c r="AE13" s="151">
        <f t="shared" si="27"/>
        <v>360150.69</v>
      </c>
      <c r="AF13" s="151">
        <f t="shared" si="27"/>
        <v>360150.69</v>
      </c>
      <c r="AG13" s="151">
        <f t="shared" si="27"/>
        <v>360150.69</v>
      </c>
      <c r="AH13" s="151">
        <f t="shared" si="27"/>
        <v>360150.69</v>
      </c>
      <c r="AI13" s="151">
        <f t="shared" si="27"/>
        <v>360150.69</v>
      </c>
      <c r="AJ13" s="151">
        <f t="shared" si="27"/>
        <v>360150.69</v>
      </c>
      <c r="AK13" s="151">
        <f t="shared" si="27"/>
        <v>360150.69</v>
      </c>
      <c r="AL13" s="151">
        <f t="shared" si="27"/>
        <v>360150.69</v>
      </c>
      <c r="AM13" s="151">
        <f t="shared" si="27"/>
        <v>360150.69</v>
      </c>
      <c r="AN13" s="151">
        <f t="shared" si="27"/>
        <v>360150.69</v>
      </c>
      <c r="AO13" s="151">
        <f t="shared" si="27"/>
        <v>360150.69</v>
      </c>
      <c r="AP13" s="151">
        <f t="shared" si="27"/>
        <v>360150.69</v>
      </c>
      <c r="AQ13" s="151">
        <f t="shared" si="27"/>
        <v>360150.69</v>
      </c>
      <c r="AR13" s="151">
        <f t="shared" si="27"/>
        <v>360150.69</v>
      </c>
      <c r="AS13" s="151">
        <f t="shared" si="27"/>
        <v>360150.69</v>
      </c>
      <c r="AT13" s="151">
        <f t="shared" si="27"/>
        <v>360150.69</v>
      </c>
      <c r="AU13" s="151">
        <f t="shared" si="27"/>
        <v>360150.69</v>
      </c>
      <c r="AV13" s="151">
        <f t="shared" si="27"/>
        <v>360150.69</v>
      </c>
      <c r="AW13" s="151">
        <f t="shared" si="27"/>
        <v>360150.69</v>
      </c>
      <c r="AX13" s="151">
        <f t="shared" si="27"/>
        <v>360150.69</v>
      </c>
      <c r="AY13" s="151">
        <f t="shared" si="27"/>
        <v>360150.69</v>
      </c>
      <c r="AZ13" s="151">
        <f t="shared" si="27"/>
        <v>360150.69</v>
      </c>
      <c r="BA13" s="151">
        <f t="shared" si="27"/>
        <v>360150.69</v>
      </c>
      <c r="BB13" s="151">
        <f t="shared" si="27"/>
        <v>360150.69</v>
      </c>
      <c r="BC13" s="151">
        <f t="shared" si="27"/>
        <v>360150.69</v>
      </c>
      <c r="BD13" s="151">
        <f t="shared" si="27"/>
        <v>360150.69</v>
      </c>
      <c r="BE13" s="151">
        <f t="shared" si="27"/>
        <v>360150.69</v>
      </c>
      <c r="BF13" s="151">
        <f t="shared" si="27"/>
        <v>360150.69</v>
      </c>
      <c r="BG13" s="151">
        <f t="shared" si="27"/>
        <v>360150.69</v>
      </c>
      <c r="BH13" s="151">
        <f t="shared" si="27"/>
        <v>360150.69</v>
      </c>
      <c r="BI13" s="151">
        <f t="shared" si="27"/>
        <v>360150.69</v>
      </c>
      <c r="BJ13" s="151">
        <f t="shared" si="27"/>
        <v>360150.69</v>
      </c>
      <c r="BK13" s="151">
        <f t="shared" si="27"/>
        <v>360150.69</v>
      </c>
      <c r="BL13" s="151">
        <f t="shared" si="27"/>
        <v>360150.69</v>
      </c>
    </row>
    <row r="14" spans="2:77" s="67" customFormat="1" ht="25" customHeight="1" x14ac:dyDescent="0.3">
      <c r="B14" s="299" t="s">
        <v>173</v>
      </c>
      <c r="C14" s="299"/>
      <c r="D14" s="153">
        <f>D6-D13</f>
        <v>104849.31</v>
      </c>
      <c r="E14" s="153">
        <f t="shared" ref="E14:N14" si="28">E6-E13</f>
        <v>104849.31</v>
      </c>
      <c r="F14" s="153">
        <f t="shared" si="28"/>
        <v>104849.31</v>
      </c>
      <c r="G14" s="153">
        <f t="shared" si="28"/>
        <v>104849.31</v>
      </c>
      <c r="H14" s="153">
        <f t="shared" si="28"/>
        <v>104849.31</v>
      </c>
      <c r="I14" s="153">
        <f t="shared" si="28"/>
        <v>104849.31</v>
      </c>
      <c r="J14" s="153">
        <f t="shared" si="28"/>
        <v>104849.31</v>
      </c>
      <c r="K14" s="153">
        <f t="shared" si="28"/>
        <v>104849.31</v>
      </c>
      <c r="L14" s="153">
        <f t="shared" si="28"/>
        <v>104849.31</v>
      </c>
      <c r="M14" s="153">
        <f t="shared" si="28"/>
        <v>104849.31</v>
      </c>
      <c r="N14" s="153">
        <f t="shared" si="28"/>
        <v>104849.31</v>
      </c>
      <c r="O14" s="153">
        <f t="shared" ref="O14" si="29">O6-O13</f>
        <v>104849.31</v>
      </c>
      <c r="P14" s="153">
        <f t="shared" ref="P14" si="30">P6-P13</f>
        <v>104849.31</v>
      </c>
      <c r="Q14" s="153">
        <f t="shared" ref="Q14" si="31">Q6-Q13</f>
        <v>104849.31</v>
      </c>
      <c r="R14" s="153">
        <f t="shared" ref="R14" si="32">R6-R13</f>
        <v>104849.31</v>
      </c>
      <c r="S14" s="153">
        <f t="shared" ref="S14" si="33">S6-S13</f>
        <v>104849.31</v>
      </c>
      <c r="T14" s="153">
        <f t="shared" ref="T14" si="34">T6-T13</f>
        <v>104849.31</v>
      </c>
      <c r="U14" s="153">
        <f t="shared" ref="U14" si="35">U6-U13</f>
        <v>104849.31</v>
      </c>
      <c r="V14" s="153">
        <f t="shared" ref="V14" si="36">V6-V13</f>
        <v>104849.31</v>
      </c>
      <c r="W14" s="153">
        <f t="shared" ref="W14" si="37">W6-W13</f>
        <v>104849.31</v>
      </c>
      <c r="X14" s="153">
        <f t="shared" ref="X14" si="38">X6-X13</f>
        <v>104849.31</v>
      </c>
      <c r="Y14" s="153">
        <f t="shared" ref="Y14" si="39">Y6-Y13</f>
        <v>104849.31</v>
      </c>
      <c r="Z14" s="153">
        <f t="shared" ref="Z14" si="40">Z6-Z13</f>
        <v>104849.31</v>
      </c>
      <c r="AA14" s="153">
        <f>AA6-AA13</f>
        <v>104849.31</v>
      </c>
      <c r="AB14" s="153">
        <f>AB6-AB13</f>
        <v>104849.31</v>
      </c>
      <c r="AC14" s="153">
        <f t="shared" ref="AC14:BL14" si="41">AC6-AC13</f>
        <v>104849.31</v>
      </c>
      <c r="AD14" s="153">
        <f t="shared" si="41"/>
        <v>104849.31</v>
      </c>
      <c r="AE14" s="153">
        <f t="shared" si="41"/>
        <v>104849.31</v>
      </c>
      <c r="AF14" s="153">
        <f t="shared" si="41"/>
        <v>104849.31</v>
      </c>
      <c r="AG14" s="153">
        <f t="shared" si="41"/>
        <v>104849.31</v>
      </c>
      <c r="AH14" s="153">
        <f t="shared" si="41"/>
        <v>104849.31</v>
      </c>
      <c r="AI14" s="153">
        <f t="shared" si="41"/>
        <v>104849.31</v>
      </c>
      <c r="AJ14" s="153">
        <f t="shared" si="41"/>
        <v>104849.31</v>
      </c>
      <c r="AK14" s="153">
        <f t="shared" si="41"/>
        <v>104849.31</v>
      </c>
      <c r="AL14" s="153">
        <f t="shared" si="41"/>
        <v>104849.31</v>
      </c>
      <c r="AM14" s="153">
        <f t="shared" si="41"/>
        <v>104849.31</v>
      </c>
      <c r="AN14" s="153">
        <f t="shared" si="41"/>
        <v>104849.31</v>
      </c>
      <c r="AO14" s="153">
        <f t="shared" si="41"/>
        <v>104849.31</v>
      </c>
      <c r="AP14" s="153">
        <f t="shared" si="41"/>
        <v>104849.31</v>
      </c>
      <c r="AQ14" s="153">
        <f t="shared" si="41"/>
        <v>104849.31</v>
      </c>
      <c r="AR14" s="153">
        <f t="shared" si="41"/>
        <v>104849.31</v>
      </c>
      <c r="AS14" s="153">
        <f t="shared" si="41"/>
        <v>104849.31</v>
      </c>
      <c r="AT14" s="153">
        <f t="shared" si="41"/>
        <v>104849.31</v>
      </c>
      <c r="AU14" s="153">
        <f t="shared" si="41"/>
        <v>104849.31</v>
      </c>
      <c r="AV14" s="153">
        <f t="shared" si="41"/>
        <v>104849.31</v>
      </c>
      <c r="AW14" s="153">
        <f t="shared" si="41"/>
        <v>104849.31</v>
      </c>
      <c r="AX14" s="153">
        <f t="shared" si="41"/>
        <v>104849.31</v>
      </c>
      <c r="AY14" s="153">
        <f t="shared" si="41"/>
        <v>104849.31</v>
      </c>
      <c r="AZ14" s="153">
        <f t="shared" si="41"/>
        <v>104849.31</v>
      </c>
      <c r="BA14" s="153">
        <f t="shared" si="41"/>
        <v>104849.31</v>
      </c>
      <c r="BB14" s="153">
        <f t="shared" si="41"/>
        <v>104849.31</v>
      </c>
      <c r="BC14" s="153">
        <f t="shared" si="41"/>
        <v>104849.31</v>
      </c>
      <c r="BD14" s="153">
        <f t="shared" si="41"/>
        <v>104849.31</v>
      </c>
      <c r="BE14" s="153">
        <f t="shared" si="41"/>
        <v>104849.31</v>
      </c>
      <c r="BF14" s="153">
        <f t="shared" si="41"/>
        <v>104849.31</v>
      </c>
      <c r="BG14" s="153">
        <f t="shared" si="41"/>
        <v>104849.31</v>
      </c>
      <c r="BH14" s="153">
        <f t="shared" si="41"/>
        <v>104849.31</v>
      </c>
      <c r="BI14" s="153">
        <f t="shared" si="41"/>
        <v>104849.31</v>
      </c>
      <c r="BJ14" s="153">
        <f t="shared" si="41"/>
        <v>104849.31</v>
      </c>
      <c r="BK14" s="153">
        <f t="shared" si="41"/>
        <v>104849.31</v>
      </c>
      <c r="BL14" s="153">
        <f t="shared" si="41"/>
        <v>104849.31</v>
      </c>
    </row>
    <row r="15" spans="2:77" s="67" customFormat="1" ht="25" customHeight="1" x14ac:dyDescent="0.3">
      <c r="B15" s="299" t="s">
        <v>174</v>
      </c>
      <c r="C15" s="299"/>
      <c r="D15" s="154">
        <f>IF(D6=0,0,(D6-D13)/D6)</f>
        <v>0.22548238709677418</v>
      </c>
      <c r="E15" s="154">
        <f>IF(E6=0,0,(E6-E13)/E6)</f>
        <v>0.22548238709677418</v>
      </c>
      <c r="F15" s="154">
        <f t="shared" ref="F15:N15" si="42">IF(F6=0,0,(F6-F13)/F6)</f>
        <v>0.22548238709677418</v>
      </c>
      <c r="G15" s="154">
        <f t="shared" si="42"/>
        <v>0.22548238709677418</v>
      </c>
      <c r="H15" s="154">
        <f t="shared" si="42"/>
        <v>0.22548238709677418</v>
      </c>
      <c r="I15" s="154">
        <f t="shared" si="42"/>
        <v>0.22548238709677418</v>
      </c>
      <c r="J15" s="154">
        <f t="shared" si="42"/>
        <v>0.22548238709677418</v>
      </c>
      <c r="K15" s="154">
        <f t="shared" si="42"/>
        <v>0.22548238709677418</v>
      </c>
      <c r="L15" s="154">
        <f>IF(L6=0,0,(L6-L13)/L6)</f>
        <v>0.22548238709677418</v>
      </c>
      <c r="M15" s="154">
        <f t="shared" si="42"/>
        <v>0.22548238709677418</v>
      </c>
      <c r="N15" s="154">
        <f t="shared" si="42"/>
        <v>0.22548238709677418</v>
      </c>
      <c r="O15" s="154">
        <f t="shared" ref="O15:Z15" si="43">IF(O6=0,0,(O6-O13)/O6)</f>
        <v>0.22548238709677418</v>
      </c>
      <c r="P15" s="154">
        <f t="shared" si="43"/>
        <v>0.22548238709677418</v>
      </c>
      <c r="Q15" s="154">
        <f t="shared" si="43"/>
        <v>0.22548238709677418</v>
      </c>
      <c r="R15" s="154">
        <f t="shared" si="43"/>
        <v>0.22548238709677418</v>
      </c>
      <c r="S15" s="154">
        <f t="shared" si="43"/>
        <v>0.22548238709677418</v>
      </c>
      <c r="T15" s="154">
        <f t="shared" si="43"/>
        <v>0.22548238709677418</v>
      </c>
      <c r="U15" s="154">
        <f t="shared" si="43"/>
        <v>0.22548238709677418</v>
      </c>
      <c r="V15" s="154">
        <f t="shared" si="43"/>
        <v>0.22548238709677418</v>
      </c>
      <c r="W15" s="154">
        <f t="shared" si="43"/>
        <v>0.22548238709677418</v>
      </c>
      <c r="X15" s="154">
        <f t="shared" si="43"/>
        <v>0.22548238709677418</v>
      </c>
      <c r="Y15" s="154">
        <f t="shared" si="43"/>
        <v>0.22548238709677418</v>
      </c>
      <c r="Z15" s="154">
        <f t="shared" si="43"/>
        <v>0.22548238709677418</v>
      </c>
      <c r="AA15" s="154">
        <f>IF(AA6=0,0,(AA6-AA13)/AA6)</f>
        <v>0.22548238709677418</v>
      </c>
      <c r="AB15" s="154">
        <f>IF(AB6=0,0,(AB6-AB13)/AB6)</f>
        <v>0.22548238709677418</v>
      </c>
      <c r="AC15" s="154">
        <f t="shared" ref="AC15:BL15" si="44">IF(AC6=0,0,(AC6-AC13)/AC6)</f>
        <v>0.22548238709677418</v>
      </c>
      <c r="AD15" s="154">
        <f t="shared" si="44"/>
        <v>0.22548238709677418</v>
      </c>
      <c r="AE15" s="154">
        <f t="shared" si="44"/>
        <v>0.22548238709677418</v>
      </c>
      <c r="AF15" s="154">
        <f t="shared" si="44"/>
        <v>0.22548238709677418</v>
      </c>
      <c r="AG15" s="154">
        <f t="shared" si="44"/>
        <v>0.22548238709677418</v>
      </c>
      <c r="AH15" s="154">
        <f t="shared" si="44"/>
        <v>0.22548238709677418</v>
      </c>
      <c r="AI15" s="154">
        <f t="shared" si="44"/>
        <v>0.22548238709677418</v>
      </c>
      <c r="AJ15" s="154">
        <f t="shared" si="44"/>
        <v>0.22548238709677418</v>
      </c>
      <c r="AK15" s="154">
        <f t="shared" si="44"/>
        <v>0.22548238709677418</v>
      </c>
      <c r="AL15" s="154">
        <f t="shared" si="44"/>
        <v>0.22548238709677418</v>
      </c>
      <c r="AM15" s="154">
        <f t="shared" si="44"/>
        <v>0.22548238709677418</v>
      </c>
      <c r="AN15" s="154">
        <f t="shared" si="44"/>
        <v>0.22548238709677418</v>
      </c>
      <c r="AO15" s="154">
        <f t="shared" si="44"/>
        <v>0.22548238709677418</v>
      </c>
      <c r="AP15" s="154">
        <f t="shared" si="44"/>
        <v>0.22548238709677418</v>
      </c>
      <c r="AQ15" s="154">
        <f t="shared" si="44"/>
        <v>0.22548238709677418</v>
      </c>
      <c r="AR15" s="154">
        <f t="shared" si="44"/>
        <v>0.22548238709677418</v>
      </c>
      <c r="AS15" s="154">
        <f t="shared" si="44"/>
        <v>0.22548238709677418</v>
      </c>
      <c r="AT15" s="154">
        <f t="shared" si="44"/>
        <v>0.22548238709677418</v>
      </c>
      <c r="AU15" s="154">
        <f t="shared" si="44"/>
        <v>0.22548238709677418</v>
      </c>
      <c r="AV15" s="154">
        <f t="shared" si="44"/>
        <v>0.22548238709677418</v>
      </c>
      <c r="AW15" s="154">
        <f t="shared" si="44"/>
        <v>0.22548238709677418</v>
      </c>
      <c r="AX15" s="154">
        <f t="shared" si="44"/>
        <v>0.22548238709677418</v>
      </c>
      <c r="AY15" s="154">
        <f t="shared" si="44"/>
        <v>0.22548238709677418</v>
      </c>
      <c r="AZ15" s="154">
        <f t="shared" si="44"/>
        <v>0.22548238709677418</v>
      </c>
      <c r="BA15" s="154">
        <f t="shared" si="44"/>
        <v>0.22548238709677418</v>
      </c>
      <c r="BB15" s="154">
        <f t="shared" si="44"/>
        <v>0.22548238709677418</v>
      </c>
      <c r="BC15" s="154">
        <f t="shared" si="44"/>
        <v>0.22548238709677418</v>
      </c>
      <c r="BD15" s="154">
        <f t="shared" si="44"/>
        <v>0.22548238709677418</v>
      </c>
      <c r="BE15" s="154">
        <f t="shared" si="44"/>
        <v>0.22548238709677418</v>
      </c>
      <c r="BF15" s="154">
        <f t="shared" si="44"/>
        <v>0.22548238709677418</v>
      </c>
      <c r="BG15" s="154">
        <f t="shared" si="44"/>
        <v>0.22548238709677418</v>
      </c>
      <c r="BH15" s="154">
        <f t="shared" si="44"/>
        <v>0.22548238709677418</v>
      </c>
      <c r="BI15" s="154">
        <f t="shared" si="44"/>
        <v>0.22548238709677418</v>
      </c>
      <c r="BJ15" s="154">
        <f t="shared" si="44"/>
        <v>0.22548238709677418</v>
      </c>
      <c r="BK15" s="154">
        <f t="shared" si="44"/>
        <v>0.22548238709677418</v>
      </c>
      <c r="BL15" s="154">
        <f t="shared" si="44"/>
        <v>0.22548238709677418</v>
      </c>
    </row>
    <row r="16" spans="2:77" ht="20.149999999999999" customHeight="1" x14ac:dyDescent="0.3">
      <c r="B16" s="24"/>
      <c r="C16" s="24"/>
      <c r="D16" s="107"/>
      <c r="E16" s="24"/>
    </row>
    <row r="17" spans="2:77" s="86" customFormat="1" ht="25" customHeight="1" x14ac:dyDescent="0.3">
      <c r="B17" s="291" t="s">
        <v>175</v>
      </c>
      <c r="C17" s="291"/>
      <c r="D17" s="155"/>
      <c r="E17" s="156">
        <f>'Project Infor'!C8</f>
        <v>46023</v>
      </c>
      <c r="F17" s="156">
        <f t="shared" ref="F17" si="45">EOMONTH(E17,1)</f>
        <v>46081</v>
      </c>
      <c r="G17" s="156">
        <f t="shared" ref="G17" si="46">EOMONTH(F17,1)</f>
        <v>46112</v>
      </c>
      <c r="H17" s="156">
        <f t="shared" ref="H17" si="47">EOMONTH(G17,1)</f>
        <v>46142</v>
      </c>
      <c r="I17" s="156">
        <f t="shared" ref="I17" si="48">EOMONTH(H17,1)</f>
        <v>46173</v>
      </c>
      <c r="J17" s="156">
        <f t="shared" ref="J17" si="49">EOMONTH(I17,1)</f>
        <v>46203</v>
      </c>
      <c r="K17" s="156">
        <f t="shared" ref="K17" si="50">EOMONTH(J17,1)</f>
        <v>46234</v>
      </c>
      <c r="L17" s="156">
        <f t="shared" ref="L17" si="51">EOMONTH(K17,1)</f>
        <v>46265</v>
      </c>
      <c r="M17" s="156">
        <f t="shared" ref="M17" si="52">EOMONTH(L17,1)</f>
        <v>46295</v>
      </c>
      <c r="N17" s="156">
        <f t="shared" ref="N17" si="53">EOMONTH(M17,1)</f>
        <v>46326</v>
      </c>
      <c r="O17" s="156">
        <f t="shared" ref="O17" si="54">EOMONTH(N17,1)</f>
        <v>46356</v>
      </c>
      <c r="P17" s="156">
        <f t="shared" ref="P17" si="55">EOMONTH(O17,1)</f>
        <v>46387</v>
      </c>
      <c r="Q17" s="156">
        <f t="shared" ref="Q17" si="56">EOMONTH(P17,1)</f>
        <v>46418</v>
      </c>
      <c r="R17" s="156">
        <f t="shared" ref="R17" si="57">EOMONTH(Q17,1)</f>
        <v>46446</v>
      </c>
      <c r="S17" s="156">
        <f t="shared" ref="S17" si="58">EOMONTH(R17,1)</f>
        <v>46477</v>
      </c>
      <c r="T17" s="156">
        <f t="shared" ref="T17" si="59">EOMONTH(S17,1)</f>
        <v>46507</v>
      </c>
      <c r="U17" s="156">
        <f t="shared" ref="U17" si="60">EOMONTH(T17,1)</f>
        <v>46538</v>
      </c>
      <c r="V17" s="156">
        <f t="shared" ref="V17" si="61">EOMONTH(U17,1)</f>
        <v>46568</v>
      </c>
      <c r="W17" s="156">
        <f t="shared" ref="W17" si="62">EOMONTH(V17,1)</f>
        <v>46599</v>
      </c>
      <c r="X17" s="156">
        <f t="shared" ref="X17" si="63">EOMONTH(W17,1)</f>
        <v>46630</v>
      </c>
      <c r="Y17" s="156">
        <f t="shared" ref="Y17" si="64">EOMONTH(X17,1)</f>
        <v>46660</v>
      </c>
      <c r="Z17" s="156">
        <f t="shared" ref="Z17" si="65">EOMONTH(Y17,1)</f>
        <v>46691</v>
      </c>
      <c r="AA17" s="156">
        <f t="shared" ref="AA17" si="66">EOMONTH(Z17,1)</f>
        <v>46721</v>
      </c>
      <c r="AB17" s="156">
        <f t="shared" ref="AB17" si="67">EOMONTH(AA17,1)</f>
        <v>46752</v>
      </c>
      <c r="AC17" s="156">
        <f t="shared" ref="AC17" si="68">EOMONTH(AB17,1)</f>
        <v>46783</v>
      </c>
      <c r="AD17" s="156">
        <f t="shared" ref="AD17" si="69">EOMONTH(AC17,1)</f>
        <v>46812</v>
      </c>
      <c r="AE17" s="156">
        <f t="shared" ref="AE17" si="70">EOMONTH(AD17,1)</f>
        <v>46843</v>
      </c>
      <c r="AF17" s="156">
        <f t="shared" ref="AF17" si="71">EOMONTH(AE17,1)</f>
        <v>46873</v>
      </c>
      <c r="AG17" s="156">
        <f t="shared" ref="AG17" si="72">EOMONTH(AF17,1)</f>
        <v>46904</v>
      </c>
      <c r="AH17" s="156">
        <f t="shared" ref="AH17" si="73">EOMONTH(AG17,1)</f>
        <v>46934</v>
      </c>
      <c r="AI17" s="156">
        <f t="shared" ref="AI17" si="74">EOMONTH(AH17,1)</f>
        <v>46965</v>
      </c>
      <c r="AJ17" s="156">
        <f t="shared" ref="AJ17" si="75">EOMONTH(AI17,1)</f>
        <v>46996</v>
      </c>
      <c r="AK17" s="156">
        <f t="shared" ref="AK17" si="76">EOMONTH(AJ17,1)</f>
        <v>47026</v>
      </c>
      <c r="AL17" s="156">
        <f t="shared" ref="AL17" si="77">EOMONTH(AK17,1)</f>
        <v>47057</v>
      </c>
      <c r="AM17" s="156">
        <f t="shared" ref="AM17" si="78">EOMONTH(AL17,1)</f>
        <v>47087</v>
      </c>
      <c r="AN17" s="156">
        <f t="shared" ref="AN17" si="79">EOMONTH(AM17,1)</f>
        <v>47118</v>
      </c>
      <c r="AO17" s="156">
        <f t="shared" ref="AO17" si="80">EOMONTH(AN17,1)</f>
        <v>47149</v>
      </c>
      <c r="AP17" s="156">
        <f t="shared" ref="AP17" si="81">EOMONTH(AO17,1)</f>
        <v>47177</v>
      </c>
      <c r="AQ17" s="156">
        <f t="shared" ref="AQ17" si="82">EOMONTH(AP17,1)</f>
        <v>47208</v>
      </c>
      <c r="AR17" s="156">
        <f t="shared" ref="AR17" si="83">EOMONTH(AQ17,1)</f>
        <v>47238</v>
      </c>
      <c r="AS17" s="156">
        <f t="shared" ref="AS17" si="84">EOMONTH(AR17,1)</f>
        <v>47269</v>
      </c>
      <c r="AT17" s="156">
        <f t="shared" ref="AT17" si="85">EOMONTH(AS17,1)</f>
        <v>47299</v>
      </c>
      <c r="AU17" s="156">
        <f t="shared" ref="AU17" si="86">EOMONTH(AT17,1)</f>
        <v>47330</v>
      </c>
      <c r="AV17" s="156">
        <f t="shared" ref="AV17" si="87">EOMONTH(AU17,1)</f>
        <v>47361</v>
      </c>
      <c r="AW17" s="156">
        <f t="shared" ref="AW17" si="88">EOMONTH(AV17,1)</f>
        <v>47391</v>
      </c>
      <c r="AX17" s="156">
        <f t="shared" ref="AX17" si="89">EOMONTH(AW17,1)</f>
        <v>47422</v>
      </c>
      <c r="AY17" s="156">
        <f t="shared" ref="AY17" si="90">EOMONTH(AX17,1)</f>
        <v>47452</v>
      </c>
      <c r="AZ17" s="156">
        <f t="shared" ref="AZ17" si="91">EOMONTH(AY17,1)</f>
        <v>47483</v>
      </c>
      <c r="BA17" s="156">
        <f t="shared" ref="BA17" si="92">EOMONTH(AZ17,1)</f>
        <v>47514</v>
      </c>
      <c r="BB17" s="156">
        <f t="shared" ref="BB17" si="93">EOMONTH(BA17,1)</f>
        <v>47542</v>
      </c>
      <c r="BC17" s="156">
        <f t="shared" ref="BC17" si="94">EOMONTH(BB17,1)</f>
        <v>47573</v>
      </c>
      <c r="BD17" s="156">
        <f t="shared" ref="BD17" si="95">EOMONTH(BC17,1)</f>
        <v>47603</v>
      </c>
      <c r="BE17" s="156">
        <f t="shared" ref="BE17" si="96">EOMONTH(BD17,1)</f>
        <v>47634</v>
      </c>
      <c r="BF17" s="156">
        <f t="shared" ref="BF17" si="97">EOMONTH(BE17,1)</f>
        <v>47664</v>
      </c>
      <c r="BG17" s="156">
        <f t="shared" ref="BG17" si="98">EOMONTH(BF17,1)</f>
        <v>47695</v>
      </c>
      <c r="BH17" s="156">
        <f t="shared" ref="BH17" si="99">EOMONTH(BG17,1)</f>
        <v>47726</v>
      </c>
      <c r="BI17" s="156">
        <f t="shared" ref="BI17" si="100">EOMONTH(BH17,1)</f>
        <v>47756</v>
      </c>
      <c r="BJ17" s="156">
        <f t="shared" ref="BJ17" si="101">EOMONTH(BI17,1)</f>
        <v>47787</v>
      </c>
      <c r="BK17" s="156">
        <f t="shared" ref="BK17" si="102">EOMONTH(BJ17,1)</f>
        <v>47817</v>
      </c>
      <c r="BL17" s="156">
        <f t="shared" ref="BL17" si="103">EOMONTH(BK17,1)</f>
        <v>47848</v>
      </c>
      <c r="BM17" s="21"/>
      <c r="BN17" s="21"/>
      <c r="BO17" s="21"/>
      <c r="BP17" s="21"/>
      <c r="BQ17" s="21"/>
      <c r="BR17" s="21"/>
      <c r="BS17" s="21"/>
      <c r="BT17" s="21"/>
      <c r="BU17" s="21"/>
      <c r="BV17" s="21"/>
      <c r="BW17" s="21"/>
      <c r="BX17" s="21"/>
      <c r="BY17" s="21"/>
    </row>
    <row r="18" spans="2:77" s="67" customFormat="1" ht="25" customHeight="1" x14ac:dyDescent="0.3">
      <c r="B18" s="297" t="s">
        <v>176</v>
      </c>
      <c r="C18" s="297"/>
      <c r="D18" s="150"/>
      <c r="E18" s="150">
        <f>'Cost Planning'!H44+'Cost Planning'!H62+'Cost Planning'!H78</f>
        <v>9687.5</v>
      </c>
      <c r="F18" s="150">
        <f>'Cost Planning'!I44+'Cost Planning'!I62+'Cost Planning'!I78</f>
        <v>9687.5</v>
      </c>
      <c r="G18" s="150">
        <f>'Cost Planning'!J44+'Cost Planning'!J62+'Cost Planning'!J78</f>
        <v>9687.5</v>
      </c>
      <c r="H18" s="150">
        <f>'Cost Planning'!K44+'Cost Planning'!K62+'Cost Planning'!K78</f>
        <v>9687.5</v>
      </c>
      <c r="I18" s="150">
        <f>'Cost Planning'!L44+'Cost Planning'!L62+'Cost Planning'!L78</f>
        <v>9687.5</v>
      </c>
      <c r="J18" s="150">
        <f>'Cost Planning'!M44+'Cost Planning'!M62+'Cost Planning'!M78</f>
        <v>9687.5</v>
      </c>
      <c r="K18" s="150">
        <f>'Cost Planning'!N44+'Cost Planning'!N62+'Cost Planning'!N78</f>
        <v>9687.5</v>
      </c>
      <c r="L18" s="150">
        <f>'Cost Planning'!O44+'Cost Planning'!O62+'Cost Planning'!O78</f>
        <v>9687.5</v>
      </c>
      <c r="M18" s="150">
        <f>'Cost Planning'!P44+'Cost Planning'!P62+'Cost Planning'!P78</f>
        <v>9687.5</v>
      </c>
      <c r="N18" s="150">
        <f>'Cost Planning'!Q44+'Cost Planning'!Q62+'Cost Planning'!Q78</f>
        <v>9687.5</v>
      </c>
      <c r="O18" s="150">
        <f>'Cost Planning'!R44+'Cost Planning'!R62+'Cost Planning'!R78</f>
        <v>9687.5</v>
      </c>
      <c r="P18" s="150">
        <f>'Cost Planning'!S44+'Cost Planning'!S62+'Cost Planning'!S78</f>
        <v>9687.5</v>
      </c>
      <c r="Q18" s="150">
        <f>'Cost Planning'!T44+'Cost Planning'!T62+'Cost Planning'!T78</f>
        <v>9687.5</v>
      </c>
      <c r="R18" s="150">
        <f>'Cost Planning'!U44+'Cost Planning'!U62+'Cost Planning'!U78</f>
        <v>9687.5</v>
      </c>
      <c r="S18" s="150">
        <f>'Cost Planning'!V44+'Cost Planning'!V62+'Cost Planning'!V78</f>
        <v>9687.5</v>
      </c>
      <c r="T18" s="150">
        <f>'Cost Planning'!W44+'Cost Planning'!W62+'Cost Planning'!W78</f>
        <v>9687.5</v>
      </c>
      <c r="U18" s="150">
        <f>'Cost Planning'!X44+'Cost Planning'!X62+'Cost Planning'!X78</f>
        <v>9687.5</v>
      </c>
      <c r="V18" s="150">
        <f>'Cost Planning'!Y44+'Cost Planning'!Y62+'Cost Planning'!Y78</f>
        <v>9687.5</v>
      </c>
      <c r="W18" s="150">
        <f>'Cost Planning'!Z44+'Cost Planning'!Z62+'Cost Planning'!Z78</f>
        <v>9687.5</v>
      </c>
      <c r="X18" s="150">
        <f>'Cost Planning'!AA44+'Cost Planning'!AA62+'Cost Planning'!AA78</f>
        <v>9687.5</v>
      </c>
      <c r="Y18" s="150">
        <f>'Cost Planning'!AB44+'Cost Planning'!AB62+'Cost Planning'!AB78</f>
        <v>9687.5</v>
      </c>
      <c r="Z18" s="150">
        <f>'Cost Planning'!AC44+'Cost Planning'!AC62+'Cost Planning'!AC78</f>
        <v>9687.5</v>
      </c>
      <c r="AA18" s="150">
        <f>'Cost Planning'!AD44+'Cost Planning'!AD62+'Cost Planning'!AD78</f>
        <v>9687.5</v>
      </c>
      <c r="AB18" s="150">
        <f>'Cost Planning'!AE44+'Cost Planning'!AE62+'Cost Planning'!AE78</f>
        <v>9687.5</v>
      </c>
      <c r="AC18" s="150">
        <f>'Cost Planning'!AF44+'Cost Planning'!AF62+'Cost Planning'!AF78</f>
        <v>9687.5</v>
      </c>
      <c r="AD18" s="150">
        <f>'Cost Planning'!AG44+'Cost Planning'!AG62+'Cost Planning'!AG78</f>
        <v>9687.5</v>
      </c>
      <c r="AE18" s="150">
        <f>'Cost Planning'!AH44+'Cost Planning'!AH62+'Cost Planning'!AH78</f>
        <v>9687.5</v>
      </c>
      <c r="AF18" s="150">
        <f>'Cost Planning'!AI44+'Cost Planning'!AI62+'Cost Planning'!AI78</f>
        <v>9687.5</v>
      </c>
      <c r="AG18" s="150">
        <f>'Cost Planning'!AJ44+'Cost Planning'!AJ62+'Cost Planning'!AJ78</f>
        <v>9687.5</v>
      </c>
      <c r="AH18" s="150">
        <f>'Cost Planning'!AK44+'Cost Planning'!AK62+'Cost Planning'!AK78</f>
        <v>9687.5</v>
      </c>
      <c r="AI18" s="150">
        <f>'Cost Planning'!AL44+'Cost Planning'!AL62+'Cost Planning'!AL78</f>
        <v>9687.5</v>
      </c>
      <c r="AJ18" s="150">
        <f>'Cost Planning'!AM44+'Cost Planning'!AM62+'Cost Planning'!AM78</f>
        <v>9687.5</v>
      </c>
      <c r="AK18" s="150">
        <f>'Cost Planning'!AN44+'Cost Planning'!AN62+'Cost Planning'!AN78</f>
        <v>9687.5</v>
      </c>
      <c r="AL18" s="150">
        <f>'Cost Planning'!AO44+'Cost Planning'!AO62+'Cost Planning'!AO78</f>
        <v>9687.5</v>
      </c>
      <c r="AM18" s="150">
        <f>'Cost Planning'!AP44+'Cost Planning'!AP62+'Cost Planning'!AP78</f>
        <v>9687.5</v>
      </c>
      <c r="AN18" s="150">
        <f>'Cost Planning'!AQ44+'Cost Planning'!AQ62+'Cost Planning'!AQ78</f>
        <v>9687.5</v>
      </c>
      <c r="AO18" s="150">
        <f>'Cost Planning'!AR44+'Cost Planning'!AR62+'Cost Planning'!AR78</f>
        <v>9687.5</v>
      </c>
      <c r="AP18" s="150">
        <f>'Cost Planning'!AS44+'Cost Planning'!AS62+'Cost Planning'!AS78</f>
        <v>9687.5</v>
      </c>
      <c r="AQ18" s="150">
        <f>'Cost Planning'!AT44+'Cost Planning'!AT62+'Cost Planning'!AT78</f>
        <v>9687.5</v>
      </c>
      <c r="AR18" s="150">
        <f>'Cost Planning'!AU44+'Cost Planning'!AU62+'Cost Planning'!AU78</f>
        <v>9687.5</v>
      </c>
      <c r="AS18" s="150">
        <f>'Cost Planning'!AV44+'Cost Planning'!AV62+'Cost Planning'!AV78</f>
        <v>9687.5</v>
      </c>
      <c r="AT18" s="150">
        <f>'Cost Planning'!AW44+'Cost Planning'!AW62+'Cost Planning'!AW78</f>
        <v>9687.5</v>
      </c>
      <c r="AU18" s="150">
        <f>'Cost Planning'!AX44+'Cost Planning'!AX62+'Cost Planning'!AX78</f>
        <v>9687.5</v>
      </c>
      <c r="AV18" s="150">
        <f>'Cost Planning'!AY44+'Cost Planning'!AY62+'Cost Planning'!AY78</f>
        <v>9687.5</v>
      </c>
      <c r="AW18" s="150">
        <f>'Cost Planning'!AZ44+'Cost Planning'!AZ62+'Cost Planning'!AZ78</f>
        <v>9687.5</v>
      </c>
      <c r="AX18" s="150">
        <f>'Cost Planning'!BA44+'Cost Planning'!BA62+'Cost Planning'!BA78</f>
        <v>9687.5</v>
      </c>
      <c r="AY18" s="150">
        <f>'Cost Planning'!BB44+'Cost Planning'!BB62+'Cost Planning'!BB78</f>
        <v>9687.5</v>
      </c>
      <c r="AZ18" s="150">
        <f>'Cost Planning'!BC44+'Cost Planning'!BC62+'Cost Planning'!BC78</f>
        <v>9687.5</v>
      </c>
      <c r="BA18" s="150">
        <f>'Cost Planning'!BD44+'Cost Planning'!BD62+'Cost Planning'!BD78</f>
        <v>0</v>
      </c>
      <c r="BB18" s="150">
        <f>'Cost Planning'!BE44+'Cost Planning'!BE62+'Cost Planning'!BE78</f>
        <v>0</v>
      </c>
      <c r="BC18" s="150">
        <f>'Cost Planning'!BF44+'Cost Planning'!BF62+'Cost Planning'!BF78</f>
        <v>0</v>
      </c>
      <c r="BD18" s="150">
        <f>'Cost Planning'!BG44+'Cost Planning'!BG62+'Cost Planning'!BG78</f>
        <v>0</v>
      </c>
      <c r="BE18" s="150">
        <f>'Cost Planning'!BH44+'Cost Planning'!BH62+'Cost Planning'!BH78</f>
        <v>0</v>
      </c>
      <c r="BF18" s="150">
        <f>'Cost Planning'!BI44+'Cost Planning'!BI62+'Cost Planning'!BI78</f>
        <v>0</v>
      </c>
      <c r="BG18" s="150">
        <f>'Cost Planning'!BJ44+'Cost Planning'!BJ62+'Cost Planning'!BJ78</f>
        <v>0</v>
      </c>
      <c r="BH18" s="150">
        <f>'Cost Planning'!BK44+'Cost Planning'!BK62+'Cost Planning'!BK78</f>
        <v>0</v>
      </c>
      <c r="BI18" s="150">
        <f>'Cost Planning'!BL44+'Cost Planning'!BL62+'Cost Planning'!BL78</f>
        <v>0</v>
      </c>
      <c r="BJ18" s="150">
        <f>'Cost Planning'!BM44+'Cost Planning'!BM62+'Cost Planning'!BM78</f>
        <v>0</v>
      </c>
      <c r="BK18" s="150">
        <f>'Cost Planning'!BN44+'Cost Planning'!BN62+'Cost Planning'!BN78</f>
        <v>0</v>
      </c>
      <c r="BL18" s="150">
        <f>'Cost Planning'!BO44+'Cost Planning'!BO62+'Cost Planning'!BO78</f>
        <v>0</v>
      </c>
      <c r="BM18" s="21"/>
      <c r="BN18" s="21"/>
      <c r="BO18" s="21"/>
      <c r="BP18" s="21"/>
      <c r="BQ18" s="21"/>
      <c r="BR18" s="21"/>
      <c r="BS18" s="21"/>
      <c r="BT18" s="21"/>
      <c r="BU18" s="21"/>
      <c r="BV18" s="21"/>
      <c r="BW18" s="21"/>
      <c r="BX18" s="21"/>
      <c r="BY18" s="21"/>
    </row>
    <row r="19" spans="2:77" s="67" customFormat="1" ht="25" customHeight="1" outlineLevel="1" x14ac:dyDescent="0.3">
      <c r="B19" s="298" t="s">
        <v>60</v>
      </c>
      <c r="C19" s="298"/>
      <c r="D19" s="152"/>
      <c r="E19" s="152">
        <f t="shared" ref="E19:E24" si="104">E31-D31</f>
        <v>297</v>
      </c>
      <c r="F19" s="152">
        <f t="shared" ref="F19:Z19" si="105">F31-E31</f>
        <v>297</v>
      </c>
      <c r="G19" s="152">
        <f t="shared" si="105"/>
        <v>297</v>
      </c>
      <c r="H19" s="152">
        <f t="shared" si="105"/>
        <v>297</v>
      </c>
      <c r="I19" s="152">
        <f t="shared" si="105"/>
        <v>297</v>
      </c>
      <c r="J19" s="152">
        <f t="shared" si="105"/>
        <v>297</v>
      </c>
      <c r="K19" s="152">
        <f t="shared" si="105"/>
        <v>297</v>
      </c>
      <c r="L19" s="152">
        <f t="shared" si="105"/>
        <v>297</v>
      </c>
      <c r="M19" s="152">
        <f t="shared" si="105"/>
        <v>297</v>
      </c>
      <c r="N19" s="152">
        <f t="shared" si="105"/>
        <v>297</v>
      </c>
      <c r="O19" s="152">
        <f t="shared" si="105"/>
        <v>297</v>
      </c>
      <c r="P19" s="152">
        <f t="shared" si="105"/>
        <v>297</v>
      </c>
      <c r="Q19" s="152">
        <f t="shared" si="105"/>
        <v>297</v>
      </c>
      <c r="R19" s="152">
        <f t="shared" si="105"/>
        <v>297</v>
      </c>
      <c r="S19" s="152">
        <f t="shared" si="105"/>
        <v>297</v>
      </c>
      <c r="T19" s="152">
        <f t="shared" si="105"/>
        <v>297</v>
      </c>
      <c r="U19" s="152">
        <f t="shared" si="105"/>
        <v>297</v>
      </c>
      <c r="V19" s="152">
        <f t="shared" si="105"/>
        <v>297</v>
      </c>
      <c r="W19" s="152">
        <f t="shared" si="105"/>
        <v>297</v>
      </c>
      <c r="X19" s="152">
        <f t="shared" si="105"/>
        <v>297</v>
      </c>
      <c r="Y19" s="152">
        <f t="shared" si="105"/>
        <v>297</v>
      </c>
      <c r="Z19" s="152">
        <f t="shared" si="105"/>
        <v>297</v>
      </c>
      <c r="AA19" s="152">
        <f>AA31-Z31</f>
        <v>297</v>
      </c>
      <c r="AB19" s="152">
        <f t="shared" ref="AB19:AB24" si="106">AB31-AA31</f>
        <v>297</v>
      </c>
      <c r="AC19" s="152">
        <f t="shared" ref="AC19:AC24" si="107">AC31-AB31</f>
        <v>297</v>
      </c>
      <c r="AD19" s="152">
        <f t="shared" ref="AD19:AD24" si="108">AD31-AC31</f>
        <v>297</v>
      </c>
      <c r="AE19" s="152">
        <f t="shared" ref="AE19:AE24" si="109">AE31-AD31</f>
        <v>297</v>
      </c>
      <c r="AF19" s="152">
        <f t="shared" ref="AF19:AF24" si="110">AF31-AE31</f>
        <v>297</v>
      </c>
      <c r="AG19" s="152">
        <f t="shared" ref="AG19:AG24" si="111">AG31-AF31</f>
        <v>297</v>
      </c>
      <c r="AH19" s="152">
        <f t="shared" ref="AH19:AH24" si="112">AH31-AG31</f>
        <v>297</v>
      </c>
      <c r="AI19" s="152">
        <f t="shared" ref="AI19:AI24" si="113">AI31-AH31</f>
        <v>297</v>
      </c>
      <c r="AJ19" s="152">
        <f t="shared" ref="AJ19:AJ24" si="114">AJ31-AI31</f>
        <v>297</v>
      </c>
      <c r="AK19" s="152">
        <f t="shared" ref="AK19:AK24" si="115">AK31-AJ31</f>
        <v>297</v>
      </c>
      <c r="AL19" s="152">
        <f t="shared" ref="AL19:AL24" si="116">AL31-AK31</f>
        <v>297</v>
      </c>
      <c r="AM19" s="152">
        <f t="shared" ref="AM19:AM24" si="117">AM31-AL31</f>
        <v>297</v>
      </c>
      <c r="AN19" s="152">
        <f t="shared" ref="AN19:AN24" si="118">AN31-AM31</f>
        <v>297</v>
      </c>
      <c r="AO19" s="152">
        <f t="shared" ref="AO19:AO24" si="119">AO31-AN31</f>
        <v>297</v>
      </c>
      <c r="AP19" s="152">
        <f t="shared" ref="AP19:AP24" si="120">AP31-AO31</f>
        <v>297</v>
      </c>
      <c r="AQ19" s="152">
        <f t="shared" ref="AQ19:AQ24" si="121">AQ31-AP31</f>
        <v>297</v>
      </c>
      <c r="AR19" s="152">
        <f t="shared" ref="AR19:AR24" si="122">AR31-AQ31</f>
        <v>297</v>
      </c>
      <c r="AS19" s="152">
        <f t="shared" ref="AS19:AS24" si="123">AS31-AR31</f>
        <v>297</v>
      </c>
      <c r="AT19" s="152">
        <f t="shared" ref="AT19:AT24" si="124">AT31-AS31</f>
        <v>297</v>
      </c>
      <c r="AU19" s="152">
        <f t="shared" ref="AU19:AU24" si="125">AU31-AT31</f>
        <v>297</v>
      </c>
      <c r="AV19" s="152">
        <f t="shared" ref="AV19:AV24" si="126">AV31-AU31</f>
        <v>297</v>
      </c>
      <c r="AW19" s="152">
        <f t="shared" ref="AW19:AW24" si="127">AW31-AV31</f>
        <v>297</v>
      </c>
      <c r="AX19" s="152">
        <f t="shared" ref="AX19:AX24" si="128">AX31-AW31</f>
        <v>297</v>
      </c>
      <c r="AY19" s="152">
        <f t="shared" ref="AY19:AY24" si="129">AY31-AX31</f>
        <v>297</v>
      </c>
      <c r="AZ19" s="152">
        <f t="shared" ref="AZ19:AZ24" si="130">AZ31-AY31</f>
        <v>297</v>
      </c>
      <c r="BA19" s="152">
        <f t="shared" ref="BA19:BA24" si="131">BA31-AZ31</f>
        <v>0</v>
      </c>
      <c r="BB19" s="152">
        <f t="shared" ref="BB19:BB24" si="132">BB31-BA31</f>
        <v>0</v>
      </c>
      <c r="BC19" s="152">
        <f t="shared" ref="BC19:BC24" si="133">BC31-BB31</f>
        <v>0</v>
      </c>
      <c r="BD19" s="152">
        <f t="shared" ref="BD19:BD24" si="134">BD31-BC31</f>
        <v>0</v>
      </c>
      <c r="BE19" s="152">
        <f t="shared" ref="BE19:BE24" si="135">BE31-BD31</f>
        <v>0</v>
      </c>
      <c r="BF19" s="152">
        <f t="shared" ref="BF19:BF24" si="136">BF31-BE31</f>
        <v>0</v>
      </c>
      <c r="BG19" s="152">
        <f t="shared" ref="BG19:BG24" si="137">BG31-BF31</f>
        <v>0</v>
      </c>
      <c r="BH19" s="152">
        <f t="shared" ref="BH19:BH24" si="138">BH31-BG31</f>
        <v>0</v>
      </c>
      <c r="BI19" s="152">
        <f t="shared" ref="BI19:BI24" si="139">BI31-BH31</f>
        <v>0</v>
      </c>
      <c r="BJ19" s="152">
        <f t="shared" ref="BJ19:BJ24" si="140">BJ31-BI31</f>
        <v>0</v>
      </c>
      <c r="BK19" s="152">
        <f t="shared" ref="BK19:BK24" si="141">BK31-BJ31</f>
        <v>0</v>
      </c>
      <c r="BL19" s="152">
        <f t="shared" ref="BL19:BL24" si="142">BL31-BK31</f>
        <v>0</v>
      </c>
      <c r="BN19" s="21"/>
      <c r="BO19" s="21"/>
      <c r="BP19" s="21"/>
      <c r="BQ19" s="21"/>
      <c r="BR19" s="21"/>
      <c r="BS19" s="21"/>
      <c r="BT19" s="21"/>
      <c r="BU19" s="21"/>
      <c r="BV19" s="21"/>
      <c r="BW19" s="21"/>
      <c r="BX19" s="21"/>
      <c r="BY19" s="21"/>
    </row>
    <row r="20" spans="2:77" s="67" customFormat="1" ht="25" customHeight="1" outlineLevel="1" x14ac:dyDescent="0.3">
      <c r="B20" s="298" t="s">
        <v>168</v>
      </c>
      <c r="C20" s="298"/>
      <c r="D20" s="152"/>
      <c r="E20" s="152">
        <f t="shared" si="104"/>
        <v>7102.7849999999999</v>
      </c>
      <c r="F20" s="152">
        <f t="shared" ref="F20:AA20" si="143">F32-E32</f>
        <v>7102.7849999999999</v>
      </c>
      <c r="G20" s="152">
        <f t="shared" si="143"/>
        <v>7102.7849999999999</v>
      </c>
      <c r="H20" s="152">
        <f t="shared" si="143"/>
        <v>7102.7849999999999</v>
      </c>
      <c r="I20" s="152">
        <f t="shared" si="143"/>
        <v>7102.7850000000035</v>
      </c>
      <c r="J20" s="152">
        <f t="shared" si="143"/>
        <v>7102.7850000000035</v>
      </c>
      <c r="K20" s="152">
        <f t="shared" si="143"/>
        <v>7102.7850000000035</v>
      </c>
      <c r="L20" s="152">
        <f t="shared" si="143"/>
        <v>7102.7850000000035</v>
      </c>
      <c r="M20" s="152">
        <f t="shared" si="143"/>
        <v>7102.7850000000035</v>
      </c>
      <c r="N20" s="152">
        <f>N32-M32</f>
        <v>7102.7850000000035</v>
      </c>
      <c r="O20" s="152">
        <f t="shared" si="143"/>
        <v>7102.7850000000035</v>
      </c>
      <c r="P20" s="152">
        <f t="shared" si="143"/>
        <v>7102.7850000000035</v>
      </c>
      <c r="Q20" s="152">
        <f t="shared" si="143"/>
        <v>7315.8685499999992</v>
      </c>
      <c r="R20" s="152">
        <f t="shared" si="143"/>
        <v>7315.8685499999992</v>
      </c>
      <c r="S20" s="152">
        <f t="shared" si="143"/>
        <v>7315.8685499999992</v>
      </c>
      <c r="T20" s="152">
        <f t="shared" si="143"/>
        <v>7315.8685499999992</v>
      </c>
      <c r="U20" s="152">
        <f t="shared" si="143"/>
        <v>7315.8685499999992</v>
      </c>
      <c r="V20" s="152">
        <f t="shared" si="143"/>
        <v>7315.8685499999992</v>
      </c>
      <c r="W20" s="152">
        <f t="shared" si="143"/>
        <v>7315.8685499999992</v>
      </c>
      <c r="X20" s="152">
        <f t="shared" si="143"/>
        <v>7315.8685500000138</v>
      </c>
      <c r="Y20" s="152">
        <f t="shared" si="143"/>
        <v>7315.8685500000138</v>
      </c>
      <c r="Z20" s="152">
        <f t="shared" si="143"/>
        <v>7315.8685500000138</v>
      </c>
      <c r="AA20" s="152">
        <f t="shared" si="143"/>
        <v>7315.8685500000138</v>
      </c>
      <c r="AB20" s="152">
        <f t="shared" si="106"/>
        <v>7315.8685500000138</v>
      </c>
      <c r="AC20" s="152">
        <f t="shared" si="107"/>
        <v>7535.3446065000026</v>
      </c>
      <c r="AD20" s="152">
        <f t="shared" si="108"/>
        <v>7535.3446065000026</v>
      </c>
      <c r="AE20" s="152">
        <f t="shared" si="109"/>
        <v>7535.3446065000026</v>
      </c>
      <c r="AF20" s="152">
        <f t="shared" si="110"/>
        <v>7535.3446065000026</v>
      </c>
      <c r="AG20" s="152">
        <f t="shared" si="111"/>
        <v>7535.3446065000026</v>
      </c>
      <c r="AH20" s="152">
        <f t="shared" si="112"/>
        <v>7535.3446065000026</v>
      </c>
      <c r="AI20" s="152">
        <f t="shared" si="113"/>
        <v>7535.3446065000026</v>
      </c>
      <c r="AJ20" s="152">
        <f t="shared" si="114"/>
        <v>7535.3446065000026</v>
      </c>
      <c r="AK20" s="152">
        <f t="shared" si="115"/>
        <v>7535.3446065000026</v>
      </c>
      <c r="AL20" s="152">
        <f t="shared" si="116"/>
        <v>7535.3446065000026</v>
      </c>
      <c r="AM20" s="152">
        <f t="shared" si="117"/>
        <v>7535.3446065000026</v>
      </c>
      <c r="AN20" s="152">
        <f t="shared" si="118"/>
        <v>7535.3446065000026</v>
      </c>
      <c r="AO20" s="152">
        <f t="shared" si="119"/>
        <v>7761.4049446950085</v>
      </c>
      <c r="AP20" s="152">
        <f t="shared" si="120"/>
        <v>7761.4049446950085</v>
      </c>
      <c r="AQ20" s="152">
        <f t="shared" si="121"/>
        <v>7761.4049446950085</v>
      </c>
      <c r="AR20" s="152">
        <f t="shared" si="122"/>
        <v>7761.4049446950085</v>
      </c>
      <c r="AS20" s="152">
        <f t="shared" si="123"/>
        <v>7761.4049446950085</v>
      </c>
      <c r="AT20" s="152">
        <f t="shared" si="124"/>
        <v>7761.4049446950085</v>
      </c>
      <c r="AU20" s="152">
        <f t="shared" si="125"/>
        <v>7761.4049446950085</v>
      </c>
      <c r="AV20" s="152">
        <f t="shared" si="126"/>
        <v>7761.4049446950085</v>
      </c>
      <c r="AW20" s="152">
        <f t="shared" si="127"/>
        <v>7761.4049446950085</v>
      </c>
      <c r="AX20" s="152">
        <f t="shared" si="128"/>
        <v>7761.4049446950085</v>
      </c>
      <c r="AY20" s="152">
        <f t="shared" si="129"/>
        <v>7761.4049446950085</v>
      </c>
      <c r="AZ20" s="152">
        <f t="shared" si="130"/>
        <v>7761.4049446950085</v>
      </c>
      <c r="BA20" s="152">
        <f t="shared" si="131"/>
        <v>0</v>
      </c>
      <c r="BB20" s="152">
        <f t="shared" si="132"/>
        <v>0</v>
      </c>
      <c r="BC20" s="152">
        <f t="shared" si="133"/>
        <v>0</v>
      </c>
      <c r="BD20" s="152">
        <f t="shared" si="134"/>
        <v>0</v>
      </c>
      <c r="BE20" s="152">
        <f t="shared" si="135"/>
        <v>0</v>
      </c>
      <c r="BF20" s="152">
        <f t="shared" si="136"/>
        <v>0</v>
      </c>
      <c r="BG20" s="152">
        <f t="shared" si="137"/>
        <v>0</v>
      </c>
      <c r="BH20" s="152">
        <f t="shared" si="138"/>
        <v>0</v>
      </c>
      <c r="BI20" s="152">
        <f t="shared" si="139"/>
        <v>0</v>
      </c>
      <c r="BJ20" s="152">
        <f t="shared" si="140"/>
        <v>0</v>
      </c>
      <c r="BK20" s="152">
        <f t="shared" si="141"/>
        <v>0</v>
      </c>
      <c r="BL20" s="152">
        <f t="shared" si="142"/>
        <v>0</v>
      </c>
      <c r="BN20" s="21"/>
      <c r="BO20" s="21"/>
      <c r="BP20" s="21"/>
      <c r="BQ20" s="21"/>
      <c r="BR20" s="21"/>
      <c r="BS20" s="21"/>
      <c r="BT20" s="21"/>
      <c r="BU20" s="21"/>
      <c r="BV20" s="21"/>
      <c r="BW20" s="21"/>
      <c r="BX20" s="21"/>
      <c r="BY20" s="21"/>
    </row>
    <row r="21" spans="2:77" s="67" customFormat="1" ht="25" customHeight="1" outlineLevel="1" x14ac:dyDescent="0.3">
      <c r="B21" s="298" t="s">
        <v>169</v>
      </c>
      <c r="C21" s="298"/>
      <c r="D21" s="152"/>
      <c r="E21" s="152">
        <f t="shared" si="104"/>
        <v>0</v>
      </c>
      <c r="F21" s="152">
        <f t="shared" ref="F21:AA21" si="144">F33-E33</f>
        <v>0</v>
      </c>
      <c r="G21" s="152">
        <f t="shared" si="144"/>
        <v>0</v>
      </c>
      <c r="H21" s="152">
        <f t="shared" si="144"/>
        <v>0</v>
      </c>
      <c r="I21" s="152">
        <f t="shared" si="144"/>
        <v>0</v>
      </c>
      <c r="J21" s="152">
        <f t="shared" si="144"/>
        <v>0</v>
      </c>
      <c r="K21" s="152">
        <f t="shared" si="144"/>
        <v>0</v>
      </c>
      <c r="L21" s="152">
        <f t="shared" si="144"/>
        <v>0</v>
      </c>
      <c r="M21" s="152">
        <f t="shared" si="144"/>
        <v>0</v>
      </c>
      <c r="N21" s="152">
        <f t="shared" si="144"/>
        <v>0</v>
      </c>
      <c r="O21" s="152">
        <f t="shared" si="144"/>
        <v>0</v>
      </c>
      <c r="P21" s="152">
        <f t="shared" si="144"/>
        <v>0</v>
      </c>
      <c r="Q21" s="152">
        <f t="shared" si="144"/>
        <v>0</v>
      </c>
      <c r="R21" s="152">
        <f t="shared" si="144"/>
        <v>0</v>
      </c>
      <c r="S21" s="152">
        <f t="shared" si="144"/>
        <v>0</v>
      </c>
      <c r="T21" s="152">
        <f t="shared" si="144"/>
        <v>0</v>
      </c>
      <c r="U21" s="152">
        <f t="shared" si="144"/>
        <v>0</v>
      </c>
      <c r="V21" s="152">
        <f t="shared" si="144"/>
        <v>0</v>
      </c>
      <c r="W21" s="152">
        <f t="shared" si="144"/>
        <v>0</v>
      </c>
      <c r="X21" s="152">
        <f t="shared" si="144"/>
        <v>0</v>
      </c>
      <c r="Y21" s="152">
        <f t="shared" si="144"/>
        <v>0</v>
      </c>
      <c r="Z21" s="152">
        <f t="shared" si="144"/>
        <v>0</v>
      </c>
      <c r="AA21" s="152">
        <f t="shared" si="144"/>
        <v>0</v>
      </c>
      <c r="AB21" s="152">
        <f t="shared" si="106"/>
        <v>0</v>
      </c>
      <c r="AC21" s="152">
        <f t="shared" si="107"/>
        <v>0</v>
      </c>
      <c r="AD21" s="152">
        <f t="shared" si="108"/>
        <v>0</v>
      </c>
      <c r="AE21" s="152">
        <f t="shared" si="109"/>
        <v>0</v>
      </c>
      <c r="AF21" s="152">
        <f t="shared" si="110"/>
        <v>0</v>
      </c>
      <c r="AG21" s="152">
        <f t="shared" si="111"/>
        <v>0</v>
      </c>
      <c r="AH21" s="152">
        <f t="shared" si="112"/>
        <v>0</v>
      </c>
      <c r="AI21" s="152">
        <f t="shared" si="113"/>
        <v>0</v>
      </c>
      <c r="AJ21" s="152">
        <f t="shared" si="114"/>
        <v>0</v>
      </c>
      <c r="AK21" s="152">
        <f t="shared" si="115"/>
        <v>0</v>
      </c>
      <c r="AL21" s="152">
        <f t="shared" si="116"/>
        <v>0</v>
      </c>
      <c r="AM21" s="152">
        <f t="shared" si="117"/>
        <v>0</v>
      </c>
      <c r="AN21" s="152">
        <f t="shared" si="118"/>
        <v>0</v>
      </c>
      <c r="AO21" s="152">
        <f t="shared" si="119"/>
        <v>0</v>
      </c>
      <c r="AP21" s="152">
        <f t="shared" si="120"/>
        <v>0</v>
      </c>
      <c r="AQ21" s="152">
        <f t="shared" si="121"/>
        <v>0</v>
      </c>
      <c r="AR21" s="152">
        <f t="shared" si="122"/>
        <v>0</v>
      </c>
      <c r="AS21" s="152">
        <f t="shared" si="123"/>
        <v>0</v>
      </c>
      <c r="AT21" s="152">
        <f t="shared" si="124"/>
        <v>0</v>
      </c>
      <c r="AU21" s="152">
        <f t="shared" si="125"/>
        <v>0</v>
      </c>
      <c r="AV21" s="152">
        <f t="shared" si="126"/>
        <v>0</v>
      </c>
      <c r="AW21" s="152">
        <f t="shared" si="127"/>
        <v>0</v>
      </c>
      <c r="AX21" s="152">
        <f t="shared" si="128"/>
        <v>0</v>
      </c>
      <c r="AY21" s="152">
        <f t="shared" si="129"/>
        <v>0</v>
      </c>
      <c r="AZ21" s="152">
        <f t="shared" si="130"/>
        <v>3565.85</v>
      </c>
      <c r="BA21" s="152">
        <f t="shared" si="131"/>
        <v>0</v>
      </c>
      <c r="BB21" s="152">
        <f t="shared" si="132"/>
        <v>0</v>
      </c>
      <c r="BC21" s="152">
        <f t="shared" si="133"/>
        <v>0</v>
      </c>
      <c r="BD21" s="152">
        <f t="shared" si="134"/>
        <v>0</v>
      </c>
      <c r="BE21" s="152">
        <f t="shared" si="135"/>
        <v>0</v>
      </c>
      <c r="BF21" s="152">
        <f t="shared" si="136"/>
        <v>0</v>
      </c>
      <c r="BG21" s="152">
        <f t="shared" si="137"/>
        <v>0</v>
      </c>
      <c r="BH21" s="152">
        <f t="shared" si="138"/>
        <v>0</v>
      </c>
      <c r="BI21" s="152">
        <f t="shared" si="139"/>
        <v>0</v>
      </c>
      <c r="BJ21" s="152">
        <f t="shared" si="140"/>
        <v>0</v>
      </c>
      <c r="BK21" s="152">
        <f t="shared" si="141"/>
        <v>0</v>
      </c>
      <c r="BL21" s="152">
        <f t="shared" si="142"/>
        <v>0</v>
      </c>
      <c r="BN21" s="21"/>
      <c r="BO21" s="21"/>
      <c r="BP21" s="21"/>
      <c r="BQ21" s="21"/>
      <c r="BR21" s="21"/>
      <c r="BS21" s="21"/>
      <c r="BT21" s="21"/>
      <c r="BU21" s="21"/>
      <c r="BV21" s="21"/>
      <c r="BW21" s="21"/>
      <c r="BX21" s="21"/>
      <c r="BY21" s="21"/>
    </row>
    <row r="22" spans="2:77" s="67" customFormat="1" ht="25" customHeight="1" outlineLevel="1" x14ac:dyDescent="0.3">
      <c r="B22" s="298" t="s">
        <v>170</v>
      </c>
      <c r="C22" s="298"/>
      <c r="D22" s="152"/>
      <c r="E22" s="152">
        <f t="shared" si="104"/>
        <v>0</v>
      </c>
      <c r="F22" s="152">
        <f t="shared" ref="F22:AA22" si="145">F34-E34</f>
        <v>0</v>
      </c>
      <c r="G22" s="152">
        <f t="shared" si="145"/>
        <v>0</v>
      </c>
      <c r="H22" s="152">
        <f t="shared" si="145"/>
        <v>0</v>
      </c>
      <c r="I22" s="152">
        <f t="shared" si="145"/>
        <v>0</v>
      </c>
      <c r="J22" s="152">
        <f t="shared" si="145"/>
        <v>0</v>
      </c>
      <c r="K22" s="152">
        <f t="shared" si="145"/>
        <v>0</v>
      </c>
      <c r="L22" s="152">
        <f t="shared" si="145"/>
        <v>0</v>
      </c>
      <c r="M22" s="152">
        <f t="shared" si="145"/>
        <v>0</v>
      </c>
      <c r="N22" s="152">
        <f t="shared" si="145"/>
        <v>0</v>
      </c>
      <c r="O22" s="152">
        <f t="shared" si="145"/>
        <v>0</v>
      </c>
      <c r="P22" s="152">
        <f t="shared" si="145"/>
        <v>0</v>
      </c>
      <c r="Q22" s="152">
        <f t="shared" si="145"/>
        <v>0</v>
      </c>
      <c r="R22" s="152">
        <f t="shared" si="145"/>
        <v>0</v>
      </c>
      <c r="S22" s="152">
        <f t="shared" si="145"/>
        <v>0</v>
      </c>
      <c r="T22" s="152">
        <f t="shared" si="145"/>
        <v>0</v>
      </c>
      <c r="U22" s="152">
        <f t="shared" si="145"/>
        <v>0</v>
      </c>
      <c r="V22" s="152">
        <f t="shared" si="145"/>
        <v>0</v>
      </c>
      <c r="W22" s="152">
        <f t="shared" si="145"/>
        <v>0</v>
      </c>
      <c r="X22" s="152">
        <f t="shared" si="145"/>
        <v>0</v>
      </c>
      <c r="Y22" s="152">
        <f t="shared" si="145"/>
        <v>0</v>
      </c>
      <c r="Z22" s="152">
        <f t="shared" si="145"/>
        <v>0</v>
      </c>
      <c r="AA22" s="152">
        <f t="shared" si="145"/>
        <v>0</v>
      </c>
      <c r="AB22" s="152">
        <f t="shared" si="106"/>
        <v>0</v>
      </c>
      <c r="AC22" s="152">
        <f t="shared" si="107"/>
        <v>0</v>
      </c>
      <c r="AD22" s="152">
        <f t="shared" si="108"/>
        <v>0</v>
      </c>
      <c r="AE22" s="152">
        <f t="shared" si="109"/>
        <v>0</v>
      </c>
      <c r="AF22" s="152">
        <f t="shared" si="110"/>
        <v>0</v>
      </c>
      <c r="AG22" s="152">
        <f t="shared" si="111"/>
        <v>0</v>
      </c>
      <c r="AH22" s="152">
        <f t="shared" si="112"/>
        <v>0</v>
      </c>
      <c r="AI22" s="152">
        <f t="shared" si="113"/>
        <v>0</v>
      </c>
      <c r="AJ22" s="152">
        <f t="shared" si="114"/>
        <v>0</v>
      </c>
      <c r="AK22" s="152">
        <f t="shared" si="115"/>
        <v>0</v>
      </c>
      <c r="AL22" s="152">
        <f t="shared" si="116"/>
        <v>0</v>
      </c>
      <c r="AM22" s="152">
        <f t="shared" si="117"/>
        <v>0</v>
      </c>
      <c r="AN22" s="152">
        <f t="shared" si="118"/>
        <v>0</v>
      </c>
      <c r="AO22" s="152">
        <f t="shared" si="119"/>
        <v>0</v>
      </c>
      <c r="AP22" s="152">
        <f t="shared" si="120"/>
        <v>0</v>
      </c>
      <c r="AQ22" s="152">
        <f t="shared" si="121"/>
        <v>0</v>
      </c>
      <c r="AR22" s="152">
        <f t="shared" si="122"/>
        <v>0</v>
      </c>
      <c r="AS22" s="152">
        <f t="shared" si="123"/>
        <v>0</v>
      </c>
      <c r="AT22" s="152">
        <f t="shared" si="124"/>
        <v>0</v>
      </c>
      <c r="AU22" s="152">
        <f t="shared" si="125"/>
        <v>0</v>
      </c>
      <c r="AV22" s="152">
        <f t="shared" si="126"/>
        <v>0</v>
      </c>
      <c r="AW22" s="152">
        <f t="shared" si="127"/>
        <v>0</v>
      </c>
      <c r="AX22" s="152">
        <f t="shared" si="128"/>
        <v>0</v>
      </c>
      <c r="AY22" s="152">
        <f t="shared" si="129"/>
        <v>0</v>
      </c>
      <c r="AZ22" s="152">
        <f t="shared" si="130"/>
        <v>0</v>
      </c>
      <c r="BA22" s="152">
        <f t="shared" si="131"/>
        <v>0</v>
      </c>
      <c r="BB22" s="152">
        <f t="shared" si="132"/>
        <v>0</v>
      </c>
      <c r="BC22" s="152">
        <f t="shared" si="133"/>
        <v>0</v>
      </c>
      <c r="BD22" s="152">
        <f t="shared" si="134"/>
        <v>0</v>
      </c>
      <c r="BE22" s="152">
        <f t="shared" si="135"/>
        <v>0</v>
      </c>
      <c r="BF22" s="152">
        <f t="shared" si="136"/>
        <v>0</v>
      </c>
      <c r="BG22" s="152">
        <f t="shared" si="137"/>
        <v>0</v>
      </c>
      <c r="BH22" s="152">
        <f t="shared" si="138"/>
        <v>0</v>
      </c>
      <c r="BI22" s="152">
        <f t="shared" si="139"/>
        <v>0</v>
      </c>
      <c r="BJ22" s="152">
        <f t="shared" si="140"/>
        <v>0</v>
      </c>
      <c r="BK22" s="152">
        <f t="shared" si="141"/>
        <v>0</v>
      </c>
      <c r="BL22" s="152">
        <f t="shared" si="142"/>
        <v>0</v>
      </c>
      <c r="BN22" s="21"/>
      <c r="BO22" s="21"/>
      <c r="BP22" s="21"/>
      <c r="BQ22" s="21"/>
      <c r="BR22" s="21"/>
      <c r="BS22" s="21"/>
      <c r="BT22" s="21"/>
      <c r="BU22" s="21"/>
      <c r="BV22" s="21"/>
      <c r="BW22" s="21"/>
      <c r="BX22" s="21"/>
      <c r="BY22" s="21"/>
    </row>
    <row r="23" spans="2:77" s="67" customFormat="1" ht="25" customHeight="1" outlineLevel="1" x14ac:dyDescent="0.3">
      <c r="B23" s="298" t="s">
        <v>171</v>
      </c>
      <c r="C23" s="298"/>
      <c r="D23" s="152"/>
      <c r="E23" s="152">
        <f t="shared" si="104"/>
        <v>0</v>
      </c>
      <c r="F23" s="152">
        <f t="shared" ref="F23:AA23" si="146">F35-E35</f>
        <v>0</v>
      </c>
      <c r="G23" s="152">
        <f t="shared" si="146"/>
        <v>0</v>
      </c>
      <c r="H23" s="152">
        <f t="shared" si="146"/>
        <v>0</v>
      </c>
      <c r="I23" s="152">
        <f t="shared" si="146"/>
        <v>0</v>
      </c>
      <c r="J23" s="152">
        <f t="shared" si="146"/>
        <v>0</v>
      </c>
      <c r="K23" s="152">
        <f t="shared" si="146"/>
        <v>0</v>
      </c>
      <c r="L23" s="152">
        <f t="shared" si="146"/>
        <v>0</v>
      </c>
      <c r="M23" s="152">
        <f t="shared" si="146"/>
        <v>0</v>
      </c>
      <c r="N23" s="152">
        <f t="shared" si="146"/>
        <v>0</v>
      </c>
      <c r="O23" s="152">
        <f t="shared" si="146"/>
        <v>0</v>
      </c>
      <c r="P23" s="152">
        <f t="shared" si="146"/>
        <v>0</v>
      </c>
      <c r="Q23" s="152">
        <f t="shared" si="146"/>
        <v>0</v>
      </c>
      <c r="R23" s="152">
        <f t="shared" si="146"/>
        <v>0</v>
      </c>
      <c r="S23" s="152">
        <f t="shared" si="146"/>
        <v>0</v>
      </c>
      <c r="T23" s="152">
        <f t="shared" si="146"/>
        <v>0</v>
      </c>
      <c r="U23" s="152">
        <f t="shared" si="146"/>
        <v>0</v>
      </c>
      <c r="V23" s="152">
        <f t="shared" si="146"/>
        <v>0</v>
      </c>
      <c r="W23" s="152">
        <f t="shared" si="146"/>
        <v>0</v>
      </c>
      <c r="X23" s="152">
        <f t="shared" si="146"/>
        <v>0</v>
      </c>
      <c r="Y23" s="152">
        <f t="shared" si="146"/>
        <v>0</v>
      </c>
      <c r="Z23" s="152">
        <f t="shared" si="146"/>
        <v>0</v>
      </c>
      <c r="AA23" s="152">
        <f t="shared" si="146"/>
        <v>0</v>
      </c>
      <c r="AB23" s="152">
        <f t="shared" si="106"/>
        <v>0</v>
      </c>
      <c r="AC23" s="152">
        <f t="shared" si="107"/>
        <v>0</v>
      </c>
      <c r="AD23" s="152">
        <f t="shared" si="108"/>
        <v>0</v>
      </c>
      <c r="AE23" s="152">
        <f t="shared" si="109"/>
        <v>0</v>
      </c>
      <c r="AF23" s="152">
        <f t="shared" si="110"/>
        <v>0</v>
      </c>
      <c r="AG23" s="152">
        <f t="shared" si="111"/>
        <v>0</v>
      </c>
      <c r="AH23" s="152">
        <f t="shared" si="112"/>
        <v>0</v>
      </c>
      <c r="AI23" s="152">
        <f t="shared" si="113"/>
        <v>0</v>
      </c>
      <c r="AJ23" s="152">
        <f t="shared" si="114"/>
        <v>0</v>
      </c>
      <c r="AK23" s="152">
        <f t="shared" si="115"/>
        <v>0</v>
      </c>
      <c r="AL23" s="152">
        <f t="shared" si="116"/>
        <v>0</v>
      </c>
      <c r="AM23" s="152">
        <f t="shared" si="117"/>
        <v>0</v>
      </c>
      <c r="AN23" s="152">
        <f t="shared" si="118"/>
        <v>0</v>
      </c>
      <c r="AO23" s="152">
        <f t="shared" si="119"/>
        <v>0</v>
      </c>
      <c r="AP23" s="152">
        <f t="shared" si="120"/>
        <v>0</v>
      </c>
      <c r="AQ23" s="152">
        <f t="shared" si="121"/>
        <v>0</v>
      </c>
      <c r="AR23" s="152">
        <f t="shared" si="122"/>
        <v>0</v>
      </c>
      <c r="AS23" s="152">
        <f t="shared" si="123"/>
        <v>0</v>
      </c>
      <c r="AT23" s="152">
        <f t="shared" si="124"/>
        <v>0</v>
      </c>
      <c r="AU23" s="152">
        <f t="shared" si="125"/>
        <v>0</v>
      </c>
      <c r="AV23" s="152">
        <f t="shared" si="126"/>
        <v>0</v>
      </c>
      <c r="AW23" s="152">
        <f t="shared" si="127"/>
        <v>0</v>
      </c>
      <c r="AX23" s="152">
        <f t="shared" si="128"/>
        <v>0</v>
      </c>
      <c r="AY23" s="152">
        <f t="shared" si="129"/>
        <v>0</v>
      </c>
      <c r="AZ23" s="152">
        <f t="shared" si="130"/>
        <v>0</v>
      </c>
      <c r="BA23" s="152">
        <f t="shared" si="131"/>
        <v>0</v>
      </c>
      <c r="BB23" s="152">
        <f t="shared" si="132"/>
        <v>0</v>
      </c>
      <c r="BC23" s="152">
        <f t="shared" si="133"/>
        <v>0</v>
      </c>
      <c r="BD23" s="152">
        <f t="shared" si="134"/>
        <v>0</v>
      </c>
      <c r="BE23" s="152">
        <f t="shared" si="135"/>
        <v>0</v>
      </c>
      <c r="BF23" s="152">
        <f t="shared" si="136"/>
        <v>0</v>
      </c>
      <c r="BG23" s="152">
        <f t="shared" si="137"/>
        <v>0</v>
      </c>
      <c r="BH23" s="152">
        <f t="shared" si="138"/>
        <v>0</v>
      </c>
      <c r="BI23" s="152">
        <f t="shared" si="139"/>
        <v>0</v>
      </c>
      <c r="BJ23" s="152">
        <f t="shared" si="140"/>
        <v>0</v>
      </c>
      <c r="BK23" s="152">
        <f t="shared" si="141"/>
        <v>0</v>
      </c>
      <c r="BL23" s="152">
        <f t="shared" si="142"/>
        <v>0</v>
      </c>
    </row>
    <row r="24" spans="2:77" s="67" customFormat="1" ht="25" customHeight="1" outlineLevel="1" x14ac:dyDescent="0.3">
      <c r="B24" s="298" t="s">
        <v>172</v>
      </c>
      <c r="C24" s="298"/>
      <c r="D24" s="152"/>
      <c r="E24" s="152">
        <f t="shared" si="104"/>
        <v>0</v>
      </c>
      <c r="F24" s="152">
        <f t="shared" ref="F24:AA24" si="147">F36-E36</f>
        <v>0</v>
      </c>
      <c r="G24" s="152">
        <f t="shared" si="147"/>
        <v>0</v>
      </c>
      <c r="H24" s="152">
        <f t="shared" si="147"/>
        <v>0</v>
      </c>
      <c r="I24" s="152">
        <f t="shared" si="147"/>
        <v>0</v>
      </c>
      <c r="J24" s="152">
        <f t="shared" si="147"/>
        <v>0</v>
      </c>
      <c r="K24" s="152">
        <f t="shared" si="147"/>
        <v>0</v>
      </c>
      <c r="L24" s="152">
        <f t="shared" si="147"/>
        <v>0</v>
      </c>
      <c r="M24" s="152">
        <f t="shared" si="147"/>
        <v>0</v>
      </c>
      <c r="N24" s="152">
        <f t="shared" si="147"/>
        <v>0</v>
      </c>
      <c r="O24" s="152">
        <f t="shared" si="147"/>
        <v>0</v>
      </c>
      <c r="P24" s="152">
        <f t="shared" si="147"/>
        <v>0</v>
      </c>
      <c r="Q24" s="152">
        <f t="shared" si="147"/>
        <v>0</v>
      </c>
      <c r="R24" s="152">
        <f t="shared" si="147"/>
        <v>0</v>
      </c>
      <c r="S24" s="152">
        <f t="shared" si="147"/>
        <v>0</v>
      </c>
      <c r="T24" s="152">
        <f t="shared" si="147"/>
        <v>0</v>
      </c>
      <c r="U24" s="152">
        <f t="shared" si="147"/>
        <v>0</v>
      </c>
      <c r="V24" s="152">
        <f t="shared" si="147"/>
        <v>0</v>
      </c>
      <c r="W24" s="152">
        <f t="shared" si="147"/>
        <v>0</v>
      </c>
      <c r="X24" s="152">
        <f t="shared" si="147"/>
        <v>0</v>
      </c>
      <c r="Y24" s="152">
        <f t="shared" si="147"/>
        <v>0</v>
      </c>
      <c r="Z24" s="152">
        <f t="shared" si="147"/>
        <v>0</v>
      </c>
      <c r="AA24" s="152">
        <f t="shared" si="147"/>
        <v>0</v>
      </c>
      <c r="AB24" s="152">
        <f t="shared" si="106"/>
        <v>0</v>
      </c>
      <c r="AC24" s="152">
        <f t="shared" si="107"/>
        <v>0</v>
      </c>
      <c r="AD24" s="152">
        <f t="shared" si="108"/>
        <v>0</v>
      </c>
      <c r="AE24" s="152">
        <f t="shared" si="109"/>
        <v>0</v>
      </c>
      <c r="AF24" s="152">
        <f t="shared" si="110"/>
        <v>0</v>
      </c>
      <c r="AG24" s="152">
        <f t="shared" si="111"/>
        <v>0</v>
      </c>
      <c r="AH24" s="152">
        <f t="shared" si="112"/>
        <v>0</v>
      </c>
      <c r="AI24" s="152">
        <f t="shared" si="113"/>
        <v>0</v>
      </c>
      <c r="AJ24" s="152">
        <f t="shared" si="114"/>
        <v>0</v>
      </c>
      <c r="AK24" s="152">
        <f t="shared" si="115"/>
        <v>0</v>
      </c>
      <c r="AL24" s="152">
        <f t="shared" si="116"/>
        <v>0</v>
      </c>
      <c r="AM24" s="152">
        <f t="shared" si="117"/>
        <v>0</v>
      </c>
      <c r="AN24" s="152">
        <f t="shared" si="118"/>
        <v>0</v>
      </c>
      <c r="AO24" s="152">
        <f t="shared" si="119"/>
        <v>0</v>
      </c>
      <c r="AP24" s="152">
        <f t="shared" si="120"/>
        <v>0</v>
      </c>
      <c r="AQ24" s="152">
        <f t="shared" si="121"/>
        <v>0</v>
      </c>
      <c r="AR24" s="152">
        <f t="shared" si="122"/>
        <v>0</v>
      </c>
      <c r="AS24" s="152">
        <f t="shared" si="123"/>
        <v>0</v>
      </c>
      <c r="AT24" s="152">
        <f t="shared" si="124"/>
        <v>0</v>
      </c>
      <c r="AU24" s="152">
        <f t="shared" si="125"/>
        <v>0</v>
      </c>
      <c r="AV24" s="152">
        <f t="shared" si="126"/>
        <v>0</v>
      </c>
      <c r="AW24" s="152">
        <f t="shared" si="127"/>
        <v>0</v>
      </c>
      <c r="AX24" s="152">
        <f t="shared" si="128"/>
        <v>0</v>
      </c>
      <c r="AY24" s="152">
        <f t="shared" si="129"/>
        <v>0</v>
      </c>
      <c r="AZ24" s="152">
        <f t="shared" si="130"/>
        <v>0</v>
      </c>
      <c r="BA24" s="152">
        <f t="shared" si="131"/>
        <v>0</v>
      </c>
      <c r="BB24" s="152">
        <f t="shared" si="132"/>
        <v>0</v>
      </c>
      <c r="BC24" s="152">
        <f t="shared" si="133"/>
        <v>0</v>
      </c>
      <c r="BD24" s="152">
        <f t="shared" si="134"/>
        <v>0</v>
      </c>
      <c r="BE24" s="152">
        <f t="shared" si="135"/>
        <v>0</v>
      </c>
      <c r="BF24" s="152">
        <f t="shared" si="136"/>
        <v>0</v>
      </c>
      <c r="BG24" s="152">
        <f t="shared" si="137"/>
        <v>0</v>
      </c>
      <c r="BH24" s="152">
        <f t="shared" si="138"/>
        <v>0</v>
      </c>
      <c r="BI24" s="152">
        <f t="shared" si="139"/>
        <v>0</v>
      </c>
      <c r="BJ24" s="152">
        <f t="shared" si="140"/>
        <v>0</v>
      </c>
      <c r="BK24" s="152">
        <f t="shared" si="141"/>
        <v>0</v>
      </c>
      <c r="BL24" s="152">
        <f t="shared" si="142"/>
        <v>0</v>
      </c>
    </row>
    <row r="25" spans="2:77" s="67" customFormat="1" ht="25" customHeight="1" x14ac:dyDescent="0.3">
      <c r="B25" s="298" t="s">
        <v>65</v>
      </c>
      <c r="C25" s="298"/>
      <c r="D25" s="151"/>
      <c r="E25" s="151">
        <f>SUM(E20:E24)</f>
        <v>7102.7849999999999</v>
      </c>
      <c r="F25" s="151">
        <f t="shared" ref="F25:AA25" si="148">SUM(F20:F24)</f>
        <v>7102.7849999999999</v>
      </c>
      <c r="G25" s="151">
        <f t="shared" si="148"/>
        <v>7102.7849999999999</v>
      </c>
      <c r="H25" s="151">
        <f t="shared" si="148"/>
        <v>7102.7849999999999</v>
      </c>
      <c r="I25" s="151">
        <f t="shared" si="148"/>
        <v>7102.7850000000035</v>
      </c>
      <c r="J25" s="151">
        <f t="shared" si="148"/>
        <v>7102.7850000000035</v>
      </c>
      <c r="K25" s="151">
        <f t="shared" si="148"/>
        <v>7102.7850000000035</v>
      </c>
      <c r="L25" s="151">
        <f t="shared" si="148"/>
        <v>7102.7850000000035</v>
      </c>
      <c r="M25" s="151">
        <f t="shared" si="148"/>
        <v>7102.7850000000035</v>
      </c>
      <c r="N25" s="151">
        <f t="shared" si="148"/>
        <v>7102.7850000000035</v>
      </c>
      <c r="O25" s="151">
        <f t="shared" si="148"/>
        <v>7102.7850000000035</v>
      </c>
      <c r="P25" s="151">
        <f t="shared" si="148"/>
        <v>7102.7850000000035</v>
      </c>
      <c r="Q25" s="151">
        <f t="shared" si="148"/>
        <v>7315.8685499999992</v>
      </c>
      <c r="R25" s="151">
        <f t="shared" si="148"/>
        <v>7315.8685499999992</v>
      </c>
      <c r="S25" s="151">
        <f t="shared" si="148"/>
        <v>7315.8685499999992</v>
      </c>
      <c r="T25" s="151">
        <f t="shared" si="148"/>
        <v>7315.8685499999992</v>
      </c>
      <c r="U25" s="151">
        <f t="shared" si="148"/>
        <v>7315.8685499999992</v>
      </c>
      <c r="V25" s="151">
        <f t="shared" si="148"/>
        <v>7315.8685499999992</v>
      </c>
      <c r="W25" s="151">
        <f t="shared" si="148"/>
        <v>7315.8685499999992</v>
      </c>
      <c r="X25" s="151">
        <f t="shared" si="148"/>
        <v>7315.8685500000138</v>
      </c>
      <c r="Y25" s="151">
        <f t="shared" si="148"/>
        <v>7315.8685500000138</v>
      </c>
      <c r="Z25" s="151">
        <f t="shared" si="148"/>
        <v>7315.8685500000138</v>
      </c>
      <c r="AA25" s="151">
        <f t="shared" si="148"/>
        <v>7315.8685500000138</v>
      </c>
      <c r="AB25" s="151">
        <f>SUM(AB20:AB24)</f>
        <v>7315.8685500000138</v>
      </c>
      <c r="AC25" s="151">
        <f t="shared" ref="AC25:BL25" si="149">SUM(AC20:AC24)</f>
        <v>7535.3446065000026</v>
      </c>
      <c r="AD25" s="151">
        <f t="shared" si="149"/>
        <v>7535.3446065000026</v>
      </c>
      <c r="AE25" s="151">
        <f t="shared" si="149"/>
        <v>7535.3446065000026</v>
      </c>
      <c r="AF25" s="151">
        <f t="shared" si="149"/>
        <v>7535.3446065000026</v>
      </c>
      <c r="AG25" s="151">
        <f t="shared" si="149"/>
        <v>7535.3446065000026</v>
      </c>
      <c r="AH25" s="151">
        <f t="shared" si="149"/>
        <v>7535.3446065000026</v>
      </c>
      <c r="AI25" s="151">
        <f t="shared" si="149"/>
        <v>7535.3446065000026</v>
      </c>
      <c r="AJ25" s="151">
        <f t="shared" si="149"/>
        <v>7535.3446065000026</v>
      </c>
      <c r="AK25" s="151">
        <f t="shared" si="149"/>
        <v>7535.3446065000026</v>
      </c>
      <c r="AL25" s="151">
        <f t="shared" si="149"/>
        <v>7535.3446065000026</v>
      </c>
      <c r="AM25" s="151">
        <f t="shared" si="149"/>
        <v>7535.3446065000026</v>
      </c>
      <c r="AN25" s="151">
        <f t="shared" si="149"/>
        <v>7535.3446065000026</v>
      </c>
      <c r="AO25" s="151">
        <f t="shared" si="149"/>
        <v>7761.4049446950085</v>
      </c>
      <c r="AP25" s="151">
        <f t="shared" si="149"/>
        <v>7761.4049446950085</v>
      </c>
      <c r="AQ25" s="151">
        <f t="shared" si="149"/>
        <v>7761.4049446950085</v>
      </c>
      <c r="AR25" s="151">
        <f t="shared" si="149"/>
        <v>7761.4049446950085</v>
      </c>
      <c r="AS25" s="151">
        <f t="shared" si="149"/>
        <v>7761.4049446950085</v>
      </c>
      <c r="AT25" s="151">
        <f t="shared" si="149"/>
        <v>7761.4049446950085</v>
      </c>
      <c r="AU25" s="151">
        <f t="shared" si="149"/>
        <v>7761.4049446950085</v>
      </c>
      <c r="AV25" s="151">
        <f t="shared" si="149"/>
        <v>7761.4049446950085</v>
      </c>
      <c r="AW25" s="151">
        <f t="shared" si="149"/>
        <v>7761.4049446950085</v>
      </c>
      <c r="AX25" s="151">
        <f t="shared" si="149"/>
        <v>7761.4049446950085</v>
      </c>
      <c r="AY25" s="151">
        <f t="shared" si="149"/>
        <v>7761.4049446950085</v>
      </c>
      <c r="AZ25" s="151">
        <f t="shared" si="149"/>
        <v>11327.254944695009</v>
      </c>
      <c r="BA25" s="151">
        <f t="shared" si="149"/>
        <v>0</v>
      </c>
      <c r="BB25" s="151">
        <f t="shared" si="149"/>
        <v>0</v>
      </c>
      <c r="BC25" s="151">
        <f t="shared" si="149"/>
        <v>0</v>
      </c>
      <c r="BD25" s="151">
        <f t="shared" si="149"/>
        <v>0</v>
      </c>
      <c r="BE25" s="151">
        <f t="shared" si="149"/>
        <v>0</v>
      </c>
      <c r="BF25" s="151">
        <f t="shared" si="149"/>
        <v>0</v>
      </c>
      <c r="BG25" s="151">
        <f t="shared" si="149"/>
        <v>0</v>
      </c>
      <c r="BH25" s="151">
        <f t="shared" si="149"/>
        <v>0</v>
      </c>
      <c r="BI25" s="151">
        <f t="shared" si="149"/>
        <v>0</v>
      </c>
      <c r="BJ25" s="151">
        <f t="shared" si="149"/>
        <v>0</v>
      </c>
      <c r="BK25" s="151">
        <f t="shared" si="149"/>
        <v>0</v>
      </c>
      <c r="BL25" s="151">
        <f t="shared" si="149"/>
        <v>0</v>
      </c>
    </row>
    <row r="26" spans="2:77" s="67" customFormat="1" ht="25" customHeight="1" x14ac:dyDescent="0.3">
      <c r="B26" s="300" t="s">
        <v>173</v>
      </c>
      <c r="C26" s="300"/>
      <c r="D26" s="153"/>
      <c r="E26" s="153">
        <f>E18-E25</f>
        <v>2584.7150000000001</v>
      </c>
      <c r="F26" s="157">
        <f t="shared" ref="F26:Z26" si="150">F18-F25</f>
        <v>2584.7150000000001</v>
      </c>
      <c r="G26" s="157">
        <f t="shared" si="150"/>
        <v>2584.7150000000001</v>
      </c>
      <c r="H26" s="157">
        <f t="shared" si="150"/>
        <v>2584.7150000000001</v>
      </c>
      <c r="I26" s="157">
        <f t="shared" si="150"/>
        <v>2584.7149999999965</v>
      </c>
      <c r="J26" s="157">
        <f t="shared" si="150"/>
        <v>2584.7149999999965</v>
      </c>
      <c r="K26" s="157">
        <f t="shared" si="150"/>
        <v>2584.7149999999965</v>
      </c>
      <c r="L26" s="157">
        <f t="shared" si="150"/>
        <v>2584.7149999999965</v>
      </c>
      <c r="M26" s="157">
        <f t="shared" si="150"/>
        <v>2584.7149999999965</v>
      </c>
      <c r="N26" s="157">
        <f t="shared" si="150"/>
        <v>2584.7149999999965</v>
      </c>
      <c r="O26" s="157">
        <f t="shared" si="150"/>
        <v>2584.7149999999965</v>
      </c>
      <c r="P26" s="157">
        <f t="shared" si="150"/>
        <v>2584.7149999999965</v>
      </c>
      <c r="Q26" s="157">
        <f t="shared" si="150"/>
        <v>2371.6314500000008</v>
      </c>
      <c r="R26" s="157">
        <f t="shared" si="150"/>
        <v>2371.6314500000008</v>
      </c>
      <c r="S26" s="157">
        <f t="shared" si="150"/>
        <v>2371.6314500000008</v>
      </c>
      <c r="T26" s="157">
        <f t="shared" si="150"/>
        <v>2371.6314500000008</v>
      </c>
      <c r="U26" s="157">
        <f t="shared" si="150"/>
        <v>2371.6314500000008</v>
      </c>
      <c r="V26" s="153">
        <f t="shared" si="150"/>
        <v>2371.6314500000008</v>
      </c>
      <c r="W26" s="153">
        <f t="shared" si="150"/>
        <v>2371.6314500000008</v>
      </c>
      <c r="X26" s="153">
        <f t="shared" si="150"/>
        <v>2371.6314499999862</v>
      </c>
      <c r="Y26" s="153">
        <f t="shared" si="150"/>
        <v>2371.6314499999862</v>
      </c>
      <c r="Z26" s="153">
        <f t="shared" si="150"/>
        <v>2371.6314499999862</v>
      </c>
      <c r="AA26" s="153">
        <f>AA18-AA25</f>
        <v>2371.6314499999862</v>
      </c>
      <c r="AB26" s="153">
        <f>AB18-AB25</f>
        <v>2371.6314499999862</v>
      </c>
      <c r="AC26" s="153">
        <f t="shared" ref="AC26:BL26" si="151">AC18-AC25</f>
        <v>2152.1553934999974</v>
      </c>
      <c r="AD26" s="153">
        <f t="shared" si="151"/>
        <v>2152.1553934999974</v>
      </c>
      <c r="AE26" s="153">
        <f t="shared" si="151"/>
        <v>2152.1553934999974</v>
      </c>
      <c r="AF26" s="153">
        <f t="shared" si="151"/>
        <v>2152.1553934999974</v>
      </c>
      <c r="AG26" s="153">
        <f t="shared" si="151"/>
        <v>2152.1553934999974</v>
      </c>
      <c r="AH26" s="153">
        <f t="shared" si="151"/>
        <v>2152.1553934999974</v>
      </c>
      <c r="AI26" s="153">
        <f t="shared" si="151"/>
        <v>2152.1553934999974</v>
      </c>
      <c r="AJ26" s="153">
        <f t="shared" si="151"/>
        <v>2152.1553934999974</v>
      </c>
      <c r="AK26" s="153">
        <f t="shared" si="151"/>
        <v>2152.1553934999974</v>
      </c>
      <c r="AL26" s="153">
        <f t="shared" si="151"/>
        <v>2152.1553934999974</v>
      </c>
      <c r="AM26" s="153">
        <f t="shared" si="151"/>
        <v>2152.1553934999974</v>
      </c>
      <c r="AN26" s="153">
        <f t="shared" si="151"/>
        <v>2152.1553934999974</v>
      </c>
      <c r="AO26" s="153">
        <f t="shared" si="151"/>
        <v>1926.0950553049915</v>
      </c>
      <c r="AP26" s="153">
        <f t="shared" si="151"/>
        <v>1926.0950553049915</v>
      </c>
      <c r="AQ26" s="153">
        <f t="shared" si="151"/>
        <v>1926.0950553049915</v>
      </c>
      <c r="AR26" s="153">
        <f t="shared" si="151"/>
        <v>1926.0950553049915</v>
      </c>
      <c r="AS26" s="153">
        <f t="shared" si="151"/>
        <v>1926.0950553049915</v>
      </c>
      <c r="AT26" s="153">
        <f t="shared" si="151"/>
        <v>1926.0950553049915</v>
      </c>
      <c r="AU26" s="153">
        <f t="shared" si="151"/>
        <v>1926.0950553049915</v>
      </c>
      <c r="AV26" s="153">
        <f t="shared" si="151"/>
        <v>1926.0950553049915</v>
      </c>
      <c r="AW26" s="153">
        <f t="shared" si="151"/>
        <v>1926.0950553049915</v>
      </c>
      <c r="AX26" s="153">
        <f t="shared" si="151"/>
        <v>1926.0950553049915</v>
      </c>
      <c r="AY26" s="153">
        <f t="shared" si="151"/>
        <v>1926.0950553049915</v>
      </c>
      <c r="AZ26" s="153">
        <f t="shared" si="151"/>
        <v>-1639.7549446950088</v>
      </c>
      <c r="BA26" s="153">
        <f t="shared" si="151"/>
        <v>0</v>
      </c>
      <c r="BB26" s="153">
        <f t="shared" si="151"/>
        <v>0</v>
      </c>
      <c r="BC26" s="153">
        <f t="shared" si="151"/>
        <v>0</v>
      </c>
      <c r="BD26" s="153">
        <f t="shared" si="151"/>
        <v>0</v>
      </c>
      <c r="BE26" s="153">
        <f t="shared" si="151"/>
        <v>0</v>
      </c>
      <c r="BF26" s="153">
        <f t="shared" si="151"/>
        <v>0</v>
      </c>
      <c r="BG26" s="153">
        <f t="shared" si="151"/>
        <v>0</v>
      </c>
      <c r="BH26" s="153">
        <f t="shared" si="151"/>
        <v>0</v>
      </c>
      <c r="BI26" s="153">
        <f t="shared" si="151"/>
        <v>0</v>
      </c>
      <c r="BJ26" s="153">
        <f t="shared" si="151"/>
        <v>0</v>
      </c>
      <c r="BK26" s="153">
        <f t="shared" si="151"/>
        <v>0</v>
      </c>
      <c r="BL26" s="153">
        <f t="shared" si="151"/>
        <v>0</v>
      </c>
    </row>
    <row r="27" spans="2:77" s="67" customFormat="1" ht="25" customHeight="1" x14ac:dyDescent="0.3">
      <c r="B27" s="300" t="s">
        <v>174</v>
      </c>
      <c r="C27" s="300"/>
      <c r="D27" s="154"/>
      <c r="E27" s="154">
        <f>IF(E18=0,0,(E18-SUM(E20,E21,E22,E23,E24))/E18)</f>
        <v>0.26680929032258066</v>
      </c>
      <c r="F27" s="154">
        <f t="shared" ref="F27:Z27" si="152">IF(F18=0,0,(F18-SUM(F20,F21,F22,F23,F24))/F18)</f>
        <v>0.26680929032258066</v>
      </c>
      <c r="G27" s="154">
        <f t="shared" si="152"/>
        <v>0.26680929032258066</v>
      </c>
      <c r="H27" s="154">
        <f t="shared" si="152"/>
        <v>0.26680929032258066</v>
      </c>
      <c r="I27" s="154">
        <f t="shared" si="152"/>
        <v>0.26680929032258027</v>
      </c>
      <c r="J27" s="154">
        <f t="shared" si="152"/>
        <v>0.26680929032258027</v>
      </c>
      <c r="K27" s="154">
        <f t="shared" si="152"/>
        <v>0.26680929032258027</v>
      </c>
      <c r="L27" s="154">
        <f t="shared" si="152"/>
        <v>0.26680929032258027</v>
      </c>
      <c r="M27" s="154">
        <f t="shared" si="152"/>
        <v>0.26680929032258027</v>
      </c>
      <c r="N27" s="154">
        <f t="shared" si="152"/>
        <v>0.26680929032258027</v>
      </c>
      <c r="O27" s="154">
        <f t="shared" si="152"/>
        <v>0.26680929032258027</v>
      </c>
      <c r="P27" s="154">
        <f t="shared" si="152"/>
        <v>0.26680929032258027</v>
      </c>
      <c r="Q27" s="154">
        <f t="shared" si="152"/>
        <v>0.24481356903225815</v>
      </c>
      <c r="R27" s="154">
        <f t="shared" si="152"/>
        <v>0.24481356903225815</v>
      </c>
      <c r="S27" s="154">
        <f t="shared" si="152"/>
        <v>0.24481356903225815</v>
      </c>
      <c r="T27" s="154">
        <f t="shared" si="152"/>
        <v>0.24481356903225815</v>
      </c>
      <c r="U27" s="154">
        <f t="shared" si="152"/>
        <v>0.24481356903225815</v>
      </c>
      <c r="V27" s="154">
        <f t="shared" si="152"/>
        <v>0.24481356903225815</v>
      </c>
      <c r="W27" s="154">
        <f t="shared" si="152"/>
        <v>0.24481356903225815</v>
      </c>
      <c r="X27" s="154">
        <f t="shared" si="152"/>
        <v>0.24481356903225665</v>
      </c>
      <c r="Y27" s="154">
        <f t="shared" si="152"/>
        <v>0.24481356903225665</v>
      </c>
      <c r="Z27" s="154">
        <f t="shared" si="152"/>
        <v>0.24481356903225665</v>
      </c>
      <c r="AA27" s="154">
        <f>IF(AA18=0,0,(AA18-SUM(AA20,AA21,AA22,AA23,AA24))/AA18)</f>
        <v>0.24481356903225665</v>
      </c>
      <c r="AB27" s="154">
        <f>IF(AB18=0,0,(AB18-SUM(AB20,AB21,AB22,AB23,AB24))/AB18)</f>
        <v>0.24481356903225665</v>
      </c>
      <c r="AC27" s="154">
        <f t="shared" ref="AC27:BL27" si="153">IF(AC18=0,0,(AC18-SUM(AC20,AC21,AC22,AC23,AC24))/AC18)</f>
        <v>0.22215797610322555</v>
      </c>
      <c r="AD27" s="154">
        <f t="shared" si="153"/>
        <v>0.22215797610322555</v>
      </c>
      <c r="AE27" s="154">
        <f t="shared" si="153"/>
        <v>0.22215797610322555</v>
      </c>
      <c r="AF27" s="154">
        <f t="shared" si="153"/>
        <v>0.22215797610322555</v>
      </c>
      <c r="AG27" s="154">
        <f t="shared" si="153"/>
        <v>0.22215797610322555</v>
      </c>
      <c r="AH27" s="154">
        <f t="shared" si="153"/>
        <v>0.22215797610322555</v>
      </c>
      <c r="AI27" s="154">
        <f t="shared" si="153"/>
        <v>0.22215797610322555</v>
      </c>
      <c r="AJ27" s="154">
        <f t="shared" si="153"/>
        <v>0.22215797610322555</v>
      </c>
      <c r="AK27" s="154">
        <f t="shared" si="153"/>
        <v>0.22215797610322555</v>
      </c>
      <c r="AL27" s="154">
        <f t="shared" si="153"/>
        <v>0.22215797610322555</v>
      </c>
      <c r="AM27" s="154">
        <f t="shared" si="153"/>
        <v>0.22215797610322555</v>
      </c>
      <c r="AN27" s="154">
        <f t="shared" si="153"/>
        <v>0.22215797610322555</v>
      </c>
      <c r="AO27" s="154">
        <f t="shared" si="153"/>
        <v>0.19882271538632171</v>
      </c>
      <c r="AP27" s="154">
        <f t="shared" si="153"/>
        <v>0.19882271538632171</v>
      </c>
      <c r="AQ27" s="154">
        <f t="shared" si="153"/>
        <v>0.19882271538632171</v>
      </c>
      <c r="AR27" s="154">
        <f t="shared" si="153"/>
        <v>0.19882271538632171</v>
      </c>
      <c r="AS27" s="154">
        <f t="shared" si="153"/>
        <v>0.19882271538632171</v>
      </c>
      <c r="AT27" s="154">
        <f t="shared" si="153"/>
        <v>0.19882271538632171</v>
      </c>
      <c r="AU27" s="154">
        <f t="shared" si="153"/>
        <v>0.19882271538632171</v>
      </c>
      <c r="AV27" s="154">
        <f t="shared" si="153"/>
        <v>0.19882271538632171</v>
      </c>
      <c r="AW27" s="154">
        <f t="shared" si="153"/>
        <v>0.19882271538632171</v>
      </c>
      <c r="AX27" s="154">
        <f t="shared" si="153"/>
        <v>0.19882271538632171</v>
      </c>
      <c r="AY27" s="154">
        <f t="shared" si="153"/>
        <v>0.19882271538632171</v>
      </c>
      <c r="AZ27" s="154">
        <f t="shared" si="153"/>
        <v>-0.1692650265491622</v>
      </c>
      <c r="BA27" s="154">
        <f t="shared" si="153"/>
        <v>0</v>
      </c>
      <c r="BB27" s="154">
        <f t="shared" si="153"/>
        <v>0</v>
      </c>
      <c r="BC27" s="154">
        <f t="shared" si="153"/>
        <v>0</v>
      </c>
      <c r="BD27" s="154">
        <f t="shared" si="153"/>
        <v>0</v>
      </c>
      <c r="BE27" s="154">
        <f t="shared" si="153"/>
        <v>0</v>
      </c>
      <c r="BF27" s="154">
        <f t="shared" si="153"/>
        <v>0</v>
      </c>
      <c r="BG27" s="154">
        <f t="shared" si="153"/>
        <v>0</v>
      </c>
      <c r="BH27" s="154">
        <f t="shared" si="153"/>
        <v>0</v>
      </c>
      <c r="BI27" s="154">
        <f t="shared" si="153"/>
        <v>0</v>
      </c>
      <c r="BJ27" s="154">
        <f t="shared" si="153"/>
        <v>0</v>
      </c>
      <c r="BK27" s="154">
        <f t="shared" si="153"/>
        <v>0</v>
      </c>
      <c r="BL27" s="154">
        <f t="shared" si="153"/>
        <v>0</v>
      </c>
    </row>
    <row r="28" spans="2:77" ht="20.149999999999999" customHeight="1" x14ac:dyDescent="0.3">
      <c r="B28" s="24"/>
      <c r="C28" s="24"/>
      <c r="D28" s="24"/>
      <c r="E28" s="24"/>
    </row>
    <row r="29" spans="2:77" s="86" customFormat="1" ht="25" customHeight="1" x14ac:dyDescent="0.3">
      <c r="B29" s="291" t="s">
        <v>177</v>
      </c>
      <c r="C29" s="291"/>
      <c r="D29" s="145" t="s">
        <v>178</v>
      </c>
      <c r="E29" s="156">
        <f>'Project Infor'!C8</f>
        <v>46023</v>
      </c>
      <c r="F29" s="156">
        <f t="shared" ref="F29" si="154">EOMONTH(E29,1)</f>
        <v>46081</v>
      </c>
      <c r="G29" s="156">
        <f t="shared" ref="G29" si="155">EOMONTH(F29,1)</f>
        <v>46112</v>
      </c>
      <c r="H29" s="156">
        <f t="shared" ref="H29" si="156">EOMONTH(G29,1)</f>
        <v>46142</v>
      </c>
      <c r="I29" s="156">
        <f t="shared" ref="I29" si="157">EOMONTH(H29,1)</f>
        <v>46173</v>
      </c>
      <c r="J29" s="156">
        <f t="shared" ref="J29" si="158">EOMONTH(I29,1)</f>
        <v>46203</v>
      </c>
      <c r="K29" s="156">
        <f t="shared" ref="K29" si="159">EOMONTH(J29,1)</f>
        <v>46234</v>
      </c>
      <c r="L29" s="156">
        <f t="shared" ref="L29" si="160">EOMONTH(K29,1)</f>
        <v>46265</v>
      </c>
      <c r="M29" s="156">
        <f t="shared" ref="M29" si="161">EOMONTH(L29,1)</f>
        <v>46295</v>
      </c>
      <c r="N29" s="156">
        <f t="shared" ref="N29" si="162">EOMONTH(M29,1)</f>
        <v>46326</v>
      </c>
      <c r="O29" s="156">
        <f t="shared" ref="O29" si="163">EOMONTH(N29,1)</f>
        <v>46356</v>
      </c>
      <c r="P29" s="156">
        <f t="shared" ref="P29" si="164">EOMONTH(O29,1)</f>
        <v>46387</v>
      </c>
      <c r="Q29" s="156">
        <f t="shared" ref="Q29" si="165">EOMONTH(P29,1)</f>
        <v>46418</v>
      </c>
      <c r="R29" s="156">
        <f t="shared" ref="R29" si="166">EOMONTH(Q29,1)</f>
        <v>46446</v>
      </c>
      <c r="S29" s="156">
        <f t="shared" ref="S29" si="167">EOMONTH(R29,1)</f>
        <v>46477</v>
      </c>
      <c r="T29" s="156">
        <f t="shared" ref="T29" si="168">EOMONTH(S29,1)</f>
        <v>46507</v>
      </c>
      <c r="U29" s="156">
        <f t="shared" ref="U29" si="169">EOMONTH(T29,1)</f>
        <v>46538</v>
      </c>
      <c r="V29" s="156">
        <f t="shared" ref="V29" si="170">EOMONTH(U29,1)</f>
        <v>46568</v>
      </c>
      <c r="W29" s="156">
        <f t="shared" ref="W29" si="171">EOMONTH(V29,1)</f>
        <v>46599</v>
      </c>
      <c r="X29" s="156">
        <f t="shared" ref="X29" si="172">EOMONTH(W29,1)</f>
        <v>46630</v>
      </c>
      <c r="Y29" s="156">
        <f t="shared" ref="Y29" si="173">EOMONTH(X29,1)</f>
        <v>46660</v>
      </c>
      <c r="Z29" s="156">
        <f t="shared" ref="Z29" si="174">EOMONTH(Y29,1)</f>
        <v>46691</v>
      </c>
      <c r="AA29" s="156">
        <f t="shared" ref="AA29" si="175">EOMONTH(Z29,1)</f>
        <v>46721</v>
      </c>
      <c r="AB29" s="156">
        <f t="shared" ref="AB29" si="176">EOMONTH(AA29,1)</f>
        <v>46752</v>
      </c>
      <c r="AC29" s="156">
        <f t="shared" ref="AC29" si="177">EOMONTH(AB29,1)</f>
        <v>46783</v>
      </c>
      <c r="AD29" s="156">
        <f t="shared" ref="AD29" si="178">EOMONTH(AC29,1)</f>
        <v>46812</v>
      </c>
      <c r="AE29" s="156">
        <f t="shared" ref="AE29" si="179">EOMONTH(AD29,1)</f>
        <v>46843</v>
      </c>
      <c r="AF29" s="156">
        <f t="shared" ref="AF29" si="180">EOMONTH(AE29,1)</f>
        <v>46873</v>
      </c>
      <c r="AG29" s="156">
        <f t="shared" ref="AG29" si="181">EOMONTH(AF29,1)</f>
        <v>46904</v>
      </c>
      <c r="AH29" s="156">
        <f t="shared" ref="AH29" si="182">EOMONTH(AG29,1)</f>
        <v>46934</v>
      </c>
      <c r="AI29" s="156">
        <f t="shared" ref="AI29" si="183">EOMONTH(AH29,1)</f>
        <v>46965</v>
      </c>
      <c r="AJ29" s="156">
        <f t="shared" ref="AJ29" si="184">EOMONTH(AI29,1)</f>
        <v>46996</v>
      </c>
      <c r="AK29" s="156">
        <f t="shared" ref="AK29" si="185">EOMONTH(AJ29,1)</f>
        <v>47026</v>
      </c>
      <c r="AL29" s="156">
        <f t="shared" ref="AL29" si="186">EOMONTH(AK29,1)</f>
        <v>47057</v>
      </c>
      <c r="AM29" s="156">
        <f t="shared" ref="AM29" si="187">EOMONTH(AL29,1)</f>
        <v>47087</v>
      </c>
      <c r="AN29" s="156">
        <f t="shared" ref="AN29" si="188">EOMONTH(AM29,1)</f>
        <v>47118</v>
      </c>
      <c r="AO29" s="156">
        <f t="shared" ref="AO29" si="189">EOMONTH(AN29,1)</f>
        <v>47149</v>
      </c>
      <c r="AP29" s="156">
        <f t="shared" ref="AP29" si="190">EOMONTH(AO29,1)</f>
        <v>47177</v>
      </c>
      <c r="AQ29" s="156">
        <f t="shared" ref="AQ29" si="191">EOMONTH(AP29,1)</f>
        <v>47208</v>
      </c>
      <c r="AR29" s="156">
        <f t="shared" ref="AR29" si="192">EOMONTH(AQ29,1)</f>
        <v>47238</v>
      </c>
      <c r="AS29" s="156">
        <f t="shared" ref="AS29" si="193">EOMONTH(AR29,1)</f>
        <v>47269</v>
      </c>
      <c r="AT29" s="156">
        <f t="shared" ref="AT29" si="194">EOMONTH(AS29,1)</f>
        <v>47299</v>
      </c>
      <c r="AU29" s="156">
        <f t="shared" ref="AU29" si="195">EOMONTH(AT29,1)</f>
        <v>47330</v>
      </c>
      <c r="AV29" s="156">
        <f t="shared" ref="AV29" si="196">EOMONTH(AU29,1)</f>
        <v>47361</v>
      </c>
      <c r="AW29" s="156">
        <f t="shared" ref="AW29" si="197">EOMONTH(AV29,1)</f>
        <v>47391</v>
      </c>
      <c r="AX29" s="156">
        <f t="shared" ref="AX29" si="198">EOMONTH(AW29,1)</f>
        <v>47422</v>
      </c>
      <c r="AY29" s="156">
        <f t="shared" ref="AY29" si="199">EOMONTH(AX29,1)</f>
        <v>47452</v>
      </c>
      <c r="AZ29" s="156">
        <f t="shared" ref="AZ29" si="200">EOMONTH(AY29,1)</f>
        <v>47483</v>
      </c>
      <c r="BA29" s="156">
        <f t="shared" ref="BA29" si="201">EOMONTH(AZ29,1)</f>
        <v>47514</v>
      </c>
      <c r="BB29" s="156">
        <f t="shared" ref="BB29" si="202">EOMONTH(BA29,1)</f>
        <v>47542</v>
      </c>
      <c r="BC29" s="156">
        <f t="shared" ref="BC29" si="203">EOMONTH(BB29,1)</f>
        <v>47573</v>
      </c>
      <c r="BD29" s="156">
        <f t="shared" ref="BD29" si="204">EOMONTH(BC29,1)</f>
        <v>47603</v>
      </c>
      <c r="BE29" s="156">
        <f t="shared" ref="BE29" si="205">EOMONTH(BD29,1)</f>
        <v>47634</v>
      </c>
      <c r="BF29" s="156">
        <f t="shared" ref="BF29" si="206">EOMONTH(BE29,1)</f>
        <v>47664</v>
      </c>
      <c r="BG29" s="156">
        <f t="shared" ref="BG29" si="207">EOMONTH(BF29,1)</f>
        <v>47695</v>
      </c>
      <c r="BH29" s="156">
        <f t="shared" ref="BH29" si="208">EOMONTH(BG29,1)</f>
        <v>47726</v>
      </c>
      <c r="BI29" s="156">
        <f t="shared" ref="BI29" si="209">EOMONTH(BH29,1)</f>
        <v>47756</v>
      </c>
      <c r="BJ29" s="156">
        <f t="shared" ref="BJ29" si="210">EOMONTH(BI29,1)</f>
        <v>47787</v>
      </c>
      <c r="BK29" s="156">
        <f t="shared" ref="BK29" si="211">EOMONTH(BJ29,1)</f>
        <v>47817</v>
      </c>
      <c r="BL29" s="156">
        <f t="shared" ref="BL29" si="212">EOMONTH(BK29,1)</f>
        <v>47848</v>
      </c>
      <c r="BM29" s="21"/>
      <c r="BN29" s="21"/>
      <c r="BO29" s="21"/>
      <c r="BP29" s="21"/>
      <c r="BQ29" s="21"/>
      <c r="BR29" s="21"/>
      <c r="BS29" s="21"/>
      <c r="BT29" s="21"/>
      <c r="BU29" s="21"/>
      <c r="BV29" s="21"/>
      <c r="BW29" s="21"/>
      <c r="BX29" s="21"/>
      <c r="BY29" s="21"/>
    </row>
    <row r="30" spans="2:77" s="67" customFormat="1" ht="25" customHeight="1" x14ac:dyDescent="0.3">
      <c r="B30" s="297" t="s">
        <v>179</v>
      </c>
      <c r="C30" s="297"/>
      <c r="D30" s="150">
        <f>'Project Infor'!C45</f>
        <v>0</v>
      </c>
      <c r="E30" s="150">
        <f t="shared" ref="E30:AB30" ca="1" si="213">IF(E40,E40,D30+E18)</f>
        <v>9687.5</v>
      </c>
      <c r="F30" s="150">
        <f t="shared" ca="1" si="213"/>
        <v>19375</v>
      </c>
      <c r="G30" s="150">
        <f t="shared" ca="1" si="213"/>
        <v>29062.5</v>
      </c>
      <c r="H30" s="150">
        <f t="shared" ca="1" si="213"/>
        <v>38750</v>
      </c>
      <c r="I30" s="150">
        <f t="shared" ca="1" si="213"/>
        <v>48437.5</v>
      </c>
      <c r="J30" s="150">
        <f t="shared" ca="1" si="213"/>
        <v>58125</v>
      </c>
      <c r="K30" s="150">
        <f t="shared" ca="1" si="213"/>
        <v>67812.5</v>
      </c>
      <c r="L30" s="150">
        <f t="shared" ca="1" si="213"/>
        <v>77500</v>
      </c>
      <c r="M30" s="150">
        <f t="shared" ca="1" si="213"/>
        <v>87187.5</v>
      </c>
      <c r="N30" s="150">
        <f t="shared" ca="1" si="213"/>
        <v>96875</v>
      </c>
      <c r="O30" s="150">
        <f t="shared" ca="1" si="213"/>
        <v>106562.5</v>
      </c>
      <c r="P30" s="150">
        <f t="shared" ca="1" si="213"/>
        <v>116250</v>
      </c>
      <c r="Q30" s="150">
        <f t="shared" ca="1" si="213"/>
        <v>125937.5</v>
      </c>
      <c r="R30" s="150">
        <f t="shared" ca="1" si="213"/>
        <v>135625</v>
      </c>
      <c r="S30" s="150">
        <f t="shared" ca="1" si="213"/>
        <v>145312.5</v>
      </c>
      <c r="T30" s="150">
        <f t="shared" ca="1" si="213"/>
        <v>155000</v>
      </c>
      <c r="U30" s="150">
        <f t="shared" ca="1" si="213"/>
        <v>164687.5</v>
      </c>
      <c r="V30" s="150">
        <f t="shared" ca="1" si="213"/>
        <v>174375</v>
      </c>
      <c r="W30" s="150">
        <f t="shared" ca="1" si="213"/>
        <v>184062.5</v>
      </c>
      <c r="X30" s="150">
        <f t="shared" ca="1" si="213"/>
        <v>193750</v>
      </c>
      <c r="Y30" s="150">
        <f t="shared" ca="1" si="213"/>
        <v>203437.5</v>
      </c>
      <c r="Z30" s="150">
        <f t="shared" ca="1" si="213"/>
        <v>213125</v>
      </c>
      <c r="AA30" s="150">
        <f t="shared" ca="1" si="213"/>
        <v>222812.5</v>
      </c>
      <c r="AB30" s="150">
        <f t="shared" ca="1" si="213"/>
        <v>232500</v>
      </c>
      <c r="AC30" s="150">
        <f t="shared" ref="AC30" ca="1" si="214">IF(AC40,AC40,AB30+AC18)</f>
        <v>242187.5</v>
      </c>
      <c r="AD30" s="150">
        <f t="shared" ref="AD30" ca="1" si="215">IF(AD40,AD40,AC30+AD18)</f>
        <v>251875</v>
      </c>
      <c r="AE30" s="150">
        <f t="shared" ref="AE30" ca="1" si="216">IF(AE40,AE40,AD30+AE18)</f>
        <v>261562.5</v>
      </c>
      <c r="AF30" s="150">
        <f t="shared" ref="AF30" ca="1" si="217">IF(AF40,AF40,AE30+AF18)</f>
        <v>271250</v>
      </c>
      <c r="AG30" s="150">
        <f t="shared" ref="AG30" ca="1" si="218">IF(AG40,AG40,AF30+AG18)</f>
        <v>280937.5</v>
      </c>
      <c r="AH30" s="150">
        <f t="shared" ref="AH30" ca="1" si="219">IF(AH40,AH40,AG30+AH18)</f>
        <v>290625</v>
      </c>
      <c r="AI30" s="150">
        <f t="shared" ref="AI30" ca="1" si="220">IF(AI40,AI40,AH30+AI18)</f>
        <v>300312.5</v>
      </c>
      <c r="AJ30" s="150">
        <f t="shared" ref="AJ30" ca="1" si="221">IF(AJ40,AJ40,AI30+AJ18)</f>
        <v>310000</v>
      </c>
      <c r="AK30" s="150">
        <f t="shared" ref="AK30" ca="1" si="222">IF(AK40,AK40,AJ30+AK18)</f>
        <v>319687.5</v>
      </c>
      <c r="AL30" s="150">
        <f t="shared" ref="AL30" ca="1" si="223">IF(AL40,AL40,AK30+AL18)</f>
        <v>329375</v>
      </c>
      <c r="AM30" s="150">
        <f t="shared" ref="AM30" ca="1" si="224">IF(AM40,AM40,AL30+AM18)</f>
        <v>339062.5</v>
      </c>
      <c r="AN30" s="150">
        <f t="shared" ref="AN30" ca="1" si="225">IF(AN40,AN40,AM30+AN18)</f>
        <v>348750</v>
      </c>
      <c r="AO30" s="150">
        <f t="shared" ref="AO30" ca="1" si="226">IF(AO40,AO40,AN30+AO18)</f>
        <v>358437.5</v>
      </c>
      <c r="AP30" s="150">
        <f t="shared" ref="AP30" ca="1" si="227">IF(AP40,AP40,AO30+AP18)</f>
        <v>368125</v>
      </c>
      <c r="AQ30" s="150">
        <f t="shared" ref="AQ30" ca="1" si="228">IF(AQ40,AQ40,AP30+AQ18)</f>
        <v>377812.5</v>
      </c>
      <c r="AR30" s="150">
        <f t="shared" ref="AR30" ca="1" si="229">IF(AR40,AR40,AQ30+AR18)</f>
        <v>387500</v>
      </c>
      <c r="AS30" s="150">
        <f t="shared" ref="AS30" ca="1" si="230">IF(AS40,AS40,AR30+AS18)</f>
        <v>397187.5</v>
      </c>
      <c r="AT30" s="150">
        <f t="shared" ref="AT30" ca="1" si="231">IF(AT40,AT40,AS30+AT18)</f>
        <v>406875</v>
      </c>
      <c r="AU30" s="150">
        <f t="shared" ref="AU30" ca="1" si="232">IF(AU40,AU40,AT30+AU18)</f>
        <v>416562.5</v>
      </c>
      <c r="AV30" s="150">
        <f t="shared" ref="AV30" ca="1" si="233">IF(AV40,AV40,AU30+AV18)</f>
        <v>426250</v>
      </c>
      <c r="AW30" s="150">
        <f t="shared" ref="AW30" ca="1" si="234">IF(AW40,AW40,AV30+AW18)</f>
        <v>435937.5</v>
      </c>
      <c r="AX30" s="150">
        <f t="shared" ref="AX30" ca="1" si="235">IF(AX40,AX40,AW30+AX18)</f>
        <v>445625</v>
      </c>
      <c r="AY30" s="150">
        <f t="shared" ref="AY30" ca="1" si="236">IF(AY40,AY40,AX30+AY18)</f>
        <v>455312.5</v>
      </c>
      <c r="AZ30" s="150">
        <f t="shared" ref="AZ30" ca="1" si="237">IF(AZ40,AZ40,AY30+AZ18)</f>
        <v>465000</v>
      </c>
      <c r="BA30" s="150">
        <f t="shared" ref="BA30" ca="1" si="238">IF(BA40,BA40,AZ30+BA18)</f>
        <v>465000</v>
      </c>
      <c r="BB30" s="150">
        <f t="shared" ref="BB30" ca="1" si="239">IF(BB40,BB40,BA30+BB18)</f>
        <v>465000</v>
      </c>
      <c r="BC30" s="150">
        <f t="shared" ref="BC30" ca="1" si="240">IF(BC40,BC40,BB30+BC18)</f>
        <v>465000</v>
      </c>
      <c r="BD30" s="150">
        <f t="shared" ref="BD30" ca="1" si="241">IF(BD40,BD40,BC30+BD18)</f>
        <v>465000</v>
      </c>
      <c r="BE30" s="150">
        <f t="shared" ref="BE30" ca="1" si="242">IF(BE40,BE40,BD30+BE18)</f>
        <v>465000</v>
      </c>
      <c r="BF30" s="150">
        <f t="shared" ref="BF30" ca="1" si="243">IF(BF40,BF40,BE30+BF18)</f>
        <v>465000</v>
      </c>
      <c r="BG30" s="150">
        <f t="shared" ref="BG30" ca="1" si="244">IF(BG40,BG40,BF30+BG18)</f>
        <v>465000</v>
      </c>
      <c r="BH30" s="150">
        <f t="shared" ref="BH30" ca="1" si="245">IF(BH40,BH40,BG30+BH18)</f>
        <v>465000</v>
      </c>
      <c r="BI30" s="150">
        <f t="shared" ref="BI30" ca="1" si="246">IF(BI40,BI40,BH30+BI18)</f>
        <v>465000</v>
      </c>
      <c r="BJ30" s="150">
        <f t="shared" ref="BJ30" ca="1" si="247">IF(BJ40,BJ40,BI30+BJ18)</f>
        <v>465000</v>
      </c>
      <c r="BK30" s="150">
        <f t="shared" ref="BK30" ca="1" si="248">IF(BK40,BK40,BJ30+BK18)</f>
        <v>465000</v>
      </c>
      <c r="BL30" s="150">
        <f t="shared" ref="BL30" ca="1" si="249">IF(BL40,BL40,BK30+BL18)</f>
        <v>465000</v>
      </c>
      <c r="BM30" s="21"/>
      <c r="BN30" s="21"/>
      <c r="BO30" s="21"/>
      <c r="BP30" s="21"/>
      <c r="BQ30" s="21"/>
      <c r="BR30" s="21"/>
      <c r="BS30" s="21"/>
      <c r="BT30" s="21"/>
      <c r="BU30" s="21"/>
      <c r="BV30" s="21"/>
      <c r="BW30" s="21"/>
      <c r="BX30" s="21"/>
      <c r="BY30" s="21"/>
    </row>
    <row r="31" spans="2:77" s="67" customFormat="1" ht="25" customHeight="1" outlineLevel="1" x14ac:dyDescent="0.3">
      <c r="B31" s="298" t="s">
        <v>60</v>
      </c>
      <c r="C31" s="298"/>
      <c r="D31" s="158">
        <f>'Project Infor'!C46</f>
        <v>0</v>
      </c>
      <c r="E31" s="158">
        <f>D31+LOOKUP(E$5,'Cost Planning'!$H$8:$BO$8,'Cost Planning'!$H$9:$BO$9)</f>
        <v>297</v>
      </c>
      <c r="F31" s="158">
        <f>E31+LOOKUP(F$5,'Cost Planning'!$H$8:$BO$8,'Cost Planning'!$H$9:$BO$9)</f>
        <v>594</v>
      </c>
      <c r="G31" s="158">
        <f>F31+LOOKUP(G$5,'Cost Planning'!$H$8:$BO$8,'Cost Planning'!$H$9:$BO$9)</f>
        <v>891</v>
      </c>
      <c r="H31" s="158">
        <f>G31+LOOKUP(H$5,'Cost Planning'!$H$8:$BO$8,'Cost Planning'!$H$9:$BO$9)</f>
        <v>1188</v>
      </c>
      <c r="I31" s="158">
        <f>H31+LOOKUP(I$5,'Cost Planning'!$H$8:$BO$8,'Cost Planning'!$H$9:$BO$9)</f>
        <v>1485</v>
      </c>
      <c r="J31" s="158">
        <f>I31+LOOKUP(J$5,'Cost Planning'!$H$8:$BO$8,'Cost Planning'!$H$9:$BO$9)</f>
        <v>1782</v>
      </c>
      <c r="K31" s="158">
        <f>J31+LOOKUP(K$5,'Cost Planning'!$H$8:$BO$8,'Cost Planning'!$H$9:$BO$9)</f>
        <v>2079</v>
      </c>
      <c r="L31" s="158">
        <f>K31+LOOKUP(L$5,'Cost Planning'!$H$8:$BO$8,'Cost Planning'!$H$9:$BO$9)</f>
        <v>2376</v>
      </c>
      <c r="M31" s="158">
        <f>L31+LOOKUP(M$5,'Cost Planning'!$H$8:$BO$8,'Cost Planning'!$H$9:$BO$9)</f>
        <v>2673</v>
      </c>
      <c r="N31" s="158">
        <f>M31+LOOKUP(N$5,'Cost Planning'!$H$8:$BO$8,'Cost Planning'!$H$9:$BO$9)</f>
        <v>2970</v>
      </c>
      <c r="O31" s="158">
        <f>N31+LOOKUP(O$5,'Cost Planning'!$H$8:$BO$8,'Cost Planning'!$H$9:$BO$9)</f>
        <v>3267</v>
      </c>
      <c r="P31" s="158">
        <f>O31+LOOKUP(P$5,'Cost Planning'!$H$8:$BO$8,'Cost Planning'!$H$9:$BO$9)</f>
        <v>3564</v>
      </c>
      <c r="Q31" s="158">
        <f>P31+LOOKUP(Q$5,'Cost Planning'!$H$8:$BO$8,'Cost Planning'!$H$9:$BO$9)</f>
        <v>3861</v>
      </c>
      <c r="R31" s="158">
        <f>Q31+LOOKUP(R$5,'Cost Planning'!$H$8:$BO$8,'Cost Planning'!$H$9:$BO$9)</f>
        <v>4158</v>
      </c>
      <c r="S31" s="158">
        <f>R31+LOOKUP(S$5,'Cost Planning'!$H$8:$BO$8,'Cost Planning'!$H$9:$BO$9)</f>
        <v>4455</v>
      </c>
      <c r="T31" s="158">
        <f>S31+LOOKUP(T$5,'Cost Planning'!$H$8:$BO$8,'Cost Planning'!$H$9:$BO$9)</f>
        <v>4752</v>
      </c>
      <c r="U31" s="158">
        <f>T31+LOOKUP(U$5,'Cost Planning'!$H$8:$BO$8,'Cost Planning'!$H$9:$BO$9)</f>
        <v>5049</v>
      </c>
      <c r="V31" s="158">
        <f>U31+LOOKUP(V$5,'Cost Planning'!$H$8:$BO$8,'Cost Planning'!$H$9:$BO$9)</f>
        <v>5346</v>
      </c>
      <c r="W31" s="158">
        <f>V31+LOOKUP(W$5,'Cost Planning'!$H$8:$BO$8,'Cost Planning'!$H$9:$BO$9)</f>
        <v>5643</v>
      </c>
      <c r="X31" s="158">
        <f>W31+LOOKUP(X$5,'Cost Planning'!$H$8:$BO$8,'Cost Planning'!$H$9:$BO$9)</f>
        <v>5940</v>
      </c>
      <c r="Y31" s="158">
        <f>X31+LOOKUP(Y$5,'Cost Planning'!$H$8:$BO$8,'Cost Planning'!$H$9:$BO$9)</f>
        <v>6237</v>
      </c>
      <c r="Z31" s="158">
        <f>Y31+LOOKUP(Z$5,'Cost Planning'!$H$8:$BO$8,'Cost Planning'!$H$9:$BO$9)</f>
        <v>6534</v>
      </c>
      <c r="AA31" s="158">
        <f>Z31+LOOKUP(AA$5,'Cost Planning'!$H$8:$BO$8,'Cost Planning'!$H$9:$BO$9)</f>
        <v>6831</v>
      </c>
      <c r="AB31" s="158">
        <f>AA31+LOOKUP(AB$5,'Cost Planning'!$H$8:$BO$8,'Cost Planning'!$H$9:$BO$9)</f>
        <v>7128</v>
      </c>
      <c r="AC31" s="158">
        <f>AB31+LOOKUP(AC$5,'Cost Planning'!$H$8:$BO$8,'Cost Planning'!$H$9:$BO$9)</f>
        <v>7425</v>
      </c>
      <c r="AD31" s="158">
        <f>AC31+LOOKUP(AD$5,'Cost Planning'!$H$8:$BO$8,'Cost Planning'!$H$9:$BO$9)</f>
        <v>7722</v>
      </c>
      <c r="AE31" s="158">
        <f>AD31+LOOKUP(AE$5,'Cost Planning'!$H$8:$BO$8,'Cost Planning'!$H$9:$BO$9)</f>
        <v>8019</v>
      </c>
      <c r="AF31" s="158">
        <f>AE31+LOOKUP(AF$5,'Cost Planning'!$H$8:$BO$8,'Cost Planning'!$H$9:$BO$9)</f>
        <v>8316</v>
      </c>
      <c r="AG31" s="158">
        <f>AF31+LOOKUP(AG$5,'Cost Planning'!$H$8:$BO$8,'Cost Planning'!$H$9:$BO$9)</f>
        <v>8613</v>
      </c>
      <c r="AH31" s="158">
        <f>AG31+LOOKUP(AH$5,'Cost Planning'!$H$8:$BO$8,'Cost Planning'!$H$9:$BO$9)</f>
        <v>8910</v>
      </c>
      <c r="AI31" s="158">
        <f>AH31+LOOKUP(AI$5,'Cost Planning'!$H$8:$BO$8,'Cost Planning'!$H$9:$BO$9)</f>
        <v>9207</v>
      </c>
      <c r="AJ31" s="158">
        <f>AI31+LOOKUP(AJ$5,'Cost Planning'!$H$8:$BO$8,'Cost Planning'!$H$9:$BO$9)</f>
        <v>9504</v>
      </c>
      <c r="AK31" s="158">
        <f>AJ31+LOOKUP(AK$5,'Cost Planning'!$H$8:$BO$8,'Cost Planning'!$H$9:$BO$9)</f>
        <v>9801</v>
      </c>
      <c r="AL31" s="158">
        <f>AK31+LOOKUP(AL$5,'Cost Planning'!$H$8:$BO$8,'Cost Planning'!$H$9:$BO$9)</f>
        <v>10098</v>
      </c>
      <c r="AM31" s="158">
        <f>AL31+LOOKUP(AM$5,'Cost Planning'!$H$8:$BO$8,'Cost Planning'!$H$9:$BO$9)</f>
        <v>10395</v>
      </c>
      <c r="AN31" s="158">
        <f>AM31+LOOKUP(AN$5,'Cost Planning'!$H$8:$BO$8,'Cost Planning'!$H$9:$BO$9)</f>
        <v>10692</v>
      </c>
      <c r="AO31" s="158">
        <f>AN31+LOOKUP(AO$5,'Cost Planning'!$H$8:$BO$8,'Cost Planning'!$H$9:$BO$9)</f>
        <v>10989</v>
      </c>
      <c r="AP31" s="158">
        <f>AO31+LOOKUP(AP$5,'Cost Planning'!$H$8:$BO$8,'Cost Planning'!$H$9:$BO$9)</f>
        <v>11286</v>
      </c>
      <c r="AQ31" s="158">
        <f>AP31+LOOKUP(AQ$5,'Cost Planning'!$H$8:$BO$8,'Cost Planning'!$H$9:$BO$9)</f>
        <v>11583</v>
      </c>
      <c r="AR31" s="158">
        <f>AQ31+LOOKUP(AR$5,'Cost Planning'!$H$8:$BO$8,'Cost Planning'!$H$9:$BO$9)</f>
        <v>11880</v>
      </c>
      <c r="AS31" s="158">
        <f>AR31+LOOKUP(AS$5,'Cost Planning'!$H$8:$BO$8,'Cost Planning'!$H$9:$BO$9)</f>
        <v>12177</v>
      </c>
      <c r="AT31" s="158">
        <f>AS31+LOOKUP(AT$5,'Cost Planning'!$H$8:$BO$8,'Cost Planning'!$H$9:$BO$9)</f>
        <v>12474</v>
      </c>
      <c r="AU31" s="158">
        <f>AT31+LOOKUP(AU$5,'Cost Planning'!$H$8:$BO$8,'Cost Planning'!$H$9:$BO$9)</f>
        <v>12771</v>
      </c>
      <c r="AV31" s="158">
        <f>AU31+LOOKUP(AV$5,'Cost Planning'!$H$8:$BO$8,'Cost Planning'!$H$9:$BO$9)</f>
        <v>13068</v>
      </c>
      <c r="AW31" s="158">
        <f>AV31+LOOKUP(AW$5,'Cost Planning'!$H$8:$BO$8,'Cost Planning'!$H$9:$BO$9)</f>
        <v>13365</v>
      </c>
      <c r="AX31" s="158">
        <f>AW31+LOOKUP(AX$5,'Cost Planning'!$H$8:$BO$8,'Cost Planning'!$H$9:$BO$9)</f>
        <v>13662</v>
      </c>
      <c r="AY31" s="158">
        <f>AX31+LOOKUP(AY$5,'Cost Planning'!$H$8:$BO$8,'Cost Planning'!$H$9:$BO$9)</f>
        <v>13959</v>
      </c>
      <c r="AZ31" s="158">
        <f>AY31+LOOKUP(AZ$5,'Cost Planning'!$H$8:$BO$8,'Cost Planning'!$H$9:$BO$9)</f>
        <v>14256</v>
      </c>
      <c r="BA31" s="158">
        <f>AZ31+LOOKUP(BA$5,'Cost Planning'!$H$8:$BO$8,'Cost Planning'!$H$9:$BO$9)</f>
        <v>14256</v>
      </c>
      <c r="BB31" s="158">
        <f>BA31+LOOKUP(BB$5,'Cost Planning'!$H$8:$BO$8,'Cost Planning'!$H$9:$BO$9)</f>
        <v>14256</v>
      </c>
      <c r="BC31" s="158">
        <f>BB31+LOOKUP(BC$5,'Cost Planning'!$H$8:$BO$8,'Cost Planning'!$H$9:$BO$9)</f>
        <v>14256</v>
      </c>
      <c r="BD31" s="158">
        <f>BC31+LOOKUP(BD$5,'Cost Planning'!$H$8:$BO$8,'Cost Planning'!$H$9:$BO$9)</f>
        <v>14256</v>
      </c>
      <c r="BE31" s="158">
        <f>BD31+LOOKUP(BE$5,'Cost Planning'!$H$8:$BO$8,'Cost Planning'!$H$9:$BO$9)</f>
        <v>14256</v>
      </c>
      <c r="BF31" s="158">
        <f>BE31+LOOKUP(BF$5,'Cost Planning'!$H$8:$BO$8,'Cost Planning'!$H$9:$BO$9)</f>
        <v>14256</v>
      </c>
      <c r="BG31" s="158">
        <f>BF31+LOOKUP(BG$5,'Cost Planning'!$H$8:$BO$8,'Cost Planning'!$H$9:$BO$9)</f>
        <v>14256</v>
      </c>
      <c r="BH31" s="158">
        <f>BG31+LOOKUP(BH$5,'Cost Planning'!$H$8:$BO$8,'Cost Planning'!$H$9:$BO$9)</f>
        <v>14256</v>
      </c>
      <c r="BI31" s="158">
        <f>BH31+LOOKUP(BI$5,'Cost Planning'!$H$8:$BO$8,'Cost Planning'!$H$9:$BO$9)</f>
        <v>14256</v>
      </c>
      <c r="BJ31" s="158">
        <f>BI31+LOOKUP(BJ$5,'Cost Planning'!$H$8:$BO$8,'Cost Planning'!$H$9:$BO$9)</f>
        <v>14256</v>
      </c>
      <c r="BK31" s="158">
        <f>BJ31+LOOKUP(BK$5,'Cost Planning'!$H$8:$BO$8,'Cost Planning'!$H$9:$BO$9)</f>
        <v>14256</v>
      </c>
      <c r="BL31" s="158">
        <f>BK31+LOOKUP(BL$5,'Cost Planning'!$H$8:$BO$8,'Cost Planning'!$H$9:$BO$9)</f>
        <v>14256</v>
      </c>
      <c r="BN31" s="21"/>
      <c r="BO31" s="21"/>
      <c r="BP31" s="21"/>
      <c r="BQ31" s="21"/>
      <c r="BR31" s="21"/>
      <c r="BS31" s="21"/>
      <c r="BT31" s="21"/>
      <c r="BU31" s="21"/>
      <c r="BV31" s="21"/>
      <c r="BW31" s="21"/>
      <c r="BX31" s="21"/>
      <c r="BY31" s="21"/>
    </row>
    <row r="32" spans="2:77" s="67" customFormat="1" ht="25" customHeight="1" outlineLevel="1" x14ac:dyDescent="0.3">
      <c r="B32" s="298" t="s">
        <v>180</v>
      </c>
      <c r="C32" s="298"/>
      <c r="D32" s="158">
        <f>'Project Infor'!C47</f>
        <v>0</v>
      </c>
      <c r="E32" s="158">
        <f>D32+LOOKUP(E$5,'Cost Planning'!$H$8:$BO$8,'Cost Planning'!$H$40:$BO$40)+LOOKUP(E$5,'Cost Planning'!$H$8:$BO$8,'Cost Planning'!$H$41:$BO$41)</f>
        <v>7102.7849999999999</v>
      </c>
      <c r="F32" s="158">
        <f>E32+LOOKUP(F$5,'Cost Planning'!$H$8:$BO$8,'Cost Planning'!$H$40:$BO$40)+LOOKUP(F$5,'Cost Planning'!$H$8:$BO$8,'Cost Planning'!$H$41:$BO$41)</f>
        <v>14205.57</v>
      </c>
      <c r="G32" s="158">
        <f>F32+LOOKUP(G$5,'Cost Planning'!$H$8:$BO$8,'Cost Planning'!$H$40:$BO$40)+LOOKUP(G$5,'Cost Planning'!$H$8:$BO$8,'Cost Planning'!$H$41:$BO$41)</f>
        <v>21308.355</v>
      </c>
      <c r="H32" s="158">
        <f>G32+LOOKUP(H$5,'Cost Planning'!$H$8:$BO$8,'Cost Planning'!$H$40:$BO$40)+LOOKUP(H$5,'Cost Planning'!$H$8:$BO$8,'Cost Planning'!$H$41:$BO$41)</f>
        <v>28411.14</v>
      </c>
      <c r="I32" s="158">
        <f>H32+LOOKUP(I$5,'Cost Planning'!$H$8:$BO$8,'Cost Planning'!$H$40:$BO$40)+LOOKUP(I$5,'Cost Planning'!$H$8:$BO$8,'Cost Planning'!$H$41:$BO$41)</f>
        <v>35513.925000000003</v>
      </c>
      <c r="J32" s="158">
        <f>I32+LOOKUP(J$5,'Cost Planning'!$H$8:$BO$8,'Cost Planning'!$H$40:$BO$40)+LOOKUP(J$5,'Cost Planning'!$H$8:$BO$8,'Cost Planning'!$H$41:$BO$41)</f>
        <v>42616.710000000006</v>
      </c>
      <c r="K32" s="158">
        <f>J32+LOOKUP(K$5,'Cost Planning'!$H$8:$BO$8,'Cost Planning'!$H$40:$BO$40)+LOOKUP(K$5,'Cost Planning'!$H$8:$BO$8,'Cost Planning'!$H$41:$BO$41)</f>
        <v>49719.49500000001</v>
      </c>
      <c r="L32" s="158">
        <f>K32+LOOKUP(L$5,'Cost Planning'!$H$8:$BO$8,'Cost Planning'!$H$40:$BO$40)+LOOKUP(L$5,'Cost Planning'!$H$8:$BO$8,'Cost Planning'!$H$41:$BO$41)</f>
        <v>56822.280000000013</v>
      </c>
      <c r="M32" s="158">
        <f>L32+LOOKUP(M$5,'Cost Planning'!$H$8:$BO$8,'Cost Planning'!$H$40:$BO$40)+LOOKUP(M$5,'Cost Planning'!$H$8:$BO$8,'Cost Planning'!$H$41:$BO$41)</f>
        <v>63925.065000000017</v>
      </c>
      <c r="N32" s="158">
        <f>M32+LOOKUP(N$5,'Cost Planning'!$H$8:$BO$8,'Cost Planning'!$H$40:$BO$40)+LOOKUP(N$5,'Cost Planning'!$H$8:$BO$8,'Cost Planning'!$H$41:$BO$41)</f>
        <v>71027.85000000002</v>
      </c>
      <c r="O32" s="158">
        <f>N32+LOOKUP(O$5,'Cost Planning'!$H$8:$BO$8,'Cost Planning'!$H$40:$BO$40)+LOOKUP(O$5,'Cost Planning'!$H$8:$BO$8,'Cost Planning'!$H$41:$BO$41)</f>
        <v>78130.635000000024</v>
      </c>
      <c r="P32" s="158">
        <f>O32+LOOKUP(P$5,'Cost Planning'!$H$8:$BO$8,'Cost Planning'!$H$40:$BO$40)+LOOKUP(P$5,'Cost Planning'!$H$8:$BO$8,'Cost Planning'!$H$41:$BO$41)</f>
        <v>85233.420000000027</v>
      </c>
      <c r="Q32" s="158">
        <f>P32+LOOKUP(Q$5,'Cost Planning'!$H$8:$BO$8,'Cost Planning'!$H$40:$BO$40)+LOOKUP(Q$5,'Cost Planning'!$H$8:$BO$8,'Cost Planning'!$H$41:$BO$41)</f>
        <v>92549.288550000027</v>
      </c>
      <c r="R32" s="158">
        <f>Q32+LOOKUP(R$5,'Cost Planning'!$H$8:$BO$8,'Cost Planning'!$H$40:$BO$40)+LOOKUP(R$5,'Cost Planning'!$H$8:$BO$8,'Cost Planning'!$H$41:$BO$41)</f>
        <v>99865.157100000026</v>
      </c>
      <c r="S32" s="158">
        <f>R32+LOOKUP(S$5,'Cost Planning'!$H$8:$BO$8,'Cost Planning'!$H$40:$BO$40)+LOOKUP(S$5,'Cost Planning'!$H$8:$BO$8,'Cost Planning'!$H$41:$BO$41)</f>
        <v>107181.02565000003</v>
      </c>
      <c r="T32" s="158">
        <f>S32+LOOKUP(T$5,'Cost Planning'!$H$8:$BO$8,'Cost Planning'!$H$40:$BO$40)+LOOKUP(T$5,'Cost Planning'!$H$8:$BO$8,'Cost Planning'!$H$41:$BO$41)</f>
        <v>114496.89420000002</v>
      </c>
      <c r="U32" s="158">
        <f>T32+LOOKUP(U$5,'Cost Planning'!$H$8:$BO$8,'Cost Planning'!$H$40:$BO$40)+LOOKUP(U$5,'Cost Planning'!$H$8:$BO$8,'Cost Planning'!$H$41:$BO$41)</f>
        <v>121812.76275000002</v>
      </c>
      <c r="V32" s="158">
        <f>U32+LOOKUP(V$5,'Cost Planning'!$H$8:$BO$8,'Cost Planning'!$H$40:$BO$40)+LOOKUP(V$5,'Cost Planning'!$H$8:$BO$8,'Cost Planning'!$H$41:$BO$41)</f>
        <v>129128.63130000002</v>
      </c>
      <c r="W32" s="158">
        <f>V32+LOOKUP(W$5,'Cost Planning'!$H$8:$BO$8,'Cost Planning'!$H$40:$BO$40)+LOOKUP(W$5,'Cost Planning'!$H$8:$BO$8,'Cost Planning'!$H$41:$BO$41)</f>
        <v>136444.49985000002</v>
      </c>
      <c r="X32" s="158">
        <f>W32+LOOKUP(X$5,'Cost Planning'!$H$8:$BO$8,'Cost Planning'!$H$40:$BO$40)+LOOKUP(X$5,'Cost Planning'!$H$8:$BO$8,'Cost Planning'!$H$41:$BO$41)</f>
        <v>143760.36840000004</v>
      </c>
      <c r="Y32" s="158">
        <f>X32+LOOKUP(Y$5,'Cost Planning'!$H$8:$BO$8,'Cost Planning'!$H$40:$BO$40)+LOOKUP(Y$5,'Cost Planning'!$H$8:$BO$8,'Cost Planning'!$H$41:$BO$41)</f>
        <v>151076.23695000005</v>
      </c>
      <c r="Z32" s="158">
        <f>Y32+LOOKUP(Z$5,'Cost Planning'!$H$8:$BO$8,'Cost Planning'!$H$40:$BO$40)+LOOKUP(Z$5,'Cost Planning'!$H$8:$BO$8,'Cost Planning'!$H$41:$BO$41)</f>
        <v>158392.10550000006</v>
      </c>
      <c r="AA32" s="158">
        <f>Z32+LOOKUP(AA$5,'Cost Planning'!$H$8:$BO$8,'Cost Planning'!$H$40:$BO$40)+LOOKUP(AA$5,'Cost Planning'!$H$8:$BO$8,'Cost Planning'!$H$41:$BO$41)</f>
        <v>165707.97405000008</v>
      </c>
      <c r="AB32" s="158">
        <f>AA32+LOOKUP(AB$5,'Cost Planning'!$H$8:$BO$8,'Cost Planning'!$H$40:$BO$40)+LOOKUP(AB$5,'Cost Planning'!$H$8:$BO$8,'Cost Planning'!$H$41:$BO$41)</f>
        <v>173023.84260000009</v>
      </c>
      <c r="AC32" s="158">
        <f>AB32+LOOKUP(AC$5,'Cost Planning'!$H$8:$BO$8,'Cost Planning'!$H$40:$BO$40)+LOOKUP(AC$5,'Cost Planning'!$H$8:$BO$8,'Cost Planning'!$H$41:$BO$41)</f>
        <v>180559.18720650009</v>
      </c>
      <c r="AD32" s="158">
        <f>AC32+LOOKUP(AD$5,'Cost Planning'!$H$8:$BO$8,'Cost Planning'!$H$40:$BO$40)+LOOKUP(AD$5,'Cost Planning'!$H$8:$BO$8,'Cost Planning'!$H$41:$BO$41)</f>
        <v>188094.5318130001</v>
      </c>
      <c r="AE32" s="158">
        <f>AD32+LOOKUP(AE$5,'Cost Planning'!$H$8:$BO$8,'Cost Planning'!$H$40:$BO$40)+LOOKUP(AE$5,'Cost Planning'!$H$8:$BO$8,'Cost Planning'!$H$41:$BO$41)</f>
        <v>195629.8764195001</v>
      </c>
      <c r="AF32" s="158">
        <f>AE32+LOOKUP(AF$5,'Cost Planning'!$H$8:$BO$8,'Cost Planning'!$H$40:$BO$40)+LOOKUP(AF$5,'Cost Planning'!$H$8:$BO$8,'Cost Planning'!$H$41:$BO$41)</f>
        <v>203165.2210260001</v>
      </c>
      <c r="AG32" s="158">
        <f>AF32+LOOKUP(AG$5,'Cost Planning'!$H$8:$BO$8,'Cost Planning'!$H$40:$BO$40)+LOOKUP(AG$5,'Cost Planning'!$H$8:$BO$8,'Cost Planning'!$H$41:$BO$41)</f>
        <v>210700.5656325001</v>
      </c>
      <c r="AH32" s="158">
        <f>AG32+LOOKUP(AH$5,'Cost Planning'!$H$8:$BO$8,'Cost Planning'!$H$40:$BO$40)+LOOKUP(AH$5,'Cost Planning'!$H$8:$BO$8,'Cost Planning'!$H$41:$BO$41)</f>
        <v>218235.91023900011</v>
      </c>
      <c r="AI32" s="158">
        <f>AH32+LOOKUP(AI$5,'Cost Planning'!$H$8:$BO$8,'Cost Planning'!$H$40:$BO$40)+LOOKUP(AI$5,'Cost Planning'!$H$8:$BO$8,'Cost Planning'!$H$41:$BO$41)</f>
        <v>225771.25484550011</v>
      </c>
      <c r="AJ32" s="158">
        <f>AI32+LOOKUP(AJ$5,'Cost Planning'!$H$8:$BO$8,'Cost Planning'!$H$40:$BO$40)+LOOKUP(AJ$5,'Cost Planning'!$H$8:$BO$8,'Cost Planning'!$H$41:$BO$41)</f>
        <v>233306.59945200011</v>
      </c>
      <c r="AK32" s="158">
        <f>AJ32+LOOKUP(AK$5,'Cost Planning'!$H$8:$BO$8,'Cost Planning'!$H$40:$BO$40)+LOOKUP(AK$5,'Cost Planning'!$H$8:$BO$8,'Cost Planning'!$H$41:$BO$41)</f>
        <v>240841.94405850011</v>
      </c>
      <c r="AL32" s="158">
        <f>AK32+LOOKUP(AL$5,'Cost Planning'!$H$8:$BO$8,'Cost Planning'!$H$40:$BO$40)+LOOKUP(AL$5,'Cost Planning'!$H$8:$BO$8,'Cost Planning'!$H$41:$BO$41)</f>
        <v>248377.28866500012</v>
      </c>
      <c r="AM32" s="158">
        <f>AL32+LOOKUP(AM$5,'Cost Planning'!$H$8:$BO$8,'Cost Planning'!$H$40:$BO$40)+LOOKUP(AM$5,'Cost Planning'!$H$8:$BO$8,'Cost Planning'!$H$41:$BO$41)</f>
        <v>255912.63327150012</v>
      </c>
      <c r="AN32" s="158">
        <f>AM32+LOOKUP(AN$5,'Cost Planning'!$H$8:$BO$8,'Cost Planning'!$H$40:$BO$40)+LOOKUP(AN$5,'Cost Planning'!$H$8:$BO$8,'Cost Planning'!$H$41:$BO$41)</f>
        <v>263447.97787800012</v>
      </c>
      <c r="AO32" s="158">
        <f>AN32+LOOKUP(AO$5,'Cost Planning'!$H$8:$BO$8,'Cost Planning'!$H$40:$BO$40)+LOOKUP(AO$5,'Cost Planning'!$H$8:$BO$8,'Cost Planning'!$H$41:$BO$41)</f>
        <v>271209.38282269513</v>
      </c>
      <c r="AP32" s="158">
        <f>AO32+LOOKUP(AP$5,'Cost Planning'!$H$8:$BO$8,'Cost Planning'!$H$40:$BO$40)+LOOKUP(AP$5,'Cost Planning'!$H$8:$BO$8,'Cost Planning'!$H$41:$BO$41)</f>
        <v>278970.78776739014</v>
      </c>
      <c r="AQ32" s="158">
        <f>AP32+LOOKUP(AQ$5,'Cost Planning'!$H$8:$BO$8,'Cost Planning'!$H$40:$BO$40)+LOOKUP(AQ$5,'Cost Planning'!$H$8:$BO$8,'Cost Planning'!$H$41:$BO$41)</f>
        <v>286732.19271208515</v>
      </c>
      <c r="AR32" s="158">
        <f>AQ32+LOOKUP(AR$5,'Cost Planning'!$H$8:$BO$8,'Cost Planning'!$H$40:$BO$40)+LOOKUP(AR$5,'Cost Planning'!$H$8:$BO$8,'Cost Planning'!$H$41:$BO$41)</f>
        <v>294493.59765678016</v>
      </c>
      <c r="AS32" s="158">
        <f>AR32+LOOKUP(AS$5,'Cost Planning'!$H$8:$BO$8,'Cost Planning'!$H$40:$BO$40)+LOOKUP(AS$5,'Cost Planning'!$H$8:$BO$8,'Cost Planning'!$H$41:$BO$41)</f>
        <v>302255.00260147516</v>
      </c>
      <c r="AT32" s="158">
        <f>AS32+LOOKUP(AT$5,'Cost Planning'!$H$8:$BO$8,'Cost Planning'!$H$40:$BO$40)+LOOKUP(AT$5,'Cost Planning'!$H$8:$BO$8,'Cost Planning'!$H$41:$BO$41)</f>
        <v>310016.40754617017</v>
      </c>
      <c r="AU32" s="158">
        <f>AT32+LOOKUP(AU$5,'Cost Planning'!$H$8:$BO$8,'Cost Planning'!$H$40:$BO$40)+LOOKUP(AU$5,'Cost Planning'!$H$8:$BO$8,'Cost Planning'!$H$41:$BO$41)</f>
        <v>317777.81249086518</v>
      </c>
      <c r="AV32" s="158">
        <f>AU32+LOOKUP(AV$5,'Cost Planning'!$H$8:$BO$8,'Cost Planning'!$H$40:$BO$40)+LOOKUP(AV$5,'Cost Planning'!$H$8:$BO$8,'Cost Planning'!$H$41:$BO$41)</f>
        <v>325539.21743556019</v>
      </c>
      <c r="AW32" s="158">
        <f>AV32+LOOKUP(AW$5,'Cost Planning'!$H$8:$BO$8,'Cost Planning'!$H$40:$BO$40)+LOOKUP(AW$5,'Cost Planning'!$H$8:$BO$8,'Cost Planning'!$H$41:$BO$41)</f>
        <v>333300.6223802552</v>
      </c>
      <c r="AX32" s="158">
        <f>AW32+LOOKUP(AX$5,'Cost Planning'!$H$8:$BO$8,'Cost Planning'!$H$40:$BO$40)+LOOKUP(AX$5,'Cost Planning'!$H$8:$BO$8,'Cost Planning'!$H$41:$BO$41)</f>
        <v>341062.02732495021</v>
      </c>
      <c r="AY32" s="158">
        <f>AX32+LOOKUP(AY$5,'Cost Planning'!$H$8:$BO$8,'Cost Planning'!$H$40:$BO$40)+LOOKUP(AY$5,'Cost Planning'!$H$8:$BO$8,'Cost Planning'!$H$41:$BO$41)</f>
        <v>348823.43226964521</v>
      </c>
      <c r="AZ32" s="158">
        <f>AY32+LOOKUP(AZ$5,'Cost Planning'!$H$8:$BO$8,'Cost Planning'!$H$40:$BO$40)+LOOKUP(AZ$5,'Cost Planning'!$H$8:$BO$8,'Cost Planning'!$H$41:$BO$41)</f>
        <v>356584.83721434022</v>
      </c>
      <c r="BA32" s="158">
        <f>AZ32+LOOKUP(BA$5,'Cost Planning'!$H$8:$BO$8,'Cost Planning'!$H$40:$BO$40)+LOOKUP(BA$5,'Cost Planning'!$H$8:$BO$8,'Cost Planning'!$H$41:$BO$41)</f>
        <v>356584.83721434022</v>
      </c>
      <c r="BB32" s="158">
        <f>BA32+LOOKUP(BB$5,'Cost Planning'!$H$8:$BO$8,'Cost Planning'!$H$40:$BO$40)+LOOKUP(BB$5,'Cost Planning'!$H$8:$BO$8,'Cost Planning'!$H$41:$BO$41)</f>
        <v>356584.83721434022</v>
      </c>
      <c r="BC32" s="158">
        <f>BB32+LOOKUP(BC$5,'Cost Planning'!$H$8:$BO$8,'Cost Planning'!$H$40:$BO$40)+LOOKUP(BC$5,'Cost Planning'!$H$8:$BO$8,'Cost Planning'!$H$41:$BO$41)</f>
        <v>356584.83721434022</v>
      </c>
      <c r="BD32" s="158">
        <f>BC32+LOOKUP(BD$5,'Cost Planning'!$H$8:$BO$8,'Cost Planning'!$H$40:$BO$40)+LOOKUP(BD$5,'Cost Planning'!$H$8:$BO$8,'Cost Planning'!$H$41:$BO$41)</f>
        <v>356584.83721434022</v>
      </c>
      <c r="BE32" s="158">
        <f>BD32+LOOKUP(BE$5,'Cost Planning'!$H$8:$BO$8,'Cost Planning'!$H$40:$BO$40)+LOOKUP(BE$5,'Cost Planning'!$H$8:$BO$8,'Cost Planning'!$H$41:$BO$41)</f>
        <v>356584.83721434022</v>
      </c>
      <c r="BF32" s="158">
        <f>BE32+LOOKUP(BF$5,'Cost Planning'!$H$8:$BO$8,'Cost Planning'!$H$40:$BO$40)+LOOKUP(BF$5,'Cost Planning'!$H$8:$BO$8,'Cost Planning'!$H$41:$BO$41)</f>
        <v>356584.83721434022</v>
      </c>
      <c r="BG32" s="158">
        <f>BF32+LOOKUP(BG$5,'Cost Planning'!$H$8:$BO$8,'Cost Planning'!$H$40:$BO$40)+LOOKUP(BG$5,'Cost Planning'!$H$8:$BO$8,'Cost Planning'!$H$41:$BO$41)</f>
        <v>356584.83721434022</v>
      </c>
      <c r="BH32" s="158">
        <f>BG32+LOOKUP(BH$5,'Cost Planning'!$H$8:$BO$8,'Cost Planning'!$H$40:$BO$40)+LOOKUP(BH$5,'Cost Planning'!$H$8:$BO$8,'Cost Planning'!$H$41:$BO$41)</f>
        <v>356584.83721434022</v>
      </c>
      <c r="BI32" s="158">
        <f>BH32+LOOKUP(BI$5,'Cost Planning'!$H$8:$BO$8,'Cost Planning'!$H$40:$BO$40)+LOOKUP(BI$5,'Cost Planning'!$H$8:$BO$8,'Cost Planning'!$H$41:$BO$41)</f>
        <v>356584.83721434022</v>
      </c>
      <c r="BJ32" s="158">
        <f>BI32+LOOKUP(BJ$5,'Cost Planning'!$H$8:$BO$8,'Cost Planning'!$H$40:$BO$40)+LOOKUP(BJ$5,'Cost Planning'!$H$8:$BO$8,'Cost Planning'!$H$41:$BO$41)</f>
        <v>356584.83721434022</v>
      </c>
      <c r="BK32" s="158">
        <f>BJ32+LOOKUP(BK$5,'Cost Planning'!$H$8:$BO$8,'Cost Planning'!$H$40:$BO$40)+LOOKUP(BK$5,'Cost Planning'!$H$8:$BO$8,'Cost Planning'!$H$41:$BO$41)</f>
        <v>356584.83721434022</v>
      </c>
      <c r="BL32" s="158">
        <f>BK32+LOOKUP(BL$5,'Cost Planning'!$H$8:$BO$8,'Cost Planning'!$H$40:$BO$40)+LOOKUP(BL$5,'Cost Planning'!$H$8:$BO$8,'Cost Planning'!$H$41:$BO$41)</f>
        <v>356584.83721434022</v>
      </c>
      <c r="BN32" s="21"/>
      <c r="BO32" s="21"/>
      <c r="BP32" s="21"/>
      <c r="BQ32" s="21"/>
      <c r="BR32" s="21"/>
      <c r="BS32" s="21"/>
      <c r="BT32" s="21"/>
      <c r="BU32" s="21"/>
      <c r="BV32" s="21"/>
      <c r="BW32" s="21"/>
      <c r="BX32" s="21"/>
      <c r="BY32" s="21"/>
    </row>
    <row r="33" spans="2:77" s="67" customFormat="1" ht="25" customHeight="1" outlineLevel="1" x14ac:dyDescent="0.3">
      <c r="B33" s="298" t="s">
        <v>169</v>
      </c>
      <c r="C33" s="298"/>
      <c r="D33" s="158"/>
      <c r="E33" s="158">
        <f>D33+LOOKUP(E$5,'Cost Planning'!$H$8:$BO$8,'Cost Planning'!$H$47:$BO$47)</f>
        <v>0</v>
      </c>
      <c r="F33" s="158">
        <f>E33+LOOKUP(F$5,'Cost Planning'!$H$8:$BO$8,'Cost Planning'!$H$47:$BO$47)</f>
        <v>0</v>
      </c>
      <c r="G33" s="158">
        <f>F33+LOOKUP(G$5,'Cost Planning'!$H$8:$BO$8,'Cost Planning'!$H$47:$BO$47)</f>
        <v>0</v>
      </c>
      <c r="H33" s="158">
        <f>G33+LOOKUP(H$5,'Cost Planning'!$H$8:$BO$8,'Cost Planning'!$H$47:$BO$47)</f>
        <v>0</v>
      </c>
      <c r="I33" s="158">
        <f>H33+LOOKUP(I$5,'Cost Planning'!$H$8:$BO$8,'Cost Planning'!$H$47:$BO$47)</f>
        <v>0</v>
      </c>
      <c r="J33" s="158">
        <f>I33+LOOKUP(J$5,'Cost Planning'!$H$8:$BO$8,'Cost Planning'!$H$47:$BO$47)</f>
        <v>0</v>
      </c>
      <c r="K33" s="158">
        <f>J33+LOOKUP(K$5,'Cost Planning'!$H$8:$BO$8,'Cost Planning'!$H$47:$BO$47)</f>
        <v>0</v>
      </c>
      <c r="L33" s="158">
        <f>K33+LOOKUP(L$5,'Cost Planning'!$H$8:$BO$8,'Cost Planning'!$H$47:$BO$47)</f>
        <v>0</v>
      </c>
      <c r="M33" s="158">
        <f>L33+LOOKUP(M$5,'Cost Planning'!$H$8:$BO$8,'Cost Planning'!$H$47:$BO$47)</f>
        <v>0</v>
      </c>
      <c r="N33" s="158">
        <f>M33+LOOKUP(N$5,'Cost Planning'!$H$8:$BO$8,'Cost Planning'!$H$47:$BO$47)</f>
        <v>0</v>
      </c>
      <c r="O33" s="158">
        <f>N33+LOOKUP(O$5,'Cost Planning'!$H$8:$BO$8,'Cost Planning'!$H$47:$BO$47)</f>
        <v>0</v>
      </c>
      <c r="P33" s="158">
        <f>O33+LOOKUP(P$5,'Cost Planning'!$H$8:$BO$8,'Cost Planning'!$H$47:$BO$47)</f>
        <v>0</v>
      </c>
      <c r="Q33" s="158">
        <f>P33+LOOKUP(Q$5,'Cost Planning'!$H$8:$BO$8,'Cost Planning'!$H$47:$BO$47)</f>
        <v>0</v>
      </c>
      <c r="R33" s="158">
        <f>Q33+LOOKUP(R$5,'Cost Planning'!$H$8:$BO$8,'Cost Planning'!$H$47:$BO$47)</f>
        <v>0</v>
      </c>
      <c r="S33" s="158">
        <f>R33+LOOKUP(S$5,'Cost Planning'!$H$8:$BO$8,'Cost Planning'!$H$47:$BO$47)</f>
        <v>0</v>
      </c>
      <c r="T33" s="158">
        <f>S33+LOOKUP(T$5,'Cost Planning'!$H$8:$BO$8,'Cost Planning'!$H$47:$BO$47)</f>
        <v>0</v>
      </c>
      <c r="U33" s="158">
        <f>T33+LOOKUP(U$5,'Cost Planning'!$H$8:$BO$8,'Cost Planning'!$H$47:$BO$47)</f>
        <v>0</v>
      </c>
      <c r="V33" s="158">
        <f>U33+LOOKUP(V$5,'Cost Planning'!$H$8:$BO$8,'Cost Planning'!$H$47:$BO$47)</f>
        <v>0</v>
      </c>
      <c r="W33" s="158">
        <f>V33+LOOKUP(W$5,'Cost Planning'!$H$8:$BO$8,'Cost Planning'!$H$47:$BO$47)</f>
        <v>0</v>
      </c>
      <c r="X33" s="158">
        <f>W33+LOOKUP(X$5,'Cost Planning'!$H$8:$BO$8,'Cost Planning'!$H$47:$BO$47)</f>
        <v>0</v>
      </c>
      <c r="Y33" s="158">
        <f>X33+LOOKUP(Y$5,'Cost Planning'!$H$8:$BO$8,'Cost Planning'!$H$47:$BO$47)</f>
        <v>0</v>
      </c>
      <c r="Z33" s="158">
        <f>Y33+LOOKUP(Z$5,'Cost Planning'!$H$8:$BO$8,'Cost Planning'!$H$47:$BO$47)</f>
        <v>0</v>
      </c>
      <c r="AA33" s="158">
        <f>Z33+LOOKUP(AA$5,'Cost Planning'!$H$8:$BO$8,'Cost Planning'!$H$47:$BO$47)</f>
        <v>0</v>
      </c>
      <c r="AB33" s="158">
        <f>AA33+LOOKUP(AB$5,'Cost Planning'!$H$8:$BO$8,'Cost Planning'!$H$47:$BO$47)</f>
        <v>0</v>
      </c>
      <c r="AC33" s="158">
        <f>AB33+LOOKUP(AC$5,'Cost Planning'!$H$8:$BO$8,'Cost Planning'!$H$47:$BO$47)</f>
        <v>0</v>
      </c>
      <c r="AD33" s="158">
        <f>AC33+LOOKUP(AD$5,'Cost Planning'!$H$8:$BO$8,'Cost Planning'!$H$47:$BO$47)</f>
        <v>0</v>
      </c>
      <c r="AE33" s="158">
        <f>AD33+LOOKUP(AE$5,'Cost Planning'!$H$8:$BO$8,'Cost Planning'!$H$47:$BO$47)</f>
        <v>0</v>
      </c>
      <c r="AF33" s="158">
        <f>AE33+LOOKUP(AF$5,'Cost Planning'!$H$8:$BO$8,'Cost Planning'!$H$47:$BO$47)</f>
        <v>0</v>
      </c>
      <c r="AG33" s="158">
        <f>AF33+LOOKUP(AG$5,'Cost Planning'!$H$8:$BO$8,'Cost Planning'!$H$47:$BO$47)</f>
        <v>0</v>
      </c>
      <c r="AH33" s="158">
        <f>AG33+LOOKUP(AH$5,'Cost Planning'!$H$8:$BO$8,'Cost Planning'!$H$47:$BO$47)</f>
        <v>0</v>
      </c>
      <c r="AI33" s="158">
        <f>AH33+LOOKUP(AI$5,'Cost Planning'!$H$8:$BO$8,'Cost Planning'!$H$47:$BO$47)</f>
        <v>0</v>
      </c>
      <c r="AJ33" s="158">
        <f>AI33+LOOKUP(AJ$5,'Cost Planning'!$H$8:$BO$8,'Cost Planning'!$H$47:$BO$47)</f>
        <v>0</v>
      </c>
      <c r="AK33" s="158">
        <f>AJ33+LOOKUP(AK$5,'Cost Planning'!$H$8:$BO$8,'Cost Planning'!$H$47:$BO$47)</f>
        <v>0</v>
      </c>
      <c r="AL33" s="158">
        <f>AK33+LOOKUP(AL$5,'Cost Planning'!$H$8:$BO$8,'Cost Planning'!$H$47:$BO$47)</f>
        <v>0</v>
      </c>
      <c r="AM33" s="158">
        <f>AL33+LOOKUP(AM$5,'Cost Planning'!$H$8:$BO$8,'Cost Planning'!$H$47:$BO$47)</f>
        <v>0</v>
      </c>
      <c r="AN33" s="158">
        <f>AM33+LOOKUP(AN$5,'Cost Planning'!$H$8:$BO$8,'Cost Planning'!$H$47:$BO$47)</f>
        <v>0</v>
      </c>
      <c r="AO33" s="158">
        <f>AN33+LOOKUP(AO$5,'Cost Planning'!$H$8:$BO$8,'Cost Planning'!$H$47:$BO$47)</f>
        <v>0</v>
      </c>
      <c r="AP33" s="158">
        <f>AO33+LOOKUP(AP$5,'Cost Planning'!$H$8:$BO$8,'Cost Planning'!$H$47:$BO$47)</f>
        <v>0</v>
      </c>
      <c r="AQ33" s="158">
        <f>AP33+LOOKUP(AQ$5,'Cost Planning'!$H$8:$BO$8,'Cost Planning'!$H$47:$BO$47)</f>
        <v>0</v>
      </c>
      <c r="AR33" s="158">
        <f>AQ33+LOOKUP(AR$5,'Cost Planning'!$H$8:$BO$8,'Cost Planning'!$H$47:$BO$47)</f>
        <v>0</v>
      </c>
      <c r="AS33" s="158">
        <f>AR33+LOOKUP(AS$5,'Cost Planning'!$H$8:$BO$8,'Cost Planning'!$H$47:$BO$47)</f>
        <v>0</v>
      </c>
      <c r="AT33" s="158">
        <f>AS33+LOOKUP(AT$5,'Cost Planning'!$H$8:$BO$8,'Cost Planning'!$H$47:$BO$47)</f>
        <v>0</v>
      </c>
      <c r="AU33" s="158">
        <f>AT33+LOOKUP(AU$5,'Cost Planning'!$H$8:$BO$8,'Cost Planning'!$H$47:$BO$47)</f>
        <v>0</v>
      </c>
      <c r="AV33" s="158">
        <f>AU33+LOOKUP(AV$5,'Cost Planning'!$H$8:$BO$8,'Cost Planning'!$H$47:$BO$47)</f>
        <v>0</v>
      </c>
      <c r="AW33" s="158">
        <f>AV33+LOOKUP(AW$5,'Cost Planning'!$H$8:$BO$8,'Cost Planning'!$H$47:$BO$47)</f>
        <v>0</v>
      </c>
      <c r="AX33" s="158">
        <f>AW33+LOOKUP(AX$5,'Cost Planning'!$H$8:$BO$8,'Cost Planning'!$H$47:$BO$47)</f>
        <v>0</v>
      </c>
      <c r="AY33" s="158">
        <f>AX33+LOOKUP(AY$5,'Cost Planning'!$H$8:$BO$8,'Cost Planning'!$H$47:$BO$47)</f>
        <v>0</v>
      </c>
      <c r="AZ33" s="158">
        <f>AY33+LOOKUP(AZ$5,'Cost Planning'!$H$8:$BO$8,'Cost Planning'!$H$47:$BO$47)</f>
        <v>3565.85</v>
      </c>
      <c r="BA33" s="158">
        <f>AZ33+LOOKUP(BA$5,'Cost Planning'!$H$8:$BO$8,'Cost Planning'!$H$47:$BO$47)</f>
        <v>3565.85</v>
      </c>
      <c r="BB33" s="158">
        <f>BA33+LOOKUP(BB$5,'Cost Planning'!$H$8:$BO$8,'Cost Planning'!$H$47:$BO$47)</f>
        <v>3565.85</v>
      </c>
      <c r="BC33" s="158">
        <f>BB33+LOOKUP(BC$5,'Cost Planning'!$H$8:$BO$8,'Cost Planning'!$H$47:$BO$47)</f>
        <v>3565.85</v>
      </c>
      <c r="BD33" s="158">
        <f>BC33+LOOKUP(BD$5,'Cost Planning'!$H$8:$BO$8,'Cost Planning'!$H$47:$BO$47)</f>
        <v>3565.85</v>
      </c>
      <c r="BE33" s="158">
        <f>BD33+LOOKUP(BE$5,'Cost Planning'!$H$8:$BO$8,'Cost Planning'!$H$47:$BO$47)</f>
        <v>3565.85</v>
      </c>
      <c r="BF33" s="158">
        <f>BE33+LOOKUP(BF$5,'Cost Planning'!$H$8:$BO$8,'Cost Planning'!$H$47:$BO$47)</f>
        <v>3565.85</v>
      </c>
      <c r="BG33" s="158">
        <f>BF33+LOOKUP(BG$5,'Cost Planning'!$H$8:$BO$8,'Cost Planning'!$H$47:$BO$47)</f>
        <v>3565.85</v>
      </c>
      <c r="BH33" s="158">
        <f>BG33+LOOKUP(BH$5,'Cost Planning'!$H$8:$BO$8,'Cost Planning'!$H$47:$BO$47)</f>
        <v>3565.85</v>
      </c>
      <c r="BI33" s="158">
        <f>BH33+LOOKUP(BI$5,'Cost Planning'!$H$8:$BO$8,'Cost Planning'!$H$47:$BO$47)</f>
        <v>3565.85</v>
      </c>
      <c r="BJ33" s="158">
        <f>BI33+LOOKUP(BJ$5,'Cost Planning'!$H$8:$BO$8,'Cost Planning'!$H$47:$BO$47)</f>
        <v>3565.85</v>
      </c>
      <c r="BK33" s="158">
        <f>BJ33+LOOKUP(BK$5,'Cost Planning'!$H$8:$BO$8,'Cost Planning'!$H$47:$BO$47)</f>
        <v>3565.85</v>
      </c>
      <c r="BL33" s="158">
        <f>BK33+LOOKUP(BL$5,'Cost Planning'!$H$8:$BO$8,'Cost Planning'!$H$47:$BO$47)</f>
        <v>3565.85</v>
      </c>
      <c r="BN33" s="21"/>
      <c r="BO33" s="21"/>
      <c r="BP33" s="21"/>
      <c r="BQ33" s="21"/>
      <c r="BR33" s="21"/>
      <c r="BS33" s="21"/>
      <c r="BT33" s="21"/>
      <c r="BU33" s="21"/>
      <c r="BV33" s="21"/>
      <c r="BW33" s="21"/>
      <c r="BX33" s="21"/>
      <c r="BY33" s="21"/>
    </row>
    <row r="34" spans="2:77" s="67" customFormat="1" ht="25" customHeight="1" outlineLevel="1" x14ac:dyDescent="0.3">
      <c r="B34" s="298" t="s">
        <v>170</v>
      </c>
      <c r="C34" s="298"/>
      <c r="D34" s="158"/>
      <c r="E34" s="158">
        <f>D34+LOOKUP(E$5,'Cost Planning'!$H$8:$BO$8,'Cost Planning'!$H$48:$BO$48)</f>
        <v>0</v>
      </c>
      <c r="F34" s="158">
        <f>E34+LOOKUP(F$5,'Cost Planning'!$H$8:$BO$8,'Cost Planning'!$H$48:$BO$48)</f>
        <v>0</v>
      </c>
      <c r="G34" s="158">
        <f>F34+LOOKUP(G$5,'Cost Planning'!$H$8:$BO$8,'Cost Planning'!$H$48:$BO$48)</f>
        <v>0</v>
      </c>
      <c r="H34" s="158">
        <f>G34+LOOKUP(H$5,'Cost Planning'!$H$8:$BO$8,'Cost Planning'!$H$48:$BO$48)</f>
        <v>0</v>
      </c>
      <c r="I34" s="158">
        <f>H34+LOOKUP(I$5,'Cost Planning'!$H$8:$BO$8,'Cost Planning'!$H$48:$BO$48)</f>
        <v>0</v>
      </c>
      <c r="J34" s="158">
        <f>I34+LOOKUP(J$5,'Cost Planning'!$H$8:$BO$8,'Cost Planning'!$H$48:$BO$48)</f>
        <v>0</v>
      </c>
      <c r="K34" s="158">
        <f>J34+LOOKUP(K$5,'Cost Planning'!$H$8:$BO$8,'Cost Planning'!$H$48:$BO$48)</f>
        <v>0</v>
      </c>
      <c r="L34" s="158">
        <f>K34+LOOKUP(L$5,'Cost Planning'!$H$8:$BO$8,'Cost Planning'!$H$48:$BO$48)</f>
        <v>0</v>
      </c>
      <c r="M34" s="158">
        <f>L34+LOOKUP(M$5,'Cost Planning'!$H$8:$BO$8,'Cost Planning'!$H$48:$BO$48)</f>
        <v>0</v>
      </c>
      <c r="N34" s="158">
        <f>M34+LOOKUP(N$5,'Cost Planning'!$H$8:$BO$8,'Cost Planning'!$H$48:$BO$48)</f>
        <v>0</v>
      </c>
      <c r="O34" s="158">
        <f>N34+LOOKUP(O$5,'Cost Planning'!$H$8:$BO$8,'Cost Planning'!$H$48:$BO$48)</f>
        <v>0</v>
      </c>
      <c r="P34" s="158">
        <f>O34+LOOKUP(P$5,'Cost Planning'!$H$8:$BO$8,'Cost Planning'!$H$48:$BO$48)</f>
        <v>0</v>
      </c>
      <c r="Q34" s="158">
        <f>P34+LOOKUP(Q$5,'Cost Planning'!$H$8:$BO$8,'Cost Planning'!$H$48:$BO$48)</f>
        <v>0</v>
      </c>
      <c r="R34" s="158">
        <f>Q34+LOOKUP(R$5,'Cost Planning'!$H$8:$BO$8,'Cost Planning'!$H$48:$BO$48)</f>
        <v>0</v>
      </c>
      <c r="S34" s="158">
        <f>R34+LOOKUP(S$5,'Cost Planning'!$H$8:$BO$8,'Cost Planning'!$H$48:$BO$48)</f>
        <v>0</v>
      </c>
      <c r="T34" s="158">
        <f>S34+LOOKUP(T$5,'Cost Planning'!$H$8:$BO$8,'Cost Planning'!$H$48:$BO$48)</f>
        <v>0</v>
      </c>
      <c r="U34" s="158">
        <f>T34+LOOKUP(U$5,'Cost Planning'!$H$8:$BO$8,'Cost Planning'!$H$48:$BO$48)</f>
        <v>0</v>
      </c>
      <c r="V34" s="158">
        <f>U34+LOOKUP(V$5,'Cost Planning'!$H$8:$BO$8,'Cost Planning'!$H$48:$BO$48)</f>
        <v>0</v>
      </c>
      <c r="W34" s="158">
        <f>V34+LOOKUP(W$5,'Cost Planning'!$H$8:$BO$8,'Cost Planning'!$H$48:$BO$48)</f>
        <v>0</v>
      </c>
      <c r="X34" s="158">
        <f>W34+LOOKUP(X$5,'Cost Planning'!$H$8:$BO$8,'Cost Planning'!$H$48:$BO$48)</f>
        <v>0</v>
      </c>
      <c r="Y34" s="158">
        <f>X34+LOOKUP(Y$5,'Cost Planning'!$H$8:$BO$8,'Cost Planning'!$H$48:$BO$48)</f>
        <v>0</v>
      </c>
      <c r="Z34" s="158">
        <f>Y34+LOOKUP(Z$5,'Cost Planning'!$H$8:$BO$8,'Cost Planning'!$H$48:$BO$48)</f>
        <v>0</v>
      </c>
      <c r="AA34" s="158">
        <f>Z34+LOOKUP(AA$5,'Cost Planning'!$H$8:$BO$8,'Cost Planning'!$H$48:$BO$48)</f>
        <v>0</v>
      </c>
      <c r="AB34" s="158">
        <f>AA34+LOOKUP(AB$5,'Cost Planning'!$H$8:$BO$8,'Cost Planning'!$H$48:$BO$48)</f>
        <v>0</v>
      </c>
      <c r="AC34" s="158">
        <f>AB34+LOOKUP(AC$5,'Cost Planning'!$H$8:$BO$8,'Cost Planning'!$H$48:$BO$48)</f>
        <v>0</v>
      </c>
      <c r="AD34" s="158">
        <f>AC34+LOOKUP(AD$5,'Cost Planning'!$H$8:$BO$8,'Cost Planning'!$H$48:$BO$48)</f>
        <v>0</v>
      </c>
      <c r="AE34" s="158">
        <f>AD34+LOOKUP(AE$5,'Cost Planning'!$H$8:$BO$8,'Cost Planning'!$H$48:$BO$48)</f>
        <v>0</v>
      </c>
      <c r="AF34" s="158">
        <f>AE34+LOOKUP(AF$5,'Cost Planning'!$H$8:$BO$8,'Cost Planning'!$H$48:$BO$48)</f>
        <v>0</v>
      </c>
      <c r="AG34" s="158">
        <f>AF34+LOOKUP(AG$5,'Cost Planning'!$H$8:$BO$8,'Cost Planning'!$H$48:$BO$48)</f>
        <v>0</v>
      </c>
      <c r="AH34" s="158">
        <f>AG34+LOOKUP(AH$5,'Cost Planning'!$H$8:$BO$8,'Cost Planning'!$H$48:$BO$48)</f>
        <v>0</v>
      </c>
      <c r="AI34" s="158">
        <f>AH34+LOOKUP(AI$5,'Cost Planning'!$H$8:$BO$8,'Cost Planning'!$H$48:$BO$48)</f>
        <v>0</v>
      </c>
      <c r="AJ34" s="158">
        <f>AI34+LOOKUP(AJ$5,'Cost Planning'!$H$8:$BO$8,'Cost Planning'!$H$48:$BO$48)</f>
        <v>0</v>
      </c>
      <c r="AK34" s="158">
        <f>AJ34+LOOKUP(AK$5,'Cost Planning'!$H$8:$BO$8,'Cost Planning'!$H$48:$BO$48)</f>
        <v>0</v>
      </c>
      <c r="AL34" s="158">
        <f>AK34+LOOKUP(AL$5,'Cost Planning'!$H$8:$BO$8,'Cost Planning'!$H$48:$BO$48)</f>
        <v>0</v>
      </c>
      <c r="AM34" s="158">
        <f>AL34+LOOKUP(AM$5,'Cost Planning'!$H$8:$BO$8,'Cost Planning'!$H$48:$BO$48)</f>
        <v>0</v>
      </c>
      <c r="AN34" s="158">
        <f>AM34+LOOKUP(AN$5,'Cost Planning'!$H$8:$BO$8,'Cost Planning'!$H$48:$BO$48)</f>
        <v>0</v>
      </c>
      <c r="AO34" s="158">
        <f>AN34+LOOKUP(AO$5,'Cost Planning'!$H$8:$BO$8,'Cost Planning'!$H$48:$BO$48)</f>
        <v>0</v>
      </c>
      <c r="AP34" s="158">
        <f>AO34+LOOKUP(AP$5,'Cost Planning'!$H$8:$BO$8,'Cost Planning'!$H$48:$BO$48)</f>
        <v>0</v>
      </c>
      <c r="AQ34" s="158">
        <f>AP34+LOOKUP(AQ$5,'Cost Planning'!$H$8:$BO$8,'Cost Planning'!$H$48:$BO$48)</f>
        <v>0</v>
      </c>
      <c r="AR34" s="158">
        <f>AQ34+LOOKUP(AR$5,'Cost Planning'!$H$8:$BO$8,'Cost Planning'!$H$48:$BO$48)</f>
        <v>0</v>
      </c>
      <c r="AS34" s="158">
        <f>AR34+LOOKUP(AS$5,'Cost Planning'!$H$8:$BO$8,'Cost Planning'!$H$48:$BO$48)</f>
        <v>0</v>
      </c>
      <c r="AT34" s="158">
        <f>AS34+LOOKUP(AT$5,'Cost Planning'!$H$8:$BO$8,'Cost Planning'!$H$48:$BO$48)</f>
        <v>0</v>
      </c>
      <c r="AU34" s="158">
        <f>AT34+LOOKUP(AU$5,'Cost Planning'!$H$8:$BO$8,'Cost Planning'!$H$48:$BO$48)</f>
        <v>0</v>
      </c>
      <c r="AV34" s="158">
        <f>AU34+LOOKUP(AV$5,'Cost Planning'!$H$8:$BO$8,'Cost Planning'!$H$48:$BO$48)</f>
        <v>0</v>
      </c>
      <c r="AW34" s="158">
        <f>AV34+LOOKUP(AW$5,'Cost Planning'!$H$8:$BO$8,'Cost Planning'!$H$48:$BO$48)</f>
        <v>0</v>
      </c>
      <c r="AX34" s="158">
        <f>AW34+LOOKUP(AX$5,'Cost Planning'!$H$8:$BO$8,'Cost Planning'!$H$48:$BO$48)</f>
        <v>0</v>
      </c>
      <c r="AY34" s="158">
        <f>AX34+LOOKUP(AY$5,'Cost Planning'!$H$8:$BO$8,'Cost Planning'!$H$48:$BO$48)</f>
        <v>0</v>
      </c>
      <c r="AZ34" s="158">
        <f>AY34+LOOKUP(AZ$5,'Cost Planning'!$H$8:$BO$8,'Cost Planning'!$H$48:$BO$48)</f>
        <v>0</v>
      </c>
      <c r="BA34" s="158">
        <f>AZ34+LOOKUP(BA$5,'Cost Planning'!$H$8:$BO$8,'Cost Planning'!$H$48:$BO$48)</f>
        <v>0</v>
      </c>
      <c r="BB34" s="158">
        <f>BA34+LOOKUP(BB$5,'Cost Planning'!$H$8:$BO$8,'Cost Planning'!$H$48:$BO$48)</f>
        <v>0</v>
      </c>
      <c r="BC34" s="158">
        <f>BB34+LOOKUP(BC$5,'Cost Planning'!$H$8:$BO$8,'Cost Planning'!$H$48:$BO$48)</f>
        <v>0</v>
      </c>
      <c r="BD34" s="158">
        <f>BC34+LOOKUP(BD$5,'Cost Planning'!$H$8:$BO$8,'Cost Planning'!$H$48:$BO$48)</f>
        <v>0</v>
      </c>
      <c r="BE34" s="158">
        <f>BD34+LOOKUP(BE$5,'Cost Planning'!$H$8:$BO$8,'Cost Planning'!$H$48:$BO$48)</f>
        <v>0</v>
      </c>
      <c r="BF34" s="158">
        <f>BE34+LOOKUP(BF$5,'Cost Planning'!$H$8:$BO$8,'Cost Planning'!$H$48:$BO$48)</f>
        <v>0</v>
      </c>
      <c r="BG34" s="158">
        <f>BF34+LOOKUP(BG$5,'Cost Planning'!$H$8:$BO$8,'Cost Planning'!$H$48:$BO$48)</f>
        <v>0</v>
      </c>
      <c r="BH34" s="158">
        <f>BG34+LOOKUP(BH$5,'Cost Planning'!$H$8:$BO$8,'Cost Planning'!$H$48:$BO$48)</f>
        <v>0</v>
      </c>
      <c r="BI34" s="158">
        <f>BH34+LOOKUP(BI$5,'Cost Planning'!$H$8:$BO$8,'Cost Planning'!$H$48:$BO$48)</f>
        <v>0</v>
      </c>
      <c r="BJ34" s="158">
        <f>BI34+LOOKUP(BJ$5,'Cost Planning'!$H$8:$BO$8,'Cost Planning'!$H$48:$BO$48)</f>
        <v>0</v>
      </c>
      <c r="BK34" s="158">
        <f>BJ34+LOOKUP(BK$5,'Cost Planning'!$H$8:$BO$8,'Cost Planning'!$H$48:$BO$48)</f>
        <v>0</v>
      </c>
      <c r="BL34" s="158">
        <f>BK34+LOOKUP(BL$5,'Cost Planning'!$H$8:$BO$8,'Cost Planning'!$H$48:$BO$48)</f>
        <v>0</v>
      </c>
      <c r="BN34" s="21"/>
      <c r="BO34" s="21"/>
      <c r="BP34" s="21"/>
      <c r="BQ34" s="21"/>
      <c r="BR34" s="21"/>
      <c r="BS34" s="21"/>
      <c r="BT34" s="21"/>
      <c r="BU34" s="21"/>
      <c r="BV34" s="21"/>
      <c r="BW34" s="21"/>
      <c r="BX34" s="21"/>
      <c r="BY34" s="21"/>
    </row>
    <row r="35" spans="2:77" s="67" customFormat="1" ht="25" customHeight="1" outlineLevel="1" x14ac:dyDescent="0.3">
      <c r="B35" s="298" t="s">
        <v>171</v>
      </c>
      <c r="C35" s="298"/>
      <c r="D35" s="158">
        <f>'Project Infor'!C48</f>
        <v>0</v>
      </c>
      <c r="E35" s="158">
        <f>D35+LOOKUP(E$5,'Cost Planning'!$H$8:$BO$8,'Cost Planning'!$H$61:$BO$61)</f>
        <v>0</v>
      </c>
      <c r="F35" s="158">
        <f>E35+LOOKUP(F$5,'Cost Planning'!$H$8:$BO$8,'Cost Planning'!$H$61:$BO$61)</f>
        <v>0</v>
      </c>
      <c r="G35" s="158">
        <f>F35+LOOKUP(G$5,'Cost Planning'!$H$8:$BO$8,'Cost Planning'!$H$61:$BO$61)</f>
        <v>0</v>
      </c>
      <c r="H35" s="158">
        <f>G35+LOOKUP(H$5,'Cost Planning'!$H$8:$BO$8,'Cost Planning'!$H$61:$BO$61)</f>
        <v>0</v>
      </c>
      <c r="I35" s="158">
        <f>H35+LOOKUP(I$5,'Cost Planning'!$H$8:$BO$8,'Cost Planning'!$H$61:$BO$61)</f>
        <v>0</v>
      </c>
      <c r="J35" s="158">
        <f>I35+LOOKUP(J$5,'Cost Planning'!$H$8:$BO$8,'Cost Planning'!$H$61:$BO$61)</f>
        <v>0</v>
      </c>
      <c r="K35" s="158">
        <f>J35+LOOKUP(K$5,'Cost Planning'!$H$8:$BO$8,'Cost Planning'!$H$61:$BO$61)</f>
        <v>0</v>
      </c>
      <c r="L35" s="158">
        <f>K35+LOOKUP(L$5,'Cost Planning'!$H$8:$BO$8,'Cost Planning'!$H$61:$BO$61)</f>
        <v>0</v>
      </c>
      <c r="M35" s="158">
        <f>L35+LOOKUP(M$5,'Cost Planning'!$H$8:$BO$8,'Cost Planning'!$H$61:$BO$61)</f>
        <v>0</v>
      </c>
      <c r="N35" s="158">
        <f>M35+LOOKUP(N$5,'Cost Planning'!$H$8:$BO$8,'Cost Planning'!$H$61:$BO$61)</f>
        <v>0</v>
      </c>
      <c r="O35" s="158">
        <f>N35+LOOKUP(O$5,'Cost Planning'!$H$8:$BO$8,'Cost Planning'!$H$61:$BO$61)</f>
        <v>0</v>
      </c>
      <c r="P35" s="158">
        <f>O35+LOOKUP(P$5,'Cost Planning'!$H$8:$BO$8,'Cost Planning'!$H$61:$BO$61)</f>
        <v>0</v>
      </c>
      <c r="Q35" s="158">
        <f>P35+LOOKUP(Q$5,'Cost Planning'!$H$8:$BO$8,'Cost Planning'!$H$61:$BO$61)</f>
        <v>0</v>
      </c>
      <c r="R35" s="158">
        <f>Q35+LOOKUP(R$5,'Cost Planning'!$H$8:$BO$8,'Cost Planning'!$H$61:$BO$61)</f>
        <v>0</v>
      </c>
      <c r="S35" s="158">
        <f>R35+LOOKUP(S$5,'Cost Planning'!$H$8:$BO$8,'Cost Planning'!$H$61:$BO$61)</f>
        <v>0</v>
      </c>
      <c r="T35" s="158">
        <f>S35+LOOKUP(T$5,'Cost Planning'!$H$8:$BO$8,'Cost Planning'!$H$61:$BO$61)</f>
        <v>0</v>
      </c>
      <c r="U35" s="158">
        <f>T35+LOOKUP(U$5,'Cost Planning'!$H$8:$BO$8,'Cost Planning'!$H$61:$BO$61)</f>
        <v>0</v>
      </c>
      <c r="V35" s="158">
        <f>U35+LOOKUP(V$5,'Cost Planning'!$H$8:$BO$8,'Cost Planning'!$H$61:$BO$61)</f>
        <v>0</v>
      </c>
      <c r="W35" s="158">
        <f>V35+LOOKUP(W$5,'Cost Planning'!$H$8:$BO$8,'Cost Planning'!$H$61:$BO$61)</f>
        <v>0</v>
      </c>
      <c r="X35" s="158">
        <f>W35+LOOKUP(X$5,'Cost Planning'!$H$8:$BO$8,'Cost Planning'!$H$61:$BO$61)</f>
        <v>0</v>
      </c>
      <c r="Y35" s="158">
        <f>X35+LOOKUP(Y$5,'Cost Planning'!$H$8:$BO$8,'Cost Planning'!$H$61:$BO$61)</f>
        <v>0</v>
      </c>
      <c r="Z35" s="158">
        <f>Y35+LOOKUP(Z$5,'Cost Planning'!$H$8:$BO$8,'Cost Planning'!$H$61:$BO$61)</f>
        <v>0</v>
      </c>
      <c r="AA35" s="158">
        <f>Z35+LOOKUP(AA$5,'Cost Planning'!$H$8:$BO$8,'Cost Planning'!$H$61:$BO$61)</f>
        <v>0</v>
      </c>
      <c r="AB35" s="158">
        <f>AA35+LOOKUP(AB$5,'Cost Planning'!$H$8:$BO$8,'Cost Planning'!$H$61:$BO$61)</f>
        <v>0</v>
      </c>
      <c r="AC35" s="158">
        <f>AB35+LOOKUP(AC$5,'Cost Planning'!$H$8:$BO$8,'Cost Planning'!$H$61:$BO$61)</f>
        <v>0</v>
      </c>
      <c r="AD35" s="158">
        <f>AC35+LOOKUP(AD$5,'Cost Planning'!$H$8:$BO$8,'Cost Planning'!$H$61:$BO$61)</f>
        <v>0</v>
      </c>
      <c r="AE35" s="158">
        <f>AD35+LOOKUP(AE$5,'Cost Planning'!$H$8:$BO$8,'Cost Planning'!$H$61:$BO$61)</f>
        <v>0</v>
      </c>
      <c r="AF35" s="158">
        <f>AE35+LOOKUP(AF$5,'Cost Planning'!$H$8:$BO$8,'Cost Planning'!$H$61:$BO$61)</f>
        <v>0</v>
      </c>
      <c r="AG35" s="158">
        <f>AF35+LOOKUP(AG$5,'Cost Planning'!$H$8:$BO$8,'Cost Planning'!$H$61:$BO$61)</f>
        <v>0</v>
      </c>
      <c r="AH35" s="158">
        <f>AG35+LOOKUP(AH$5,'Cost Planning'!$H$8:$BO$8,'Cost Planning'!$H$61:$BO$61)</f>
        <v>0</v>
      </c>
      <c r="AI35" s="158">
        <f>AH35+LOOKUP(AI$5,'Cost Planning'!$H$8:$BO$8,'Cost Planning'!$H$61:$BO$61)</f>
        <v>0</v>
      </c>
      <c r="AJ35" s="158">
        <f>AI35+LOOKUP(AJ$5,'Cost Planning'!$H$8:$BO$8,'Cost Planning'!$H$61:$BO$61)</f>
        <v>0</v>
      </c>
      <c r="AK35" s="158">
        <f>AJ35+LOOKUP(AK$5,'Cost Planning'!$H$8:$BO$8,'Cost Planning'!$H$61:$BO$61)</f>
        <v>0</v>
      </c>
      <c r="AL35" s="158">
        <f>AK35+LOOKUP(AL$5,'Cost Planning'!$H$8:$BO$8,'Cost Planning'!$H$61:$BO$61)</f>
        <v>0</v>
      </c>
      <c r="AM35" s="158">
        <f>AL35+LOOKUP(AM$5,'Cost Planning'!$H$8:$BO$8,'Cost Planning'!$H$61:$BO$61)</f>
        <v>0</v>
      </c>
      <c r="AN35" s="158">
        <f>AM35+LOOKUP(AN$5,'Cost Planning'!$H$8:$BO$8,'Cost Planning'!$H$61:$BO$61)</f>
        <v>0</v>
      </c>
      <c r="AO35" s="158">
        <f>AN35+LOOKUP(AO$5,'Cost Planning'!$H$8:$BO$8,'Cost Planning'!$H$61:$BO$61)</f>
        <v>0</v>
      </c>
      <c r="AP35" s="158">
        <f>AO35+LOOKUP(AP$5,'Cost Planning'!$H$8:$BO$8,'Cost Planning'!$H$61:$BO$61)</f>
        <v>0</v>
      </c>
      <c r="AQ35" s="158">
        <f>AP35+LOOKUP(AQ$5,'Cost Planning'!$H$8:$BO$8,'Cost Planning'!$H$61:$BO$61)</f>
        <v>0</v>
      </c>
      <c r="AR35" s="158">
        <f>AQ35+LOOKUP(AR$5,'Cost Planning'!$H$8:$BO$8,'Cost Planning'!$H$61:$BO$61)</f>
        <v>0</v>
      </c>
      <c r="AS35" s="158">
        <f>AR35+LOOKUP(AS$5,'Cost Planning'!$H$8:$BO$8,'Cost Planning'!$H$61:$BO$61)</f>
        <v>0</v>
      </c>
      <c r="AT35" s="158">
        <f>AS35+LOOKUP(AT$5,'Cost Planning'!$H$8:$BO$8,'Cost Planning'!$H$61:$BO$61)</f>
        <v>0</v>
      </c>
      <c r="AU35" s="158">
        <f>AT35+LOOKUP(AU$5,'Cost Planning'!$H$8:$BO$8,'Cost Planning'!$H$61:$BO$61)</f>
        <v>0</v>
      </c>
      <c r="AV35" s="158">
        <f>AU35+LOOKUP(AV$5,'Cost Planning'!$H$8:$BO$8,'Cost Planning'!$H$61:$BO$61)</f>
        <v>0</v>
      </c>
      <c r="AW35" s="158">
        <f>AV35+LOOKUP(AW$5,'Cost Planning'!$H$8:$BO$8,'Cost Planning'!$H$61:$BO$61)</f>
        <v>0</v>
      </c>
      <c r="AX35" s="158">
        <f>AW35+LOOKUP(AX$5,'Cost Planning'!$H$8:$BO$8,'Cost Planning'!$H$61:$BO$61)</f>
        <v>0</v>
      </c>
      <c r="AY35" s="158">
        <f>AX35+LOOKUP(AY$5,'Cost Planning'!$H$8:$BO$8,'Cost Planning'!$H$61:$BO$61)</f>
        <v>0</v>
      </c>
      <c r="AZ35" s="158">
        <f>AY35+LOOKUP(AZ$5,'Cost Planning'!$H$8:$BO$8,'Cost Planning'!$H$61:$BO$61)</f>
        <v>0</v>
      </c>
      <c r="BA35" s="158">
        <f>AZ35+LOOKUP(BA$5,'Cost Planning'!$H$8:$BO$8,'Cost Planning'!$H$61:$BO$61)</f>
        <v>0</v>
      </c>
      <c r="BB35" s="158">
        <f>BA35+LOOKUP(BB$5,'Cost Planning'!$H$8:$BO$8,'Cost Planning'!$H$61:$BO$61)</f>
        <v>0</v>
      </c>
      <c r="BC35" s="158">
        <f>BB35+LOOKUP(BC$5,'Cost Planning'!$H$8:$BO$8,'Cost Planning'!$H$61:$BO$61)</f>
        <v>0</v>
      </c>
      <c r="BD35" s="158">
        <f>BC35+LOOKUP(BD$5,'Cost Planning'!$H$8:$BO$8,'Cost Planning'!$H$61:$BO$61)</f>
        <v>0</v>
      </c>
      <c r="BE35" s="158">
        <f>BD35+LOOKUP(BE$5,'Cost Planning'!$H$8:$BO$8,'Cost Planning'!$H$61:$BO$61)</f>
        <v>0</v>
      </c>
      <c r="BF35" s="158">
        <f>BE35+LOOKUP(BF$5,'Cost Planning'!$H$8:$BO$8,'Cost Planning'!$H$61:$BO$61)</f>
        <v>0</v>
      </c>
      <c r="BG35" s="158">
        <f>BF35+LOOKUP(BG$5,'Cost Planning'!$H$8:$BO$8,'Cost Planning'!$H$61:$BO$61)</f>
        <v>0</v>
      </c>
      <c r="BH35" s="158">
        <f>BG35+LOOKUP(BH$5,'Cost Planning'!$H$8:$BO$8,'Cost Planning'!$H$61:$BO$61)</f>
        <v>0</v>
      </c>
      <c r="BI35" s="158">
        <f>BH35+LOOKUP(BI$5,'Cost Planning'!$H$8:$BO$8,'Cost Planning'!$H$61:$BO$61)</f>
        <v>0</v>
      </c>
      <c r="BJ35" s="158">
        <f>BI35+LOOKUP(BJ$5,'Cost Planning'!$H$8:$BO$8,'Cost Planning'!$H$61:$BO$61)</f>
        <v>0</v>
      </c>
      <c r="BK35" s="158">
        <f>BJ35+LOOKUP(BK$5,'Cost Planning'!$H$8:$BO$8,'Cost Planning'!$H$61:$BO$61)</f>
        <v>0</v>
      </c>
      <c r="BL35" s="158">
        <f>BK35+LOOKUP(BL$5,'Cost Planning'!$H$8:$BO$8,'Cost Planning'!$H$61:$BO$61)</f>
        <v>0</v>
      </c>
    </row>
    <row r="36" spans="2:77" s="67" customFormat="1" ht="25" customHeight="1" outlineLevel="1" x14ac:dyDescent="0.3">
      <c r="B36" s="298" t="s">
        <v>172</v>
      </c>
      <c r="C36" s="298"/>
      <c r="D36" s="158">
        <f>'Project Infor'!C49</f>
        <v>0</v>
      </c>
      <c r="E36" s="158">
        <f>D36+LOOKUP(E$5,'Cost Planning'!$H$8:$BO$8,'Cost Planning'!$H$77:$BO$77)</f>
        <v>0</v>
      </c>
      <c r="F36" s="158">
        <f>E36+LOOKUP(F$5,'Cost Planning'!$H$8:$BO$8,'Cost Planning'!$H$77:$BO$77)</f>
        <v>0</v>
      </c>
      <c r="G36" s="158">
        <f>F36+LOOKUP(G$5,'Cost Planning'!$H$8:$BO$8,'Cost Planning'!$H$77:$BO$77)</f>
        <v>0</v>
      </c>
      <c r="H36" s="158">
        <f>G36+LOOKUP(H$5,'Cost Planning'!$H$8:$BO$8,'Cost Planning'!$H$77:$BO$77)</f>
        <v>0</v>
      </c>
      <c r="I36" s="158">
        <f>H36+LOOKUP(I$5,'Cost Planning'!$H$8:$BO$8,'Cost Planning'!$H$77:$BO$77)</f>
        <v>0</v>
      </c>
      <c r="J36" s="158">
        <f>I36+LOOKUP(J$5,'Cost Planning'!$H$8:$BO$8,'Cost Planning'!$H$77:$BO$77)</f>
        <v>0</v>
      </c>
      <c r="K36" s="158">
        <f>J36+LOOKUP(K$5,'Cost Planning'!$H$8:$BO$8,'Cost Planning'!$H$77:$BO$77)</f>
        <v>0</v>
      </c>
      <c r="L36" s="158">
        <f>K36+LOOKUP(L$5,'Cost Planning'!$H$8:$BO$8,'Cost Planning'!$H$77:$BO$77)</f>
        <v>0</v>
      </c>
      <c r="M36" s="158">
        <f>L36+LOOKUP(M$5,'Cost Planning'!$H$8:$BO$8,'Cost Planning'!$H$77:$BO$77)</f>
        <v>0</v>
      </c>
      <c r="N36" s="158">
        <f>M36+LOOKUP(N$5,'Cost Planning'!$H$8:$BO$8,'Cost Planning'!$H$77:$BO$77)</f>
        <v>0</v>
      </c>
      <c r="O36" s="158">
        <f>N36+LOOKUP(O$5,'Cost Planning'!$H$8:$BO$8,'Cost Planning'!$H$77:$BO$77)</f>
        <v>0</v>
      </c>
      <c r="P36" s="158">
        <f>O36+LOOKUP(P$5,'Cost Planning'!$H$8:$BO$8,'Cost Planning'!$H$77:$BO$77)</f>
        <v>0</v>
      </c>
      <c r="Q36" s="158">
        <f>P36+LOOKUP(Q$5,'Cost Planning'!$H$8:$BO$8,'Cost Planning'!$H$77:$BO$77)</f>
        <v>0</v>
      </c>
      <c r="R36" s="158">
        <f>Q36+LOOKUP(R$5,'Cost Planning'!$H$8:$BO$8,'Cost Planning'!$H$77:$BO$77)</f>
        <v>0</v>
      </c>
      <c r="S36" s="158">
        <f>R36+LOOKUP(S$5,'Cost Planning'!$H$8:$BO$8,'Cost Planning'!$H$77:$BO$77)</f>
        <v>0</v>
      </c>
      <c r="T36" s="158">
        <f>S36+LOOKUP(T$5,'Cost Planning'!$H$8:$BO$8,'Cost Planning'!$H$77:$BO$77)</f>
        <v>0</v>
      </c>
      <c r="U36" s="158">
        <f>T36+LOOKUP(U$5,'Cost Planning'!$H$8:$BO$8,'Cost Planning'!$H$77:$BO$77)</f>
        <v>0</v>
      </c>
      <c r="V36" s="158">
        <f>U36+LOOKUP(V$5,'Cost Planning'!$H$8:$BO$8,'Cost Planning'!$H$77:$BO$77)</f>
        <v>0</v>
      </c>
      <c r="W36" s="158">
        <f>V36+LOOKUP(W$5,'Cost Planning'!$H$8:$BO$8,'Cost Planning'!$H$77:$BO$77)</f>
        <v>0</v>
      </c>
      <c r="X36" s="158">
        <f>W36+LOOKUP(X$5,'Cost Planning'!$H$8:$BO$8,'Cost Planning'!$H$77:$BO$77)</f>
        <v>0</v>
      </c>
      <c r="Y36" s="158">
        <f>X36+LOOKUP(Y$5,'Cost Planning'!$H$8:$BO$8,'Cost Planning'!$H$77:$BO$77)</f>
        <v>0</v>
      </c>
      <c r="Z36" s="158">
        <f>Y36+LOOKUP(Z$5,'Cost Planning'!$H$8:$BO$8,'Cost Planning'!$H$77:$BO$77)</f>
        <v>0</v>
      </c>
      <c r="AA36" s="158">
        <f>Z36+LOOKUP(AA$5,'Cost Planning'!$H$8:$BO$8,'Cost Planning'!$H$77:$BO$77)</f>
        <v>0</v>
      </c>
      <c r="AB36" s="158">
        <f>AA36+LOOKUP(AB$5,'Cost Planning'!$H$8:$BO$8,'Cost Planning'!$H$77:$BO$77)</f>
        <v>0</v>
      </c>
      <c r="AC36" s="158">
        <f>AB36+LOOKUP(AC$5,'Cost Planning'!$H$8:$BO$8,'Cost Planning'!$H$77:$BO$77)</f>
        <v>0</v>
      </c>
      <c r="AD36" s="158">
        <f>AC36+LOOKUP(AD$5,'Cost Planning'!$H$8:$BO$8,'Cost Planning'!$H$77:$BO$77)</f>
        <v>0</v>
      </c>
      <c r="AE36" s="158">
        <f>AD36+LOOKUP(AE$5,'Cost Planning'!$H$8:$BO$8,'Cost Planning'!$H$77:$BO$77)</f>
        <v>0</v>
      </c>
      <c r="AF36" s="158">
        <f>AE36+LOOKUP(AF$5,'Cost Planning'!$H$8:$BO$8,'Cost Planning'!$H$77:$BO$77)</f>
        <v>0</v>
      </c>
      <c r="AG36" s="158">
        <f>AF36+LOOKUP(AG$5,'Cost Planning'!$H$8:$BO$8,'Cost Planning'!$H$77:$BO$77)</f>
        <v>0</v>
      </c>
      <c r="AH36" s="158">
        <f>AG36+LOOKUP(AH$5,'Cost Planning'!$H$8:$BO$8,'Cost Planning'!$H$77:$BO$77)</f>
        <v>0</v>
      </c>
      <c r="AI36" s="158">
        <f>AH36+LOOKUP(AI$5,'Cost Planning'!$H$8:$BO$8,'Cost Planning'!$H$77:$BO$77)</f>
        <v>0</v>
      </c>
      <c r="AJ36" s="158">
        <f>AI36+LOOKUP(AJ$5,'Cost Planning'!$H$8:$BO$8,'Cost Planning'!$H$77:$BO$77)</f>
        <v>0</v>
      </c>
      <c r="AK36" s="158">
        <f>AJ36+LOOKUP(AK$5,'Cost Planning'!$H$8:$BO$8,'Cost Planning'!$H$77:$BO$77)</f>
        <v>0</v>
      </c>
      <c r="AL36" s="158">
        <f>AK36+LOOKUP(AL$5,'Cost Planning'!$H$8:$BO$8,'Cost Planning'!$H$77:$BO$77)</f>
        <v>0</v>
      </c>
      <c r="AM36" s="158">
        <f>AL36+LOOKUP(AM$5,'Cost Planning'!$H$8:$BO$8,'Cost Planning'!$H$77:$BO$77)</f>
        <v>0</v>
      </c>
      <c r="AN36" s="158">
        <f>AM36+LOOKUP(AN$5,'Cost Planning'!$H$8:$BO$8,'Cost Planning'!$H$77:$BO$77)</f>
        <v>0</v>
      </c>
      <c r="AO36" s="158">
        <f>AN36+LOOKUP(AO$5,'Cost Planning'!$H$8:$BO$8,'Cost Planning'!$H$77:$BO$77)</f>
        <v>0</v>
      </c>
      <c r="AP36" s="158">
        <f>AO36+LOOKUP(AP$5,'Cost Planning'!$H$8:$BO$8,'Cost Planning'!$H$77:$BO$77)</f>
        <v>0</v>
      </c>
      <c r="AQ36" s="158">
        <f>AP36+LOOKUP(AQ$5,'Cost Planning'!$H$8:$BO$8,'Cost Planning'!$H$77:$BO$77)</f>
        <v>0</v>
      </c>
      <c r="AR36" s="158">
        <f>AQ36+LOOKUP(AR$5,'Cost Planning'!$H$8:$BO$8,'Cost Planning'!$H$77:$BO$77)</f>
        <v>0</v>
      </c>
      <c r="AS36" s="158">
        <f>AR36+LOOKUP(AS$5,'Cost Planning'!$H$8:$BO$8,'Cost Planning'!$H$77:$BO$77)</f>
        <v>0</v>
      </c>
      <c r="AT36" s="158">
        <f>AS36+LOOKUP(AT$5,'Cost Planning'!$H$8:$BO$8,'Cost Planning'!$H$77:$BO$77)</f>
        <v>0</v>
      </c>
      <c r="AU36" s="158">
        <f>AT36+LOOKUP(AU$5,'Cost Planning'!$H$8:$BO$8,'Cost Planning'!$H$77:$BO$77)</f>
        <v>0</v>
      </c>
      <c r="AV36" s="158">
        <f>AU36+LOOKUP(AV$5,'Cost Planning'!$H$8:$BO$8,'Cost Planning'!$H$77:$BO$77)</f>
        <v>0</v>
      </c>
      <c r="AW36" s="158">
        <f>AV36+LOOKUP(AW$5,'Cost Planning'!$H$8:$BO$8,'Cost Planning'!$H$77:$BO$77)</f>
        <v>0</v>
      </c>
      <c r="AX36" s="158">
        <f>AW36+LOOKUP(AX$5,'Cost Planning'!$H$8:$BO$8,'Cost Planning'!$H$77:$BO$77)</f>
        <v>0</v>
      </c>
      <c r="AY36" s="158">
        <f>AX36+LOOKUP(AY$5,'Cost Planning'!$H$8:$BO$8,'Cost Planning'!$H$77:$BO$77)</f>
        <v>0</v>
      </c>
      <c r="AZ36" s="158">
        <f>AY36+LOOKUP(AZ$5,'Cost Planning'!$H$8:$BO$8,'Cost Planning'!$H$77:$BO$77)</f>
        <v>0</v>
      </c>
      <c r="BA36" s="158">
        <f>AZ36+LOOKUP(BA$5,'Cost Planning'!$H$8:$BO$8,'Cost Planning'!$H$77:$BO$77)</f>
        <v>0</v>
      </c>
      <c r="BB36" s="158">
        <f>BA36+LOOKUP(BB$5,'Cost Planning'!$H$8:$BO$8,'Cost Planning'!$H$77:$BO$77)</f>
        <v>0</v>
      </c>
      <c r="BC36" s="158">
        <f>BB36+LOOKUP(BC$5,'Cost Planning'!$H$8:$BO$8,'Cost Planning'!$H$77:$BO$77)</f>
        <v>0</v>
      </c>
      <c r="BD36" s="158">
        <f>BC36+LOOKUP(BD$5,'Cost Planning'!$H$8:$BO$8,'Cost Planning'!$H$77:$BO$77)</f>
        <v>0</v>
      </c>
      <c r="BE36" s="158">
        <f>BD36+LOOKUP(BE$5,'Cost Planning'!$H$8:$BO$8,'Cost Planning'!$H$77:$BO$77)</f>
        <v>0</v>
      </c>
      <c r="BF36" s="158">
        <f>BE36+LOOKUP(BF$5,'Cost Planning'!$H$8:$BO$8,'Cost Planning'!$H$77:$BO$77)</f>
        <v>0</v>
      </c>
      <c r="BG36" s="158">
        <f>BF36+LOOKUP(BG$5,'Cost Planning'!$H$8:$BO$8,'Cost Planning'!$H$77:$BO$77)</f>
        <v>0</v>
      </c>
      <c r="BH36" s="158">
        <f>BG36+LOOKUP(BH$5,'Cost Planning'!$H$8:$BO$8,'Cost Planning'!$H$77:$BO$77)</f>
        <v>0</v>
      </c>
      <c r="BI36" s="158">
        <f>BH36+LOOKUP(BI$5,'Cost Planning'!$H$8:$BO$8,'Cost Planning'!$H$77:$BO$77)</f>
        <v>0</v>
      </c>
      <c r="BJ36" s="158">
        <f>BI36+LOOKUP(BJ$5,'Cost Planning'!$H$8:$BO$8,'Cost Planning'!$H$77:$BO$77)</f>
        <v>0</v>
      </c>
      <c r="BK36" s="158">
        <f>BJ36+LOOKUP(BK$5,'Cost Planning'!$H$8:$BO$8,'Cost Planning'!$H$77:$BO$77)</f>
        <v>0</v>
      </c>
      <c r="BL36" s="158">
        <f>BK36+LOOKUP(BL$5,'Cost Planning'!$H$8:$BO$8,'Cost Planning'!$H$77:$BO$77)</f>
        <v>0</v>
      </c>
    </row>
    <row r="37" spans="2:77" s="67" customFormat="1" ht="25" customHeight="1" x14ac:dyDescent="0.3">
      <c r="B37" s="298" t="s">
        <v>65</v>
      </c>
      <c r="C37" s="298"/>
      <c r="D37" s="151">
        <f>SUM(D32:D36)</f>
        <v>0</v>
      </c>
      <c r="E37" s="151">
        <f>SUM(E32:E36)</f>
        <v>7102.7849999999999</v>
      </c>
      <c r="F37" s="158">
        <f t="shared" ref="F37:AB37" si="250">SUM(F32:F36)</f>
        <v>14205.57</v>
      </c>
      <c r="G37" s="158">
        <f t="shared" si="250"/>
        <v>21308.355</v>
      </c>
      <c r="H37" s="158">
        <f t="shared" si="250"/>
        <v>28411.14</v>
      </c>
      <c r="I37" s="158">
        <f t="shared" si="250"/>
        <v>35513.925000000003</v>
      </c>
      <c r="J37" s="158">
        <f t="shared" si="250"/>
        <v>42616.710000000006</v>
      </c>
      <c r="K37" s="158">
        <f t="shared" si="250"/>
        <v>49719.49500000001</v>
      </c>
      <c r="L37" s="158">
        <f t="shared" si="250"/>
        <v>56822.280000000013</v>
      </c>
      <c r="M37" s="158">
        <f t="shared" si="250"/>
        <v>63925.065000000017</v>
      </c>
      <c r="N37" s="158">
        <f t="shared" si="250"/>
        <v>71027.85000000002</v>
      </c>
      <c r="O37" s="158">
        <f t="shared" si="250"/>
        <v>78130.635000000024</v>
      </c>
      <c r="P37" s="158">
        <f t="shared" si="250"/>
        <v>85233.420000000027</v>
      </c>
      <c r="Q37" s="158">
        <f t="shared" si="250"/>
        <v>92549.288550000027</v>
      </c>
      <c r="R37" s="158">
        <f t="shared" si="250"/>
        <v>99865.157100000026</v>
      </c>
      <c r="S37" s="158">
        <f t="shared" si="250"/>
        <v>107181.02565000003</v>
      </c>
      <c r="T37" s="158">
        <f t="shared" si="250"/>
        <v>114496.89420000002</v>
      </c>
      <c r="U37" s="158">
        <f t="shared" si="250"/>
        <v>121812.76275000002</v>
      </c>
      <c r="V37" s="158">
        <f t="shared" si="250"/>
        <v>129128.63130000002</v>
      </c>
      <c r="W37" s="158">
        <f t="shared" si="250"/>
        <v>136444.49985000002</v>
      </c>
      <c r="X37" s="158">
        <f t="shared" si="250"/>
        <v>143760.36840000004</v>
      </c>
      <c r="Y37" s="158">
        <f t="shared" si="250"/>
        <v>151076.23695000005</v>
      </c>
      <c r="Z37" s="158">
        <f t="shared" si="250"/>
        <v>158392.10550000006</v>
      </c>
      <c r="AA37" s="158">
        <f t="shared" si="250"/>
        <v>165707.97405000008</v>
      </c>
      <c r="AB37" s="158">
        <f t="shared" si="250"/>
        <v>173023.84260000009</v>
      </c>
      <c r="AC37" s="158">
        <f t="shared" ref="AC37:BL37" si="251">SUM(AC32:AC36)</f>
        <v>180559.18720650009</v>
      </c>
      <c r="AD37" s="158">
        <f t="shared" si="251"/>
        <v>188094.5318130001</v>
      </c>
      <c r="AE37" s="158">
        <f t="shared" si="251"/>
        <v>195629.8764195001</v>
      </c>
      <c r="AF37" s="158">
        <f t="shared" si="251"/>
        <v>203165.2210260001</v>
      </c>
      <c r="AG37" s="158">
        <f t="shared" si="251"/>
        <v>210700.5656325001</v>
      </c>
      <c r="AH37" s="158">
        <f t="shared" si="251"/>
        <v>218235.91023900011</v>
      </c>
      <c r="AI37" s="158">
        <f t="shared" si="251"/>
        <v>225771.25484550011</v>
      </c>
      <c r="AJ37" s="158">
        <f t="shared" si="251"/>
        <v>233306.59945200011</v>
      </c>
      <c r="AK37" s="158">
        <f t="shared" si="251"/>
        <v>240841.94405850011</v>
      </c>
      <c r="AL37" s="158">
        <f t="shared" si="251"/>
        <v>248377.28866500012</v>
      </c>
      <c r="AM37" s="158">
        <f t="shared" si="251"/>
        <v>255912.63327150012</v>
      </c>
      <c r="AN37" s="158">
        <f t="shared" si="251"/>
        <v>263447.97787800012</v>
      </c>
      <c r="AO37" s="158">
        <f t="shared" si="251"/>
        <v>271209.38282269513</v>
      </c>
      <c r="AP37" s="158">
        <f t="shared" si="251"/>
        <v>278970.78776739014</v>
      </c>
      <c r="AQ37" s="158">
        <f t="shared" si="251"/>
        <v>286732.19271208515</v>
      </c>
      <c r="AR37" s="158">
        <f t="shared" si="251"/>
        <v>294493.59765678016</v>
      </c>
      <c r="AS37" s="158">
        <f t="shared" si="251"/>
        <v>302255.00260147516</v>
      </c>
      <c r="AT37" s="158">
        <f t="shared" si="251"/>
        <v>310016.40754617017</v>
      </c>
      <c r="AU37" s="158">
        <f t="shared" si="251"/>
        <v>317777.81249086518</v>
      </c>
      <c r="AV37" s="158">
        <f t="shared" si="251"/>
        <v>325539.21743556019</v>
      </c>
      <c r="AW37" s="158">
        <f t="shared" si="251"/>
        <v>333300.6223802552</v>
      </c>
      <c r="AX37" s="158">
        <f t="shared" si="251"/>
        <v>341062.02732495021</v>
      </c>
      <c r="AY37" s="158">
        <f t="shared" si="251"/>
        <v>348823.43226964521</v>
      </c>
      <c r="AZ37" s="158">
        <f t="shared" si="251"/>
        <v>360150.6872143402</v>
      </c>
      <c r="BA37" s="158">
        <f t="shared" si="251"/>
        <v>360150.6872143402</v>
      </c>
      <c r="BB37" s="158">
        <f t="shared" si="251"/>
        <v>360150.6872143402</v>
      </c>
      <c r="BC37" s="158">
        <f t="shared" si="251"/>
        <v>360150.6872143402</v>
      </c>
      <c r="BD37" s="158">
        <f t="shared" si="251"/>
        <v>360150.6872143402</v>
      </c>
      <c r="BE37" s="158">
        <f t="shared" si="251"/>
        <v>360150.6872143402</v>
      </c>
      <c r="BF37" s="158">
        <f t="shared" si="251"/>
        <v>360150.6872143402</v>
      </c>
      <c r="BG37" s="158">
        <f t="shared" si="251"/>
        <v>360150.6872143402</v>
      </c>
      <c r="BH37" s="158">
        <f t="shared" si="251"/>
        <v>360150.6872143402</v>
      </c>
      <c r="BI37" s="158">
        <f t="shared" si="251"/>
        <v>360150.6872143402</v>
      </c>
      <c r="BJ37" s="158">
        <f t="shared" si="251"/>
        <v>360150.6872143402</v>
      </c>
      <c r="BK37" s="158">
        <f t="shared" si="251"/>
        <v>360150.6872143402</v>
      </c>
      <c r="BL37" s="158">
        <f t="shared" si="251"/>
        <v>360150.6872143402</v>
      </c>
    </row>
    <row r="38" spans="2:77" s="67" customFormat="1" ht="25" customHeight="1" x14ac:dyDescent="0.3">
      <c r="B38" s="299" t="s">
        <v>181</v>
      </c>
      <c r="C38" s="299"/>
      <c r="D38" s="159">
        <f>D30-D32-D33-D34-D35-D36</f>
        <v>0</v>
      </c>
      <c r="E38" s="159">
        <f ca="1">E30-E32-E33-E34-E35-E36</f>
        <v>2584.7150000000001</v>
      </c>
      <c r="F38" s="159">
        <f t="shared" ref="F38:Z38" ca="1" si="252">F30-F32-F33-F34-F35-F36</f>
        <v>5169.43</v>
      </c>
      <c r="G38" s="159">
        <f t="shared" ca="1" si="252"/>
        <v>7754.1450000000004</v>
      </c>
      <c r="H38" s="159">
        <f t="shared" ca="1" si="252"/>
        <v>10338.86</v>
      </c>
      <c r="I38" s="159">
        <f t="shared" ca="1" si="252"/>
        <v>12923.574999999997</v>
      </c>
      <c r="J38" s="159">
        <f t="shared" ca="1" si="252"/>
        <v>15508.289999999994</v>
      </c>
      <c r="K38" s="159">
        <f t="shared" ca="1" si="252"/>
        <v>18093.00499999999</v>
      </c>
      <c r="L38" s="159">
        <f t="shared" ca="1" si="252"/>
        <v>20677.719999999987</v>
      </c>
      <c r="M38" s="159">
        <f t="shared" ca="1" si="252"/>
        <v>23262.434999999983</v>
      </c>
      <c r="N38" s="159">
        <f t="shared" ca="1" si="252"/>
        <v>25847.14999999998</v>
      </c>
      <c r="O38" s="159">
        <f t="shared" ca="1" si="252"/>
        <v>28431.864999999976</v>
      </c>
      <c r="P38" s="159">
        <f t="shared" ca="1" si="252"/>
        <v>31016.579999999973</v>
      </c>
      <c r="Q38" s="159">
        <f t="shared" ca="1" si="252"/>
        <v>33388.211449999973</v>
      </c>
      <c r="R38" s="159">
        <f t="shared" ca="1" si="252"/>
        <v>35759.842899999974</v>
      </c>
      <c r="S38" s="159">
        <f t="shared" ca="1" si="252"/>
        <v>38131.474349999975</v>
      </c>
      <c r="T38" s="159">
        <f t="shared" ca="1" si="252"/>
        <v>40503.105799999976</v>
      </c>
      <c r="U38" s="159">
        <f t="shared" ca="1" si="252"/>
        <v>42874.737249999976</v>
      </c>
      <c r="V38" s="159">
        <f t="shared" ca="1" si="252"/>
        <v>45246.368699999977</v>
      </c>
      <c r="W38" s="159">
        <f t="shared" ca="1" si="252"/>
        <v>47618.000149999978</v>
      </c>
      <c r="X38" s="159">
        <f t="shared" ca="1" si="252"/>
        <v>49989.631599999964</v>
      </c>
      <c r="Y38" s="159">
        <f t="shared" ca="1" si="252"/>
        <v>52361.26304999995</v>
      </c>
      <c r="Z38" s="159">
        <f t="shared" ca="1" si="252"/>
        <v>54732.894499999937</v>
      </c>
      <c r="AA38" s="159">
        <f ca="1">AA30-AA32-AA33-AA34-AA35-AA36</f>
        <v>57104.525949999923</v>
      </c>
      <c r="AB38" s="159">
        <f ca="1">AB30-AB32-AB33-AB34-AB35-AB36</f>
        <v>59476.157399999909</v>
      </c>
      <c r="AC38" s="159">
        <f t="shared" ref="AC38:BL38" ca="1" si="253">AC30-AC32-AC33-AC34-AC35-AC36</f>
        <v>61628.312793499907</v>
      </c>
      <c r="AD38" s="159">
        <f t="shared" ca="1" si="253"/>
        <v>63780.468186999904</v>
      </c>
      <c r="AE38" s="159">
        <f t="shared" ca="1" si="253"/>
        <v>65932.623580499901</v>
      </c>
      <c r="AF38" s="159">
        <f t="shared" ca="1" si="253"/>
        <v>68084.778973999899</v>
      </c>
      <c r="AG38" s="159">
        <f t="shared" ca="1" si="253"/>
        <v>70236.934367499896</v>
      </c>
      <c r="AH38" s="159">
        <f t="shared" ca="1" si="253"/>
        <v>72389.089760999894</v>
      </c>
      <c r="AI38" s="159">
        <f t="shared" ca="1" si="253"/>
        <v>74541.245154499891</v>
      </c>
      <c r="AJ38" s="159">
        <f t="shared" ca="1" si="253"/>
        <v>76693.400547999889</v>
      </c>
      <c r="AK38" s="159">
        <f t="shared" ca="1" si="253"/>
        <v>78845.555941499886</v>
      </c>
      <c r="AL38" s="159">
        <f t="shared" ca="1" si="253"/>
        <v>80997.711334999884</v>
      </c>
      <c r="AM38" s="159">
        <f t="shared" ca="1" si="253"/>
        <v>83149.866728499881</v>
      </c>
      <c r="AN38" s="159">
        <f t="shared" ca="1" si="253"/>
        <v>85302.022121999878</v>
      </c>
      <c r="AO38" s="159">
        <f t="shared" ca="1" si="253"/>
        <v>87228.11717730487</v>
      </c>
      <c r="AP38" s="159">
        <f t="shared" ca="1" si="253"/>
        <v>89154.212232609862</v>
      </c>
      <c r="AQ38" s="159">
        <f t="shared" ca="1" si="253"/>
        <v>91080.307287914853</v>
      </c>
      <c r="AR38" s="159">
        <f t="shared" ca="1" si="253"/>
        <v>93006.402343219845</v>
      </c>
      <c r="AS38" s="159">
        <f t="shared" ca="1" si="253"/>
        <v>94932.497398524836</v>
      </c>
      <c r="AT38" s="159">
        <f t="shared" ca="1" si="253"/>
        <v>96858.592453829828</v>
      </c>
      <c r="AU38" s="159">
        <f t="shared" ca="1" si="253"/>
        <v>98784.687509134819</v>
      </c>
      <c r="AV38" s="159">
        <f t="shared" ca="1" si="253"/>
        <v>100710.78256443981</v>
      </c>
      <c r="AW38" s="159">
        <f t="shared" ca="1" si="253"/>
        <v>102636.8776197448</v>
      </c>
      <c r="AX38" s="159">
        <f t="shared" ca="1" si="253"/>
        <v>104562.97267504979</v>
      </c>
      <c r="AY38" s="159">
        <f t="shared" ca="1" si="253"/>
        <v>106489.06773035479</v>
      </c>
      <c r="AZ38" s="159">
        <f t="shared" ca="1" si="253"/>
        <v>104849.31278565977</v>
      </c>
      <c r="BA38" s="159">
        <f t="shared" ca="1" si="253"/>
        <v>104849.31278565977</v>
      </c>
      <c r="BB38" s="159">
        <f t="shared" ca="1" si="253"/>
        <v>104849.31278565977</v>
      </c>
      <c r="BC38" s="159">
        <f t="shared" ca="1" si="253"/>
        <v>104849.31278565977</v>
      </c>
      <c r="BD38" s="159">
        <f t="shared" ca="1" si="253"/>
        <v>104849.31278565977</v>
      </c>
      <c r="BE38" s="159">
        <f t="shared" ca="1" si="253"/>
        <v>104849.31278565977</v>
      </c>
      <c r="BF38" s="159">
        <f t="shared" ca="1" si="253"/>
        <v>104849.31278565977</v>
      </c>
      <c r="BG38" s="159">
        <f t="shared" ca="1" si="253"/>
        <v>104849.31278565977</v>
      </c>
      <c r="BH38" s="159">
        <f t="shared" ca="1" si="253"/>
        <v>104849.31278565977</v>
      </c>
      <c r="BI38" s="159">
        <f t="shared" ca="1" si="253"/>
        <v>104849.31278565977</v>
      </c>
      <c r="BJ38" s="159">
        <f t="shared" ca="1" si="253"/>
        <v>104849.31278565977</v>
      </c>
      <c r="BK38" s="159">
        <f t="shared" ca="1" si="253"/>
        <v>104849.31278565977</v>
      </c>
      <c r="BL38" s="159">
        <f t="shared" ca="1" si="253"/>
        <v>104849.31278565977</v>
      </c>
    </row>
    <row r="39" spans="2:77" x14ac:dyDescent="0.3">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2:77" s="67" customFormat="1" ht="25" customHeight="1" x14ac:dyDescent="0.3">
      <c r="B40" s="301" t="s">
        <v>182</v>
      </c>
      <c r="C40" s="301"/>
      <c r="D40" s="161"/>
      <c r="E40" s="179" t="b">
        <f t="shared" ref="E40:AB40" ca="1" si="254">IF(OFFSET(E4,0,1)="Fin",E6)</f>
        <v>0</v>
      </c>
      <c r="F40" s="179" t="b">
        <f t="shared" ca="1" si="254"/>
        <v>0</v>
      </c>
      <c r="G40" s="179" t="b">
        <f t="shared" ca="1" si="254"/>
        <v>0</v>
      </c>
      <c r="H40" s="179" t="b">
        <f t="shared" ca="1" si="254"/>
        <v>0</v>
      </c>
      <c r="I40" s="179" t="b">
        <f t="shared" ca="1" si="254"/>
        <v>0</v>
      </c>
      <c r="J40" s="179" t="b">
        <f t="shared" ca="1" si="254"/>
        <v>0</v>
      </c>
      <c r="K40" s="179" t="b">
        <f t="shared" ca="1" si="254"/>
        <v>0</v>
      </c>
      <c r="L40" s="179" t="b">
        <f t="shared" ca="1" si="254"/>
        <v>0</v>
      </c>
      <c r="M40" s="179" t="b">
        <f t="shared" ca="1" si="254"/>
        <v>0</v>
      </c>
      <c r="N40" s="179" t="b">
        <f t="shared" ca="1" si="254"/>
        <v>0</v>
      </c>
      <c r="O40" s="179" t="b">
        <f t="shared" ca="1" si="254"/>
        <v>0</v>
      </c>
      <c r="P40" s="179" t="b">
        <f t="shared" ca="1" si="254"/>
        <v>0</v>
      </c>
      <c r="Q40" s="179" t="b">
        <f t="shared" ca="1" si="254"/>
        <v>0</v>
      </c>
      <c r="R40" s="179" t="b">
        <f t="shared" ca="1" si="254"/>
        <v>0</v>
      </c>
      <c r="S40" s="179" t="b">
        <f t="shared" ca="1" si="254"/>
        <v>0</v>
      </c>
      <c r="T40" s="179" t="b">
        <f t="shared" ca="1" si="254"/>
        <v>0</v>
      </c>
      <c r="U40" s="179" t="b">
        <f t="shared" ca="1" si="254"/>
        <v>0</v>
      </c>
      <c r="V40" s="179" t="b">
        <f t="shared" ca="1" si="254"/>
        <v>0</v>
      </c>
      <c r="W40" s="179" t="b">
        <f t="shared" ca="1" si="254"/>
        <v>0</v>
      </c>
      <c r="X40" s="179" t="b">
        <f t="shared" ca="1" si="254"/>
        <v>0</v>
      </c>
      <c r="Y40" s="179" t="b">
        <f t="shared" ca="1" si="254"/>
        <v>0</v>
      </c>
      <c r="Z40" s="179" t="b">
        <f t="shared" ca="1" si="254"/>
        <v>0</v>
      </c>
      <c r="AA40" s="179" t="b">
        <f t="shared" ca="1" si="254"/>
        <v>0</v>
      </c>
      <c r="AB40" s="179" t="b">
        <f t="shared" ca="1" si="254"/>
        <v>0</v>
      </c>
      <c r="AC40" s="179" t="b">
        <f t="shared" ref="AC40:BL40" ca="1" si="255">IF(OFFSET(AC4,0,1)="Fin",AC6)</f>
        <v>0</v>
      </c>
      <c r="AD40" s="179" t="b">
        <f t="shared" ca="1" si="255"/>
        <v>0</v>
      </c>
      <c r="AE40" s="179" t="b">
        <f t="shared" ca="1" si="255"/>
        <v>0</v>
      </c>
      <c r="AF40" s="179" t="b">
        <f t="shared" ca="1" si="255"/>
        <v>0</v>
      </c>
      <c r="AG40" s="179" t="b">
        <f t="shared" ca="1" si="255"/>
        <v>0</v>
      </c>
      <c r="AH40" s="179" t="b">
        <f t="shared" ca="1" si="255"/>
        <v>0</v>
      </c>
      <c r="AI40" s="179" t="b">
        <f t="shared" ca="1" si="255"/>
        <v>0</v>
      </c>
      <c r="AJ40" s="179" t="b">
        <f t="shared" ca="1" si="255"/>
        <v>0</v>
      </c>
      <c r="AK40" s="179" t="b">
        <f t="shared" ca="1" si="255"/>
        <v>0</v>
      </c>
      <c r="AL40" s="179" t="b">
        <f t="shared" ca="1" si="255"/>
        <v>0</v>
      </c>
      <c r="AM40" s="179" t="b">
        <f t="shared" ca="1" si="255"/>
        <v>0</v>
      </c>
      <c r="AN40" s="179" t="b">
        <f t="shared" ca="1" si="255"/>
        <v>0</v>
      </c>
      <c r="AO40" s="179" t="b">
        <f t="shared" ca="1" si="255"/>
        <v>0</v>
      </c>
      <c r="AP40" s="179" t="b">
        <f t="shared" ca="1" si="255"/>
        <v>0</v>
      </c>
      <c r="AQ40" s="179" t="b">
        <f t="shared" ca="1" si="255"/>
        <v>0</v>
      </c>
      <c r="AR40" s="179" t="b">
        <f t="shared" ca="1" si="255"/>
        <v>0</v>
      </c>
      <c r="AS40" s="179" t="b">
        <f t="shared" ca="1" si="255"/>
        <v>0</v>
      </c>
      <c r="AT40" s="179" t="b">
        <f t="shared" ca="1" si="255"/>
        <v>0</v>
      </c>
      <c r="AU40" s="179" t="b">
        <f t="shared" ca="1" si="255"/>
        <v>0</v>
      </c>
      <c r="AV40" s="179" t="b">
        <f t="shared" ca="1" si="255"/>
        <v>0</v>
      </c>
      <c r="AW40" s="179" t="b">
        <f t="shared" ca="1" si="255"/>
        <v>0</v>
      </c>
      <c r="AX40" s="179" t="b">
        <f t="shared" ca="1" si="255"/>
        <v>0</v>
      </c>
      <c r="AY40" s="179" t="b">
        <f t="shared" ca="1" si="255"/>
        <v>0</v>
      </c>
      <c r="AZ40" s="179">
        <f t="shared" ca="1" si="255"/>
        <v>465000</v>
      </c>
      <c r="BA40" s="179">
        <f t="shared" ca="1" si="255"/>
        <v>465000</v>
      </c>
      <c r="BB40" s="179">
        <f t="shared" ca="1" si="255"/>
        <v>465000</v>
      </c>
      <c r="BC40" s="179">
        <f t="shared" ca="1" si="255"/>
        <v>465000</v>
      </c>
      <c r="BD40" s="179">
        <f t="shared" ca="1" si="255"/>
        <v>465000</v>
      </c>
      <c r="BE40" s="179">
        <f t="shared" ca="1" si="255"/>
        <v>465000</v>
      </c>
      <c r="BF40" s="179">
        <f t="shared" ca="1" si="255"/>
        <v>465000</v>
      </c>
      <c r="BG40" s="179">
        <f t="shared" ca="1" si="255"/>
        <v>465000</v>
      </c>
      <c r="BH40" s="179">
        <f t="shared" ca="1" si="255"/>
        <v>465000</v>
      </c>
      <c r="BI40" s="179">
        <f t="shared" ca="1" si="255"/>
        <v>465000</v>
      </c>
      <c r="BJ40" s="179">
        <f t="shared" ca="1" si="255"/>
        <v>465000</v>
      </c>
      <c r="BK40" s="179">
        <f t="shared" ca="1" si="255"/>
        <v>465000</v>
      </c>
      <c r="BL40" s="179" t="b">
        <f t="shared" ca="1" si="255"/>
        <v>0</v>
      </c>
      <c r="BN40" s="21"/>
      <c r="BO40" s="21"/>
      <c r="BP40" s="21"/>
      <c r="BQ40" s="21"/>
      <c r="BR40" s="21"/>
      <c r="BS40" s="21"/>
      <c r="BT40" s="21"/>
      <c r="BU40" s="21"/>
      <c r="BV40" s="21"/>
      <c r="BW40" s="21"/>
      <c r="BX40" s="21"/>
      <c r="BY40" s="21"/>
    </row>
    <row r="41" spans="2:77" x14ac:dyDescent="0.3">
      <c r="B41" s="162"/>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2:77" s="67" customFormat="1" ht="25" customHeight="1" x14ac:dyDescent="0.3">
      <c r="B42" s="301" t="s">
        <v>183</v>
      </c>
      <c r="C42" s="301"/>
      <c r="D42" s="161">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1"/>
      <c r="BO42" s="21"/>
      <c r="BP42" s="21"/>
      <c r="BQ42" s="21"/>
      <c r="BR42" s="21"/>
      <c r="BS42" s="21"/>
      <c r="BT42" s="21"/>
      <c r="BU42" s="21"/>
      <c r="BV42" s="21"/>
      <c r="BW42" s="21"/>
      <c r="BX42" s="21"/>
      <c r="BY42" s="21"/>
    </row>
    <row r="43" spans="2:77" s="67" customFormat="1" ht="25" customHeight="1" x14ac:dyDescent="0.3">
      <c r="B43" s="300" t="s">
        <v>184</v>
      </c>
      <c r="C43" s="300"/>
      <c r="D43" s="153">
        <f>D42</f>
        <v>0</v>
      </c>
      <c r="E43" s="153">
        <f>E42+D43</f>
        <v>0</v>
      </c>
      <c r="F43" s="153">
        <f>F42+E43</f>
        <v>0</v>
      </c>
      <c r="G43" s="153">
        <f t="shared" ref="G43:Z43" si="256">G42+F43</f>
        <v>0</v>
      </c>
      <c r="H43" s="153">
        <f t="shared" si="256"/>
        <v>0</v>
      </c>
      <c r="I43" s="153">
        <f t="shared" si="256"/>
        <v>0</v>
      </c>
      <c r="J43" s="153">
        <f t="shared" si="256"/>
        <v>0</v>
      </c>
      <c r="K43" s="153">
        <f t="shared" si="256"/>
        <v>0</v>
      </c>
      <c r="L43" s="153">
        <f t="shared" si="256"/>
        <v>0</v>
      </c>
      <c r="M43" s="153">
        <f t="shared" si="256"/>
        <v>0</v>
      </c>
      <c r="N43" s="153">
        <f>N42+M43</f>
        <v>0</v>
      </c>
      <c r="O43" s="153">
        <f t="shared" si="256"/>
        <v>0</v>
      </c>
      <c r="P43" s="153">
        <f t="shared" si="256"/>
        <v>0</v>
      </c>
      <c r="Q43" s="153">
        <f t="shared" si="256"/>
        <v>0</v>
      </c>
      <c r="R43" s="153">
        <f t="shared" si="256"/>
        <v>0</v>
      </c>
      <c r="S43" s="153">
        <f t="shared" si="256"/>
        <v>0</v>
      </c>
      <c r="T43" s="153">
        <f t="shared" si="256"/>
        <v>0</v>
      </c>
      <c r="U43" s="153">
        <f t="shared" si="256"/>
        <v>0</v>
      </c>
      <c r="V43" s="153">
        <f t="shared" si="256"/>
        <v>0</v>
      </c>
      <c r="W43" s="153">
        <f t="shared" si="256"/>
        <v>0</v>
      </c>
      <c r="X43" s="153">
        <f t="shared" si="256"/>
        <v>0</v>
      </c>
      <c r="Y43" s="153">
        <f t="shared" si="256"/>
        <v>0</v>
      </c>
      <c r="Z43" s="153">
        <f t="shared" si="256"/>
        <v>0</v>
      </c>
      <c r="AA43" s="153">
        <f>AA42+Z43</f>
        <v>0</v>
      </c>
      <c r="AB43" s="153">
        <f t="shared" ref="AB43" si="257">AB42+AA43</f>
        <v>0</v>
      </c>
      <c r="AC43" s="153">
        <f t="shared" ref="AC43" si="258">AC42+AB43</f>
        <v>0</v>
      </c>
      <c r="AD43" s="153">
        <f t="shared" ref="AD43" si="259">AD42+AC43</f>
        <v>0</v>
      </c>
      <c r="AE43" s="153">
        <f t="shared" ref="AE43" si="260">AE42+AD43</f>
        <v>0</v>
      </c>
      <c r="AF43" s="153">
        <f t="shared" ref="AF43" si="261">AF42+AE43</f>
        <v>0</v>
      </c>
      <c r="AG43" s="153">
        <f t="shared" ref="AG43" si="262">AG42+AF43</f>
        <v>0</v>
      </c>
      <c r="AH43" s="153">
        <f t="shared" ref="AH43" si="263">AH42+AG43</f>
        <v>0</v>
      </c>
      <c r="AI43" s="153">
        <f t="shared" ref="AI43" si="264">AI42+AH43</f>
        <v>0</v>
      </c>
      <c r="AJ43" s="153">
        <f t="shared" ref="AJ43" si="265">AJ42+AI43</f>
        <v>0</v>
      </c>
      <c r="AK43" s="153">
        <f t="shared" ref="AK43" si="266">AK42+AJ43</f>
        <v>0</v>
      </c>
      <c r="AL43" s="153">
        <f t="shared" ref="AL43" si="267">AL42+AK43</f>
        <v>0</v>
      </c>
      <c r="AM43" s="153">
        <f t="shared" ref="AM43" si="268">AM42+AL43</f>
        <v>0</v>
      </c>
      <c r="AN43" s="153">
        <f t="shared" ref="AN43" si="269">AN42+AM43</f>
        <v>0</v>
      </c>
      <c r="AO43" s="153">
        <f t="shared" ref="AO43" si="270">AO42+AN43</f>
        <v>0</v>
      </c>
      <c r="AP43" s="153">
        <f t="shared" ref="AP43" si="271">AP42+AO43</f>
        <v>0</v>
      </c>
      <c r="AQ43" s="153">
        <f t="shared" ref="AQ43" si="272">AQ42+AP43</f>
        <v>0</v>
      </c>
      <c r="AR43" s="153">
        <f t="shared" ref="AR43" si="273">AR42+AQ43</f>
        <v>0</v>
      </c>
      <c r="AS43" s="153">
        <f t="shared" ref="AS43" si="274">AS42+AR43</f>
        <v>0</v>
      </c>
      <c r="AT43" s="153">
        <f t="shared" ref="AT43" si="275">AT42+AS43</f>
        <v>0</v>
      </c>
      <c r="AU43" s="153">
        <f t="shared" ref="AU43" si="276">AU42+AT43</f>
        <v>0</v>
      </c>
      <c r="AV43" s="153">
        <f t="shared" ref="AV43" si="277">AV42+AU43</f>
        <v>0</v>
      </c>
      <c r="AW43" s="153">
        <f t="shared" ref="AW43" si="278">AW42+AV43</f>
        <v>0</v>
      </c>
      <c r="AX43" s="153">
        <f t="shared" ref="AX43" si="279">AX42+AW43</f>
        <v>0</v>
      </c>
      <c r="AY43" s="153">
        <f t="shared" ref="AY43" si="280">AY42+AX43</f>
        <v>0</v>
      </c>
      <c r="AZ43" s="153">
        <f t="shared" ref="AZ43" si="281">AZ42+AY43</f>
        <v>0</v>
      </c>
      <c r="BA43" s="153">
        <f t="shared" ref="BA43" si="282">BA42+AZ43</f>
        <v>0</v>
      </c>
      <c r="BB43" s="153">
        <f t="shared" ref="BB43" si="283">BB42+BA43</f>
        <v>0</v>
      </c>
      <c r="BC43" s="153">
        <f t="shared" ref="BC43" si="284">BC42+BB43</f>
        <v>0</v>
      </c>
      <c r="BD43" s="153">
        <f t="shared" ref="BD43" si="285">BD42+BC43</f>
        <v>0</v>
      </c>
      <c r="BE43" s="153">
        <f t="shared" ref="BE43" si="286">BE42+BD43</f>
        <v>0</v>
      </c>
      <c r="BF43" s="153">
        <f t="shared" ref="BF43" si="287">BF42+BE43</f>
        <v>0</v>
      </c>
      <c r="BG43" s="153">
        <f t="shared" ref="BG43" si="288">BG42+BF43</f>
        <v>0</v>
      </c>
      <c r="BH43" s="153">
        <f t="shared" ref="BH43" si="289">BH42+BG43</f>
        <v>0</v>
      </c>
      <c r="BI43" s="153">
        <f t="shared" ref="BI43" si="290">BI42+BH43</f>
        <v>0</v>
      </c>
      <c r="BJ43" s="153">
        <f t="shared" ref="BJ43" si="291">BJ42+BI43</f>
        <v>0</v>
      </c>
      <c r="BK43" s="153">
        <f t="shared" ref="BK43" si="292">BK42+BJ43</f>
        <v>0</v>
      </c>
      <c r="BL43" s="153">
        <f t="shared" ref="BL43" si="293">BL42+BK43</f>
        <v>0</v>
      </c>
    </row>
    <row r="44" spans="2:77" s="67" customFormat="1" ht="25" customHeight="1" x14ac:dyDescent="0.3">
      <c r="B44" s="300" t="s">
        <v>185</v>
      </c>
      <c r="C44" s="300"/>
      <c r="D44" s="160"/>
      <c r="E44" s="160">
        <f t="shared" ref="E44:Z44" ca="1" si="294">E43-E30</f>
        <v>-9687.5</v>
      </c>
      <c r="F44" s="160">
        <f t="shared" ca="1" si="294"/>
        <v>-19375</v>
      </c>
      <c r="G44" s="160">
        <f t="shared" ca="1" si="294"/>
        <v>-29062.5</v>
      </c>
      <c r="H44" s="160">
        <f t="shared" ca="1" si="294"/>
        <v>-38750</v>
      </c>
      <c r="I44" s="160">
        <f t="shared" ca="1" si="294"/>
        <v>-48437.5</v>
      </c>
      <c r="J44" s="160">
        <f t="shared" ca="1" si="294"/>
        <v>-58125</v>
      </c>
      <c r="K44" s="160">
        <f t="shared" ca="1" si="294"/>
        <v>-67812.5</v>
      </c>
      <c r="L44" s="160">
        <f t="shared" ca="1" si="294"/>
        <v>-77500</v>
      </c>
      <c r="M44" s="160">
        <f t="shared" ca="1" si="294"/>
        <v>-87187.5</v>
      </c>
      <c r="N44" s="160">
        <f t="shared" ca="1" si="294"/>
        <v>-96875</v>
      </c>
      <c r="O44" s="160">
        <f t="shared" ca="1" si="294"/>
        <v>-106562.5</v>
      </c>
      <c r="P44" s="160">
        <f t="shared" ca="1" si="294"/>
        <v>-116250</v>
      </c>
      <c r="Q44" s="160">
        <f t="shared" ca="1" si="294"/>
        <v>-125937.5</v>
      </c>
      <c r="R44" s="160">
        <f t="shared" ca="1" si="294"/>
        <v>-135625</v>
      </c>
      <c r="S44" s="160">
        <f t="shared" ca="1" si="294"/>
        <v>-145312.5</v>
      </c>
      <c r="T44" s="160">
        <f t="shared" ca="1" si="294"/>
        <v>-155000</v>
      </c>
      <c r="U44" s="160">
        <f t="shared" ca="1" si="294"/>
        <v>-164687.5</v>
      </c>
      <c r="V44" s="160">
        <f t="shared" ca="1" si="294"/>
        <v>-174375</v>
      </c>
      <c r="W44" s="160">
        <f t="shared" ca="1" si="294"/>
        <v>-184062.5</v>
      </c>
      <c r="X44" s="160">
        <f t="shared" ca="1" si="294"/>
        <v>-193750</v>
      </c>
      <c r="Y44" s="160">
        <f t="shared" ca="1" si="294"/>
        <v>-203437.5</v>
      </c>
      <c r="Z44" s="160">
        <f t="shared" ca="1" si="294"/>
        <v>-213125</v>
      </c>
      <c r="AA44" s="160">
        <f ca="1">AA43-AA30</f>
        <v>-222812.5</v>
      </c>
      <c r="AB44" s="160">
        <f ca="1">AB43-AB30</f>
        <v>-232500</v>
      </c>
      <c r="AC44" s="160">
        <f t="shared" ref="AC44:BL44" ca="1" si="295">AC43-AC30</f>
        <v>-242187.5</v>
      </c>
      <c r="AD44" s="160">
        <f t="shared" ca="1" si="295"/>
        <v>-251875</v>
      </c>
      <c r="AE44" s="160">
        <f t="shared" ca="1" si="295"/>
        <v>-261562.5</v>
      </c>
      <c r="AF44" s="160">
        <f t="shared" ca="1" si="295"/>
        <v>-271250</v>
      </c>
      <c r="AG44" s="160">
        <f t="shared" ca="1" si="295"/>
        <v>-280937.5</v>
      </c>
      <c r="AH44" s="160">
        <f t="shared" ca="1" si="295"/>
        <v>-290625</v>
      </c>
      <c r="AI44" s="160">
        <f t="shared" ca="1" si="295"/>
        <v>-300312.5</v>
      </c>
      <c r="AJ44" s="160">
        <f t="shared" ca="1" si="295"/>
        <v>-310000</v>
      </c>
      <c r="AK44" s="160">
        <f t="shared" ca="1" si="295"/>
        <v>-319687.5</v>
      </c>
      <c r="AL44" s="160">
        <f t="shared" ca="1" si="295"/>
        <v>-329375</v>
      </c>
      <c r="AM44" s="160">
        <f t="shared" ca="1" si="295"/>
        <v>-339062.5</v>
      </c>
      <c r="AN44" s="160">
        <f t="shared" ca="1" si="295"/>
        <v>-348750</v>
      </c>
      <c r="AO44" s="160">
        <f t="shared" ca="1" si="295"/>
        <v>-358437.5</v>
      </c>
      <c r="AP44" s="160">
        <f t="shared" ca="1" si="295"/>
        <v>-368125</v>
      </c>
      <c r="AQ44" s="160">
        <f t="shared" ca="1" si="295"/>
        <v>-377812.5</v>
      </c>
      <c r="AR44" s="160">
        <f t="shared" ca="1" si="295"/>
        <v>-387500</v>
      </c>
      <c r="AS44" s="160">
        <f t="shared" ca="1" si="295"/>
        <v>-397187.5</v>
      </c>
      <c r="AT44" s="160">
        <f t="shared" ca="1" si="295"/>
        <v>-406875</v>
      </c>
      <c r="AU44" s="160">
        <f t="shared" ca="1" si="295"/>
        <v>-416562.5</v>
      </c>
      <c r="AV44" s="160">
        <f t="shared" ca="1" si="295"/>
        <v>-426250</v>
      </c>
      <c r="AW44" s="160">
        <f t="shared" ca="1" si="295"/>
        <v>-435937.5</v>
      </c>
      <c r="AX44" s="160">
        <f t="shared" ca="1" si="295"/>
        <v>-445625</v>
      </c>
      <c r="AY44" s="160">
        <f t="shared" ca="1" si="295"/>
        <v>-455312.5</v>
      </c>
      <c r="AZ44" s="160">
        <f t="shared" ca="1" si="295"/>
        <v>-465000</v>
      </c>
      <c r="BA44" s="160">
        <f t="shared" ca="1" si="295"/>
        <v>-465000</v>
      </c>
      <c r="BB44" s="160">
        <f t="shared" ca="1" si="295"/>
        <v>-465000</v>
      </c>
      <c r="BC44" s="160">
        <f t="shared" ca="1" si="295"/>
        <v>-465000</v>
      </c>
      <c r="BD44" s="160">
        <f t="shared" ca="1" si="295"/>
        <v>-465000</v>
      </c>
      <c r="BE44" s="160">
        <f t="shared" ca="1" si="295"/>
        <v>-465000</v>
      </c>
      <c r="BF44" s="160">
        <f t="shared" ca="1" si="295"/>
        <v>-465000</v>
      </c>
      <c r="BG44" s="160">
        <f t="shared" ca="1" si="295"/>
        <v>-465000</v>
      </c>
      <c r="BH44" s="160">
        <f t="shared" ca="1" si="295"/>
        <v>-465000</v>
      </c>
      <c r="BI44" s="160">
        <f t="shared" ca="1" si="295"/>
        <v>-465000</v>
      </c>
      <c r="BJ44" s="160">
        <f t="shared" ca="1" si="295"/>
        <v>-465000</v>
      </c>
      <c r="BK44" s="160">
        <f t="shared" ca="1" si="295"/>
        <v>-465000</v>
      </c>
      <c r="BL44" s="160">
        <f t="shared" ca="1" si="295"/>
        <v>-465000</v>
      </c>
      <c r="BN44" s="21"/>
      <c r="BO44" s="21"/>
      <c r="BP44" s="21"/>
      <c r="BQ44" s="21"/>
      <c r="BR44" s="21"/>
      <c r="BS44" s="21"/>
      <c r="BT44" s="21"/>
      <c r="BU44" s="21"/>
      <c r="BV44" s="21"/>
      <c r="BW44" s="21"/>
      <c r="BX44" s="21"/>
      <c r="BY44" s="21"/>
    </row>
    <row r="45" spans="2:77" x14ac:dyDescent="0.3">
      <c r="B45" s="162"/>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2:77" x14ac:dyDescent="0.3">
      <c r="E46" s="24"/>
      <c r="F46" s="24"/>
      <c r="G46" s="24"/>
      <c r="H46" s="24"/>
      <c r="I46" s="24"/>
      <c r="J46" s="24"/>
      <c r="K46" s="24"/>
      <c r="L46" s="24"/>
      <c r="M46" s="163"/>
      <c r="N46" s="24"/>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1" customWidth="1"/>
    <col min="2" max="2" width="25" style="21" customWidth="1"/>
    <col min="3" max="3" width="42.81640625" style="21" customWidth="1"/>
    <col min="4" max="4" width="20.7265625" style="21" customWidth="1"/>
    <col min="5" max="7" width="25.7265625" style="21" customWidth="1"/>
    <col min="8" max="8" width="20.7265625" style="21" customWidth="1"/>
    <col min="9" max="12" width="25.7265625" style="21" customWidth="1"/>
    <col min="13" max="13" width="19.26953125" style="21" bestFit="1" customWidth="1"/>
    <col min="14" max="14" width="12.26953125" style="21" bestFit="1" customWidth="1"/>
    <col min="15" max="15" width="26.81640625" style="21" customWidth="1"/>
    <col min="16" max="16384" width="9.1796875" style="21"/>
  </cols>
  <sheetData>
    <row r="2" spans="2:16" ht="21" customHeight="1" x14ac:dyDescent="0.3">
      <c r="B2" s="216" t="s">
        <v>5</v>
      </c>
      <c r="C2" s="217" t="str">
        <f>'Project Infor'!C10</f>
        <v>ZEV-ATE0012-1001</v>
      </c>
      <c r="D2" s="216" t="str">
        <f>'Project Infor'!C11</f>
        <v>Lote 2: Núcleo Estructural Java</v>
      </c>
      <c r="E2" s="218"/>
      <c r="F2" s="218"/>
      <c r="G2" s="216"/>
      <c r="H2" s="216"/>
      <c r="I2" s="216"/>
      <c r="J2" s="216"/>
    </row>
    <row r="3" spans="2:16" ht="9" customHeight="1" x14ac:dyDescent="0.3">
      <c r="C3" s="22"/>
      <c r="D3" s="22"/>
    </row>
    <row r="4" spans="2:16" ht="15" customHeight="1" x14ac:dyDescent="0.3">
      <c r="C4" s="23"/>
      <c r="D4" s="24"/>
      <c r="E4" s="24"/>
      <c r="F4" s="24"/>
      <c r="G4" s="24"/>
      <c r="H4" s="24"/>
      <c r="I4" s="24"/>
      <c r="J4" s="24"/>
      <c r="K4" s="24"/>
      <c r="L4" s="24"/>
      <c r="M4" s="24"/>
      <c r="N4" s="24"/>
      <c r="O4" s="24"/>
      <c r="P4" s="24"/>
    </row>
    <row r="5" spans="2:16" s="86" customFormat="1" ht="37" customHeight="1" x14ac:dyDescent="0.3">
      <c r="B5" s="164"/>
      <c r="C5" s="204"/>
      <c r="D5" s="205" t="s">
        <v>58</v>
      </c>
      <c r="E5" s="206" t="s">
        <v>59</v>
      </c>
      <c r="F5" s="207" t="s">
        <v>60</v>
      </c>
      <c r="G5" s="206" t="s">
        <v>61</v>
      </c>
      <c r="H5" s="206" t="s">
        <v>62</v>
      </c>
      <c r="I5" s="206" t="s">
        <v>63</v>
      </c>
      <c r="J5" s="206" t="s">
        <v>64</v>
      </c>
      <c r="K5" s="206" t="s">
        <v>65</v>
      </c>
      <c r="L5" s="205" t="s">
        <v>186</v>
      </c>
      <c r="M5" s="208" t="s">
        <v>187</v>
      </c>
      <c r="N5" s="208" t="s">
        <v>67</v>
      </c>
      <c r="O5" s="88"/>
      <c r="P5" s="88"/>
    </row>
    <row r="6" spans="2:16" s="89" customFormat="1" ht="36.75" customHeight="1" x14ac:dyDescent="0.3">
      <c r="B6" s="306" t="s">
        <v>188</v>
      </c>
      <c r="C6" s="307"/>
      <c r="D6" s="202">
        <f>'Cost Overview'!F12</f>
        <v>465000</v>
      </c>
      <c r="E6" s="202">
        <f>'Cost Overview'!G12</f>
        <v>356584.84</v>
      </c>
      <c r="F6" s="202">
        <f>'Cost Overview'!H12</f>
        <v>14256</v>
      </c>
      <c r="G6" s="202">
        <f>'Cost Overview'!I12</f>
        <v>3565.85</v>
      </c>
      <c r="H6" s="202">
        <f>'Cost Overview'!J12</f>
        <v>0</v>
      </c>
      <c r="I6" s="202">
        <f>'Cost Overview'!K12</f>
        <v>0</v>
      </c>
      <c r="J6" s="202">
        <f>'Cost Overview'!L12</f>
        <v>0</v>
      </c>
      <c r="K6" s="202">
        <f>SUM(E6,G6,H6,I6,J6)</f>
        <v>360150.69</v>
      </c>
      <c r="L6" s="202">
        <f>D6-K6</f>
        <v>104849.31</v>
      </c>
      <c r="M6" s="203">
        <f>IF(D6=0,0,(D6-E6-H6-I6-G6-J6)/D6)</f>
        <v>0.22548238709677412</v>
      </c>
      <c r="N6" s="203">
        <f>IF(D6=0,0,(D6-E6/UTILIZACION-G6/UTILIZACION-H6/UTILIZACION-I6-J6)/D6)</f>
        <v>0.16718536246964966</v>
      </c>
      <c r="O6" s="24"/>
      <c r="P6" s="22"/>
    </row>
    <row r="7" spans="2:16" s="89" customFormat="1" ht="36.75" customHeight="1" x14ac:dyDescent="0.3">
      <c r="B7" s="308" t="s">
        <v>189</v>
      </c>
      <c r="C7" s="308"/>
      <c r="D7" s="209">
        <f>'Cost Overview'!F8</f>
        <v>465000</v>
      </c>
      <c r="E7" s="209">
        <f>'Cost Overview'!G8</f>
        <v>356584.84</v>
      </c>
      <c r="F7" s="209">
        <f>'Cost Overview'!H8</f>
        <v>14256</v>
      </c>
      <c r="G7" s="209">
        <f>'Cost Overview'!I8</f>
        <v>3565.85</v>
      </c>
      <c r="H7" s="209">
        <f>'Cost Overview'!J8</f>
        <v>0</v>
      </c>
      <c r="I7" s="209">
        <f>'Cost Overview'!K8</f>
        <v>0</v>
      </c>
      <c r="J7" s="209">
        <f>'Cost Overview'!L8</f>
        <v>0</v>
      </c>
      <c r="K7" s="209">
        <f>SUM(E7,G7,H7,I7,J7)</f>
        <v>360150.69</v>
      </c>
      <c r="L7" s="209">
        <f>D7-K7</f>
        <v>104849.31</v>
      </c>
      <c r="M7" s="210">
        <f>IF(D7=0,0,(D7-E7-H7-I7-G7-J7)/D7)</f>
        <v>0.22548238709677412</v>
      </c>
      <c r="N7" s="210">
        <f>IF(D7=0,0,(D7-E7/UTILIZACION-G7/UTILIZACION-H7/UTILIZACION-I7-J7)/D7)</f>
        <v>0.16718536246964966</v>
      </c>
      <c r="O7" s="24"/>
      <c r="P7" s="22"/>
    </row>
    <row r="8" spans="2:16" s="89" customFormat="1" ht="36.75" customHeight="1" x14ac:dyDescent="0.3">
      <c r="B8" s="308" t="s">
        <v>190</v>
      </c>
      <c r="C8" s="308"/>
      <c r="D8" s="209">
        <f>D7</f>
        <v>465000</v>
      </c>
      <c r="E8" s="209">
        <f>SUM('Cost Planning'!F40:BO41)</f>
        <v>356584.83721434022</v>
      </c>
      <c r="F8" s="209">
        <f>SUM('Cost Planning'!F9:BO9)</f>
        <v>14256</v>
      </c>
      <c r="G8" s="209">
        <f>SUM('Cost Planning'!H47:BO47)</f>
        <v>3565.85</v>
      </c>
      <c r="H8" s="209">
        <f>SUM('Cost Planning'!H48:BO48)</f>
        <v>0</v>
      </c>
      <c r="I8" s="209">
        <f>SUM('Cost Planning'!F61:BO61)</f>
        <v>0</v>
      </c>
      <c r="J8" s="209">
        <f>SUM('Cost Planning'!F77:BO77)</f>
        <v>0</v>
      </c>
      <c r="K8" s="209">
        <f>SUM(E8,G8,H8,I8,J8)</f>
        <v>360150.6872143402</v>
      </c>
      <c r="L8" s="209">
        <f>D8-K8</f>
        <v>104849.3127856598</v>
      </c>
      <c r="M8" s="210">
        <f>IF(D8=0,0,(D8-E8-H8-I8-G8-J8)/D8)</f>
        <v>0.22548239308744036</v>
      </c>
      <c r="N8" s="210">
        <f>IF(D8=0,0,(D8-E8/UTILIZACION-G8/UTILIZACION-H8/UTILIZACION-I8-J8)/D8)</f>
        <v>0.16718536891122623</v>
      </c>
      <c r="O8" s="24"/>
      <c r="P8" s="22"/>
    </row>
    <row r="9" spans="2:16" ht="20.149999999999999" customHeight="1" x14ac:dyDescent="0.3">
      <c r="B9" s="309" t="s">
        <v>191</v>
      </c>
      <c r="C9" s="309"/>
      <c r="D9" s="211">
        <f>IF(AND(D8=0,D7=0),0,IF(D8=0,1,(D8-D7)/D8))</f>
        <v>0</v>
      </c>
      <c r="E9" s="211">
        <f>IF(AND(E8=0,E7=0),0,IF(E8=0,1,(E8-E7)/E8))</f>
        <v>-7.8120534355124018E-9</v>
      </c>
      <c r="F9" s="211">
        <f>IF(AND(F8=0,F7=0),0,IF(F8=0,1,(F8-F7)/F8))</f>
        <v>0</v>
      </c>
      <c r="G9" s="211">
        <f>IF(AND(G8=0,G7=0),0,IF(G8=0,1,(G8-G7)/G8))</f>
        <v>0</v>
      </c>
      <c r="H9" s="211">
        <f>IF(AND(H8=0,H7=0),0,IF(H8=0,1,(H8-H7)/H8))</f>
        <v>0</v>
      </c>
      <c r="I9" s="211">
        <f>IF(AND(I8=0,I7=0),0,IF(I8=0,1,(I8-I7)/I8))</f>
        <v>0</v>
      </c>
      <c r="J9" s="211">
        <f>IF(AND(J8=0,J7=0),0,IF(J8=0,1,(J8-J7)/J8))</f>
        <v>0</v>
      </c>
      <c r="K9" s="211">
        <f>IF(AND(K8=0,K7=0),0,IF(K8=0,1,(K8-K7)/K8))</f>
        <v>-7.7347063368341113E-9</v>
      </c>
      <c r="L9" s="211">
        <f>IF(AND(L8=0,L7=0),0,IF(L8=0,1,(L8-L7)/L8))</f>
        <v>2.6568221847162273E-8</v>
      </c>
      <c r="M9" s="212">
        <f>M8-M7</f>
        <v>5.9906662408515388E-9</v>
      </c>
      <c r="N9" s="293"/>
      <c r="O9" s="24"/>
      <c r="P9" s="24"/>
    </row>
    <row r="10" spans="2:16" ht="18" customHeight="1" x14ac:dyDescent="0.3">
      <c r="B10" s="213"/>
      <c r="C10" s="213"/>
      <c r="D10" s="214"/>
      <c r="E10" s="214"/>
      <c r="F10" s="214"/>
      <c r="G10" s="214"/>
      <c r="H10" s="214"/>
      <c r="I10" s="214"/>
      <c r="J10" s="214"/>
      <c r="K10" s="214"/>
      <c r="L10" s="214"/>
      <c r="M10" s="215"/>
      <c r="N10" s="213"/>
      <c r="O10" s="24"/>
      <c r="P10" s="24"/>
    </row>
    <row r="11" spans="2:16" s="89" customFormat="1" ht="36.75" customHeight="1" x14ac:dyDescent="0.3">
      <c r="B11" s="307" t="s">
        <v>192</v>
      </c>
      <c r="C11" s="307"/>
      <c r="D11" s="202">
        <f>SUMIF('Monthly View'!$E$4:$BL$4,"Real",'Monthly View'!$E$18:$BL$18)+'Project Infor'!C45</f>
        <v>0</v>
      </c>
      <c r="E11" s="202">
        <f>SUMIF('Monthly View'!$E$4:$BL$4,"Real",'Monthly View'!$E$20:$BL$20)+'Project Infor'!C47</f>
        <v>0</v>
      </c>
      <c r="F11" s="202">
        <f>SUMIF('Monthly View'!$E$4:$BL$4,"Real",'Monthly View'!$E$19:$BL$19)+'Project Infor'!C46</f>
        <v>0</v>
      </c>
      <c r="G11" s="202">
        <f>SUMIF('Monthly View'!$E$4:$BL$4,"Real",'Monthly View'!$E$21:$BL$21)</f>
        <v>0</v>
      </c>
      <c r="H11" s="202">
        <f>SUMIF('Monthly View'!$E$4:$BL$4,"Real",'Monthly View'!$E$22:$BL$22)</f>
        <v>0</v>
      </c>
      <c r="I11" s="202">
        <f>SUMIF('Monthly View'!$E$4:$BL$4,"Real",'Monthly View'!$E$23:$BL$23)+'Project Infor'!C48</f>
        <v>0</v>
      </c>
      <c r="J11" s="202">
        <f>SUMIF('Monthly View'!$E$4:$BL$4,"Real",'Monthly View'!$E$24:$BL$24)+'Project Infor'!C49</f>
        <v>0</v>
      </c>
      <c r="K11" s="202">
        <f>SUM(E11,G11,H11,I11,J11)</f>
        <v>0</v>
      </c>
      <c r="L11" s="202">
        <f>D11-K11</f>
        <v>0</v>
      </c>
      <c r="M11" s="203">
        <f>IF(D11=0,0,(D11-E11-H11-I11-G11-J11)/D11)</f>
        <v>0</v>
      </c>
      <c r="N11" s="201">
        <f>IF(D11=0,0,(D11-E11/UTILIZACION-G11/UTILIZACION-H11/UTILIZACION-I11-J11)/D11)</f>
        <v>0</v>
      </c>
      <c r="O11" s="24"/>
      <c r="P11" s="22"/>
    </row>
    <row r="12" spans="2:16" ht="20.149999999999999" customHeight="1" x14ac:dyDescent="0.3">
      <c r="B12" s="305" t="s">
        <v>193</v>
      </c>
      <c r="C12" s="305"/>
      <c r="D12" s="165">
        <f>IF(D8=0,0,D11/D8)</f>
        <v>0</v>
      </c>
      <c r="E12" s="165">
        <f>IF(E8=0,0,E11/E8)</f>
        <v>0</v>
      </c>
      <c r="F12" s="165">
        <f>IF(F8=0,0,F11/F8)</f>
        <v>0</v>
      </c>
      <c r="G12" s="165"/>
      <c r="H12" s="165"/>
      <c r="I12" s="165"/>
      <c r="J12" s="165"/>
      <c r="K12" s="165"/>
      <c r="L12" s="165"/>
      <c r="M12" s="166"/>
      <c r="N12" s="167"/>
      <c r="O12" s="24"/>
      <c r="P12" s="24"/>
    </row>
    <row r="14" spans="2:16" ht="31.5" customHeight="1" x14ac:dyDescent="0.3">
      <c r="B14" s="310"/>
      <c r="C14" s="310"/>
      <c r="D14" s="310"/>
      <c r="E14" s="310"/>
      <c r="F14" s="168"/>
    </row>
    <row r="17" spans="2:16" ht="20.149999999999999" customHeight="1" x14ac:dyDescent="0.3">
      <c r="B17" s="65" t="s">
        <v>194</v>
      </c>
      <c r="C17" s="65"/>
      <c r="D17" s="65"/>
      <c r="E17" s="24"/>
      <c r="F17" s="24"/>
      <c r="G17" s="24"/>
      <c r="H17" s="24"/>
      <c r="I17" s="24"/>
      <c r="J17" s="24"/>
      <c r="K17" s="24"/>
      <c r="L17" s="24"/>
      <c r="M17" s="24"/>
      <c r="N17" s="24"/>
      <c r="O17" s="24"/>
      <c r="P17" s="24"/>
    </row>
    <row r="18" spans="2:16" ht="285.75" customHeight="1" x14ac:dyDescent="0.3">
      <c r="B18" s="302" t="s">
        <v>299</v>
      </c>
      <c r="C18" s="303"/>
      <c r="D18" s="303"/>
      <c r="E18" s="303"/>
      <c r="F18" s="303"/>
      <c r="G18" s="303"/>
      <c r="H18" s="303"/>
      <c r="I18" s="303"/>
      <c r="J18" s="304"/>
      <c r="K18" s="24"/>
      <c r="L18" s="24"/>
      <c r="M18" s="24"/>
      <c r="N18" s="24"/>
      <c r="O18" s="24"/>
      <c r="P18" s="24"/>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3" customWidth="1"/>
    <col min="2" max="2" width="195.7265625" style="93" customWidth="1"/>
    <col min="3" max="16384" width="11.453125" style="93"/>
  </cols>
  <sheetData>
    <row r="1" spans="2:4" ht="19.5" customHeight="1" x14ac:dyDescent="0.25"/>
    <row r="2" spans="2:4" ht="27.75" customHeight="1" x14ac:dyDescent="0.25">
      <c r="B2" s="324" t="s">
        <v>195</v>
      </c>
      <c r="C2" s="324"/>
      <c r="D2" s="324"/>
    </row>
    <row r="3" spans="2:4" ht="19.5" customHeight="1" x14ac:dyDescent="0.25"/>
    <row r="4" spans="2:4" ht="24" customHeight="1" x14ac:dyDescent="0.25">
      <c r="B4" s="174" t="s">
        <v>196</v>
      </c>
    </row>
    <row r="5" spans="2:4" ht="24" customHeight="1" x14ac:dyDescent="0.25">
      <c r="B5" s="175" t="s">
        <v>197</v>
      </c>
    </row>
    <row r="6" spans="2:4" ht="24" customHeight="1" x14ac:dyDescent="0.25">
      <c r="B6" s="175" t="s">
        <v>198</v>
      </c>
    </row>
    <row r="7" spans="2:4" ht="45" customHeight="1" x14ac:dyDescent="0.25">
      <c r="B7" s="175" t="s">
        <v>199</v>
      </c>
    </row>
    <row r="8" spans="2:4" ht="30" customHeight="1" x14ac:dyDescent="0.25">
      <c r="B8" s="175" t="s">
        <v>200</v>
      </c>
    </row>
    <row r="9" spans="2:4" ht="25" customHeight="1" x14ac:dyDescent="0.25">
      <c r="B9" s="175" t="s">
        <v>201</v>
      </c>
    </row>
    <row r="10" spans="2:4" ht="24" customHeight="1" x14ac:dyDescent="0.25">
      <c r="B10" s="176"/>
    </row>
    <row r="11" spans="2:4" ht="24" customHeight="1" x14ac:dyDescent="0.25">
      <c r="B11" s="174" t="s">
        <v>202</v>
      </c>
    </row>
    <row r="12" spans="2:4" ht="24" customHeight="1" x14ac:dyDescent="0.25">
      <c r="B12" s="175" t="s">
        <v>203</v>
      </c>
    </row>
    <row r="13" spans="2:4" ht="24" customHeight="1" x14ac:dyDescent="0.25">
      <c r="B13" s="175" t="s">
        <v>204</v>
      </c>
    </row>
    <row r="14" spans="2:4" ht="69" customHeight="1" x14ac:dyDescent="0.25">
      <c r="B14" s="175" t="s">
        <v>205</v>
      </c>
    </row>
    <row r="15" spans="2:4" ht="54" customHeight="1" x14ac:dyDescent="0.25">
      <c r="B15" s="175" t="s">
        <v>206</v>
      </c>
    </row>
    <row r="16" spans="2:4" ht="62.25" customHeight="1" x14ac:dyDescent="0.25">
      <c r="B16" s="175" t="s">
        <v>207</v>
      </c>
    </row>
    <row r="17" spans="2:2" ht="54.75" customHeight="1" x14ac:dyDescent="0.25">
      <c r="B17" s="175" t="s">
        <v>208</v>
      </c>
    </row>
    <row r="18" spans="2:2" ht="51.75" customHeight="1" x14ac:dyDescent="0.25">
      <c r="B18" s="175" t="s">
        <v>209</v>
      </c>
    </row>
    <row r="19" spans="2:2" ht="24" customHeight="1" x14ac:dyDescent="0.25"/>
    <row r="20" spans="2:2" ht="24" customHeight="1" x14ac:dyDescent="0.25">
      <c r="B20" s="174" t="s">
        <v>210</v>
      </c>
    </row>
    <row r="21" spans="2:2" ht="41.25" customHeight="1" x14ac:dyDescent="0.25">
      <c r="B21" s="175" t="s">
        <v>211</v>
      </c>
    </row>
    <row r="22" spans="2:2" ht="24" customHeight="1" x14ac:dyDescent="0.25">
      <c r="B22" s="175" t="s">
        <v>212</v>
      </c>
    </row>
    <row r="23" spans="2:2" ht="36" customHeight="1" x14ac:dyDescent="0.25">
      <c r="B23" s="175" t="s">
        <v>213</v>
      </c>
    </row>
    <row r="24" spans="2:2" ht="125.25" customHeight="1" x14ac:dyDescent="0.25">
      <c r="B24" s="175" t="s">
        <v>214</v>
      </c>
    </row>
    <row r="25" spans="2:2" ht="42.75" customHeight="1" x14ac:dyDescent="0.25">
      <c r="B25" s="175" t="s">
        <v>215</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0" customWidth="1"/>
    <col min="2" max="2" width="20.453125" style="240" customWidth="1"/>
    <col min="3" max="3" width="25.26953125" style="240" customWidth="1"/>
    <col min="4" max="4" width="23.7265625" style="240" customWidth="1"/>
    <col min="5" max="5" width="71.453125" style="240" customWidth="1"/>
    <col min="6" max="6" width="20.7265625" style="240" customWidth="1"/>
    <col min="7" max="7" width="10.7265625" style="240" customWidth="1"/>
    <col min="8" max="8" width="20.81640625" style="240" customWidth="1"/>
    <col min="9" max="9" width="24.1796875" style="240" customWidth="1"/>
    <col min="10" max="11" width="28.453125" style="240" customWidth="1"/>
    <col min="12" max="12" width="28" style="240" customWidth="1"/>
    <col min="13" max="13" width="16.7265625" style="240" customWidth="1"/>
    <col min="14" max="14" width="33.81640625" style="240" customWidth="1"/>
    <col min="15" max="15" width="28.81640625" style="240" bestFit="1" customWidth="1"/>
    <col min="16" max="16" width="11.7265625" style="240" customWidth="1"/>
    <col min="17" max="17" width="3.453125" style="240" customWidth="1"/>
    <col min="18" max="18" width="9.1796875" style="240" customWidth="1"/>
    <col min="19" max="19" width="14.26953125" style="240" customWidth="1"/>
    <col min="20" max="20" width="11.81640625" style="240" customWidth="1"/>
    <col min="21" max="23" width="9.1796875" style="240" customWidth="1"/>
    <col min="24" max="16384" width="9.1796875" style="240"/>
  </cols>
  <sheetData>
    <row r="2" spans="2:24" ht="21" customHeight="1" x14ac:dyDescent="0.3">
      <c r="B2" s="241" t="s">
        <v>5</v>
      </c>
      <c r="C2" s="242" t="str">
        <f>'Project Infor'!C10</f>
        <v>ZEV-ATE0012-1001</v>
      </c>
      <c r="D2" s="241" t="str">
        <f>'Project Infor'!C11</f>
        <v>Lote 2: Núcleo Estructural Java</v>
      </c>
      <c r="E2" s="243"/>
      <c r="F2" s="243"/>
      <c r="G2" s="243"/>
      <c r="H2" s="243"/>
    </row>
    <row r="3" spans="2:24" ht="9" customHeight="1" x14ac:dyDescent="0.3">
      <c r="D3" s="244"/>
      <c r="E3" s="244"/>
      <c r="F3" s="244"/>
      <c r="G3" s="244"/>
    </row>
    <row r="4" spans="2:24" ht="15" customHeight="1" thickBot="1" x14ac:dyDescent="0.35">
      <c r="D4" s="245"/>
      <c r="E4" s="246"/>
      <c r="F4" s="247"/>
      <c r="G4" s="247"/>
      <c r="H4" s="247"/>
      <c r="I4" s="247"/>
      <c r="J4" s="247"/>
      <c r="K4" s="247"/>
      <c r="N4" s="247"/>
      <c r="O4" s="247"/>
      <c r="P4" s="247"/>
      <c r="Q4" s="247"/>
    </row>
    <row r="5" spans="2:24" ht="37" customHeight="1" thickBot="1" x14ac:dyDescent="0.35">
      <c r="B5" s="248" t="s">
        <v>216</v>
      </c>
      <c r="C5" s="248"/>
      <c r="D5" s="248"/>
      <c r="E5" s="249">
        <f>'Cost Overview'!F8</f>
        <v>465000</v>
      </c>
      <c r="F5" s="326" t="s">
        <v>217</v>
      </c>
      <c r="G5" s="326"/>
      <c r="H5" s="326"/>
      <c r="I5" s="326"/>
      <c r="J5" s="250">
        <f>E5-F41</f>
        <v>465000</v>
      </c>
      <c r="K5" s="250"/>
      <c r="N5" s="251"/>
      <c r="O5" s="251"/>
      <c r="P5" s="251"/>
      <c r="Q5" s="247"/>
    </row>
    <row r="6" spans="2:24" ht="20.149999999999999" customHeight="1" x14ac:dyDescent="0.3">
      <c r="D6" s="245"/>
      <c r="E6" s="247"/>
      <c r="F6" s="247"/>
      <c r="G6" s="247"/>
      <c r="H6" s="247"/>
      <c r="I6" s="247"/>
      <c r="J6" s="247"/>
      <c r="K6" s="247"/>
      <c r="L6" s="245"/>
      <c r="M6" s="247"/>
      <c r="N6" s="247"/>
      <c r="O6" s="247"/>
      <c r="P6" s="247"/>
      <c r="Q6" s="247"/>
    </row>
    <row r="7" spans="2:24" s="252" customFormat="1" ht="31.5" customHeight="1" x14ac:dyDescent="0.3">
      <c r="B7" s="236" t="s">
        <v>218</v>
      </c>
      <c r="C7" s="236" t="s">
        <v>219</v>
      </c>
      <c r="D7" s="236" t="s">
        <v>220</v>
      </c>
      <c r="E7" s="236" t="s">
        <v>221</v>
      </c>
      <c r="F7" s="237" t="s">
        <v>222</v>
      </c>
      <c r="G7" s="237" t="s">
        <v>223</v>
      </c>
      <c r="H7" s="236" t="s">
        <v>224</v>
      </c>
      <c r="I7" s="236" t="s">
        <v>225</v>
      </c>
      <c r="J7" s="236" t="s">
        <v>226</v>
      </c>
      <c r="K7" s="236" t="s">
        <v>227</v>
      </c>
      <c r="L7" s="236" t="s">
        <v>228</v>
      </c>
      <c r="M7" s="237" t="s">
        <v>229</v>
      </c>
      <c r="N7" s="237" t="s">
        <v>230</v>
      </c>
      <c r="O7" s="237" t="s">
        <v>231</v>
      </c>
      <c r="P7" s="237" t="s">
        <v>232</v>
      </c>
      <c r="Q7" s="247"/>
      <c r="R7" s="240"/>
      <c r="S7" s="240"/>
      <c r="T7" s="240"/>
      <c r="U7" s="240"/>
      <c r="V7" s="240"/>
      <c r="W7" s="240"/>
      <c r="X7" s="240"/>
    </row>
    <row r="8" spans="2:24" s="253" customFormat="1" ht="20.149999999999999" customHeight="1" x14ac:dyDescent="0.3">
      <c r="B8" s="199"/>
      <c r="C8" s="226"/>
      <c r="D8" s="4" t="str">
        <f t="shared" ref="D8:D40" si="0">IF(C8=0," ","Z2")</f>
        <v xml:space="preserve"> </v>
      </c>
      <c r="E8" s="4"/>
      <c r="F8" s="5"/>
      <c r="G8" s="5"/>
      <c r="H8" s="8"/>
      <c r="I8" s="5" t="str">
        <f>IF(F8=0," ",F8+F8*H8)</f>
        <v xml:space="preserve"> </v>
      </c>
      <c r="J8" s="9"/>
      <c r="K8" s="9"/>
      <c r="L8" s="5"/>
      <c r="M8" s="55"/>
      <c r="N8" s="5"/>
      <c r="O8" s="5"/>
      <c r="P8" s="5"/>
      <c r="Q8" s="247"/>
      <c r="R8" s="240"/>
      <c r="S8" s="240"/>
      <c r="T8" s="240"/>
      <c r="U8" s="240"/>
      <c r="V8" s="240"/>
      <c r="W8" s="240"/>
      <c r="X8" s="240"/>
    </row>
    <row r="9" spans="2:24" s="253" customFormat="1" ht="20.149999999999999" customHeight="1" x14ac:dyDescent="0.3">
      <c r="B9" s="199"/>
      <c r="C9" s="55"/>
      <c r="D9" s="4" t="str">
        <f t="shared" si="0"/>
        <v xml:space="preserve"> </v>
      </c>
      <c r="E9" s="4"/>
      <c r="F9" s="5"/>
      <c r="G9" s="5"/>
      <c r="H9" s="8"/>
      <c r="I9" s="5" t="str">
        <f t="shared" ref="I9:I40" si="1">IF(F9=0," ",F9+F9*H9)</f>
        <v xml:space="preserve"> </v>
      </c>
      <c r="J9" s="9"/>
      <c r="K9" s="9"/>
      <c r="L9" s="5"/>
      <c r="M9" s="55"/>
      <c r="N9" s="5"/>
      <c r="O9" s="5"/>
      <c r="P9" s="5"/>
      <c r="Q9" s="247"/>
      <c r="R9" s="240"/>
      <c r="S9" s="240"/>
      <c r="T9" s="240"/>
      <c r="U9" s="240"/>
      <c r="V9" s="240"/>
      <c r="W9" s="240"/>
      <c r="X9" s="240"/>
    </row>
    <row r="10" spans="2:24" s="253" customFormat="1" ht="20.149999999999999" customHeight="1" x14ac:dyDescent="0.3">
      <c r="B10" s="199"/>
      <c r="C10" s="55"/>
      <c r="D10" s="4" t="str">
        <f t="shared" si="0"/>
        <v xml:space="preserve"> </v>
      </c>
      <c r="E10" s="4"/>
      <c r="F10" s="5"/>
      <c r="G10" s="5"/>
      <c r="H10" s="8"/>
      <c r="I10" s="5" t="str">
        <f t="shared" si="1"/>
        <v xml:space="preserve"> </v>
      </c>
      <c r="J10" s="9"/>
      <c r="K10" s="9"/>
      <c r="L10" s="5"/>
      <c r="M10" s="55"/>
      <c r="N10" s="5"/>
      <c r="O10" s="5"/>
      <c r="P10" s="5"/>
      <c r="Q10" s="247"/>
      <c r="R10" s="240"/>
      <c r="S10" s="240"/>
      <c r="T10" s="240"/>
      <c r="U10" s="240"/>
      <c r="V10" s="240"/>
      <c r="W10" s="240"/>
      <c r="X10" s="240"/>
    </row>
    <row r="11" spans="2:24" s="253" customFormat="1" ht="20.149999999999999" customHeight="1" x14ac:dyDescent="0.3">
      <c r="B11" s="199"/>
      <c r="C11" s="55"/>
      <c r="D11" s="4" t="str">
        <f t="shared" si="0"/>
        <v xml:space="preserve"> </v>
      </c>
      <c r="E11" s="4"/>
      <c r="F11" s="5"/>
      <c r="G11" s="5"/>
      <c r="H11" s="8"/>
      <c r="I11" s="5" t="str">
        <f t="shared" si="1"/>
        <v xml:space="preserve"> </v>
      </c>
      <c r="J11" s="9"/>
      <c r="K11" s="9"/>
      <c r="L11" s="5"/>
      <c r="M11" s="55"/>
      <c r="N11" s="5"/>
      <c r="O11" s="5"/>
      <c r="P11" s="5"/>
      <c r="Q11" s="247"/>
      <c r="R11" s="240"/>
      <c r="S11" s="240"/>
      <c r="T11" s="240"/>
      <c r="U11" s="240"/>
      <c r="V11" s="240"/>
      <c r="W11" s="240"/>
      <c r="X11" s="240"/>
    </row>
    <row r="12" spans="2:24" s="253" customFormat="1" ht="20.149999999999999" customHeight="1" x14ac:dyDescent="0.3">
      <c r="B12" s="199"/>
      <c r="C12" s="55"/>
      <c r="D12" s="4" t="str">
        <f t="shared" si="0"/>
        <v xml:space="preserve"> </v>
      </c>
      <c r="E12" s="4"/>
      <c r="F12" s="5"/>
      <c r="G12" s="5"/>
      <c r="H12" s="8"/>
      <c r="I12" s="5" t="str">
        <f t="shared" si="1"/>
        <v xml:space="preserve"> </v>
      </c>
      <c r="J12" s="9"/>
      <c r="K12" s="9"/>
      <c r="L12" s="5"/>
      <c r="M12" s="55"/>
      <c r="N12" s="5"/>
      <c r="O12" s="5"/>
      <c r="P12" s="5"/>
      <c r="Q12" s="247"/>
      <c r="R12" s="240"/>
      <c r="S12" s="240"/>
      <c r="T12" s="240"/>
      <c r="U12" s="240"/>
      <c r="V12" s="240"/>
      <c r="W12" s="240"/>
      <c r="X12" s="240"/>
    </row>
    <row r="13" spans="2:24" s="253" customFormat="1" ht="20.149999999999999" customHeight="1" x14ac:dyDescent="0.3">
      <c r="B13" s="199"/>
      <c r="C13" s="55"/>
      <c r="D13" s="4" t="str">
        <f t="shared" si="0"/>
        <v xml:space="preserve"> </v>
      </c>
      <c r="E13" s="4"/>
      <c r="F13" s="5"/>
      <c r="G13" s="5"/>
      <c r="H13" s="8"/>
      <c r="I13" s="5" t="str">
        <f t="shared" si="1"/>
        <v xml:space="preserve"> </v>
      </c>
      <c r="J13" s="9"/>
      <c r="K13" s="9"/>
      <c r="L13" s="5"/>
      <c r="M13" s="55"/>
      <c r="N13" s="5"/>
      <c r="O13" s="5"/>
      <c r="P13" s="5"/>
      <c r="Q13" s="247"/>
      <c r="R13" s="240"/>
      <c r="S13" s="240"/>
      <c r="T13" s="240"/>
      <c r="U13" s="240"/>
      <c r="V13" s="240"/>
      <c r="W13" s="240"/>
      <c r="X13" s="240"/>
    </row>
    <row r="14" spans="2:24" s="253" customFormat="1" ht="20.149999999999999" customHeight="1" x14ac:dyDescent="0.3">
      <c r="B14" s="199"/>
      <c r="C14" s="55"/>
      <c r="D14" s="4" t="str">
        <f t="shared" si="0"/>
        <v xml:space="preserve"> </v>
      </c>
      <c r="E14" s="4"/>
      <c r="F14" s="5"/>
      <c r="G14" s="5"/>
      <c r="H14" s="8"/>
      <c r="I14" s="5" t="str">
        <f t="shared" si="1"/>
        <v xml:space="preserve"> </v>
      </c>
      <c r="J14" s="9"/>
      <c r="K14" s="9"/>
      <c r="L14" s="5"/>
      <c r="M14" s="55"/>
      <c r="N14" s="5"/>
      <c r="O14" s="5"/>
      <c r="P14" s="5"/>
      <c r="Q14" s="247"/>
      <c r="R14" s="240"/>
      <c r="S14" s="240"/>
      <c r="T14" s="240"/>
      <c r="U14" s="240"/>
      <c r="V14" s="240"/>
      <c r="W14" s="240"/>
      <c r="X14" s="240"/>
    </row>
    <row r="15" spans="2:24" s="253" customFormat="1" ht="20.149999999999999" customHeight="1" x14ac:dyDescent="0.3">
      <c r="B15" s="199"/>
      <c r="C15" s="55"/>
      <c r="D15" s="4" t="str">
        <f t="shared" si="0"/>
        <v xml:space="preserve"> </v>
      </c>
      <c r="E15" s="4"/>
      <c r="F15" s="5"/>
      <c r="G15" s="5"/>
      <c r="H15" s="8"/>
      <c r="I15" s="5" t="str">
        <f t="shared" si="1"/>
        <v xml:space="preserve"> </v>
      </c>
      <c r="J15" s="9"/>
      <c r="K15" s="9"/>
      <c r="L15" s="5"/>
      <c r="M15" s="55"/>
      <c r="N15" s="5"/>
      <c r="O15" s="5"/>
      <c r="P15" s="5"/>
      <c r="Q15" s="247"/>
      <c r="R15" s="240"/>
      <c r="S15" s="240"/>
      <c r="T15" s="240"/>
      <c r="U15" s="240"/>
      <c r="V15" s="240"/>
      <c r="W15" s="240"/>
      <c r="X15" s="240"/>
    </row>
    <row r="16" spans="2:24" s="253" customFormat="1" ht="20.149999999999999" customHeight="1" x14ac:dyDescent="0.3">
      <c r="B16" s="199"/>
      <c r="C16" s="55"/>
      <c r="D16" s="4" t="str">
        <f t="shared" si="0"/>
        <v xml:space="preserve"> </v>
      </c>
      <c r="E16" s="4"/>
      <c r="F16" s="5"/>
      <c r="G16" s="5"/>
      <c r="H16" s="8"/>
      <c r="I16" s="5" t="str">
        <f t="shared" si="1"/>
        <v xml:space="preserve"> </v>
      </c>
      <c r="J16" s="9"/>
      <c r="K16" s="9"/>
      <c r="L16" s="5"/>
      <c r="M16" s="55"/>
      <c r="N16" s="5"/>
      <c r="O16" s="5"/>
      <c r="P16" s="5"/>
      <c r="Q16" s="247"/>
      <c r="R16" s="240"/>
      <c r="S16" s="240"/>
      <c r="T16" s="240"/>
      <c r="U16" s="240"/>
      <c r="V16" s="240"/>
      <c r="W16" s="240"/>
      <c r="X16" s="240"/>
    </row>
    <row r="17" spans="2:24" s="253" customFormat="1" ht="20.149999999999999" customHeight="1" x14ac:dyDescent="0.3">
      <c r="B17" s="199"/>
      <c r="C17" s="55"/>
      <c r="D17" s="4" t="str">
        <f t="shared" si="0"/>
        <v xml:space="preserve"> </v>
      </c>
      <c r="E17" s="4"/>
      <c r="F17" s="5"/>
      <c r="G17" s="5"/>
      <c r="H17" s="8"/>
      <c r="I17" s="5" t="str">
        <f t="shared" si="1"/>
        <v xml:space="preserve"> </v>
      </c>
      <c r="J17" s="9"/>
      <c r="K17" s="9"/>
      <c r="L17" s="5"/>
      <c r="M17" s="55"/>
      <c r="N17" s="5"/>
      <c r="O17" s="5"/>
      <c r="P17" s="5"/>
      <c r="Q17" s="247"/>
      <c r="R17" s="240"/>
      <c r="S17" s="240"/>
      <c r="T17" s="240"/>
      <c r="U17" s="240"/>
      <c r="V17" s="240"/>
      <c r="W17" s="240"/>
      <c r="X17" s="240"/>
    </row>
    <row r="18" spans="2:24" s="253" customFormat="1" ht="20.149999999999999" customHeight="1" x14ac:dyDescent="0.3">
      <c r="B18" s="199"/>
      <c r="C18" s="55"/>
      <c r="D18" s="4" t="str">
        <f t="shared" si="0"/>
        <v xml:space="preserve"> </v>
      </c>
      <c r="E18" s="4"/>
      <c r="F18" s="5"/>
      <c r="G18" s="5"/>
      <c r="H18" s="8"/>
      <c r="I18" s="5" t="str">
        <f t="shared" si="1"/>
        <v xml:space="preserve"> </v>
      </c>
      <c r="J18" s="9"/>
      <c r="K18" s="9"/>
      <c r="L18" s="5"/>
      <c r="M18" s="55"/>
      <c r="N18" s="5"/>
      <c r="O18" s="5"/>
      <c r="P18" s="5"/>
      <c r="Q18" s="247"/>
      <c r="R18" s="240"/>
      <c r="S18" s="240"/>
      <c r="T18" s="240"/>
      <c r="U18" s="240"/>
      <c r="V18" s="240"/>
      <c r="W18" s="240"/>
      <c r="X18" s="240"/>
    </row>
    <row r="19" spans="2:24" s="253" customFormat="1" ht="20.149999999999999" customHeight="1" x14ac:dyDescent="0.3">
      <c r="B19" s="199"/>
      <c r="C19" s="55"/>
      <c r="D19" s="4" t="str">
        <f t="shared" si="0"/>
        <v xml:space="preserve"> </v>
      </c>
      <c r="E19" s="4"/>
      <c r="F19" s="5"/>
      <c r="G19" s="5"/>
      <c r="H19" s="8"/>
      <c r="I19" s="5" t="str">
        <f t="shared" si="1"/>
        <v xml:space="preserve"> </v>
      </c>
      <c r="J19" s="9"/>
      <c r="K19" s="9"/>
      <c r="L19" s="5"/>
      <c r="M19" s="55"/>
      <c r="N19" s="5"/>
      <c r="O19" s="5"/>
      <c r="P19" s="5"/>
      <c r="Q19" s="247"/>
      <c r="R19" s="240"/>
      <c r="S19" s="240"/>
      <c r="T19" s="240"/>
      <c r="U19" s="240"/>
      <c r="V19" s="240"/>
      <c r="W19" s="240"/>
      <c r="X19" s="240"/>
    </row>
    <row r="20" spans="2:24" s="253" customFormat="1" ht="20.149999999999999" customHeight="1" x14ac:dyDescent="0.3">
      <c r="B20" s="199"/>
      <c r="C20" s="55"/>
      <c r="D20" s="4" t="str">
        <f t="shared" si="0"/>
        <v xml:space="preserve"> </v>
      </c>
      <c r="E20" s="4"/>
      <c r="F20" s="5"/>
      <c r="G20" s="5"/>
      <c r="H20" s="8"/>
      <c r="I20" s="5" t="str">
        <f t="shared" si="1"/>
        <v xml:space="preserve"> </v>
      </c>
      <c r="J20" s="9"/>
      <c r="K20" s="9"/>
      <c r="L20" s="5"/>
      <c r="M20" s="55"/>
      <c r="N20" s="5"/>
      <c r="O20" s="5"/>
      <c r="P20" s="5"/>
      <c r="Q20" s="247"/>
      <c r="R20" s="240"/>
      <c r="S20" s="240"/>
      <c r="T20" s="240"/>
      <c r="U20" s="240"/>
      <c r="V20" s="240"/>
      <c r="W20" s="240"/>
      <c r="X20" s="240"/>
    </row>
    <row r="21" spans="2:24" s="253" customFormat="1" ht="20.149999999999999" customHeight="1" x14ac:dyDescent="0.3">
      <c r="B21" s="200"/>
      <c r="C21" s="194"/>
      <c r="D21" s="195" t="str">
        <f t="shared" si="0"/>
        <v xml:space="preserve"> </v>
      </c>
      <c r="E21" s="195"/>
      <c r="F21" s="196"/>
      <c r="G21" s="196"/>
      <c r="H21" s="197"/>
      <c r="I21" s="196" t="str">
        <f t="shared" si="1"/>
        <v xml:space="preserve"> </v>
      </c>
      <c r="J21" s="198"/>
      <c r="K21" s="198"/>
      <c r="L21" s="196"/>
      <c r="M21" s="194"/>
      <c r="N21" s="196"/>
      <c r="O21" s="196"/>
      <c r="P21" s="196"/>
      <c r="Q21" s="247"/>
      <c r="R21" s="240"/>
      <c r="S21" s="240"/>
      <c r="T21" s="240"/>
      <c r="U21" s="240"/>
      <c r="V21" s="240"/>
      <c r="W21" s="240"/>
      <c r="X21" s="240"/>
    </row>
    <row r="22" spans="2:24" s="253" customFormat="1" ht="20.149999999999999" customHeight="1" x14ac:dyDescent="0.3">
      <c r="B22" s="199"/>
      <c r="C22" s="55"/>
      <c r="D22" s="4" t="str">
        <f t="shared" si="0"/>
        <v xml:space="preserve"> </v>
      </c>
      <c r="E22" s="4"/>
      <c r="F22" s="5"/>
      <c r="G22" s="5"/>
      <c r="H22" s="8"/>
      <c r="I22" s="5" t="str">
        <f t="shared" si="1"/>
        <v xml:space="preserve"> </v>
      </c>
      <c r="J22" s="9"/>
      <c r="K22" s="9"/>
      <c r="L22" s="5"/>
      <c r="M22" s="55"/>
      <c r="N22" s="5"/>
      <c r="O22" s="5"/>
      <c r="P22" s="5"/>
      <c r="Q22" s="247"/>
      <c r="R22" s="240"/>
      <c r="S22" s="240"/>
      <c r="T22" s="240"/>
      <c r="U22" s="240"/>
      <c r="V22" s="240"/>
      <c r="W22" s="240"/>
      <c r="X22" s="240"/>
    </row>
    <row r="23" spans="2:24" s="253" customFormat="1" ht="20.149999999999999" customHeight="1" x14ac:dyDescent="0.3">
      <c r="B23" s="199"/>
      <c r="C23" s="55"/>
      <c r="D23" s="4" t="str">
        <f t="shared" si="0"/>
        <v xml:space="preserve"> </v>
      </c>
      <c r="E23" s="4"/>
      <c r="F23" s="5"/>
      <c r="G23" s="5"/>
      <c r="H23" s="8"/>
      <c r="I23" s="5" t="str">
        <f t="shared" si="1"/>
        <v xml:space="preserve"> </v>
      </c>
      <c r="J23" s="9"/>
      <c r="K23" s="9"/>
      <c r="L23" s="5"/>
      <c r="M23" s="55"/>
      <c r="N23" s="5"/>
      <c r="O23" s="5"/>
      <c r="P23" s="5"/>
      <c r="Q23" s="247"/>
      <c r="R23" s="240"/>
      <c r="S23" s="240"/>
      <c r="T23" s="240"/>
      <c r="U23" s="240"/>
      <c r="V23" s="240"/>
      <c r="W23" s="240"/>
      <c r="X23" s="240"/>
    </row>
    <row r="24" spans="2:24" s="253" customFormat="1" ht="20.149999999999999" customHeight="1" x14ac:dyDescent="0.3">
      <c r="B24" s="199"/>
      <c r="C24" s="55"/>
      <c r="D24" s="4" t="str">
        <f t="shared" si="0"/>
        <v xml:space="preserve"> </v>
      </c>
      <c r="E24" s="4"/>
      <c r="F24" s="5"/>
      <c r="G24" s="5"/>
      <c r="H24" s="8"/>
      <c r="I24" s="5" t="str">
        <f t="shared" si="1"/>
        <v xml:space="preserve"> </v>
      </c>
      <c r="J24" s="9"/>
      <c r="K24" s="9"/>
      <c r="L24" s="5"/>
      <c r="M24" s="55"/>
      <c r="N24" s="5"/>
      <c r="O24" s="5"/>
      <c r="P24" s="5"/>
      <c r="Q24" s="247"/>
      <c r="R24" s="240"/>
      <c r="S24" s="240"/>
      <c r="T24" s="240"/>
      <c r="U24" s="240"/>
      <c r="V24" s="240"/>
      <c r="W24" s="240"/>
      <c r="X24" s="240"/>
    </row>
    <row r="25" spans="2:24" s="253" customFormat="1" ht="20.149999999999999" customHeight="1" x14ac:dyDescent="0.3">
      <c r="B25" s="199"/>
      <c r="C25" s="55"/>
      <c r="D25" s="4" t="str">
        <f t="shared" si="0"/>
        <v xml:space="preserve"> </v>
      </c>
      <c r="E25" s="4"/>
      <c r="F25" s="5"/>
      <c r="G25" s="5"/>
      <c r="H25" s="8"/>
      <c r="I25" s="5" t="str">
        <f t="shared" si="1"/>
        <v xml:space="preserve"> </v>
      </c>
      <c r="J25" s="9"/>
      <c r="K25" s="9"/>
      <c r="L25" s="5"/>
      <c r="M25" s="55"/>
      <c r="N25" s="5"/>
      <c r="O25" s="5"/>
      <c r="P25" s="5"/>
      <c r="Q25" s="247"/>
      <c r="R25" s="240"/>
      <c r="S25" s="240"/>
      <c r="T25" s="240"/>
      <c r="U25" s="240"/>
      <c r="V25" s="240"/>
      <c r="W25" s="240"/>
      <c r="X25" s="240"/>
    </row>
    <row r="26" spans="2:24" s="253" customFormat="1" ht="20.149999999999999" customHeight="1" x14ac:dyDescent="0.3">
      <c r="B26" s="199"/>
      <c r="C26" s="55"/>
      <c r="D26" s="4" t="str">
        <f t="shared" si="0"/>
        <v xml:space="preserve"> </v>
      </c>
      <c r="E26" s="4"/>
      <c r="F26" s="5"/>
      <c r="G26" s="5"/>
      <c r="H26" s="8"/>
      <c r="I26" s="5" t="str">
        <f t="shared" si="1"/>
        <v xml:space="preserve"> </v>
      </c>
      <c r="J26" s="9"/>
      <c r="K26" s="9"/>
      <c r="L26" s="5"/>
      <c r="M26" s="55"/>
      <c r="N26" s="5"/>
      <c r="O26" s="5"/>
      <c r="P26" s="5"/>
      <c r="Q26" s="247"/>
      <c r="R26" s="240"/>
      <c r="S26" s="240"/>
      <c r="T26" s="240"/>
      <c r="U26" s="240"/>
      <c r="V26" s="240"/>
      <c r="W26" s="240"/>
      <c r="X26" s="240"/>
    </row>
    <row r="27" spans="2:24" s="253" customFormat="1" ht="20.149999999999999" customHeight="1" x14ac:dyDescent="0.3">
      <c r="B27" s="199"/>
      <c r="C27" s="55"/>
      <c r="D27" s="4" t="str">
        <f t="shared" si="0"/>
        <v xml:space="preserve"> </v>
      </c>
      <c r="E27" s="4"/>
      <c r="F27" s="5"/>
      <c r="G27" s="5"/>
      <c r="H27" s="8"/>
      <c r="I27" s="5" t="str">
        <f t="shared" si="1"/>
        <v xml:space="preserve"> </v>
      </c>
      <c r="J27" s="9"/>
      <c r="K27" s="9"/>
      <c r="L27" s="5"/>
      <c r="M27" s="55"/>
      <c r="N27" s="5"/>
      <c r="O27" s="5"/>
      <c r="P27" s="5"/>
      <c r="Q27" s="247"/>
      <c r="R27" s="240"/>
      <c r="S27" s="240"/>
      <c r="T27" s="240"/>
      <c r="U27" s="240"/>
      <c r="V27" s="240"/>
      <c r="W27" s="240"/>
      <c r="X27" s="240"/>
    </row>
    <row r="28" spans="2:24" s="253" customFormat="1" ht="20.149999999999999" customHeight="1" x14ac:dyDescent="0.3">
      <c r="B28" s="199"/>
      <c r="C28" s="55"/>
      <c r="D28" s="4" t="str">
        <f t="shared" si="0"/>
        <v xml:space="preserve"> </v>
      </c>
      <c r="E28" s="4"/>
      <c r="F28" s="5"/>
      <c r="G28" s="5"/>
      <c r="H28" s="8"/>
      <c r="I28" s="5" t="str">
        <f t="shared" si="1"/>
        <v xml:space="preserve"> </v>
      </c>
      <c r="J28" s="9"/>
      <c r="K28" s="9"/>
      <c r="L28" s="5"/>
      <c r="M28" s="55"/>
      <c r="N28" s="5"/>
      <c r="O28" s="5"/>
      <c r="P28" s="5"/>
      <c r="Q28" s="247"/>
      <c r="R28" s="240"/>
      <c r="S28" s="240"/>
      <c r="T28" s="240"/>
      <c r="U28" s="240"/>
      <c r="V28" s="240"/>
      <c r="W28" s="240"/>
      <c r="X28" s="240"/>
    </row>
    <row r="29" spans="2:24" s="253" customFormat="1" ht="20.149999999999999" customHeight="1" x14ac:dyDescent="0.3">
      <c r="B29" s="199"/>
      <c r="C29" s="55"/>
      <c r="D29" s="4" t="str">
        <f t="shared" si="0"/>
        <v xml:space="preserve"> </v>
      </c>
      <c r="E29" s="4"/>
      <c r="F29" s="5"/>
      <c r="G29" s="5"/>
      <c r="H29" s="8"/>
      <c r="I29" s="5" t="str">
        <f t="shared" si="1"/>
        <v xml:space="preserve"> </v>
      </c>
      <c r="J29" s="9"/>
      <c r="K29" s="9"/>
      <c r="L29" s="5"/>
      <c r="M29" s="55"/>
      <c r="N29" s="5"/>
      <c r="O29" s="5"/>
      <c r="P29" s="5"/>
      <c r="Q29" s="247"/>
      <c r="R29" s="240"/>
      <c r="S29" s="240"/>
      <c r="T29" s="240"/>
      <c r="U29" s="240"/>
      <c r="V29" s="240"/>
      <c r="W29" s="240"/>
      <c r="X29" s="240"/>
    </row>
    <row r="30" spans="2:24" s="253" customFormat="1" ht="20.149999999999999" customHeight="1" x14ac:dyDescent="0.3">
      <c r="B30" s="199"/>
      <c r="C30" s="55"/>
      <c r="D30" s="4" t="str">
        <f t="shared" si="0"/>
        <v xml:space="preserve"> </v>
      </c>
      <c r="E30" s="4"/>
      <c r="F30" s="5"/>
      <c r="G30" s="5"/>
      <c r="H30" s="8"/>
      <c r="I30" s="5" t="str">
        <f t="shared" si="1"/>
        <v xml:space="preserve"> </v>
      </c>
      <c r="J30" s="9"/>
      <c r="K30" s="9"/>
      <c r="L30" s="5"/>
      <c r="M30" s="55"/>
      <c r="N30" s="5"/>
      <c r="O30" s="5"/>
      <c r="P30" s="5"/>
      <c r="Q30" s="247"/>
      <c r="R30" s="240"/>
      <c r="S30" s="240"/>
      <c r="T30" s="240"/>
      <c r="U30" s="240"/>
      <c r="V30" s="240"/>
      <c r="W30" s="240"/>
      <c r="X30" s="240"/>
    </row>
    <row r="31" spans="2:24" s="253" customFormat="1" ht="20.149999999999999" customHeight="1" x14ac:dyDescent="0.3">
      <c r="B31" s="199"/>
      <c r="C31" s="55"/>
      <c r="D31" s="4" t="str">
        <f t="shared" si="0"/>
        <v xml:space="preserve"> </v>
      </c>
      <c r="E31" s="4"/>
      <c r="F31" s="5"/>
      <c r="G31" s="5"/>
      <c r="H31" s="8"/>
      <c r="I31" s="5" t="str">
        <f t="shared" si="1"/>
        <v xml:space="preserve"> </v>
      </c>
      <c r="J31" s="9"/>
      <c r="K31" s="9"/>
      <c r="L31" s="5"/>
      <c r="M31" s="55"/>
      <c r="N31" s="5"/>
      <c r="O31" s="5"/>
      <c r="P31" s="5"/>
      <c r="Q31" s="247"/>
      <c r="R31" s="240"/>
      <c r="S31" s="240"/>
      <c r="T31" s="240"/>
      <c r="U31" s="240"/>
      <c r="V31" s="240"/>
      <c r="W31" s="240"/>
      <c r="X31" s="240"/>
    </row>
    <row r="32" spans="2:24" s="253" customFormat="1" ht="20.149999999999999" customHeight="1" x14ac:dyDescent="0.3">
      <c r="B32" s="199"/>
      <c r="C32" s="55"/>
      <c r="D32" s="4" t="str">
        <f t="shared" si="0"/>
        <v xml:space="preserve"> </v>
      </c>
      <c r="E32" s="4"/>
      <c r="F32" s="5"/>
      <c r="G32" s="5"/>
      <c r="H32" s="8"/>
      <c r="I32" s="5" t="str">
        <f t="shared" si="1"/>
        <v xml:space="preserve"> </v>
      </c>
      <c r="J32" s="9"/>
      <c r="K32" s="9"/>
      <c r="L32" s="5"/>
      <c r="M32" s="55"/>
      <c r="N32" s="5"/>
      <c r="O32" s="5"/>
      <c r="P32" s="5"/>
      <c r="Q32" s="247"/>
      <c r="R32" s="240"/>
      <c r="S32" s="240"/>
      <c r="T32" s="240"/>
      <c r="U32" s="240"/>
      <c r="V32" s="240"/>
      <c r="W32" s="240"/>
      <c r="X32" s="240"/>
    </row>
    <row r="33" spans="2:24" s="253" customFormat="1" ht="20.149999999999999" customHeight="1" x14ac:dyDescent="0.3">
      <c r="B33" s="199"/>
      <c r="C33" s="55"/>
      <c r="D33" s="4" t="str">
        <f t="shared" si="0"/>
        <v xml:space="preserve"> </v>
      </c>
      <c r="E33" s="4"/>
      <c r="F33" s="5"/>
      <c r="G33" s="5"/>
      <c r="H33" s="8"/>
      <c r="I33" s="5" t="str">
        <f t="shared" si="1"/>
        <v xml:space="preserve"> </v>
      </c>
      <c r="J33" s="9"/>
      <c r="K33" s="9"/>
      <c r="L33" s="5"/>
      <c r="M33" s="55"/>
      <c r="N33" s="5"/>
      <c r="O33" s="5"/>
      <c r="P33" s="5"/>
      <c r="Q33" s="247"/>
      <c r="R33" s="240"/>
      <c r="S33" s="240"/>
      <c r="T33" s="240"/>
      <c r="U33" s="240"/>
      <c r="V33" s="240"/>
      <c r="W33" s="240"/>
      <c r="X33" s="240"/>
    </row>
    <row r="34" spans="2:24" s="253" customFormat="1" ht="20.149999999999999" customHeight="1" x14ac:dyDescent="0.3">
      <c r="B34" s="199"/>
      <c r="C34" s="55"/>
      <c r="D34" s="4" t="str">
        <f t="shared" si="0"/>
        <v xml:space="preserve"> </v>
      </c>
      <c r="E34" s="4"/>
      <c r="F34" s="5"/>
      <c r="G34" s="5"/>
      <c r="H34" s="8"/>
      <c r="I34" s="5" t="str">
        <f t="shared" si="1"/>
        <v xml:space="preserve"> </v>
      </c>
      <c r="J34" s="9"/>
      <c r="K34" s="9"/>
      <c r="L34" s="5"/>
      <c r="M34" s="55"/>
      <c r="N34" s="5"/>
      <c r="O34" s="5"/>
      <c r="P34" s="5"/>
      <c r="Q34" s="247"/>
      <c r="R34" s="240"/>
      <c r="S34" s="240"/>
      <c r="T34" s="240"/>
      <c r="U34" s="240"/>
      <c r="V34" s="240"/>
      <c r="W34" s="240"/>
      <c r="X34" s="240"/>
    </row>
    <row r="35" spans="2:24" s="253" customFormat="1" ht="20.149999999999999" customHeight="1" x14ac:dyDescent="0.3">
      <c r="B35" s="199"/>
      <c r="C35" s="55"/>
      <c r="D35" s="4" t="str">
        <f t="shared" si="0"/>
        <v xml:space="preserve"> </v>
      </c>
      <c r="E35" s="4"/>
      <c r="F35" s="5"/>
      <c r="G35" s="5"/>
      <c r="H35" s="8"/>
      <c r="I35" s="5" t="str">
        <f t="shared" si="1"/>
        <v xml:space="preserve"> </v>
      </c>
      <c r="J35" s="9"/>
      <c r="K35" s="9"/>
      <c r="L35" s="5"/>
      <c r="M35" s="55"/>
      <c r="N35" s="5"/>
      <c r="O35" s="5"/>
      <c r="P35" s="5"/>
      <c r="Q35" s="247"/>
      <c r="R35" s="240"/>
      <c r="S35" s="240"/>
      <c r="T35" s="240"/>
      <c r="U35" s="240"/>
      <c r="V35" s="240"/>
      <c r="W35" s="240"/>
      <c r="X35" s="240"/>
    </row>
    <row r="36" spans="2:24" s="253" customFormat="1" ht="20.149999999999999" customHeight="1" x14ac:dyDescent="0.3">
      <c r="B36" s="199"/>
      <c r="C36" s="55"/>
      <c r="D36" s="4" t="str">
        <f t="shared" si="0"/>
        <v xml:space="preserve"> </v>
      </c>
      <c r="E36" s="4"/>
      <c r="F36" s="5"/>
      <c r="G36" s="5"/>
      <c r="H36" s="8"/>
      <c r="I36" s="5" t="str">
        <f t="shared" si="1"/>
        <v xml:space="preserve"> </v>
      </c>
      <c r="J36" s="9"/>
      <c r="K36" s="9"/>
      <c r="L36" s="5"/>
      <c r="M36" s="55"/>
      <c r="N36" s="5"/>
      <c r="O36" s="5"/>
      <c r="P36" s="5"/>
      <c r="Q36" s="247"/>
      <c r="R36" s="240"/>
      <c r="S36" s="240"/>
      <c r="T36" s="240"/>
      <c r="U36" s="240"/>
      <c r="V36" s="240"/>
      <c r="W36" s="240"/>
      <c r="X36" s="240"/>
    </row>
    <row r="37" spans="2:24" s="253" customFormat="1" ht="20.149999999999999" customHeight="1" x14ac:dyDescent="0.3">
      <c r="B37" s="199"/>
      <c r="C37" s="55"/>
      <c r="D37" s="4" t="str">
        <f>IF(C37=0," ","Z2")</f>
        <v xml:space="preserve"> </v>
      </c>
      <c r="E37" s="4"/>
      <c r="F37" s="5"/>
      <c r="G37" s="5"/>
      <c r="H37" s="8"/>
      <c r="I37" s="5" t="str">
        <f t="shared" si="1"/>
        <v xml:space="preserve"> </v>
      </c>
      <c r="J37" s="9"/>
      <c r="K37" s="9"/>
      <c r="L37" s="5"/>
      <c r="M37" s="55"/>
      <c r="N37" s="5"/>
      <c r="O37" s="5"/>
      <c r="P37" s="5"/>
      <c r="Q37" s="247"/>
      <c r="R37" s="240"/>
      <c r="S37" s="240"/>
      <c r="T37" s="240"/>
      <c r="U37" s="240"/>
      <c r="V37" s="240"/>
      <c r="W37" s="240"/>
      <c r="X37" s="240"/>
    </row>
    <row r="38" spans="2:24" s="253" customFormat="1" ht="20.149999999999999" customHeight="1" x14ac:dyDescent="0.3">
      <c r="B38" s="200"/>
      <c r="C38" s="194"/>
      <c r="D38" s="195" t="str">
        <f t="shared" si="0"/>
        <v xml:space="preserve"> </v>
      </c>
      <c r="E38" s="195"/>
      <c r="F38" s="196"/>
      <c r="G38" s="196"/>
      <c r="H38" s="197"/>
      <c r="I38" s="196" t="str">
        <f t="shared" si="1"/>
        <v xml:space="preserve"> </v>
      </c>
      <c r="J38" s="198"/>
      <c r="K38" s="198"/>
      <c r="L38" s="196"/>
      <c r="M38" s="194"/>
      <c r="N38" s="196"/>
      <c r="O38" s="196"/>
      <c r="P38" s="196"/>
      <c r="Q38" s="247"/>
      <c r="R38" s="240"/>
      <c r="S38" s="240"/>
      <c r="T38" s="240"/>
      <c r="U38" s="240"/>
      <c r="V38" s="240"/>
      <c r="W38" s="240"/>
      <c r="X38" s="240"/>
    </row>
    <row r="39" spans="2:24" s="253" customFormat="1" ht="20.149999999999999" customHeight="1" x14ac:dyDescent="0.3">
      <c r="B39" s="199"/>
      <c r="C39" s="55"/>
      <c r="D39" s="4" t="str">
        <f t="shared" si="0"/>
        <v xml:space="preserve"> </v>
      </c>
      <c r="E39" s="4"/>
      <c r="F39" s="5"/>
      <c r="G39" s="5"/>
      <c r="H39" s="8"/>
      <c r="I39" s="5" t="str">
        <f t="shared" si="1"/>
        <v xml:space="preserve"> </v>
      </c>
      <c r="J39" s="9"/>
      <c r="K39" s="9"/>
      <c r="L39" s="5"/>
      <c r="M39" s="55"/>
      <c r="N39" s="5"/>
      <c r="O39" s="5"/>
      <c r="P39" s="5"/>
      <c r="Q39" s="247"/>
      <c r="R39" s="240"/>
      <c r="S39" s="240"/>
      <c r="T39" s="240"/>
      <c r="U39" s="240"/>
      <c r="V39" s="240"/>
      <c r="W39" s="240"/>
      <c r="X39" s="240"/>
    </row>
    <row r="40" spans="2:24" s="253" customFormat="1" ht="20.149999999999999" customHeight="1" x14ac:dyDescent="0.3">
      <c r="B40" s="193"/>
      <c r="C40" s="221"/>
      <c r="D40" s="222" t="str">
        <f t="shared" si="0"/>
        <v xml:space="preserve"> </v>
      </c>
      <c r="E40" s="222"/>
      <c r="F40" s="223"/>
      <c r="G40" s="223"/>
      <c r="H40" s="224"/>
      <c r="I40" s="223" t="str">
        <f t="shared" si="1"/>
        <v xml:space="preserve"> </v>
      </c>
      <c r="J40" s="225"/>
      <c r="K40" s="225"/>
      <c r="L40" s="223"/>
      <c r="M40" s="221"/>
      <c r="N40" s="223"/>
      <c r="O40" s="223"/>
      <c r="P40" s="223"/>
      <c r="Q40" s="247"/>
      <c r="R40" s="240"/>
      <c r="S40" s="240"/>
      <c r="T40" s="240"/>
      <c r="U40" s="240"/>
      <c r="V40" s="240"/>
      <c r="W40" s="240"/>
      <c r="X40" s="240"/>
    </row>
    <row r="41" spans="2:24" s="254" customFormat="1" ht="20.149999999999999" customHeight="1" x14ac:dyDescent="0.3">
      <c r="B41" s="325" t="s">
        <v>233</v>
      </c>
      <c r="C41" s="325"/>
      <c r="D41" s="325"/>
      <c r="E41" s="325"/>
      <c r="F41" s="255">
        <f>SUM(F8:F40)</f>
        <v>0</v>
      </c>
      <c r="G41" s="255"/>
      <c r="H41" s="255"/>
      <c r="I41" s="255">
        <f>SUM(I8:I40)</f>
        <v>0</v>
      </c>
      <c r="J41" s="256"/>
      <c r="K41" s="256"/>
      <c r="L41" s="256"/>
      <c r="M41" s="256"/>
      <c r="N41" s="255"/>
      <c r="O41" s="255"/>
      <c r="P41" s="255"/>
      <c r="Q41" s="244"/>
      <c r="R41" s="240"/>
      <c r="S41" s="240"/>
      <c r="T41" s="240"/>
      <c r="U41" s="240"/>
      <c r="V41" s="240"/>
      <c r="W41" s="240"/>
      <c r="X41" s="240"/>
    </row>
    <row r="42" spans="2:24" ht="20.149999999999999" customHeight="1" x14ac:dyDescent="0.3">
      <c r="D42" s="245"/>
      <c r="E42" s="247"/>
      <c r="F42" s="247"/>
      <c r="G42" s="247"/>
      <c r="H42" s="247"/>
      <c r="I42" s="247"/>
      <c r="J42" s="247"/>
      <c r="K42" s="247"/>
      <c r="L42" s="245"/>
      <c r="M42" s="247"/>
      <c r="N42" s="247"/>
      <c r="O42" s="247"/>
      <c r="P42" s="247"/>
      <c r="Q42" s="247"/>
    </row>
    <row r="43" spans="2:24" s="257" customFormat="1" ht="20.149999999999999" customHeight="1" x14ac:dyDescent="0.35">
      <c r="D43" s="258"/>
      <c r="E43" s="258"/>
      <c r="F43" s="258"/>
      <c r="G43" s="258"/>
      <c r="H43" s="258"/>
      <c r="I43" s="258"/>
      <c r="J43" s="258"/>
      <c r="K43" s="258"/>
      <c r="L43" s="258"/>
      <c r="M43" s="258"/>
      <c r="N43" s="258"/>
      <c r="O43" s="258"/>
      <c r="P43" s="258"/>
      <c r="Q43" s="258"/>
      <c r="R43" s="240"/>
      <c r="S43" s="240"/>
      <c r="T43" s="240"/>
      <c r="U43" s="240"/>
      <c r="V43" s="240"/>
      <c r="W43" s="240"/>
      <c r="X43" s="240"/>
    </row>
    <row r="44" spans="2:24" s="257" customFormat="1" ht="20.149999999999999" customHeight="1" x14ac:dyDescent="0.35">
      <c r="D44" s="258"/>
      <c r="E44" s="258"/>
      <c r="F44" s="258"/>
      <c r="G44" s="258"/>
      <c r="H44" s="258"/>
      <c r="I44" s="258"/>
      <c r="J44" s="258"/>
      <c r="K44" s="258"/>
      <c r="L44" s="258"/>
      <c r="M44" s="258"/>
      <c r="N44" s="258"/>
      <c r="O44" s="258"/>
      <c r="P44" s="258"/>
      <c r="Q44" s="258"/>
      <c r="R44" s="240"/>
      <c r="S44" s="240"/>
      <c r="T44" s="240"/>
      <c r="U44" s="240"/>
      <c r="V44" s="240"/>
      <c r="W44" s="240"/>
    </row>
    <row r="45" spans="2:24" s="257" customFormat="1" ht="20.149999999999999" customHeight="1" x14ac:dyDescent="0.35">
      <c r="D45" s="258"/>
      <c r="E45" s="258"/>
      <c r="F45" s="258"/>
      <c r="G45" s="258"/>
      <c r="H45" s="258"/>
      <c r="I45" s="258"/>
      <c r="J45" s="258"/>
      <c r="K45" s="258"/>
      <c r="L45" s="258"/>
      <c r="M45" s="258"/>
      <c r="N45" s="258"/>
      <c r="O45" s="258"/>
      <c r="P45" s="258"/>
      <c r="Q45" s="258"/>
      <c r="R45" s="240"/>
      <c r="S45" s="240"/>
      <c r="T45" s="240"/>
      <c r="U45" s="240"/>
      <c r="V45" s="240"/>
      <c r="W45" s="240"/>
    </row>
    <row r="46" spans="2:24" s="257" customFormat="1" ht="20.149999999999999" customHeight="1" x14ac:dyDescent="0.35">
      <c r="D46" s="258"/>
      <c r="E46" s="258"/>
      <c r="F46" s="258"/>
      <c r="G46" s="258"/>
      <c r="H46" s="258"/>
      <c r="I46" s="258"/>
      <c r="J46" s="258"/>
      <c r="K46" s="258"/>
      <c r="L46" s="258"/>
      <c r="M46" s="258"/>
      <c r="N46" s="258"/>
      <c r="O46" s="258"/>
      <c r="P46" s="258"/>
      <c r="Q46" s="258"/>
      <c r="R46" s="240"/>
      <c r="S46" s="240"/>
      <c r="T46" s="240"/>
      <c r="U46" s="240"/>
      <c r="V46" s="240"/>
      <c r="W46" s="240"/>
    </row>
    <row r="47" spans="2:24" ht="20.149999999999999" customHeight="1" x14ac:dyDescent="0.3">
      <c r="D47" s="247"/>
      <c r="E47" s="247"/>
      <c r="F47" s="247"/>
      <c r="G47" s="247"/>
      <c r="H47" s="247"/>
      <c r="I47" s="247"/>
      <c r="J47" s="247"/>
      <c r="K47" s="247"/>
      <c r="L47" s="247"/>
      <c r="M47" s="247"/>
      <c r="N47" s="247"/>
      <c r="O47" s="247"/>
      <c r="P47" s="247"/>
      <c r="Q47" s="247"/>
    </row>
    <row r="48" spans="2:24" ht="20.149999999999999" customHeight="1" x14ac:dyDescent="0.3"/>
    <row r="50" spans="2:19" ht="20.149999999999999" customHeight="1" x14ac:dyDescent="0.3">
      <c r="B50" s="12" t="s">
        <v>234</v>
      </c>
      <c r="C50" s="12"/>
      <c r="D50" s="12"/>
      <c r="E50" s="247"/>
      <c r="F50" s="247"/>
      <c r="G50" s="247"/>
      <c r="H50" s="247"/>
      <c r="I50" s="247"/>
      <c r="J50" s="247"/>
      <c r="K50" s="247"/>
      <c r="L50" s="12"/>
      <c r="M50" s="247"/>
      <c r="N50" s="247"/>
      <c r="O50" s="247"/>
      <c r="P50" s="247"/>
      <c r="Q50" s="247"/>
      <c r="R50" s="247"/>
      <c r="S50" s="247"/>
    </row>
    <row r="51" spans="2:19" ht="285.75" customHeight="1" x14ac:dyDescent="0.3">
      <c r="B51" s="302" t="s">
        <v>85</v>
      </c>
      <c r="C51" s="303"/>
      <c r="D51" s="303"/>
      <c r="E51" s="303"/>
      <c r="F51" s="303"/>
      <c r="G51" s="303"/>
      <c r="H51" s="303"/>
      <c r="I51" s="303"/>
      <c r="J51" s="304"/>
      <c r="K51" s="259"/>
      <c r="L51" s="259"/>
      <c r="M51" s="259"/>
      <c r="N51" s="247"/>
      <c r="O51" s="247"/>
      <c r="P51" s="247"/>
      <c r="Q51" s="247"/>
      <c r="R51" s="247"/>
      <c r="S51" s="247"/>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1" customWidth="1"/>
    <col min="2" max="2" width="20.453125" style="21" customWidth="1"/>
    <col min="3" max="3" width="23.453125" style="21" bestFit="1" customWidth="1"/>
    <col min="4" max="28" width="17.7265625" style="21" customWidth="1"/>
    <col min="29" max="16384" width="9.1796875" style="21"/>
  </cols>
  <sheetData>
    <row r="2" spans="2:40" ht="21" customHeight="1" x14ac:dyDescent="0.3">
      <c r="B2" s="216" t="s">
        <v>5</v>
      </c>
      <c r="C2" s="217" t="str">
        <f>'Project Infor'!C10</f>
        <v>ZEV-ATE0012-1001</v>
      </c>
      <c r="D2" s="216" t="str">
        <f>'Project Infor'!C11</f>
        <v>Lote 2: Núcleo Estructural Java</v>
      </c>
      <c r="E2" s="218"/>
      <c r="F2" s="218"/>
      <c r="G2" s="218"/>
      <c r="H2" s="218"/>
      <c r="I2" s="218"/>
      <c r="J2" s="218"/>
    </row>
    <row r="3" spans="2:40" ht="21" customHeight="1" x14ac:dyDescent="0.3"/>
    <row r="4" spans="2:40" s="86" customFormat="1" ht="25" customHeight="1" x14ac:dyDescent="0.3">
      <c r="B4" s="145" t="s">
        <v>235</v>
      </c>
      <c r="C4" s="146">
        <v>44197</v>
      </c>
      <c r="D4" s="146">
        <f t="shared" ref="D4:N4" si="0">EOMONTH(C4,1)</f>
        <v>44255</v>
      </c>
      <c r="E4" s="146">
        <f t="shared" si="0"/>
        <v>44286</v>
      </c>
      <c r="F4" s="146">
        <f t="shared" si="0"/>
        <v>44316</v>
      </c>
      <c r="G4" s="146">
        <f t="shared" si="0"/>
        <v>44347</v>
      </c>
      <c r="H4" s="146">
        <f t="shared" si="0"/>
        <v>44377</v>
      </c>
      <c r="I4" s="146">
        <f t="shared" si="0"/>
        <v>44408</v>
      </c>
      <c r="J4" s="146">
        <f t="shared" si="0"/>
        <v>44439</v>
      </c>
      <c r="K4" s="146">
        <f t="shared" si="0"/>
        <v>44469</v>
      </c>
      <c r="L4" s="146">
        <f t="shared" si="0"/>
        <v>44500</v>
      </c>
      <c r="M4" s="146">
        <f t="shared" si="0"/>
        <v>44530</v>
      </c>
      <c r="N4" s="146">
        <f t="shared" si="0"/>
        <v>44561</v>
      </c>
      <c r="O4" s="146">
        <f t="shared" ref="O4" si="1">EOMONTH(N4,1)</f>
        <v>44592</v>
      </c>
      <c r="P4" s="146">
        <f t="shared" ref="P4" si="2">EOMONTH(O4,1)</f>
        <v>44620</v>
      </c>
      <c r="Q4" s="146">
        <f t="shared" ref="Q4" si="3">EOMONTH(P4,1)</f>
        <v>44651</v>
      </c>
      <c r="R4" s="146">
        <f t="shared" ref="R4" si="4">EOMONTH(Q4,1)</f>
        <v>44681</v>
      </c>
      <c r="S4" s="146">
        <f t="shared" ref="S4" si="5">EOMONTH(R4,1)</f>
        <v>44712</v>
      </c>
      <c r="T4" s="146">
        <f t="shared" ref="T4" si="6">EOMONTH(S4,1)</f>
        <v>44742</v>
      </c>
      <c r="U4" s="146">
        <f t="shared" ref="U4" si="7">EOMONTH(T4,1)</f>
        <v>44773</v>
      </c>
      <c r="V4" s="146">
        <f t="shared" ref="V4" si="8">EOMONTH(U4,1)</f>
        <v>44804</v>
      </c>
      <c r="W4" s="146">
        <f t="shared" ref="W4" si="9">EOMONTH(V4,1)</f>
        <v>44834</v>
      </c>
      <c r="X4" s="146">
        <f t="shared" ref="X4" si="10">EOMONTH(W4,1)</f>
        <v>44865</v>
      </c>
      <c r="Y4" s="146">
        <f t="shared" ref="Y4" si="11">EOMONTH(X4,1)</f>
        <v>44895</v>
      </c>
      <c r="Z4" s="146">
        <f t="shared" ref="Z4" si="12">EOMONTH(Y4,1)</f>
        <v>44926</v>
      </c>
      <c r="AC4" s="21"/>
      <c r="AD4" s="21"/>
      <c r="AE4" s="21"/>
      <c r="AF4" s="21"/>
      <c r="AG4" s="21"/>
      <c r="AH4" s="21"/>
      <c r="AI4" s="21"/>
      <c r="AJ4" s="21"/>
      <c r="AK4" s="21"/>
      <c r="AL4" s="21"/>
      <c r="AM4" s="21"/>
      <c r="AN4" s="21"/>
    </row>
    <row r="5" spans="2:40" s="67" customFormat="1" ht="25" customHeight="1" x14ac:dyDescent="0.3">
      <c r="B5" s="191">
        <v>44197</v>
      </c>
      <c r="C5" s="192"/>
      <c r="D5" s="192"/>
      <c r="E5" s="192"/>
      <c r="F5" s="192"/>
      <c r="G5" s="192"/>
      <c r="H5" s="192"/>
      <c r="I5" s="192"/>
      <c r="J5" s="192"/>
      <c r="K5" s="192"/>
      <c r="L5" s="192"/>
      <c r="M5" s="192"/>
      <c r="N5" s="192"/>
      <c r="O5" s="192"/>
      <c r="P5" s="192"/>
      <c r="Q5" s="192"/>
      <c r="R5" s="192"/>
      <c r="S5" s="192"/>
      <c r="T5" s="192"/>
      <c r="U5" s="192"/>
      <c r="V5" s="192"/>
      <c r="W5" s="192"/>
      <c r="X5" s="192"/>
      <c r="Y5" s="192"/>
      <c r="Z5" s="192"/>
      <c r="AC5" s="21"/>
      <c r="AD5" s="21"/>
      <c r="AE5" s="21"/>
      <c r="AF5" s="21"/>
      <c r="AG5" s="21"/>
      <c r="AH5" s="21"/>
      <c r="AI5" s="21"/>
      <c r="AJ5" s="21"/>
      <c r="AK5" s="21"/>
      <c r="AL5" s="21"/>
      <c r="AM5" s="21"/>
      <c r="AN5" s="21"/>
    </row>
    <row r="6" spans="2:40" s="67" customFormat="1" ht="25" customHeight="1" x14ac:dyDescent="0.3">
      <c r="B6" s="191">
        <f>EOMONTH(B5,1)</f>
        <v>44255</v>
      </c>
      <c r="C6" s="192"/>
      <c r="D6" s="192"/>
      <c r="E6" s="192"/>
      <c r="F6" s="192"/>
      <c r="G6" s="192"/>
      <c r="H6" s="192"/>
      <c r="I6" s="192"/>
      <c r="J6" s="192"/>
      <c r="K6" s="192"/>
      <c r="L6" s="192"/>
      <c r="M6" s="192"/>
      <c r="N6" s="192"/>
      <c r="O6" s="192"/>
      <c r="P6" s="192"/>
      <c r="Q6" s="192"/>
      <c r="R6" s="192"/>
      <c r="S6" s="192"/>
      <c r="T6" s="192"/>
      <c r="U6" s="192"/>
      <c r="V6" s="192"/>
      <c r="W6" s="192"/>
      <c r="X6" s="192"/>
      <c r="Y6" s="192"/>
      <c r="Z6" s="192"/>
      <c r="AC6" s="21"/>
      <c r="AD6" s="21"/>
      <c r="AE6" s="21"/>
      <c r="AF6" s="21"/>
      <c r="AG6" s="21"/>
      <c r="AH6" s="21"/>
      <c r="AI6" s="21"/>
      <c r="AJ6" s="21"/>
      <c r="AK6" s="21"/>
      <c r="AL6" s="21"/>
      <c r="AM6" s="21"/>
      <c r="AN6" s="21"/>
    </row>
    <row r="7" spans="2:40" s="67" customFormat="1" ht="25" customHeight="1" x14ac:dyDescent="0.3">
      <c r="B7" s="191">
        <f t="shared" ref="B7:B16" si="13">EOMONTH(B6,1)</f>
        <v>44286</v>
      </c>
      <c r="C7" s="192"/>
      <c r="D7" s="192"/>
      <c r="E7" s="192"/>
      <c r="F7" s="192"/>
      <c r="G7" s="192"/>
      <c r="H7" s="192"/>
      <c r="I7" s="192"/>
      <c r="J7" s="192"/>
      <c r="K7" s="192"/>
      <c r="L7" s="192"/>
      <c r="M7" s="192"/>
      <c r="N7" s="192"/>
      <c r="O7" s="192"/>
      <c r="P7" s="192"/>
      <c r="Q7" s="192"/>
      <c r="R7" s="192"/>
      <c r="S7" s="192"/>
      <c r="T7" s="192"/>
      <c r="U7" s="192"/>
      <c r="V7" s="192"/>
      <c r="W7" s="192"/>
      <c r="X7" s="192"/>
      <c r="Y7" s="192"/>
      <c r="Z7" s="192"/>
      <c r="AC7" s="21"/>
      <c r="AD7" s="21"/>
      <c r="AE7" s="21"/>
      <c r="AF7" s="21"/>
      <c r="AG7" s="21"/>
      <c r="AH7" s="21"/>
      <c r="AI7" s="21"/>
      <c r="AJ7" s="21"/>
      <c r="AK7" s="21"/>
      <c r="AL7" s="21"/>
      <c r="AM7" s="21"/>
      <c r="AN7" s="21"/>
    </row>
    <row r="8" spans="2:40" s="67" customFormat="1" ht="25" customHeight="1" x14ac:dyDescent="0.3">
      <c r="B8" s="191">
        <f t="shared" si="13"/>
        <v>44316</v>
      </c>
      <c r="C8" s="192"/>
      <c r="D8" s="192"/>
      <c r="E8" s="192"/>
      <c r="F8" s="192"/>
      <c r="G8" s="192"/>
      <c r="H8" s="192"/>
      <c r="I8" s="192"/>
      <c r="J8" s="192"/>
      <c r="K8" s="192"/>
      <c r="L8" s="192"/>
      <c r="M8" s="192"/>
      <c r="N8" s="192"/>
      <c r="O8" s="192"/>
      <c r="P8" s="192"/>
      <c r="Q8" s="192"/>
      <c r="R8" s="192"/>
      <c r="S8" s="192"/>
      <c r="T8" s="192"/>
      <c r="U8" s="192"/>
      <c r="V8" s="192"/>
      <c r="W8" s="192"/>
      <c r="X8" s="192"/>
      <c r="Y8" s="192"/>
      <c r="Z8" s="192"/>
      <c r="AC8" s="21"/>
      <c r="AD8" s="21"/>
      <c r="AE8" s="21"/>
      <c r="AF8" s="21"/>
      <c r="AG8" s="21"/>
      <c r="AH8" s="21"/>
      <c r="AI8" s="21"/>
      <c r="AJ8" s="21"/>
      <c r="AK8" s="21"/>
      <c r="AL8" s="21"/>
      <c r="AM8" s="21"/>
      <c r="AN8" s="21"/>
    </row>
    <row r="9" spans="2:40" ht="25" customHeight="1" x14ac:dyDescent="0.3">
      <c r="B9" s="191">
        <f t="shared" si="13"/>
        <v>44347</v>
      </c>
      <c r="C9" s="192"/>
      <c r="D9" s="192"/>
      <c r="E9" s="192"/>
      <c r="F9" s="192"/>
      <c r="G9" s="192"/>
      <c r="H9" s="192"/>
      <c r="I9" s="192"/>
      <c r="J9" s="192"/>
      <c r="K9" s="192"/>
      <c r="L9" s="192"/>
      <c r="M9" s="192"/>
      <c r="N9" s="192"/>
      <c r="O9" s="192"/>
      <c r="P9" s="192"/>
      <c r="Q9" s="192"/>
      <c r="R9" s="192"/>
      <c r="S9" s="192"/>
      <c r="T9" s="192"/>
      <c r="U9" s="192"/>
      <c r="V9" s="192"/>
      <c r="W9" s="192"/>
      <c r="X9" s="192"/>
      <c r="Y9" s="192"/>
      <c r="Z9" s="192"/>
    </row>
    <row r="10" spans="2:40" ht="25" customHeight="1" x14ac:dyDescent="0.3">
      <c r="B10" s="191">
        <f t="shared" si="13"/>
        <v>44377</v>
      </c>
      <c r="C10" s="192"/>
      <c r="D10" s="192"/>
      <c r="E10" s="192"/>
      <c r="F10" s="192"/>
      <c r="G10" s="192"/>
      <c r="H10" s="192"/>
      <c r="I10" s="192"/>
      <c r="J10" s="192"/>
      <c r="K10" s="192"/>
      <c r="L10" s="192"/>
      <c r="M10" s="192"/>
      <c r="N10" s="192"/>
      <c r="O10" s="192"/>
      <c r="P10" s="192"/>
      <c r="Q10" s="192"/>
      <c r="R10" s="192"/>
      <c r="S10" s="192"/>
      <c r="T10" s="192"/>
      <c r="U10" s="192"/>
      <c r="V10" s="192"/>
      <c r="W10" s="192"/>
      <c r="X10" s="192"/>
      <c r="Y10" s="192"/>
      <c r="Z10" s="192"/>
    </row>
    <row r="11" spans="2:40" ht="25" customHeight="1" x14ac:dyDescent="0.3">
      <c r="B11" s="191">
        <f t="shared" si="13"/>
        <v>44408</v>
      </c>
      <c r="C11" s="192"/>
      <c r="D11" s="192"/>
      <c r="E11" s="192"/>
      <c r="F11" s="192"/>
      <c r="G11" s="192"/>
      <c r="H11" s="192"/>
      <c r="I11" s="192"/>
      <c r="J11" s="192"/>
      <c r="K11" s="192"/>
      <c r="L11" s="192"/>
      <c r="M11" s="192"/>
      <c r="N11" s="192"/>
      <c r="O11" s="192"/>
      <c r="P11" s="192"/>
      <c r="Q11" s="192"/>
      <c r="R11" s="192"/>
      <c r="S11" s="192"/>
      <c r="T11" s="192"/>
      <c r="U11" s="192"/>
      <c r="V11" s="192"/>
      <c r="W11" s="192"/>
      <c r="X11" s="192"/>
      <c r="Y11" s="192"/>
      <c r="Z11" s="192"/>
    </row>
    <row r="12" spans="2:40" ht="25" customHeight="1" x14ac:dyDescent="0.3">
      <c r="B12" s="191">
        <f t="shared" si="13"/>
        <v>44439</v>
      </c>
      <c r="C12" s="192"/>
      <c r="D12" s="192"/>
      <c r="E12" s="192"/>
      <c r="F12" s="192"/>
      <c r="G12" s="192"/>
      <c r="H12" s="192"/>
      <c r="I12" s="192"/>
      <c r="J12" s="192"/>
      <c r="K12" s="192"/>
      <c r="L12" s="192"/>
      <c r="M12" s="192"/>
      <c r="N12" s="192"/>
      <c r="O12" s="192"/>
      <c r="P12" s="192"/>
      <c r="Q12" s="192"/>
      <c r="R12" s="192"/>
      <c r="S12" s="192"/>
      <c r="T12" s="192"/>
      <c r="U12" s="192"/>
      <c r="V12" s="192"/>
      <c r="W12" s="192"/>
      <c r="X12" s="192"/>
      <c r="Y12" s="192"/>
      <c r="Z12" s="192"/>
    </row>
    <row r="13" spans="2:40" s="67" customFormat="1" ht="25" customHeight="1" x14ac:dyDescent="0.3">
      <c r="B13" s="191">
        <f t="shared" si="13"/>
        <v>44469</v>
      </c>
      <c r="C13" s="192"/>
      <c r="D13" s="192"/>
      <c r="E13" s="192"/>
      <c r="F13" s="192"/>
      <c r="G13" s="192"/>
      <c r="H13" s="192"/>
      <c r="I13" s="192"/>
      <c r="J13" s="192"/>
      <c r="K13" s="192"/>
      <c r="L13" s="192"/>
      <c r="M13" s="192"/>
      <c r="N13" s="192"/>
      <c r="O13" s="192"/>
      <c r="P13" s="192"/>
      <c r="Q13" s="192"/>
      <c r="R13" s="192"/>
      <c r="S13" s="192"/>
      <c r="T13" s="192"/>
      <c r="U13" s="192"/>
      <c r="V13" s="192"/>
      <c r="W13" s="192"/>
      <c r="X13" s="192"/>
      <c r="Y13" s="192"/>
      <c r="Z13" s="192"/>
      <c r="AC13" s="21"/>
      <c r="AD13" s="21"/>
      <c r="AE13" s="21"/>
      <c r="AF13" s="21"/>
      <c r="AG13" s="21"/>
      <c r="AH13" s="21"/>
      <c r="AI13" s="21"/>
      <c r="AJ13" s="21"/>
      <c r="AK13" s="21"/>
      <c r="AL13" s="21"/>
      <c r="AM13" s="21"/>
      <c r="AN13" s="21"/>
    </row>
    <row r="14" spans="2:40" s="67" customFormat="1" ht="25" customHeight="1" x14ac:dyDescent="0.3">
      <c r="B14" s="191">
        <f t="shared" si="13"/>
        <v>44500</v>
      </c>
      <c r="C14" s="192"/>
      <c r="D14" s="192"/>
      <c r="E14" s="192"/>
      <c r="F14" s="192"/>
      <c r="G14" s="192"/>
      <c r="H14" s="192"/>
      <c r="I14" s="192"/>
      <c r="J14" s="192"/>
      <c r="K14" s="192"/>
      <c r="L14" s="192"/>
      <c r="M14" s="192"/>
      <c r="N14" s="192"/>
      <c r="O14" s="192"/>
      <c r="P14" s="192"/>
      <c r="Q14" s="192"/>
      <c r="R14" s="192"/>
      <c r="S14" s="192"/>
      <c r="T14" s="192"/>
      <c r="U14" s="192"/>
      <c r="V14" s="192"/>
      <c r="W14" s="192"/>
      <c r="X14" s="192"/>
      <c r="Y14" s="192"/>
      <c r="Z14" s="192"/>
      <c r="AC14" s="21"/>
      <c r="AD14" s="21"/>
      <c r="AE14" s="21"/>
      <c r="AF14" s="21"/>
      <c r="AG14" s="21"/>
      <c r="AH14" s="21"/>
      <c r="AI14" s="21"/>
      <c r="AJ14" s="21"/>
      <c r="AK14" s="21"/>
      <c r="AL14" s="21"/>
      <c r="AM14" s="21"/>
      <c r="AN14" s="21"/>
    </row>
    <row r="15" spans="2:40" s="67" customFormat="1" ht="25" customHeight="1" x14ac:dyDescent="0.3">
      <c r="B15" s="191">
        <f t="shared" si="13"/>
        <v>44530</v>
      </c>
      <c r="C15" s="192"/>
      <c r="D15" s="192"/>
      <c r="E15" s="192"/>
      <c r="F15" s="192"/>
      <c r="G15" s="192"/>
      <c r="H15" s="192"/>
      <c r="I15" s="192"/>
      <c r="J15" s="192"/>
      <c r="K15" s="192"/>
      <c r="L15" s="192"/>
      <c r="M15" s="192"/>
      <c r="N15" s="192"/>
      <c r="O15" s="192"/>
      <c r="P15" s="192"/>
      <c r="Q15" s="192"/>
      <c r="R15" s="192"/>
      <c r="S15" s="192"/>
      <c r="T15" s="192"/>
      <c r="U15" s="192"/>
      <c r="V15" s="192"/>
      <c r="W15" s="192"/>
      <c r="X15" s="192"/>
      <c r="Y15" s="192"/>
      <c r="Z15" s="192"/>
      <c r="AC15" s="21"/>
      <c r="AD15" s="21"/>
      <c r="AE15" s="21"/>
      <c r="AF15" s="21"/>
      <c r="AG15" s="21"/>
      <c r="AH15" s="21"/>
      <c r="AI15" s="21"/>
      <c r="AJ15" s="21"/>
      <c r="AK15" s="21"/>
      <c r="AL15" s="21"/>
      <c r="AM15" s="21"/>
      <c r="AN15" s="21"/>
    </row>
    <row r="16" spans="2:40" s="67" customFormat="1" ht="25" customHeight="1" x14ac:dyDescent="0.3">
      <c r="B16" s="191">
        <f t="shared" si="13"/>
        <v>44561</v>
      </c>
      <c r="C16" s="192"/>
      <c r="D16" s="192"/>
      <c r="E16" s="192"/>
      <c r="F16" s="192"/>
      <c r="G16" s="192"/>
      <c r="H16" s="192"/>
      <c r="I16" s="192"/>
      <c r="J16" s="192"/>
      <c r="K16" s="192"/>
      <c r="L16" s="192"/>
      <c r="M16" s="192"/>
      <c r="N16" s="192"/>
      <c r="O16" s="192"/>
      <c r="P16" s="192"/>
      <c r="Q16" s="192"/>
      <c r="R16" s="192"/>
      <c r="S16" s="192"/>
      <c r="T16" s="192"/>
      <c r="U16" s="192"/>
      <c r="V16" s="192"/>
      <c r="W16" s="192"/>
      <c r="X16" s="192"/>
      <c r="Y16" s="192"/>
      <c r="Z16" s="192"/>
      <c r="AC16" s="21"/>
      <c r="AD16" s="21"/>
      <c r="AE16" s="21"/>
      <c r="AF16" s="21"/>
      <c r="AG16" s="21"/>
      <c r="AH16" s="21"/>
      <c r="AI16" s="21"/>
      <c r="AJ16" s="21"/>
      <c r="AK16" s="21"/>
      <c r="AL16" s="21"/>
      <c r="AM16" s="21"/>
      <c r="AN16" s="21"/>
    </row>
    <row r="17" spans="2:28" ht="25" customHeight="1" x14ac:dyDescent="0.3"/>
    <row r="18" spans="2:28" ht="25" customHeight="1" x14ac:dyDescent="0.3"/>
    <row r="19" spans="2:28" ht="20.149999999999999" customHeight="1" x14ac:dyDescent="0.3">
      <c r="B19" s="65" t="s">
        <v>236</v>
      </c>
      <c r="C19" s="65"/>
      <c r="D19" s="65"/>
      <c r="E19" s="24"/>
      <c r="F19" s="24"/>
      <c r="G19" s="24"/>
      <c r="H19" s="24"/>
      <c r="I19" s="24"/>
      <c r="J19" s="24"/>
      <c r="K19" s="65"/>
      <c r="L19" s="24"/>
      <c r="M19" s="24"/>
      <c r="N19" s="24"/>
      <c r="O19" s="24"/>
      <c r="P19" s="24"/>
      <c r="Q19" s="24"/>
      <c r="R19" s="24"/>
      <c r="S19" s="24"/>
      <c r="T19" s="24"/>
      <c r="U19" s="24"/>
      <c r="V19" s="24"/>
      <c r="W19" s="65"/>
      <c r="X19" s="24"/>
      <c r="Y19" s="24"/>
      <c r="Z19" s="24"/>
      <c r="AA19" s="24"/>
      <c r="AB19" s="24"/>
    </row>
    <row r="20" spans="2:28" ht="285.75" customHeight="1" x14ac:dyDescent="0.3">
      <c r="B20" s="302" t="s">
        <v>85</v>
      </c>
      <c r="C20" s="303"/>
      <c r="D20" s="303"/>
      <c r="E20" s="303"/>
      <c r="F20" s="303"/>
      <c r="G20" s="303"/>
      <c r="H20" s="303"/>
      <c r="I20" s="303"/>
      <c r="J20" s="304"/>
      <c r="K20" s="173"/>
      <c r="L20" s="173"/>
      <c r="M20" s="24"/>
      <c r="N20" s="24"/>
      <c r="O20" s="24"/>
      <c r="P20" s="24"/>
      <c r="Q20" s="24"/>
      <c r="R20" s="24"/>
      <c r="S20" s="24"/>
      <c r="T20" s="24"/>
      <c r="U20" s="24"/>
      <c r="V20" s="24"/>
      <c r="W20" s="173"/>
      <c r="X20" s="173"/>
      <c r="Y20" s="24"/>
      <c r="Z20" s="24"/>
      <c r="AA20" s="24"/>
      <c r="AB20" s="24"/>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1" customWidth="1"/>
    <col min="2" max="2" width="39.81640625" style="21" bestFit="1" customWidth="1"/>
    <col min="3" max="3" width="25.26953125" style="21" customWidth="1"/>
    <col min="4" max="4" width="27.54296875" style="21" customWidth="1"/>
    <col min="5" max="5" width="71.453125" style="21" customWidth="1"/>
    <col min="6" max="6" width="20.7265625" style="21" customWidth="1"/>
    <col min="7" max="7" width="10.7265625" style="21" customWidth="1"/>
    <col min="8" max="8" width="20.81640625" style="21" customWidth="1"/>
    <col min="9" max="9" width="24.1796875" style="21" customWidth="1"/>
    <col min="10" max="10" width="38.26953125" style="21" customWidth="1"/>
    <col min="11" max="11" width="28" style="21" customWidth="1"/>
    <col min="12" max="12" width="16.7265625" style="21" customWidth="1"/>
    <col min="13" max="13" width="33.81640625" style="21" customWidth="1"/>
    <col min="14" max="14" width="28.81640625" style="21" bestFit="1" customWidth="1"/>
    <col min="15" max="15" width="11.7265625" style="21" customWidth="1"/>
    <col min="16" max="16" width="3.453125" style="21" customWidth="1"/>
    <col min="17" max="17" width="9.1796875" style="21" customWidth="1"/>
    <col min="18" max="18" width="14.26953125" style="21" customWidth="1"/>
    <col min="19" max="19" width="11.81640625" style="21" customWidth="1"/>
    <col min="20" max="22" width="9.1796875" style="21" customWidth="1"/>
    <col min="23" max="16384" width="9.1796875" style="21"/>
  </cols>
  <sheetData>
    <row r="2" spans="2:23" ht="21" customHeight="1" x14ac:dyDescent="0.3">
      <c r="B2" s="95" t="s">
        <v>5</v>
      </c>
      <c r="C2" s="111" t="str">
        <f>'Project Infor'!C10</f>
        <v>ZEV-ATE0012-1001</v>
      </c>
      <c r="D2" s="216" t="str">
        <f>'Project Infor'!C11</f>
        <v>Lote 2: Núcleo Estructural Java</v>
      </c>
      <c r="E2" s="218"/>
      <c r="F2" s="218"/>
      <c r="G2" s="218"/>
      <c r="H2" s="218"/>
    </row>
    <row r="3" spans="2:23" ht="9" customHeight="1" x14ac:dyDescent="0.3">
      <c r="D3" s="22"/>
      <c r="E3" s="22"/>
      <c r="F3" s="22"/>
      <c r="G3" s="22"/>
    </row>
    <row r="4" spans="2:23" ht="30.75" customHeight="1" x14ac:dyDescent="0.3">
      <c r="B4" s="77" t="s">
        <v>227</v>
      </c>
      <c r="C4" s="315" t="s">
        <v>237</v>
      </c>
      <c r="D4" s="315"/>
      <c r="E4" s="22"/>
      <c r="F4" s="332" t="s">
        <v>238</v>
      </c>
      <c r="G4" s="333"/>
      <c r="H4" s="228" t="s">
        <v>239</v>
      </c>
      <c r="I4" s="228" t="s">
        <v>240</v>
      </c>
      <c r="J4" s="228" t="s">
        <v>241</v>
      </c>
      <c r="K4" s="332" t="s">
        <v>242</v>
      </c>
      <c r="L4" s="332"/>
      <c r="M4" s="332"/>
      <c r="N4" s="332"/>
    </row>
    <row r="5" spans="2:23" ht="18" customHeight="1" x14ac:dyDescent="0.3">
      <c r="B5" s="77" t="s">
        <v>243</v>
      </c>
      <c r="C5" s="330" t="s">
        <v>244</v>
      </c>
      <c r="D5" s="330"/>
      <c r="E5" s="22"/>
      <c r="F5" s="330" t="s">
        <v>245</v>
      </c>
      <c r="G5" s="330"/>
      <c r="H5" s="230">
        <v>0.5</v>
      </c>
      <c r="I5" s="231">
        <v>5000</v>
      </c>
      <c r="J5" s="289" t="s">
        <v>244</v>
      </c>
      <c r="K5" s="330"/>
      <c r="L5" s="330"/>
      <c r="M5" s="330"/>
      <c r="N5" s="330"/>
    </row>
    <row r="6" spans="2:23" ht="18" customHeight="1" x14ac:dyDescent="0.3">
      <c r="B6" s="77" t="s">
        <v>246</v>
      </c>
      <c r="C6" s="330" t="s">
        <v>247</v>
      </c>
      <c r="D6" s="330"/>
      <c r="E6" s="22"/>
      <c r="F6" s="330" t="s">
        <v>248</v>
      </c>
      <c r="G6" s="330"/>
      <c r="H6" s="230">
        <v>0.1</v>
      </c>
      <c r="I6" s="231">
        <v>1000</v>
      </c>
      <c r="J6" s="289"/>
      <c r="K6" s="330"/>
      <c r="L6" s="330"/>
      <c r="M6" s="330"/>
      <c r="N6" s="330"/>
    </row>
    <row r="7" spans="2:23" ht="18" customHeight="1" x14ac:dyDescent="0.3">
      <c r="B7" s="77" t="s">
        <v>249</v>
      </c>
      <c r="C7" s="331">
        <v>10000</v>
      </c>
      <c r="D7" s="331"/>
      <c r="E7" s="229" t="s">
        <v>250</v>
      </c>
      <c r="F7" s="330" t="s">
        <v>251</v>
      </c>
      <c r="G7" s="330"/>
      <c r="H7" s="230">
        <v>0.2</v>
      </c>
      <c r="I7" s="231">
        <v>2000</v>
      </c>
      <c r="J7" s="289"/>
      <c r="K7" s="330"/>
      <c r="L7" s="330"/>
      <c r="M7" s="330"/>
      <c r="N7" s="330"/>
    </row>
    <row r="8" spans="2:23" ht="18" customHeight="1" x14ac:dyDescent="0.3">
      <c r="D8" s="22"/>
      <c r="E8" s="22"/>
      <c r="F8" s="330" t="s">
        <v>252</v>
      </c>
      <c r="G8" s="330"/>
      <c r="H8" s="230">
        <v>0.1</v>
      </c>
      <c r="I8" s="231">
        <v>1000</v>
      </c>
      <c r="J8" s="289"/>
      <c r="K8" s="330"/>
      <c r="L8" s="330"/>
      <c r="M8" s="330"/>
      <c r="N8" s="330"/>
    </row>
    <row r="9" spans="2:23" ht="18" customHeight="1" x14ac:dyDescent="0.3">
      <c r="D9" s="22"/>
      <c r="E9" s="56"/>
      <c r="F9" s="330" t="s">
        <v>253</v>
      </c>
      <c r="G9" s="330"/>
      <c r="H9" s="230">
        <v>0.1</v>
      </c>
      <c r="I9" s="231">
        <v>1000</v>
      </c>
      <c r="J9" s="289"/>
      <c r="K9" s="330"/>
      <c r="L9" s="330"/>
      <c r="M9" s="330"/>
      <c r="N9" s="330"/>
      <c r="O9" s="24"/>
      <c r="P9" s="24"/>
    </row>
    <row r="10" spans="2:23" ht="23.25" customHeight="1" x14ac:dyDescent="0.3">
      <c r="C10" s="310" t="s">
        <v>217</v>
      </c>
      <c r="D10" s="310"/>
      <c r="M10" s="24"/>
      <c r="N10" s="24"/>
      <c r="O10" s="24"/>
      <c r="P10" s="24"/>
    </row>
    <row r="11" spans="2:23" ht="20.149999999999999" customHeight="1" x14ac:dyDescent="0.3">
      <c r="D11" s="23"/>
      <c r="F11" s="24"/>
      <c r="G11" s="24"/>
      <c r="H11" s="24"/>
      <c r="I11" s="24"/>
      <c r="J11" s="24"/>
      <c r="K11" s="23"/>
      <c r="L11" s="24"/>
      <c r="M11" s="24"/>
      <c r="N11" s="24"/>
      <c r="O11" s="24"/>
      <c r="P11" s="24"/>
    </row>
    <row r="12" spans="2:23" s="86" customFormat="1" ht="31.5" customHeight="1" x14ac:dyDescent="0.3">
      <c r="B12" s="42" t="s">
        <v>218</v>
      </c>
      <c r="C12" s="42" t="s">
        <v>219</v>
      </c>
      <c r="D12" s="42" t="s">
        <v>254</v>
      </c>
      <c r="E12" s="42" t="s">
        <v>221</v>
      </c>
      <c r="F12" s="43" t="s">
        <v>222</v>
      </c>
      <c r="G12" s="43" t="s">
        <v>223</v>
      </c>
      <c r="H12" s="42" t="s">
        <v>224</v>
      </c>
      <c r="I12" s="42" t="s">
        <v>225</v>
      </c>
      <c r="J12" s="42" t="s">
        <v>227</v>
      </c>
      <c r="K12" s="42" t="s">
        <v>255</v>
      </c>
      <c r="L12" s="43" t="s">
        <v>229</v>
      </c>
      <c r="M12" s="43" t="s">
        <v>230</v>
      </c>
      <c r="N12" s="43" t="s">
        <v>231</v>
      </c>
      <c r="O12" s="43" t="s">
        <v>232</v>
      </c>
      <c r="P12" s="24"/>
      <c r="Q12" s="21"/>
      <c r="R12" s="21"/>
      <c r="S12" s="21"/>
      <c r="T12" s="21"/>
      <c r="U12" s="21"/>
      <c r="V12" s="21"/>
      <c r="W12" s="21"/>
    </row>
    <row r="13" spans="2:23" s="67" customFormat="1" ht="20.149999999999999" customHeight="1" x14ac:dyDescent="0.3">
      <c r="B13" s="199" t="s">
        <v>256</v>
      </c>
      <c r="C13" s="226">
        <v>44286</v>
      </c>
      <c r="D13" s="4" t="s">
        <v>245</v>
      </c>
      <c r="E13" s="4" t="s">
        <v>257</v>
      </c>
      <c r="F13" s="5">
        <v>3000</v>
      </c>
      <c r="G13" s="5" t="s">
        <v>258</v>
      </c>
      <c r="H13" s="8">
        <v>0.21</v>
      </c>
      <c r="I13" s="5">
        <f>IF(F13=0," ",F13+F13*H13)</f>
        <v>3630</v>
      </c>
      <c r="J13" s="9" t="s">
        <v>259</v>
      </c>
      <c r="K13" s="5"/>
      <c r="L13" s="55"/>
      <c r="M13" s="5" t="s">
        <v>260</v>
      </c>
      <c r="N13" s="5"/>
      <c r="O13" s="5"/>
      <c r="P13" s="24"/>
      <c r="Q13" s="21"/>
      <c r="R13" s="21"/>
      <c r="S13" s="21"/>
      <c r="T13" s="21"/>
      <c r="U13" s="21"/>
      <c r="V13" s="21"/>
      <c r="W13" s="21"/>
    </row>
    <row r="14" spans="2:23" s="67" customFormat="1" ht="20.149999999999999" customHeight="1" x14ac:dyDescent="0.3">
      <c r="B14" s="199"/>
      <c r="C14" s="55"/>
      <c r="D14" s="4" t="str">
        <f t="shared" ref="D14:D45" si="0">IF(C14=0," ","Z2")</f>
        <v xml:space="preserve"> </v>
      </c>
      <c r="E14" s="4"/>
      <c r="F14" s="5"/>
      <c r="G14" s="5"/>
      <c r="H14" s="8"/>
      <c r="I14" s="5" t="str">
        <f t="shared" ref="I14:I45" si="1">IF(F14=0," ",F14+F14*H14)</f>
        <v xml:space="preserve"> </v>
      </c>
      <c r="J14" s="9"/>
      <c r="K14" s="5"/>
      <c r="L14" s="55"/>
      <c r="M14" s="5"/>
      <c r="N14" s="5"/>
      <c r="O14" s="5"/>
      <c r="P14" s="24"/>
      <c r="Q14" s="21"/>
      <c r="R14" s="21"/>
      <c r="S14" s="21"/>
      <c r="T14" s="21"/>
      <c r="U14" s="21"/>
      <c r="V14" s="21"/>
      <c r="W14" s="21"/>
    </row>
    <row r="15" spans="2:23" s="67" customFormat="1" ht="20.149999999999999" customHeight="1" x14ac:dyDescent="0.3">
      <c r="B15" s="199"/>
      <c r="C15" s="55"/>
      <c r="D15" s="4" t="str">
        <f t="shared" si="0"/>
        <v xml:space="preserve"> </v>
      </c>
      <c r="E15" s="4"/>
      <c r="F15" s="5"/>
      <c r="G15" s="5"/>
      <c r="H15" s="8"/>
      <c r="I15" s="5" t="str">
        <f t="shared" si="1"/>
        <v xml:space="preserve"> </v>
      </c>
      <c r="J15" s="9"/>
      <c r="K15" s="5"/>
      <c r="L15" s="55"/>
      <c r="M15" s="5"/>
      <c r="N15" s="5"/>
      <c r="O15" s="5"/>
      <c r="P15" s="24"/>
      <c r="Q15" s="21"/>
      <c r="R15" s="21"/>
      <c r="S15" s="21"/>
      <c r="T15" s="21"/>
      <c r="U15" s="21"/>
      <c r="V15" s="21"/>
      <c r="W15" s="21"/>
    </row>
    <row r="16" spans="2:23" s="67" customFormat="1" ht="20.149999999999999" customHeight="1" x14ac:dyDescent="0.3">
      <c r="B16" s="199"/>
      <c r="C16" s="55"/>
      <c r="D16" s="4" t="str">
        <f t="shared" si="0"/>
        <v xml:space="preserve"> </v>
      </c>
      <c r="E16" s="4"/>
      <c r="F16" s="5"/>
      <c r="G16" s="5"/>
      <c r="H16" s="8"/>
      <c r="I16" s="5" t="str">
        <f t="shared" si="1"/>
        <v xml:space="preserve"> </v>
      </c>
      <c r="J16" s="9"/>
      <c r="K16" s="5"/>
      <c r="L16" s="55"/>
      <c r="M16" s="5"/>
      <c r="N16" s="5"/>
      <c r="O16" s="5"/>
      <c r="P16" s="24"/>
      <c r="Q16" s="21"/>
      <c r="R16" s="21"/>
      <c r="S16" s="21"/>
      <c r="T16" s="21"/>
      <c r="U16" s="21"/>
      <c r="V16" s="21"/>
      <c r="W16" s="21"/>
    </row>
    <row r="17" spans="2:23" s="67" customFormat="1" ht="20.149999999999999" customHeight="1" x14ac:dyDescent="0.3">
      <c r="B17" s="199"/>
      <c r="C17" s="55"/>
      <c r="D17" s="4" t="str">
        <f t="shared" si="0"/>
        <v xml:space="preserve"> </v>
      </c>
      <c r="E17" s="4"/>
      <c r="F17" s="5"/>
      <c r="G17" s="5"/>
      <c r="H17" s="8"/>
      <c r="I17" s="5" t="str">
        <f t="shared" si="1"/>
        <v xml:space="preserve"> </v>
      </c>
      <c r="J17" s="9"/>
      <c r="K17" s="5"/>
      <c r="L17" s="55"/>
      <c r="M17" s="5"/>
      <c r="N17" s="5"/>
      <c r="O17" s="5"/>
      <c r="P17" s="24"/>
      <c r="Q17" s="21"/>
      <c r="R17" s="21"/>
      <c r="S17" s="21"/>
      <c r="T17" s="21"/>
      <c r="U17" s="21"/>
      <c r="V17" s="21"/>
      <c r="W17" s="21"/>
    </row>
    <row r="18" spans="2:23" s="67" customFormat="1" ht="20.149999999999999" customHeight="1" x14ac:dyDescent="0.3">
      <c r="B18" s="199"/>
      <c r="C18" s="55"/>
      <c r="D18" s="4" t="str">
        <f t="shared" si="0"/>
        <v xml:space="preserve"> </v>
      </c>
      <c r="E18" s="4"/>
      <c r="F18" s="5"/>
      <c r="G18" s="5"/>
      <c r="H18" s="8"/>
      <c r="I18" s="5" t="str">
        <f t="shared" si="1"/>
        <v xml:space="preserve"> </v>
      </c>
      <c r="J18" s="9"/>
      <c r="K18" s="5"/>
      <c r="L18" s="55"/>
      <c r="M18" s="5"/>
      <c r="N18" s="5"/>
      <c r="O18" s="5"/>
      <c r="P18" s="24"/>
      <c r="Q18" s="21"/>
      <c r="R18" s="21"/>
      <c r="S18" s="21"/>
      <c r="T18" s="21"/>
      <c r="U18" s="21"/>
      <c r="V18" s="21"/>
      <c r="W18" s="21"/>
    </row>
    <row r="19" spans="2:23" s="67" customFormat="1" ht="20.149999999999999" customHeight="1" x14ac:dyDescent="0.3">
      <c r="B19" s="199"/>
      <c r="C19" s="55"/>
      <c r="D19" s="4" t="str">
        <f t="shared" si="0"/>
        <v xml:space="preserve"> </v>
      </c>
      <c r="E19" s="4"/>
      <c r="F19" s="5"/>
      <c r="G19" s="5"/>
      <c r="H19" s="8"/>
      <c r="I19" s="5" t="str">
        <f t="shared" si="1"/>
        <v xml:space="preserve"> </v>
      </c>
      <c r="J19" s="9"/>
      <c r="K19" s="5"/>
      <c r="L19" s="55"/>
      <c r="M19" s="5"/>
      <c r="N19" s="5"/>
      <c r="O19" s="5"/>
      <c r="P19" s="24"/>
      <c r="Q19" s="21"/>
      <c r="R19" s="21"/>
      <c r="S19" s="21"/>
      <c r="T19" s="21"/>
      <c r="U19" s="21"/>
      <c r="V19" s="21"/>
      <c r="W19" s="21"/>
    </row>
    <row r="20" spans="2:23" s="67" customFormat="1" ht="20.149999999999999" customHeight="1" x14ac:dyDescent="0.3">
      <c r="B20" s="199"/>
      <c r="C20" s="55"/>
      <c r="D20" s="4" t="str">
        <f t="shared" si="0"/>
        <v xml:space="preserve"> </v>
      </c>
      <c r="E20" s="4"/>
      <c r="F20" s="5"/>
      <c r="G20" s="5"/>
      <c r="H20" s="8"/>
      <c r="I20" s="5" t="str">
        <f t="shared" si="1"/>
        <v xml:space="preserve"> </v>
      </c>
      <c r="J20" s="9"/>
      <c r="K20" s="5"/>
      <c r="L20" s="55"/>
      <c r="M20" s="5"/>
      <c r="N20" s="5"/>
      <c r="O20" s="5"/>
      <c r="P20" s="24"/>
      <c r="Q20" s="21"/>
      <c r="R20" s="21"/>
      <c r="S20" s="21"/>
      <c r="T20" s="21"/>
      <c r="U20" s="21"/>
      <c r="V20" s="21"/>
      <c r="W20" s="21"/>
    </row>
    <row r="21" spans="2:23" s="67" customFormat="1" ht="20.149999999999999" customHeight="1" x14ac:dyDescent="0.3">
      <c r="B21" s="199"/>
      <c r="C21" s="55"/>
      <c r="D21" s="4" t="str">
        <f t="shared" si="0"/>
        <v xml:space="preserve"> </v>
      </c>
      <c r="E21" s="4"/>
      <c r="F21" s="5"/>
      <c r="G21" s="5"/>
      <c r="H21" s="8"/>
      <c r="I21" s="5" t="str">
        <f t="shared" si="1"/>
        <v xml:space="preserve"> </v>
      </c>
      <c r="J21" s="9"/>
      <c r="K21" s="5"/>
      <c r="L21" s="55"/>
      <c r="M21" s="5"/>
      <c r="N21" s="5"/>
      <c r="O21" s="5"/>
      <c r="P21" s="24"/>
      <c r="Q21" s="21"/>
      <c r="R21" s="21"/>
      <c r="S21" s="21"/>
      <c r="T21" s="21"/>
      <c r="U21" s="21"/>
      <c r="V21" s="21"/>
      <c r="W21" s="21"/>
    </row>
    <row r="22" spans="2:23" s="67" customFormat="1" ht="20.149999999999999" customHeight="1" x14ac:dyDescent="0.3">
      <c r="B22" s="199"/>
      <c r="C22" s="55"/>
      <c r="D22" s="4" t="str">
        <f t="shared" si="0"/>
        <v xml:space="preserve"> </v>
      </c>
      <c r="E22" s="4"/>
      <c r="F22" s="5"/>
      <c r="G22" s="5"/>
      <c r="H22" s="8"/>
      <c r="I22" s="5" t="str">
        <f t="shared" si="1"/>
        <v xml:space="preserve"> </v>
      </c>
      <c r="J22" s="9"/>
      <c r="K22" s="5"/>
      <c r="L22" s="55"/>
      <c r="M22" s="5"/>
      <c r="N22" s="5"/>
      <c r="O22" s="5"/>
      <c r="P22" s="24"/>
      <c r="Q22" s="21"/>
      <c r="R22" s="21"/>
      <c r="S22" s="21"/>
      <c r="T22" s="21"/>
      <c r="U22" s="21"/>
      <c r="V22" s="21"/>
      <c r="W22" s="21"/>
    </row>
    <row r="23" spans="2:23" s="67" customFormat="1" ht="20.149999999999999" customHeight="1" x14ac:dyDescent="0.3">
      <c r="B23" s="199"/>
      <c r="C23" s="55"/>
      <c r="D23" s="4" t="str">
        <f t="shared" si="0"/>
        <v xml:space="preserve"> </v>
      </c>
      <c r="E23" s="4"/>
      <c r="F23" s="5"/>
      <c r="G23" s="5"/>
      <c r="H23" s="8"/>
      <c r="I23" s="5" t="str">
        <f t="shared" si="1"/>
        <v xml:space="preserve"> </v>
      </c>
      <c r="J23" s="9"/>
      <c r="K23" s="5"/>
      <c r="L23" s="55"/>
      <c r="M23" s="5"/>
      <c r="N23" s="5"/>
      <c r="O23" s="5"/>
      <c r="P23" s="24"/>
      <c r="Q23" s="21"/>
      <c r="R23" s="21"/>
      <c r="S23" s="21"/>
      <c r="T23" s="21"/>
      <c r="U23" s="21"/>
      <c r="V23" s="21"/>
      <c r="W23" s="21"/>
    </row>
    <row r="24" spans="2:23" s="67" customFormat="1" ht="20.149999999999999" customHeight="1" x14ac:dyDescent="0.3">
      <c r="B24" s="199"/>
      <c r="C24" s="55"/>
      <c r="D24" s="4" t="str">
        <f t="shared" si="0"/>
        <v xml:space="preserve"> </v>
      </c>
      <c r="E24" s="4"/>
      <c r="F24" s="5"/>
      <c r="G24" s="5"/>
      <c r="H24" s="8"/>
      <c r="I24" s="5" t="str">
        <f t="shared" si="1"/>
        <v xml:space="preserve"> </v>
      </c>
      <c r="J24" s="9"/>
      <c r="K24" s="5"/>
      <c r="L24" s="55"/>
      <c r="M24" s="5"/>
      <c r="N24" s="5"/>
      <c r="O24" s="5"/>
      <c r="P24" s="24"/>
      <c r="Q24" s="21"/>
      <c r="R24" s="21"/>
      <c r="S24" s="21"/>
      <c r="T24" s="21"/>
      <c r="U24" s="21"/>
      <c r="V24" s="21"/>
      <c r="W24" s="21"/>
    </row>
    <row r="25" spans="2:23" s="67" customFormat="1" ht="20.149999999999999" customHeight="1" x14ac:dyDescent="0.3">
      <c r="B25" s="199"/>
      <c r="C25" s="55"/>
      <c r="D25" s="4" t="str">
        <f t="shared" si="0"/>
        <v xml:space="preserve"> </v>
      </c>
      <c r="E25" s="4"/>
      <c r="F25" s="5"/>
      <c r="G25" s="5"/>
      <c r="H25" s="8"/>
      <c r="I25" s="5" t="str">
        <f t="shared" si="1"/>
        <v xml:space="preserve"> </v>
      </c>
      <c r="J25" s="9"/>
      <c r="K25" s="5"/>
      <c r="L25" s="55"/>
      <c r="M25" s="5"/>
      <c r="N25" s="5"/>
      <c r="O25" s="5"/>
      <c r="P25" s="24"/>
      <c r="Q25" s="21"/>
      <c r="R25" s="21"/>
      <c r="S25" s="21"/>
      <c r="T25" s="21"/>
      <c r="U25" s="21"/>
      <c r="V25" s="21"/>
      <c r="W25" s="21"/>
    </row>
    <row r="26" spans="2:23" s="67" customFormat="1" ht="20.149999999999999" customHeight="1" x14ac:dyDescent="0.3">
      <c r="B26" s="200"/>
      <c r="C26" s="194"/>
      <c r="D26" s="195" t="str">
        <f t="shared" si="0"/>
        <v xml:space="preserve"> </v>
      </c>
      <c r="E26" s="195"/>
      <c r="F26" s="196"/>
      <c r="G26" s="196"/>
      <c r="H26" s="197"/>
      <c r="I26" s="196" t="str">
        <f t="shared" si="1"/>
        <v xml:space="preserve"> </v>
      </c>
      <c r="J26" s="198"/>
      <c r="K26" s="196"/>
      <c r="L26" s="194"/>
      <c r="M26" s="196"/>
      <c r="N26" s="196"/>
      <c r="O26" s="196"/>
      <c r="P26" s="24"/>
      <c r="Q26" s="21"/>
      <c r="R26" s="21"/>
      <c r="S26" s="21"/>
      <c r="T26" s="21"/>
      <c r="U26" s="21"/>
      <c r="V26" s="21"/>
      <c r="W26" s="21"/>
    </row>
    <row r="27" spans="2:23" s="67" customFormat="1" ht="20.149999999999999" customHeight="1" x14ac:dyDescent="0.3">
      <c r="B27" s="199"/>
      <c r="C27" s="55"/>
      <c r="D27" s="4" t="str">
        <f t="shared" si="0"/>
        <v xml:space="preserve"> </v>
      </c>
      <c r="E27" s="4"/>
      <c r="F27" s="5"/>
      <c r="G27" s="5"/>
      <c r="H27" s="8"/>
      <c r="I27" s="5" t="str">
        <f t="shared" si="1"/>
        <v xml:space="preserve"> </v>
      </c>
      <c r="J27" s="9"/>
      <c r="K27" s="5"/>
      <c r="L27" s="55"/>
      <c r="M27" s="5"/>
      <c r="N27" s="5"/>
      <c r="O27" s="5"/>
      <c r="P27" s="24"/>
      <c r="Q27" s="21"/>
      <c r="R27" s="21"/>
      <c r="S27" s="21"/>
      <c r="T27" s="21"/>
      <c r="U27" s="21"/>
      <c r="V27" s="21"/>
      <c r="W27" s="21"/>
    </row>
    <row r="28" spans="2:23" s="67" customFormat="1" ht="20.149999999999999" customHeight="1" x14ac:dyDescent="0.3">
      <c r="B28" s="199"/>
      <c r="C28" s="55"/>
      <c r="D28" s="4" t="str">
        <f t="shared" si="0"/>
        <v xml:space="preserve"> </v>
      </c>
      <c r="E28" s="4"/>
      <c r="F28" s="5"/>
      <c r="G28" s="5"/>
      <c r="H28" s="8"/>
      <c r="I28" s="5" t="str">
        <f t="shared" si="1"/>
        <v xml:space="preserve"> </v>
      </c>
      <c r="J28" s="9"/>
      <c r="K28" s="5"/>
      <c r="L28" s="55"/>
      <c r="M28" s="5"/>
      <c r="N28" s="5"/>
      <c r="O28" s="5"/>
      <c r="P28" s="24"/>
      <c r="Q28" s="21"/>
      <c r="R28" s="21"/>
      <c r="S28" s="21"/>
      <c r="T28" s="21"/>
      <c r="U28" s="21"/>
      <c r="V28" s="21"/>
      <c r="W28" s="21"/>
    </row>
    <row r="29" spans="2:23" s="67" customFormat="1" ht="20.149999999999999" customHeight="1" x14ac:dyDescent="0.3">
      <c r="B29" s="199"/>
      <c r="C29" s="55"/>
      <c r="D29" s="4" t="str">
        <f t="shared" si="0"/>
        <v xml:space="preserve"> </v>
      </c>
      <c r="E29" s="4"/>
      <c r="F29" s="5"/>
      <c r="G29" s="5"/>
      <c r="H29" s="8"/>
      <c r="I29" s="5" t="str">
        <f t="shared" si="1"/>
        <v xml:space="preserve"> </v>
      </c>
      <c r="J29" s="9"/>
      <c r="K29" s="5"/>
      <c r="L29" s="55"/>
      <c r="M29" s="5"/>
      <c r="N29" s="5"/>
      <c r="O29" s="5"/>
      <c r="P29" s="24"/>
      <c r="Q29" s="21"/>
      <c r="R29" s="21"/>
      <c r="S29" s="21"/>
      <c r="T29" s="21"/>
      <c r="U29" s="21"/>
      <c r="V29" s="21"/>
      <c r="W29" s="21"/>
    </row>
    <row r="30" spans="2:23" s="67" customFormat="1" ht="20.149999999999999" customHeight="1" x14ac:dyDescent="0.3">
      <c r="B30" s="199"/>
      <c r="C30" s="55"/>
      <c r="D30" s="4" t="str">
        <f t="shared" si="0"/>
        <v xml:space="preserve"> </v>
      </c>
      <c r="E30" s="4"/>
      <c r="F30" s="5"/>
      <c r="G30" s="5"/>
      <c r="H30" s="8"/>
      <c r="I30" s="5" t="str">
        <f t="shared" si="1"/>
        <v xml:space="preserve"> </v>
      </c>
      <c r="J30" s="9"/>
      <c r="K30" s="5"/>
      <c r="L30" s="55"/>
      <c r="M30" s="5"/>
      <c r="N30" s="5"/>
      <c r="O30" s="5"/>
      <c r="P30" s="24"/>
      <c r="Q30" s="21"/>
      <c r="R30" s="21"/>
      <c r="S30" s="21"/>
      <c r="T30" s="21"/>
      <c r="U30" s="21"/>
      <c r="V30" s="21"/>
      <c r="W30" s="21"/>
    </row>
    <row r="31" spans="2:23" s="67" customFormat="1" ht="20.149999999999999" customHeight="1" x14ac:dyDescent="0.3">
      <c r="B31" s="199"/>
      <c r="C31" s="55"/>
      <c r="D31" s="4" t="str">
        <f t="shared" si="0"/>
        <v xml:space="preserve"> </v>
      </c>
      <c r="E31" s="4"/>
      <c r="F31" s="5"/>
      <c r="G31" s="5"/>
      <c r="H31" s="8"/>
      <c r="I31" s="5" t="str">
        <f t="shared" si="1"/>
        <v xml:space="preserve"> </v>
      </c>
      <c r="J31" s="9"/>
      <c r="K31" s="5"/>
      <c r="L31" s="55"/>
      <c r="M31" s="5"/>
      <c r="N31" s="5"/>
      <c r="O31" s="5"/>
      <c r="P31" s="24"/>
      <c r="Q31" s="21"/>
      <c r="R31" s="21"/>
      <c r="S31" s="21"/>
      <c r="T31" s="21"/>
      <c r="U31" s="21"/>
      <c r="V31" s="21"/>
      <c r="W31" s="21"/>
    </row>
    <row r="32" spans="2:23" s="67" customFormat="1" ht="20.149999999999999" customHeight="1" x14ac:dyDescent="0.3">
      <c r="B32" s="199"/>
      <c r="C32" s="55"/>
      <c r="D32" s="4" t="str">
        <f t="shared" si="0"/>
        <v xml:space="preserve"> </v>
      </c>
      <c r="E32" s="4"/>
      <c r="F32" s="5"/>
      <c r="G32" s="5"/>
      <c r="H32" s="8"/>
      <c r="I32" s="5" t="str">
        <f t="shared" si="1"/>
        <v xml:space="preserve"> </v>
      </c>
      <c r="J32" s="9"/>
      <c r="K32" s="5"/>
      <c r="L32" s="55"/>
      <c r="M32" s="5"/>
      <c r="N32" s="5"/>
      <c r="O32" s="5"/>
      <c r="P32" s="24"/>
      <c r="Q32" s="21"/>
      <c r="R32" s="21"/>
      <c r="S32" s="21"/>
      <c r="T32" s="21"/>
      <c r="U32" s="21"/>
      <c r="V32" s="21"/>
      <c r="W32" s="21"/>
    </row>
    <row r="33" spans="2:23" s="67" customFormat="1" ht="20.149999999999999" customHeight="1" x14ac:dyDescent="0.3">
      <c r="B33" s="199"/>
      <c r="C33" s="55"/>
      <c r="D33" s="4" t="str">
        <f t="shared" si="0"/>
        <v xml:space="preserve"> </v>
      </c>
      <c r="E33" s="4"/>
      <c r="F33" s="5"/>
      <c r="G33" s="5"/>
      <c r="H33" s="8"/>
      <c r="I33" s="5" t="str">
        <f t="shared" si="1"/>
        <v xml:space="preserve"> </v>
      </c>
      <c r="J33" s="9"/>
      <c r="K33" s="5"/>
      <c r="L33" s="55"/>
      <c r="M33" s="5"/>
      <c r="N33" s="5"/>
      <c r="O33" s="5"/>
      <c r="P33" s="24"/>
      <c r="Q33" s="21"/>
      <c r="R33" s="21"/>
      <c r="S33" s="21"/>
      <c r="T33" s="21"/>
      <c r="U33" s="21"/>
      <c r="V33" s="21"/>
      <c r="W33" s="21"/>
    </row>
    <row r="34" spans="2:23" s="67" customFormat="1" ht="20.149999999999999" customHeight="1" x14ac:dyDescent="0.3">
      <c r="B34" s="199"/>
      <c r="C34" s="55"/>
      <c r="D34" s="4" t="str">
        <f t="shared" si="0"/>
        <v xml:space="preserve"> </v>
      </c>
      <c r="E34" s="4"/>
      <c r="F34" s="5"/>
      <c r="G34" s="5"/>
      <c r="H34" s="8"/>
      <c r="I34" s="5" t="str">
        <f t="shared" si="1"/>
        <v xml:space="preserve"> </v>
      </c>
      <c r="J34" s="9"/>
      <c r="K34" s="5"/>
      <c r="L34" s="55"/>
      <c r="M34" s="5"/>
      <c r="N34" s="5"/>
      <c r="O34" s="5"/>
      <c r="P34" s="24"/>
      <c r="Q34" s="21"/>
      <c r="R34" s="21"/>
      <c r="S34" s="21"/>
      <c r="T34" s="21"/>
      <c r="U34" s="21"/>
      <c r="V34" s="21"/>
      <c r="W34" s="21"/>
    </row>
    <row r="35" spans="2:23" s="67" customFormat="1" ht="20.149999999999999" customHeight="1" x14ac:dyDescent="0.3">
      <c r="B35" s="199"/>
      <c r="C35" s="55"/>
      <c r="D35" s="4" t="str">
        <f t="shared" si="0"/>
        <v xml:space="preserve"> </v>
      </c>
      <c r="E35" s="4"/>
      <c r="F35" s="5"/>
      <c r="G35" s="5"/>
      <c r="H35" s="8"/>
      <c r="I35" s="5" t="str">
        <f t="shared" si="1"/>
        <v xml:space="preserve"> </v>
      </c>
      <c r="J35" s="9"/>
      <c r="K35" s="5"/>
      <c r="L35" s="55"/>
      <c r="M35" s="5"/>
      <c r="N35" s="5"/>
      <c r="O35" s="5"/>
      <c r="P35" s="24"/>
      <c r="Q35" s="21"/>
      <c r="R35" s="21"/>
      <c r="S35" s="21"/>
      <c r="T35" s="21"/>
      <c r="U35" s="21"/>
      <c r="V35" s="21"/>
      <c r="W35" s="21"/>
    </row>
    <row r="36" spans="2:23" s="67" customFormat="1" ht="20.149999999999999" customHeight="1" x14ac:dyDescent="0.3">
      <c r="B36" s="199"/>
      <c r="C36" s="55"/>
      <c r="D36" s="4" t="str">
        <f t="shared" si="0"/>
        <v xml:space="preserve"> </v>
      </c>
      <c r="E36" s="4"/>
      <c r="F36" s="5"/>
      <c r="G36" s="5"/>
      <c r="H36" s="8"/>
      <c r="I36" s="5" t="str">
        <f t="shared" si="1"/>
        <v xml:space="preserve"> </v>
      </c>
      <c r="J36" s="9"/>
      <c r="K36" s="5"/>
      <c r="L36" s="55"/>
      <c r="M36" s="5"/>
      <c r="N36" s="5"/>
      <c r="O36" s="5"/>
      <c r="P36" s="24"/>
      <c r="Q36" s="21"/>
      <c r="R36" s="21"/>
      <c r="S36" s="21"/>
      <c r="T36" s="21"/>
      <c r="U36" s="21"/>
      <c r="V36" s="21"/>
      <c r="W36" s="21"/>
    </row>
    <row r="37" spans="2:23" s="67" customFormat="1" ht="20.149999999999999" customHeight="1" x14ac:dyDescent="0.3">
      <c r="B37" s="199"/>
      <c r="C37" s="55"/>
      <c r="D37" s="4" t="str">
        <f t="shared" si="0"/>
        <v xml:space="preserve"> </v>
      </c>
      <c r="E37" s="4"/>
      <c r="F37" s="5"/>
      <c r="G37" s="5"/>
      <c r="H37" s="8"/>
      <c r="I37" s="5" t="str">
        <f t="shared" si="1"/>
        <v xml:space="preserve"> </v>
      </c>
      <c r="J37" s="9"/>
      <c r="K37" s="5"/>
      <c r="L37" s="55"/>
      <c r="M37" s="5"/>
      <c r="N37" s="5"/>
      <c r="O37" s="5"/>
      <c r="P37" s="24"/>
      <c r="Q37" s="21"/>
      <c r="R37" s="21"/>
      <c r="S37" s="21"/>
      <c r="T37" s="21"/>
      <c r="U37" s="21"/>
      <c r="V37" s="21"/>
      <c r="W37" s="21"/>
    </row>
    <row r="38" spans="2:23" s="67" customFormat="1" ht="20.149999999999999" customHeight="1" x14ac:dyDescent="0.3">
      <c r="B38" s="199"/>
      <c r="C38" s="55"/>
      <c r="D38" s="4" t="str">
        <f t="shared" si="0"/>
        <v xml:space="preserve"> </v>
      </c>
      <c r="E38" s="4"/>
      <c r="F38" s="5"/>
      <c r="G38" s="5"/>
      <c r="H38" s="8"/>
      <c r="I38" s="5" t="str">
        <f t="shared" si="1"/>
        <v xml:space="preserve"> </v>
      </c>
      <c r="J38" s="9"/>
      <c r="K38" s="5"/>
      <c r="L38" s="55"/>
      <c r="M38" s="5"/>
      <c r="N38" s="5"/>
      <c r="O38" s="5"/>
      <c r="P38" s="24"/>
      <c r="Q38" s="21"/>
      <c r="R38" s="21"/>
      <c r="S38" s="21"/>
      <c r="T38" s="21"/>
      <c r="U38" s="21"/>
      <c r="V38" s="21"/>
      <c r="W38" s="21"/>
    </row>
    <row r="39" spans="2:23" s="67" customFormat="1" ht="20.149999999999999" customHeight="1" x14ac:dyDescent="0.3">
      <c r="B39" s="199"/>
      <c r="C39" s="55"/>
      <c r="D39" s="4" t="str">
        <f t="shared" si="0"/>
        <v xml:space="preserve"> </v>
      </c>
      <c r="E39" s="4"/>
      <c r="F39" s="5"/>
      <c r="G39" s="5"/>
      <c r="H39" s="8"/>
      <c r="I39" s="5" t="str">
        <f t="shared" si="1"/>
        <v xml:space="preserve"> </v>
      </c>
      <c r="J39" s="9"/>
      <c r="K39" s="5"/>
      <c r="L39" s="55"/>
      <c r="M39" s="5"/>
      <c r="N39" s="5"/>
      <c r="O39" s="5"/>
      <c r="P39" s="24"/>
      <c r="Q39" s="21"/>
      <c r="R39" s="21"/>
      <c r="S39" s="21"/>
      <c r="T39" s="21"/>
      <c r="U39" s="21"/>
      <c r="V39" s="21"/>
      <c r="W39" s="21"/>
    </row>
    <row r="40" spans="2:23" s="67" customFormat="1" ht="20.149999999999999" customHeight="1" x14ac:dyDescent="0.3">
      <c r="B40" s="199"/>
      <c r="C40" s="55"/>
      <c r="D40" s="4" t="str">
        <f t="shared" si="0"/>
        <v xml:space="preserve"> </v>
      </c>
      <c r="E40" s="4"/>
      <c r="F40" s="5"/>
      <c r="G40" s="5"/>
      <c r="H40" s="8"/>
      <c r="I40" s="5" t="str">
        <f t="shared" si="1"/>
        <v xml:space="preserve"> </v>
      </c>
      <c r="J40" s="9"/>
      <c r="K40" s="5"/>
      <c r="L40" s="55"/>
      <c r="M40" s="5"/>
      <c r="N40" s="5"/>
      <c r="O40" s="5"/>
      <c r="P40" s="24"/>
      <c r="Q40" s="21"/>
      <c r="R40" s="21"/>
      <c r="S40" s="21"/>
      <c r="T40" s="21"/>
      <c r="U40" s="21"/>
      <c r="V40" s="21"/>
      <c r="W40" s="21"/>
    </row>
    <row r="41" spans="2:23" s="67" customFormat="1" ht="20.149999999999999" customHeight="1" x14ac:dyDescent="0.3">
      <c r="B41" s="199"/>
      <c r="C41" s="55"/>
      <c r="D41" s="4" t="str">
        <f t="shared" si="0"/>
        <v xml:space="preserve"> </v>
      </c>
      <c r="E41" s="4"/>
      <c r="F41" s="5"/>
      <c r="G41" s="5"/>
      <c r="H41" s="8"/>
      <c r="I41" s="5" t="str">
        <f t="shared" si="1"/>
        <v xml:space="preserve"> </v>
      </c>
      <c r="J41" s="9"/>
      <c r="K41" s="5"/>
      <c r="L41" s="55"/>
      <c r="M41" s="5"/>
      <c r="N41" s="5"/>
      <c r="O41" s="5"/>
      <c r="P41" s="24"/>
      <c r="Q41" s="21"/>
      <c r="R41" s="21"/>
      <c r="S41" s="21"/>
      <c r="T41" s="21"/>
      <c r="U41" s="21"/>
      <c r="V41" s="21"/>
      <c r="W41" s="21"/>
    </row>
    <row r="42" spans="2:23" s="67" customFormat="1" ht="20.149999999999999" customHeight="1" x14ac:dyDescent="0.3">
      <c r="B42" s="199"/>
      <c r="C42" s="55"/>
      <c r="D42" s="4" t="str">
        <f>IF(C42=0," ","Z2")</f>
        <v xml:space="preserve"> </v>
      </c>
      <c r="E42" s="4"/>
      <c r="F42" s="5"/>
      <c r="G42" s="5"/>
      <c r="H42" s="8"/>
      <c r="I42" s="5" t="str">
        <f t="shared" si="1"/>
        <v xml:space="preserve"> </v>
      </c>
      <c r="J42" s="9"/>
      <c r="K42" s="5"/>
      <c r="L42" s="55"/>
      <c r="M42" s="5"/>
      <c r="N42" s="5"/>
      <c r="O42" s="5"/>
      <c r="P42" s="24"/>
      <c r="Q42" s="21"/>
      <c r="R42" s="21"/>
      <c r="S42" s="21"/>
      <c r="T42" s="21"/>
      <c r="U42" s="21"/>
      <c r="V42" s="21"/>
      <c r="W42" s="21"/>
    </row>
    <row r="43" spans="2:23" s="67" customFormat="1" ht="20.149999999999999" customHeight="1" x14ac:dyDescent="0.3">
      <c r="B43" s="200"/>
      <c r="C43" s="194"/>
      <c r="D43" s="195" t="str">
        <f t="shared" si="0"/>
        <v xml:space="preserve"> </v>
      </c>
      <c r="E43" s="195"/>
      <c r="F43" s="196"/>
      <c r="G43" s="196"/>
      <c r="H43" s="197"/>
      <c r="I43" s="196" t="str">
        <f t="shared" si="1"/>
        <v xml:space="preserve"> </v>
      </c>
      <c r="J43" s="198"/>
      <c r="K43" s="196"/>
      <c r="L43" s="194"/>
      <c r="M43" s="196"/>
      <c r="N43" s="196"/>
      <c r="O43" s="196"/>
      <c r="P43" s="24"/>
      <c r="Q43" s="21"/>
      <c r="R43" s="21"/>
      <c r="S43" s="21"/>
      <c r="T43" s="21"/>
      <c r="U43" s="21"/>
      <c r="V43" s="21"/>
      <c r="W43" s="21"/>
    </row>
    <row r="44" spans="2:23" s="67" customFormat="1" ht="20.149999999999999" customHeight="1" x14ac:dyDescent="0.3">
      <c r="B44" s="199"/>
      <c r="C44" s="55"/>
      <c r="D44" s="4" t="str">
        <f t="shared" si="0"/>
        <v xml:space="preserve"> </v>
      </c>
      <c r="E44" s="4"/>
      <c r="F44" s="5"/>
      <c r="G44" s="5"/>
      <c r="H44" s="8"/>
      <c r="I44" s="5" t="str">
        <f t="shared" si="1"/>
        <v xml:space="preserve"> </v>
      </c>
      <c r="J44" s="9"/>
      <c r="K44" s="5"/>
      <c r="L44" s="55"/>
      <c r="M44" s="5"/>
      <c r="N44" s="5"/>
      <c r="O44" s="5"/>
      <c r="P44" s="24"/>
      <c r="Q44" s="21"/>
      <c r="R44" s="21"/>
      <c r="S44" s="21"/>
      <c r="T44" s="21"/>
      <c r="U44" s="21"/>
      <c r="V44" s="21"/>
      <c r="W44" s="21"/>
    </row>
    <row r="45" spans="2:23" s="67" customFormat="1" ht="20.149999999999999" customHeight="1" x14ac:dyDescent="0.3">
      <c r="B45" s="193"/>
      <c r="C45" s="221"/>
      <c r="D45" s="222" t="str">
        <f t="shared" si="0"/>
        <v xml:space="preserve"> </v>
      </c>
      <c r="E45" s="222"/>
      <c r="F45" s="223"/>
      <c r="G45" s="223"/>
      <c r="H45" s="224"/>
      <c r="I45" s="223" t="str">
        <f t="shared" si="1"/>
        <v xml:space="preserve"> </v>
      </c>
      <c r="J45" s="225"/>
      <c r="K45" s="223"/>
      <c r="L45" s="221"/>
      <c r="M45" s="223"/>
      <c r="N45" s="223"/>
      <c r="O45" s="223"/>
      <c r="P45" s="24"/>
      <c r="Q45" s="21"/>
      <c r="R45" s="21"/>
      <c r="S45" s="21"/>
      <c r="T45" s="21"/>
      <c r="U45" s="21"/>
      <c r="V45" s="21"/>
      <c r="W45" s="21"/>
    </row>
    <row r="46" spans="2:23" s="89" customFormat="1" ht="20.149999999999999" customHeight="1" x14ac:dyDescent="0.3">
      <c r="B46" s="327" t="s">
        <v>233</v>
      </c>
      <c r="C46" s="327"/>
      <c r="D46" s="327"/>
      <c r="E46" s="327"/>
      <c r="F46" s="219">
        <f>SUM(F13:F45)</f>
        <v>3000</v>
      </c>
      <c r="G46" s="219"/>
      <c r="H46" s="219"/>
      <c r="I46" s="219">
        <f>SUM(I13:I45)</f>
        <v>3630</v>
      </c>
      <c r="J46" s="220"/>
      <c r="K46" s="220"/>
      <c r="L46" s="220"/>
      <c r="M46" s="219"/>
      <c r="N46" s="219"/>
      <c r="O46" s="219"/>
      <c r="P46" s="22"/>
      <c r="Q46" s="21"/>
      <c r="R46" s="21"/>
      <c r="S46" s="21"/>
      <c r="T46" s="21"/>
      <c r="U46" s="21"/>
      <c r="V46" s="21"/>
      <c r="W46" s="21"/>
    </row>
    <row r="47" spans="2:23" ht="20.149999999999999" customHeight="1" x14ac:dyDescent="0.3">
      <c r="D47" s="23"/>
      <c r="E47" s="24"/>
      <c r="F47" s="24"/>
      <c r="G47" s="24"/>
      <c r="H47" s="24"/>
      <c r="I47" s="24"/>
      <c r="J47" s="24"/>
      <c r="K47" s="23"/>
      <c r="L47" s="24"/>
      <c r="M47" s="24"/>
      <c r="N47" s="24"/>
      <c r="O47" s="24"/>
      <c r="P47" s="24"/>
    </row>
    <row r="48" spans="2:23" s="52" customFormat="1" ht="20.149999999999999" customHeight="1" x14ac:dyDescent="0.35">
      <c r="D48" s="53"/>
      <c r="E48" s="53"/>
      <c r="F48" s="53"/>
      <c r="G48" s="53"/>
      <c r="H48" s="53"/>
      <c r="I48" s="53"/>
      <c r="J48" s="53"/>
      <c r="K48" s="53"/>
      <c r="L48" s="53"/>
      <c r="M48" s="53"/>
      <c r="N48" s="53"/>
      <c r="O48" s="53"/>
      <c r="P48" s="53"/>
      <c r="Q48" s="21"/>
      <c r="R48" s="21"/>
      <c r="S48" s="21"/>
      <c r="T48" s="21"/>
      <c r="U48" s="21"/>
      <c r="V48" s="21"/>
      <c r="W48" s="21"/>
    </row>
    <row r="49" spans="2:22" s="52" customFormat="1" ht="20.149999999999999" customHeight="1" x14ac:dyDescent="0.35">
      <c r="D49" s="53"/>
      <c r="E49" s="53"/>
      <c r="F49" s="53"/>
      <c r="G49" s="53"/>
      <c r="H49" s="53"/>
      <c r="I49" s="53"/>
      <c r="J49" s="53"/>
      <c r="K49" s="53"/>
      <c r="L49" s="53"/>
      <c r="M49" s="53"/>
      <c r="N49" s="53"/>
      <c r="O49" s="53"/>
      <c r="P49" s="53"/>
      <c r="Q49" s="21"/>
      <c r="R49" s="21"/>
      <c r="S49" s="21"/>
      <c r="T49" s="21"/>
      <c r="U49" s="21"/>
      <c r="V49" s="21"/>
    </row>
    <row r="50" spans="2:22" s="52" customFormat="1" ht="20.149999999999999" customHeight="1" x14ac:dyDescent="0.35">
      <c r="D50" s="53"/>
      <c r="E50" s="53"/>
      <c r="F50" s="53"/>
      <c r="G50" s="53"/>
      <c r="H50" s="53"/>
      <c r="I50" s="53"/>
      <c r="J50" s="53"/>
      <c r="K50" s="53"/>
      <c r="L50" s="53"/>
      <c r="M50" s="53"/>
      <c r="N50" s="53"/>
      <c r="O50" s="53"/>
      <c r="P50" s="53"/>
      <c r="Q50" s="21"/>
      <c r="R50" s="21"/>
      <c r="S50" s="21"/>
      <c r="T50" s="21"/>
      <c r="U50" s="21"/>
      <c r="V50" s="21"/>
    </row>
    <row r="51" spans="2:22" s="52" customFormat="1" ht="20.149999999999999" customHeight="1" x14ac:dyDescent="0.35">
      <c r="D51" s="53"/>
      <c r="E51" s="53"/>
      <c r="F51" s="53"/>
      <c r="G51" s="53"/>
      <c r="H51" s="53"/>
      <c r="I51" s="53"/>
      <c r="J51" s="53"/>
      <c r="K51" s="53"/>
      <c r="L51" s="53"/>
      <c r="M51" s="53"/>
      <c r="N51" s="53"/>
      <c r="O51" s="53"/>
      <c r="P51" s="53"/>
      <c r="Q51" s="21"/>
      <c r="R51" s="21"/>
      <c r="S51" s="21"/>
      <c r="T51" s="21"/>
      <c r="U51" s="21"/>
      <c r="V51" s="21"/>
    </row>
    <row r="52" spans="2:22" ht="20.149999999999999" customHeight="1" x14ac:dyDescent="0.3">
      <c r="D52" s="24"/>
      <c r="E52" s="24"/>
      <c r="F52" s="24"/>
      <c r="G52" s="24"/>
      <c r="H52" s="24"/>
      <c r="I52" s="24"/>
      <c r="J52" s="24"/>
      <c r="K52" s="24"/>
      <c r="L52" s="24"/>
      <c r="M52" s="24"/>
      <c r="N52" s="24"/>
      <c r="O52" s="24"/>
      <c r="P52" s="24"/>
    </row>
    <row r="53" spans="2:22" ht="20.149999999999999" customHeight="1" x14ac:dyDescent="0.3"/>
    <row r="55" spans="2:22" ht="20.149999999999999" customHeight="1" x14ac:dyDescent="0.3">
      <c r="B55" s="65" t="s">
        <v>261</v>
      </c>
      <c r="C55" s="65"/>
      <c r="D55" s="65"/>
      <c r="E55" s="24"/>
      <c r="F55" s="24"/>
      <c r="G55" s="24"/>
      <c r="H55" s="24"/>
      <c r="I55" s="24"/>
      <c r="J55" s="24"/>
      <c r="K55" s="65"/>
      <c r="L55" s="24"/>
      <c r="M55" s="24"/>
      <c r="N55" s="24"/>
      <c r="O55" s="24"/>
      <c r="P55" s="24"/>
      <c r="Q55" s="24"/>
      <c r="R55" s="24"/>
    </row>
    <row r="56" spans="2:22" ht="285.75" customHeight="1" x14ac:dyDescent="0.3">
      <c r="B56" s="328" t="s">
        <v>85</v>
      </c>
      <c r="C56" s="329"/>
      <c r="D56" s="329"/>
      <c r="E56" s="329"/>
      <c r="F56" s="329"/>
      <c r="G56" s="329"/>
      <c r="H56" s="329"/>
      <c r="I56" s="329"/>
      <c r="J56" s="173"/>
      <c r="K56" s="173"/>
      <c r="L56" s="173"/>
      <c r="M56" s="24"/>
      <c r="N56" s="24"/>
      <c r="O56" s="24"/>
      <c r="P56" s="24"/>
      <c r="Q56" s="24"/>
      <c r="R56" s="24"/>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3" customWidth="1"/>
    <col min="2" max="2" width="25.7265625" style="93" customWidth="1"/>
    <col min="3" max="3" width="28.453125" style="93" customWidth="1"/>
    <col min="4" max="28" width="14.7265625" style="93" customWidth="1"/>
    <col min="29" max="29" width="11.26953125" style="93" customWidth="1"/>
    <col min="30" max="16384" width="9.1796875" style="93"/>
  </cols>
  <sheetData>
    <row r="2" spans="1:41" ht="21" customHeight="1" x14ac:dyDescent="0.25">
      <c r="B2" s="19" t="s">
        <v>5</v>
      </c>
      <c r="C2" s="111" t="str">
        <f>'Project Infor'!C10</f>
        <v>ZEV-ATE0012-1001</v>
      </c>
      <c r="D2" s="216" t="str">
        <f>'Project Infor'!C11</f>
        <v>Lote 2: Núcleo Estructural Java</v>
      </c>
      <c r="E2" s="96"/>
      <c r="F2" s="96"/>
      <c r="G2" s="96"/>
      <c r="H2" s="96"/>
      <c r="I2" s="96"/>
      <c r="J2" s="96"/>
      <c r="K2" s="96"/>
    </row>
    <row r="3" spans="1:41" ht="9" customHeight="1" x14ac:dyDescent="0.25">
      <c r="B3" s="64"/>
      <c r="C3" s="64"/>
      <c r="D3" s="64"/>
      <c r="E3" s="64"/>
    </row>
    <row r="4" spans="1:41" ht="15" customHeight="1" x14ac:dyDescent="0.25">
      <c r="B4" s="98"/>
      <c r="C4" s="98"/>
      <c r="D4" s="99"/>
      <c r="E4" s="99"/>
      <c r="F4" s="99"/>
      <c r="G4" s="99"/>
      <c r="H4" s="99"/>
      <c r="I4" s="99"/>
      <c r="J4" s="99"/>
      <c r="K4" s="99"/>
      <c r="L4" s="99"/>
      <c r="M4" s="99"/>
    </row>
    <row r="5" spans="1:41" ht="20.149999999999999" customHeight="1" x14ac:dyDescent="0.25">
      <c r="B5" s="334" t="s">
        <v>262</v>
      </c>
      <c r="C5" s="334"/>
      <c r="D5" s="335" t="s">
        <v>263</v>
      </c>
      <c r="E5" s="335"/>
      <c r="F5" s="335"/>
      <c r="G5" s="335"/>
      <c r="H5" s="99"/>
      <c r="I5" s="99"/>
      <c r="J5" s="99"/>
      <c r="K5" s="99"/>
      <c r="L5" s="99"/>
      <c r="M5" s="99"/>
      <c r="N5" s="99"/>
      <c r="O5" s="99"/>
      <c r="P5" s="99"/>
      <c r="Q5" s="99"/>
      <c r="R5" s="99"/>
    </row>
    <row r="6" spans="1:41" s="103" customFormat="1" ht="35.15" customHeight="1" x14ac:dyDescent="0.25">
      <c r="B6" s="291" t="s">
        <v>264</v>
      </c>
      <c r="C6" s="291" t="s">
        <v>265</v>
      </c>
      <c r="D6" s="234">
        <f>'Project Infor'!$C$8</f>
        <v>46023</v>
      </c>
      <c r="E6" s="234">
        <f t="shared" ref="E6:AB6" si="0">EOMONTH(D6,1)</f>
        <v>46081</v>
      </c>
      <c r="F6" s="234">
        <f t="shared" si="0"/>
        <v>46112</v>
      </c>
      <c r="G6" s="234">
        <f t="shared" si="0"/>
        <v>46142</v>
      </c>
      <c r="H6" s="234">
        <f t="shared" si="0"/>
        <v>46173</v>
      </c>
      <c r="I6" s="234">
        <f t="shared" si="0"/>
        <v>46203</v>
      </c>
      <c r="J6" s="234">
        <f t="shared" si="0"/>
        <v>46234</v>
      </c>
      <c r="K6" s="234">
        <f t="shared" si="0"/>
        <v>46265</v>
      </c>
      <c r="L6" s="234">
        <f t="shared" si="0"/>
        <v>46295</v>
      </c>
      <c r="M6" s="234">
        <f t="shared" si="0"/>
        <v>46326</v>
      </c>
      <c r="N6" s="234">
        <f t="shared" si="0"/>
        <v>46356</v>
      </c>
      <c r="O6" s="234">
        <f t="shared" si="0"/>
        <v>46387</v>
      </c>
      <c r="P6" s="234">
        <f t="shared" si="0"/>
        <v>46418</v>
      </c>
      <c r="Q6" s="234">
        <f t="shared" si="0"/>
        <v>46446</v>
      </c>
      <c r="R6" s="234">
        <f t="shared" si="0"/>
        <v>46477</v>
      </c>
      <c r="S6" s="234">
        <f t="shared" si="0"/>
        <v>46507</v>
      </c>
      <c r="T6" s="234">
        <f t="shared" si="0"/>
        <v>46538</v>
      </c>
      <c r="U6" s="234">
        <f t="shared" si="0"/>
        <v>46568</v>
      </c>
      <c r="V6" s="234">
        <f t="shared" si="0"/>
        <v>46599</v>
      </c>
      <c r="W6" s="234">
        <f t="shared" si="0"/>
        <v>46630</v>
      </c>
      <c r="X6" s="234">
        <f t="shared" si="0"/>
        <v>46660</v>
      </c>
      <c r="Y6" s="234">
        <f t="shared" si="0"/>
        <v>46691</v>
      </c>
      <c r="Z6" s="234">
        <f t="shared" si="0"/>
        <v>46721</v>
      </c>
      <c r="AA6" s="234">
        <f t="shared" si="0"/>
        <v>46752</v>
      </c>
      <c r="AB6" s="234">
        <f t="shared" si="0"/>
        <v>46783</v>
      </c>
      <c r="AD6" s="93"/>
      <c r="AE6" s="93"/>
      <c r="AF6" s="93"/>
      <c r="AG6" s="93"/>
      <c r="AH6" s="93"/>
      <c r="AI6" s="93"/>
      <c r="AJ6" s="93"/>
      <c r="AK6" s="93"/>
      <c r="AL6" s="93"/>
      <c r="AM6" s="93"/>
      <c r="AN6" s="93"/>
      <c r="AO6" s="93"/>
    </row>
    <row r="7" spans="1:41" s="104" customFormat="1" ht="20.149999999999999" customHeight="1" x14ac:dyDescent="0.25">
      <c r="B7" s="233">
        <v>8.5</v>
      </c>
      <c r="C7" s="261" t="str">
        <f>IF(B7=0,"",CONCATENATE("Jornadas de ",B7," horas: "))</f>
        <v xml:space="preserve">Jornadas de 8,5 horas: </v>
      </c>
      <c r="D7" s="235">
        <v>16</v>
      </c>
      <c r="E7" s="235">
        <v>16</v>
      </c>
      <c r="F7" s="235">
        <v>16</v>
      </c>
      <c r="G7" s="235">
        <v>16</v>
      </c>
      <c r="H7" s="235"/>
      <c r="I7" s="235"/>
      <c r="J7" s="235">
        <v>16</v>
      </c>
      <c r="K7" s="235"/>
      <c r="L7" s="235"/>
      <c r="M7" s="235"/>
      <c r="N7" s="235"/>
      <c r="O7" s="235"/>
      <c r="P7" s="235"/>
      <c r="Q7" s="235"/>
      <c r="R7" s="235"/>
      <c r="S7" s="235"/>
      <c r="T7" s="235"/>
      <c r="U7" s="235"/>
      <c r="V7" s="235"/>
      <c r="W7" s="235"/>
      <c r="X7" s="235"/>
      <c r="Y7" s="235"/>
      <c r="Z7" s="235"/>
      <c r="AA7" s="235"/>
      <c r="AB7" s="235"/>
      <c r="AD7" s="93"/>
      <c r="AE7" s="93"/>
      <c r="AF7" s="93"/>
      <c r="AG7" s="93"/>
      <c r="AH7" s="93"/>
      <c r="AI7" s="93"/>
      <c r="AJ7" s="93"/>
      <c r="AK7" s="93"/>
      <c r="AL7" s="93"/>
      <c r="AM7" s="93"/>
      <c r="AN7" s="93"/>
      <c r="AO7" s="93"/>
    </row>
    <row r="8" spans="1:41" s="104" customFormat="1" ht="20.149999999999999" customHeight="1" x14ac:dyDescent="0.25">
      <c r="B8" s="233">
        <v>7</v>
      </c>
      <c r="C8" s="261" t="str">
        <f t="shared" ref="C8:C11" si="1">IF(B8=0,"",CONCATENATE("Jornadas de ",B8," horas: "))</f>
        <v xml:space="preserve">Jornadas de 7 horas: </v>
      </c>
      <c r="D8" s="235">
        <v>3</v>
      </c>
      <c r="E8" s="235">
        <v>2</v>
      </c>
      <c r="F8" s="235">
        <v>1</v>
      </c>
      <c r="G8" s="235">
        <v>4</v>
      </c>
      <c r="H8" s="235">
        <v>22</v>
      </c>
      <c r="I8" s="235">
        <v>22</v>
      </c>
      <c r="J8" s="235">
        <v>5</v>
      </c>
      <c r="K8" s="235"/>
      <c r="L8" s="235"/>
      <c r="M8" s="235"/>
      <c r="N8" s="235"/>
      <c r="O8" s="235"/>
      <c r="P8" s="235"/>
      <c r="Q8" s="235"/>
      <c r="R8" s="235"/>
      <c r="S8" s="235"/>
      <c r="T8" s="235"/>
      <c r="U8" s="235"/>
      <c r="V8" s="235"/>
      <c r="W8" s="235"/>
      <c r="X8" s="235"/>
      <c r="Y8" s="235"/>
      <c r="Z8" s="235"/>
      <c r="AA8" s="235"/>
      <c r="AB8" s="235"/>
      <c r="AD8" s="93"/>
      <c r="AE8" s="93"/>
      <c r="AF8" s="93"/>
      <c r="AG8" s="93"/>
      <c r="AH8" s="93"/>
      <c r="AI8" s="93"/>
      <c r="AJ8" s="93"/>
      <c r="AK8" s="93"/>
      <c r="AL8" s="93"/>
      <c r="AM8" s="93"/>
      <c r="AN8" s="93"/>
      <c r="AO8" s="93"/>
    </row>
    <row r="9" spans="1:41" s="104" customFormat="1" ht="20.149999999999999" customHeight="1" x14ac:dyDescent="0.25">
      <c r="B9" s="233">
        <v>6</v>
      </c>
      <c r="C9" s="261" t="str">
        <f t="shared" si="1"/>
        <v xml:space="preserve">Jornadas de 6 horas: </v>
      </c>
      <c r="D9" s="235">
        <v>1</v>
      </c>
      <c r="E9" s="235">
        <v>3</v>
      </c>
      <c r="F9" s="235">
        <v>1</v>
      </c>
      <c r="G9" s="235">
        <v>2</v>
      </c>
      <c r="H9" s="235"/>
      <c r="I9" s="235"/>
      <c r="J9" s="235">
        <v>9</v>
      </c>
      <c r="K9" s="235"/>
      <c r="L9" s="235"/>
      <c r="M9" s="235"/>
      <c r="N9" s="235"/>
      <c r="O9" s="235"/>
      <c r="P9" s="235"/>
      <c r="Q9" s="235"/>
      <c r="R9" s="235"/>
      <c r="S9" s="235"/>
      <c r="T9" s="235"/>
      <c r="U9" s="235"/>
      <c r="V9" s="235"/>
      <c r="W9" s="235"/>
      <c r="X9" s="235"/>
      <c r="Y9" s="235"/>
      <c r="Z9" s="235"/>
      <c r="AA9" s="235"/>
      <c r="AB9" s="235"/>
      <c r="AD9" s="93"/>
      <c r="AE9" s="93"/>
      <c r="AF9" s="93"/>
      <c r="AG9" s="93"/>
      <c r="AH9" s="93"/>
      <c r="AI9" s="93"/>
      <c r="AJ9" s="93"/>
      <c r="AK9" s="93"/>
      <c r="AL9" s="93"/>
      <c r="AM9" s="93"/>
      <c r="AN9" s="93"/>
      <c r="AO9" s="93"/>
    </row>
    <row r="10" spans="1:41" s="104" customFormat="1" ht="20.149999999999999" customHeight="1" x14ac:dyDescent="0.25">
      <c r="B10" s="233">
        <v>7.25</v>
      </c>
      <c r="C10" s="261" t="str">
        <f t="shared" si="1"/>
        <v xml:space="preserve">Jornadas de 7,25 horas: </v>
      </c>
      <c r="D10" s="235"/>
      <c r="E10" s="235"/>
      <c r="F10" s="235"/>
      <c r="G10" s="235"/>
      <c r="H10" s="235"/>
      <c r="I10" s="235"/>
      <c r="J10" s="235"/>
      <c r="K10" s="235"/>
      <c r="L10" s="235"/>
      <c r="M10" s="235"/>
      <c r="N10" s="235"/>
      <c r="O10" s="235"/>
      <c r="P10" s="235"/>
      <c r="Q10" s="235"/>
      <c r="R10" s="235"/>
      <c r="S10" s="235"/>
      <c r="T10" s="235"/>
      <c r="U10" s="235"/>
      <c r="V10" s="235"/>
      <c r="W10" s="235"/>
      <c r="X10" s="235"/>
      <c r="Y10" s="235"/>
      <c r="Z10" s="235"/>
      <c r="AA10" s="235"/>
      <c r="AB10" s="235"/>
      <c r="AD10" s="93"/>
      <c r="AE10" s="93"/>
      <c r="AF10" s="93"/>
      <c r="AG10" s="93"/>
      <c r="AH10" s="93"/>
      <c r="AI10" s="93"/>
      <c r="AJ10" s="93"/>
      <c r="AK10" s="93"/>
      <c r="AL10" s="93"/>
      <c r="AM10" s="93"/>
      <c r="AN10" s="93"/>
      <c r="AO10" s="93"/>
    </row>
    <row r="11" spans="1:41" s="104" customFormat="1" ht="20.149999999999999" customHeight="1" x14ac:dyDescent="0.25">
      <c r="B11" s="233">
        <v>5.25</v>
      </c>
      <c r="C11" s="261" t="str">
        <f t="shared" si="1"/>
        <v xml:space="preserve">Jornadas de 5,25 horas: </v>
      </c>
      <c r="D11" s="235">
        <v>2</v>
      </c>
      <c r="E11" s="235"/>
      <c r="F11" s="235">
        <v>2</v>
      </c>
      <c r="G11" s="235"/>
      <c r="H11" s="235"/>
      <c r="I11" s="235"/>
      <c r="J11" s="235"/>
      <c r="K11" s="235"/>
      <c r="L11" s="235"/>
      <c r="M11" s="235"/>
      <c r="N11" s="235"/>
      <c r="O11" s="235"/>
      <c r="P11" s="235"/>
      <c r="Q11" s="235"/>
      <c r="R11" s="235"/>
      <c r="S11" s="235"/>
      <c r="T11" s="235"/>
      <c r="U11" s="235"/>
      <c r="V11" s="235"/>
      <c r="W11" s="235"/>
      <c r="X11" s="235"/>
      <c r="Y11" s="235"/>
      <c r="Z11" s="235"/>
      <c r="AA11" s="235"/>
      <c r="AB11" s="235"/>
      <c r="AD11" s="93"/>
      <c r="AE11" s="93"/>
      <c r="AF11" s="93"/>
      <c r="AG11" s="93"/>
      <c r="AH11" s="93"/>
      <c r="AI11" s="93"/>
      <c r="AJ11" s="93"/>
      <c r="AK11" s="93"/>
      <c r="AL11" s="93"/>
      <c r="AM11" s="93"/>
      <c r="AN11" s="93"/>
      <c r="AO11" s="93"/>
    </row>
    <row r="12" spans="1:41" s="104" customFormat="1" ht="20.149999999999999" customHeight="1" x14ac:dyDescent="0.25">
      <c r="B12" s="262"/>
      <c r="C12" s="262" t="s">
        <v>266</v>
      </c>
      <c r="D12" s="263">
        <f>SUMPRODUCT(D7:D11,$B$7:$B$11)</f>
        <v>173.5</v>
      </c>
      <c r="E12" s="263">
        <f>SUMPRODUCT(E7:E11,$B$7:$B$11)</f>
        <v>168</v>
      </c>
      <c r="F12" s="263">
        <f t="shared" ref="F12" si="2">SUMPRODUCT(F7:F11,$B$7:$B$11)</f>
        <v>159.5</v>
      </c>
      <c r="G12" s="263">
        <f t="shared" ref="G12" si="3">SUMPRODUCT(G7:G11,$B$7:$B$11)</f>
        <v>176</v>
      </c>
      <c r="H12" s="263">
        <f t="shared" ref="H12" si="4">SUMPRODUCT(H7:H11,$B$7:$B$11)</f>
        <v>154</v>
      </c>
      <c r="I12" s="263">
        <f>SUMPRODUCT(I7:I11,$B$7:$B$11)</f>
        <v>154</v>
      </c>
      <c r="J12" s="263">
        <f t="shared" ref="J12" si="5">SUMPRODUCT(J7:J11,$B$7:$B$11)</f>
        <v>225</v>
      </c>
      <c r="K12" s="263">
        <f t="shared" ref="K12" si="6">SUMPRODUCT(K7:K11,$B$7:$B$11)</f>
        <v>0</v>
      </c>
      <c r="L12" s="263">
        <f>SUMPRODUCT(L7:L11,$B$7:$B$11)</f>
        <v>0</v>
      </c>
      <c r="M12" s="263">
        <f t="shared" ref="M12" si="7">SUMPRODUCT(M7:M11,$B$7:$B$11)</f>
        <v>0</v>
      </c>
      <c r="N12" s="263">
        <f t="shared" ref="N12" si="8">SUMPRODUCT(N7:N11,$B$7:$B$11)</f>
        <v>0</v>
      </c>
      <c r="O12" s="263">
        <f t="shared" ref="O12" si="9">SUMPRODUCT(O7:O11,$B$7:$B$11)</f>
        <v>0</v>
      </c>
      <c r="P12" s="263">
        <f t="shared" ref="P12" si="10">SUMPRODUCT(P7:P11,$B$7:$B$11)</f>
        <v>0</v>
      </c>
      <c r="Q12" s="263">
        <f t="shared" ref="Q12" si="11">SUMPRODUCT(Q7:Q11,$B$7:$B$11)</f>
        <v>0</v>
      </c>
      <c r="R12" s="263">
        <f t="shared" ref="R12" si="12">SUMPRODUCT(R7:R11,$B$7:$B$11)</f>
        <v>0</v>
      </c>
      <c r="S12" s="263">
        <f t="shared" ref="S12" si="13">SUMPRODUCT(S7:S11,$B$7:$B$11)</f>
        <v>0</v>
      </c>
      <c r="T12" s="263">
        <f t="shared" ref="T12" si="14">SUMPRODUCT(T7:T11,$B$7:$B$11)</f>
        <v>0</v>
      </c>
      <c r="U12" s="263">
        <f t="shared" ref="U12" si="15">SUMPRODUCT(U7:U11,$B$7:$B$11)</f>
        <v>0</v>
      </c>
      <c r="V12" s="263">
        <f t="shared" ref="V12" si="16">SUMPRODUCT(V7:V11,$B$7:$B$11)</f>
        <v>0</v>
      </c>
      <c r="W12" s="263">
        <f t="shared" ref="W12" si="17">SUMPRODUCT(W7:W11,$B$7:$B$11)</f>
        <v>0</v>
      </c>
      <c r="X12" s="263">
        <f t="shared" ref="X12" si="18">SUMPRODUCT(X7:X11,$B$7:$B$11)</f>
        <v>0</v>
      </c>
      <c r="Y12" s="263">
        <f t="shared" ref="Y12" si="19">SUMPRODUCT(Y7:Y11,$B$7:$B$11)</f>
        <v>0</v>
      </c>
      <c r="Z12" s="263">
        <f t="shared" ref="Z12" si="20">SUMPRODUCT(Z7:Z11,$B$7:$B$11)</f>
        <v>0</v>
      </c>
      <c r="AA12" s="263">
        <f t="shared" ref="AA12" si="21">SUMPRODUCT(AA7:AA11,$B$7:$B$11)</f>
        <v>0</v>
      </c>
      <c r="AB12" s="263">
        <f>SUMPRODUCT(AB7:AB11,$B$7:$B$11)</f>
        <v>0</v>
      </c>
    </row>
    <row r="13" spans="1:41" s="104" customFormat="1" ht="20.149999999999999" customHeight="1" x14ac:dyDescent="0.25">
      <c r="B13" s="182"/>
      <c r="C13" s="182"/>
      <c r="D13" s="182"/>
      <c r="E13" s="182"/>
      <c r="F13" s="182"/>
      <c r="G13" s="182"/>
      <c r="H13" s="182"/>
      <c r="I13" s="182"/>
      <c r="J13" s="182"/>
      <c r="K13" s="182"/>
      <c r="L13" s="182"/>
      <c r="M13" s="182"/>
      <c r="N13" s="182"/>
      <c r="O13" s="182"/>
      <c r="P13" s="182"/>
      <c r="Q13" s="182"/>
      <c r="R13" s="182"/>
      <c r="S13" s="182"/>
      <c r="T13" s="182"/>
      <c r="U13" s="182"/>
      <c r="V13" s="182"/>
      <c r="W13" s="182"/>
      <c r="X13" s="182"/>
      <c r="Y13" s="182"/>
      <c r="Z13" s="182"/>
      <c r="AA13" s="182"/>
      <c r="AB13" s="182"/>
    </row>
    <row r="14" spans="1:41" x14ac:dyDescent="0.25">
      <c r="A14" s="104"/>
      <c r="D14" s="99"/>
      <c r="E14" s="99"/>
      <c r="F14" s="99"/>
      <c r="G14" s="99"/>
      <c r="H14" s="99"/>
      <c r="I14" s="99"/>
      <c r="J14" s="99"/>
      <c r="K14" s="99"/>
      <c r="L14" s="99"/>
      <c r="M14" s="99"/>
    </row>
    <row r="15" spans="1:41" ht="20.149999999999999" customHeight="1" x14ac:dyDescent="0.25">
      <c r="B15" s="334" t="s">
        <v>267</v>
      </c>
      <c r="C15" s="334"/>
      <c r="D15" s="335" t="s">
        <v>263</v>
      </c>
      <c r="E15" s="335"/>
      <c r="F15" s="335"/>
      <c r="G15" s="335"/>
      <c r="H15" s="99"/>
      <c r="I15" s="99"/>
      <c r="J15" s="99"/>
      <c r="K15" s="99"/>
      <c r="L15" s="99"/>
      <c r="M15" s="99"/>
      <c r="N15" s="99"/>
      <c r="O15" s="99"/>
      <c r="P15" s="99"/>
      <c r="Q15" s="99"/>
      <c r="R15" s="99"/>
    </row>
    <row r="16" spans="1:41" s="103" customFormat="1" ht="35.15" customHeight="1" x14ac:dyDescent="0.25">
      <c r="B16" s="291" t="s">
        <v>264</v>
      </c>
      <c r="C16" s="291" t="s">
        <v>265</v>
      </c>
      <c r="D16" s="234">
        <f>'Project Infor'!$C$8</f>
        <v>46023</v>
      </c>
      <c r="E16" s="234">
        <f t="shared" ref="E16" si="22">EOMONTH(D16,1)</f>
        <v>46081</v>
      </c>
      <c r="F16" s="234">
        <f t="shared" ref="F16" si="23">EOMONTH(E16,1)</f>
        <v>46112</v>
      </c>
      <c r="G16" s="234">
        <f t="shared" ref="G16" si="24">EOMONTH(F16,1)</f>
        <v>46142</v>
      </c>
      <c r="H16" s="234">
        <f t="shared" ref="H16" si="25">EOMONTH(G16,1)</f>
        <v>46173</v>
      </c>
      <c r="I16" s="234">
        <f t="shared" ref="I16" si="26">EOMONTH(H16,1)</f>
        <v>46203</v>
      </c>
      <c r="J16" s="234">
        <f t="shared" ref="J16" si="27">EOMONTH(I16,1)</f>
        <v>46234</v>
      </c>
      <c r="K16" s="234">
        <f t="shared" ref="K16" si="28">EOMONTH(J16,1)</f>
        <v>46265</v>
      </c>
      <c r="L16" s="234">
        <f t="shared" ref="L16" si="29">EOMONTH(K16,1)</f>
        <v>46295</v>
      </c>
      <c r="M16" s="234">
        <f t="shared" ref="M16" si="30">EOMONTH(L16,1)</f>
        <v>46326</v>
      </c>
      <c r="N16" s="234">
        <f t="shared" ref="N16" si="31">EOMONTH(M16,1)</f>
        <v>46356</v>
      </c>
      <c r="O16" s="234">
        <f t="shared" ref="O16" si="32">EOMONTH(N16,1)</f>
        <v>46387</v>
      </c>
      <c r="P16" s="234">
        <f t="shared" ref="P16" si="33">EOMONTH(O16,1)</f>
        <v>46418</v>
      </c>
      <c r="Q16" s="234">
        <f t="shared" ref="Q16" si="34">EOMONTH(P16,1)</f>
        <v>46446</v>
      </c>
      <c r="R16" s="234">
        <f t="shared" ref="R16" si="35">EOMONTH(Q16,1)</f>
        <v>46477</v>
      </c>
      <c r="S16" s="234">
        <f t="shared" ref="S16" si="36">EOMONTH(R16,1)</f>
        <v>46507</v>
      </c>
      <c r="T16" s="234">
        <f t="shared" ref="T16" si="37">EOMONTH(S16,1)</f>
        <v>46538</v>
      </c>
      <c r="U16" s="234">
        <f t="shared" ref="U16" si="38">EOMONTH(T16,1)</f>
        <v>46568</v>
      </c>
      <c r="V16" s="234">
        <f t="shared" ref="V16" si="39">EOMONTH(U16,1)</f>
        <v>46599</v>
      </c>
      <c r="W16" s="234">
        <f t="shared" ref="W16" si="40">EOMONTH(V16,1)</f>
        <v>46630</v>
      </c>
      <c r="X16" s="234">
        <f t="shared" ref="X16" si="41">EOMONTH(W16,1)</f>
        <v>46660</v>
      </c>
      <c r="Y16" s="234">
        <f t="shared" ref="Y16" si="42">EOMONTH(X16,1)</f>
        <v>46691</v>
      </c>
      <c r="Z16" s="234">
        <f t="shared" ref="Z16" si="43">EOMONTH(Y16,1)</f>
        <v>46721</v>
      </c>
      <c r="AA16" s="234">
        <f t="shared" ref="AA16" si="44">EOMONTH(Z16,1)</f>
        <v>46752</v>
      </c>
      <c r="AB16" s="234">
        <f t="shared" ref="AB16" si="45">EOMONTH(AA16,1)</f>
        <v>46783</v>
      </c>
      <c r="AD16" s="93"/>
      <c r="AE16" s="93"/>
      <c r="AF16" s="93"/>
      <c r="AG16" s="93"/>
      <c r="AH16" s="93"/>
      <c r="AI16" s="93"/>
      <c r="AJ16" s="93"/>
      <c r="AK16" s="93"/>
      <c r="AL16" s="93"/>
      <c r="AM16" s="93"/>
      <c r="AN16" s="93"/>
      <c r="AO16" s="93"/>
    </row>
    <row r="17" spans="1:41" s="104" customFormat="1" ht="20.149999999999999" customHeight="1" x14ac:dyDescent="0.25">
      <c r="B17" s="233">
        <v>8</v>
      </c>
      <c r="C17" s="261" t="str">
        <f>IF(B17=0,"",CONCATENATE("Jornadas de ",B17," horas: "))</f>
        <v xml:space="preserve">Jornadas de 8 horas: </v>
      </c>
      <c r="D17" s="235">
        <v>16</v>
      </c>
      <c r="E17" s="235"/>
      <c r="F17" s="235"/>
      <c r="G17" s="235"/>
      <c r="H17" s="235"/>
      <c r="I17" s="235"/>
      <c r="J17" s="235"/>
      <c r="K17" s="235"/>
      <c r="L17" s="235"/>
      <c r="M17" s="235"/>
      <c r="N17" s="235"/>
      <c r="O17" s="235"/>
      <c r="P17" s="235"/>
      <c r="Q17" s="235"/>
      <c r="R17" s="235"/>
      <c r="S17" s="235"/>
      <c r="T17" s="235"/>
      <c r="U17" s="235"/>
      <c r="V17" s="235"/>
      <c r="W17" s="235"/>
      <c r="X17" s="235"/>
      <c r="Y17" s="235"/>
      <c r="Z17" s="235"/>
      <c r="AA17" s="235"/>
      <c r="AB17" s="235"/>
      <c r="AD17" s="93"/>
      <c r="AE17" s="93"/>
      <c r="AF17" s="93"/>
      <c r="AG17" s="93"/>
      <c r="AH17" s="93"/>
      <c r="AI17" s="93"/>
      <c r="AJ17" s="93"/>
      <c r="AK17" s="93"/>
      <c r="AL17" s="93"/>
      <c r="AM17" s="93"/>
      <c r="AN17" s="93"/>
      <c r="AO17" s="93"/>
    </row>
    <row r="18" spans="1:41" s="104" customFormat="1" ht="20.149999999999999" customHeight="1" x14ac:dyDescent="0.25">
      <c r="B18" s="233">
        <v>6</v>
      </c>
      <c r="C18" s="261" t="str">
        <f t="shared" ref="C18:C21" si="46">IF(B18=0,"",CONCATENATE("Jornadas de ",B18," horas: "))</f>
        <v xml:space="preserve">Jornadas de 6 horas: </v>
      </c>
      <c r="D18" s="235">
        <v>3</v>
      </c>
      <c r="E18" s="235"/>
      <c r="F18" s="235"/>
      <c r="G18" s="235"/>
      <c r="H18" s="235"/>
      <c r="I18" s="235"/>
      <c r="J18" s="235"/>
      <c r="K18" s="235"/>
      <c r="L18" s="235"/>
      <c r="M18" s="235"/>
      <c r="N18" s="235"/>
      <c r="O18" s="235"/>
      <c r="P18" s="235"/>
      <c r="Q18" s="235"/>
      <c r="R18" s="235"/>
      <c r="S18" s="235"/>
      <c r="T18" s="235"/>
      <c r="U18" s="235"/>
      <c r="V18" s="235"/>
      <c r="W18" s="235"/>
      <c r="X18" s="235"/>
      <c r="Y18" s="235"/>
      <c r="Z18" s="235"/>
      <c r="AA18" s="235"/>
      <c r="AB18" s="235"/>
      <c r="AD18" s="93"/>
      <c r="AE18" s="93"/>
      <c r="AF18" s="93"/>
      <c r="AG18" s="93"/>
      <c r="AH18" s="93"/>
      <c r="AI18" s="93"/>
      <c r="AJ18" s="93"/>
      <c r="AK18" s="93"/>
      <c r="AL18" s="93"/>
      <c r="AM18" s="93"/>
      <c r="AN18" s="93"/>
      <c r="AO18" s="93"/>
    </row>
    <row r="19" spans="1:41" s="104" customFormat="1" ht="20.149999999999999" customHeight="1" x14ac:dyDescent="0.25">
      <c r="B19" s="233"/>
      <c r="C19" s="261" t="str">
        <f t="shared" si="46"/>
        <v/>
      </c>
      <c r="D19" s="235"/>
      <c r="E19" s="235"/>
      <c r="F19" s="235"/>
      <c r="G19" s="235"/>
      <c r="H19" s="235"/>
      <c r="I19" s="235"/>
      <c r="J19" s="235"/>
      <c r="K19" s="235"/>
      <c r="L19" s="235"/>
      <c r="M19" s="235"/>
      <c r="N19" s="235"/>
      <c r="O19" s="235"/>
      <c r="P19" s="235"/>
      <c r="Q19" s="235"/>
      <c r="R19" s="235"/>
      <c r="S19" s="235"/>
      <c r="T19" s="235"/>
      <c r="U19" s="235"/>
      <c r="V19" s="235"/>
      <c r="W19" s="235"/>
      <c r="X19" s="235"/>
      <c r="Y19" s="235"/>
      <c r="Z19" s="235"/>
      <c r="AA19" s="235"/>
      <c r="AB19" s="235"/>
      <c r="AD19" s="93"/>
      <c r="AE19" s="93"/>
      <c r="AF19" s="93"/>
      <c r="AG19" s="93"/>
      <c r="AH19" s="93"/>
      <c r="AI19" s="93"/>
      <c r="AJ19" s="93"/>
      <c r="AK19" s="93"/>
      <c r="AL19" s="93"/>
      <c r="AM19" s="93"/>
      <c r="AN19" s="93"/>
      <c r="AO19" s="93"/>
    </row>
    <row r="20" spans="1:41" s="104" customFormat="1" ht="20.149999999999999" customHeight="1" x14ac:dyDescent="0.25">
      <c r="B20" s="233"/>
      <c r="C20" s="261"/>
      <c r="D20" s="235"/>
      <c r="E20" s="235"/>
      <c r="F20" s="235"/>
      <c r="G20" s="235"/>
      <c r="H20" s="235"/>
      <c r="I20" s="235"/>
      <c r="J20" s="235"/>
      <c r="K20" s="235"/>
      <c r="L20" s="235"/>
      <c r="M20" s="235"/>
      <c r="N20" s="235"/>
      <c r="O20" s="235"/>
      <c r="P20" s="235"/>
      <c r="Q20" s="235"/>
      <c r="R20" s="235"/>
      <c r="S20" s="235"/>
      <c r="T20" s="235"/>
      <c r="U20" s="235"/>
      <c r="V20" s="235"/>
      <c r="W20" s="235"/>
      <c r="X20" s="235"/>
      <c r="Y20" s="235"/>
      <c r="Z20" s="235"/>
      <c r="AA20" s="235"/>
      <c r="AB20" s="235"/>
      <c r="AD20" s="93"/>
      <c r="AE20" s="93"/>
      <c r="AF20" s="93"/>
      <c r="AG20" s="93"/>
      <c r="AH20" s="93"/>
      <c r="AI20" s="93"/>
      <c r="AJ20" s="93"/>
      <c r="AK20" s="93"/>
      <c r="AL20" s="93"/>
      <c r="AM20" s="93"/>
      <c r="AN20" s="93"/>
      <c r="AO20" s="93"/>
    </row>
    <row r="21" spans="1:41" s="104" customFormat="1" ht="20.149999999999999" customHeight="1" x14ac:dyDescent="0.25">
      <c r="B21" s="233"/>
      <c r="C21" s="261" t="str">
        <f t="shared" si="46"/>
        <v/>
      </c>
      <c r="D21" s="235"/>
      <c r="E21" s="235"/>
      <c r="F21" s="235"/>
      <c r="G21" s="235"/>
      <c r="H21" s="235"/>
      <c r="I21" s="235"/>
      <c r="J21" s="235"/>
      <c r="K21" s="235"/>
      <c r="L21" s="235"/>
      <c r="M21" s="235"/>
      <c r="N21" s="235"/>
      <c r="O21" s="235"/>
      <c r="P21" s="235"/>
      <c r="Q21" s="235"/>
      <c r="R21" s="235"/>
      <c r="S21" s="235"/>
      <c r="T21" s="235"/>
      <c r="U21" s="235"/>
      <c r="V21" s="235"/>
      <c r="W21" s="235"/>
      <c r="X21" s="235"/>
      <c r="Y21" s="235"/>
      <c r="Z21" s="235"/>
      <c r="AA21" s="235"/>
      <c r="AB21" s="235"/>
      <c r="AD21" s="93"/>
      <c r="AE21" s="93"/>
      <c r="AF21" s="93"/>
      <c r="AG21" s="93"/>
      <c r="AH21" s="93"/>
      <c r="AI21" s="93"/>
      <c r="AJ21" s="93"/>
      <c r="AK21" s="93"/>
      <c r="AL21" s="93"/>
      <c r="AM21" s="93"/>
      <c r="AN21" s="93"/>
      <c r="AO21" s="93"/>
    </row>
    <row r="22" spans="1:41" s="104" customFormat="1" ht="20.149999999999999" customHeight="1" x14ac:dyDescent="0.25">
      <c r="B22" s="262"/>
      <c r="C22" s="262" t="s">
        <v>266</v>
      </c>
      <c r="D22" s="263">
        <f t="shared" ref="D22:AB22" si="47">SUMPRODUCT(D17:D21,$B$17:$B$21)</f>
        <v>146</v>
      </c>
      <c r="E22" s="263">
        <f t="shared" si="47"/>
        <v>0</v>
      </c>
      <c r="F22" s="263">
        <f t="shared" si="47"/>
        <v>0</v>
      </c>
      <c r="G22" s="263">
        <f t="shared" si="47"/>
        <v>0</v>
      </c>
      <c r="H22" s="263">
        <f t="shared" si="47"/>
        <v>0</v>
      </c>
      <c r="I22" s="263">
        <f t="shared" si="47"/>
        <v>0</v>
      </c>
      <c r="J22" s="263">
        <f t="shared" si="47"/>
        <v>0</v>
      </c>
      <c r="K22" s="263">
        <f t="shared" si="47"/>
        <v>0</v>
      </c>
      <c r="L22" s="263">
        <f t="shared" si="47"/>
        <v>0</v>
      </c>
      <c r="M22" s="263">
        <f t="shared" si="47"/>
        <v>0</v>
      </c>
      <c r="N22" s="263">
        <f t="shared" si="47"/>
        <v>0</v>
      </c>
      <c r="O22" s="263">
        <f t="shared" si="47"/>
        <v>0</v>
      </c>
      <c r="P22" s="263">
        <f t="shared" si="47"/>
        <v>0</v>
      </c>
      <c r="Q22" s="263">
        <f t="shared" si="47"/>
        <v>0</v>
      </c>
      <c r="R22" s="263">
        <f t="shared" si="47"/>
        <v>0</v>
      </c>
      <c r="S22" s="263">
        <f t="shared" si="47"/>
        <v>0</v>
      </c>
      <c r="T22" s="263">
        <f t="shared" si="47"/>
        <v>0</v>
      </c>
      <c r="U22" s="263">
        <f t="shared" si="47"/>
        <v>0</v>
      </c>
      <c r="V22" s="263">
        <f t="shared" si="47"/>
        <v>0</v>
      </c>
      <c r="W22" s="263">
        <f t="shared" si="47"/>
        <v>0</v>
      </c>
      <c r="X22" s="263">
        <f t="shared" si="47"/>
        <v>0</v>
      </c>
      <c r="Y22" s="263">
        <f t="shared" si="47"/>
        <v>0</v>
      </c>
      <c r="Z22" s="263">
        <f t="shared" si="47"/>
        <v>0</v>
      </c>
      <c r="AA22" s="263">
        <f t="shared" si="47"/>
        <v>0</v>
      </c>
      <c r="AB22" s="263">
        <f t="shared" si="47"/>
        <v>0</v>
      </c>
    </row>
    <row r="23" spans="1:41" s="104" customFormat="1" ht="20.149999999999999" customHeight="1" x14ac:dyDescent="0.25">
      <c r="B23" s="182"/>
      <c r="C23" s="182"/>
      <c r="D23" s="182"/>
      <c r="E23" s="182"/>
      <c r="F23" s="182"/>
      <c r="G23" s="182"/>
      <c r="H23" s="182"/>
      <c r="I23" s="182"/>
      <c r="J23" s="182"/>
      <c r="K23" s="182"/>
      <c r="L23" s="182"/>
      <c r="M23" s="182"/>
      <c r="N23" s="182"/>
      <c r="O23" s="182"/>
      <c r="P23" s="182"/>
      <c r="Q23" s="182"/>
      <c r="R23" s="182"/>
      <c r="S23" s="182"/>
      <c r="T23" s="182"/>
      <c r="U23" s="182"/>
      <c r="V23" s="182"/>
      <c r="W23" s="182"/>
      <c r="X23" s="182"/>
      <c r="Y23" s="182"/>
      <c r="Z23" s="182"/>
      <c r="AA23" s="182"/>
      <c r="AB23" s="182"/>
    </row>
    <row r="24" spans="1:41" x14ac:dyDescent="0.25">
      <c r="A24" s="104"/>
      <c r="D24" s="99"/>
      <c r="E24" s="99"/>
      <c r="F24" s="99"/>
      <c r="G24" s="99"/>
      <c r="H24" s="99"/>
      <c r="I24" s="99"/>
      <c r="J24" s="99"/>
      <c r="K24" s="99"/>
      <c r="L24" s="99"/>
      <c r="M24" s="99"/>
    </row>
    <row r="25" spans="1:41" ht="20.149999999999999" customHeight="1" x14ac:dyDescent="0.25">
      <c r="B25" s="334" t="s">
        <v>268</v>
      </c>
      <c r="C25" s="334"/>
      <c r="D25" s="335" t="s">
        <v>263</v>
      </c>
      <c r="E25" s="335"/>
      <c r="F25" s="335"/>
      <c r="G25" s="335"/>
      <c r="H25" s="99"/>
      <c r="I25" s="99"/>
      <c r="J25" s="99"/>
      <c r="K25" s="99"/>
      <c r="L25" s="99"/>
      <c r="M25" s="99"/>
      <c r="N25" s="99"/>
      <c r="O25" s="99"/>
      <c r="P25" s="99"/>
      <c r="Q25" s="99"/>
      <c r="R25" s="99"/>
    </row>
    <row r="26" spans="1:41" s="103" customFormat="1" ht="35.15" customHeight="1" x14ac:dyDescent="0.25">
      <c r="B26" s="291" t="s">
        <v>264</v>
      </c>
      <c r="C26" s="291" t="s">
        <v>265</v>
      </c>
      <c r="D26" s="234">
        <f>'Project Infor'!$C$8</f>
        <v>46023</v>
      </c>
      <c r="E26" s="234">
        <f t="shared" ref="E26" si="48">EOMONTH(D26,1)</f>
        <v>46081</v>
      </c>
      <c r="F26" s="234">
        <f t="shared" ref="F26" si="49">EOMONTH(E26,1)</f>
        <v>46112</v>
      </c>
      <c r="G26" s="234">
        <f t="shared" ref="G26" si="50">EOMONTH(F26,1)</f>
        <v>46142</v>
      </c>
      <c r="H26" s="234">
        <f t="shared" ref="H26" si="51">EOMONTH(G26,1)</f>
        <v>46173</v>
      </c>
      <c r="I26" s="234">
        <f t="shared" ref="I26" si="52">EOMONTH(H26,1)</f>
        <v>46203</v>
      </c>
      <c r="J26" s="234">
        <f t="shared" ref="J26" si="53">EOMONTH(I26,1)</f>
        <v>46234</v>
      </c>
      <c r="K26" s="234">
        <f t="shared" ref="K26" si="54">EOMONTH(J26,1)</f>
        <v>46265</v>
      </c>
      <c r="L26" s="234">
        <f t="shared" ref="L26" si="55">EOMONTH(K26,1)</f>
        <v>46295</v>
      </c>
      <c r="M26" s="234">
        <f t="shared" ref="M26" si="56">EOMONTH(L26,1)</f>
        <v>46326</v>
      </c>
      <c r="N26" s="234">
        <f t="shared" ref="N26" si="57">EOMONTH(M26,1)</f>
        <v>46356</v>
      </c>
      <c r="O26" s="234">
        <f t="shared" ref="O26" si="58">EOMONTH(N26,1)</f>
        <v>46387</v>
      </c>
      <c r="P26" s="234">
        <f t="shared" ref="P26" si="59">EOMONTH(O26,1)</f>
        <v>46418</v>
      </c>
      <c r="Q26" s="234">
        <f t="shared" ref="Q26" si="60">EOMONTH(P26,1)</f>
        <v>46446</v>
      </c>
      <c r="R26" s="234">
        <f t="shared" ref="R26" si="61">EOMONTH(Q26,1)</f>
        <v>46477</v>
      </c>
      <c r="S26" s="234">
        <f t="shared" ref="S26" si="62">EOMONTH(R26,1)</f>
        <v>46507</v>
      </c>
      <c r="T26" s="234">
        <f t="shared" ref="T26" si="63">EOMONTH(S26,1)</f>
        <v>46538</v>
      </c>
      <c r="U26" s="234">
        <f t="shared" ref="U26" si="64">EOMONTH(T26,1)</f>
        <v>46568</v>
      </c>
      <c r="V26" s="234">
        <f t="shared" ref="V26" si="65">EOMONTH(U26,1)</f>
        <v>46599</v>
      </c>
      <c r="W26" s="234">
        <f t="shared" ref="W26" si="66">EOMONTH(V26,1)</f>
        <v>46630</v>
      </c>
      <c r="X26" s="234">
        <f t="shared" ref="X26" si="67">EOMONTH(W26,1)</f>
        <v>46660</v>
      </c>
      <c r="Y26" s="234">
        <f t="shared" ref="Y26" si="68">EOMONTH(X26,1)</f>
        <v>46691</v>
      </c>
      <c r="Z26" s="234">
        <f t="shared" ref="Z26" si="69">EOMONTH(Y26,1)</f>
        <v>46721</v>
      </c>
      <c r="AA26" s="234">
        <f t="shared" ref="AA26" si="70">EOMONTH(Z26,1)</f>
        <v>46752</v>
      </c>
      <c r="AB26" s="234">
        <f t="shared" ref="AB26" si="71">EOMONTH(AA26,1)</f>
        <v>46783</v>
      </c>
      <c r="AD26" s="93"/>
      <c r="AE26" s="93"/>
      <c r="AF26" s="93"/>
      <c r="AG26" s="93"/>
      <c r="AH26" s="93"/>
      <c r="AI26" s="93"/>
      <c r="AJ26" s="93"/>
      <c r="AK26" s="93"/>
      <c r="AL26" s="93"/>
      <c r="AM26" s="93"/>
      <c r="AN26" s="93"/>
      <c r="AO26" s="93"/>
    </row>
    <row r="27" spans="1:41" s="104" customFormat="1" ht="20.149999999999999" customHeight="1" x14ac:dyDescent="0.25">
      <c r="B27" s="233">
        <v>7</v>
      </c>
      <c r="C27" s="261" t="str">
        <f>IF(B27=0,"",CONCATENATE("Jornadas de ",B27," horas: "))</f>
        <v xml:space="preserve">Jornadas de 7 horas: </v>
      </c>
      <c r="D27" s="235">
        <v>22</v>
      </c>
      <c r="E27" s="235">
        <v>20</v>
      </c>
      <c r="F27" s="235">
        <v>21</v>
      </c>
      <c r="G27" s="235">
        <v>21</v>
      </c>
      <c r="H27" s="235">
        <v>22</v>
      </c>
      <c r="I27" s="235">
        <v>22</v>
      </c>
      <c r="J27" s="235">
        <v>22</v>
      </c>
      <c r="K27" s="235">
        <v>21</v>
      </c>
      <c r="L27" s="235">
        <v>22</v>
      </c>
      <c r="M27" s="235">
        <v>16</v>
      </c>
      <c r="N27" s="235"/>
      <c r="O27" s="235"/>
      <c r="P27" s="235"/>
      <c r="Q27" s="235"/>
      <c r="R27" s="235"/>
      <c r="S27" s="235"/>
      <c r="T27" s="235"/>
      <c r="U27" s="235"/>
      <c r="V27" s="235"/>
      <c r="W27" s="235"/>
      <c r="X27" s="235"/>
      <c r="Y27" s="235"/>
      <c r="Z27" s="235"/>
      <c r="AA27" s="235"/>
      <c r="AB27" s="235"/>
      <c r="AD27" s="93"/>
      <c r="AE27" s="93"/>
      <c r="AF27" s="93"/>
      <c r="AG27" s="93"/>
      <c r="AH27" s="93"/>
      <c r="AI27" s="93"/>
      <c r="AJ27" s="93"/>
      <c r="AK27" s="93"/>
      <c r="AL27" s="93"/>
      <c r="AM27" s="93"/>
      <c r="AN27" s="93"/>
      <c r="AO27" s="93"/>
    </row>
    <row r="28" spans="1:41" s="104" customFormat="1" ht="20.149999999999999" customHeight="1" x14ac:dyDescent="0.25">
      <c r="B28" s="233"/>
      <c r="C28" s="261" t="str">
        <f t="shared" ref="C28:C31" si="72">IF(B28=0,"",CONCATENATE("Jornadas de ",B28," horas: "))</f>
        <v/>
      </c>
      <c r="D28" s="235"/>
      <c r="E28" s="235"/>
      <c r="F28" s="235"/>
      <c r="G28" s="235"/>
      <c r="H28" s="235"/>
      <c r="I28" s="235"/>
      <c r="J28" s="235"/>
      <c r="K28" s="235"/>
      <c r="L28" s="235"/>
      <c r="M28" s="235"/>
      <c r="N28" s="235"/>
      <c r="O28" s="235"/>
      <c r="P28" s="235"/>
      <c r="Q28" s="235"/>
      <c r="R28" s="235"/>
      <c r="S28" s="235"/>
      <c r="T28" s="235"/>
      <c r="U28" s="235"/>
      <c r="V28" s="235"/>
      <c r="W28" s="235"/>
      <c r="X28" s="235"/>
      <c r="Y28" s="235"/>
      <c r="Z28" s="235"/>
      <c r="AA28" s="235"/>
      <c r="AB28" s="235"/>
      <c r="AD28" s="93"/>
      <c r="AE28" s="93"/>
      <c r="AF28" s="93"/>
      <c r="AG28" s="93"/>
      <c r="AH28" s="93"/>
      <c r="AI28" s="93"/>
      <c r="AJ28" s="93"/>
      <c r="AK28" s="93"/>
      <c r="AL28" s="93"/>
      <c r="AM28" s="93"/>
      <c r="AN28" s="93"/>
      <c r="AO28" s="93"/>
    </row>
    <row r="29" spans="1:41" s="104" customFormat="1" ht="20.149999999999999" customHeight="1" x14ac:dyDescent="0.25">
      <c r="B29" s="233"/>
      <c r="C29" s="261" t="str">
        <f t="shared" si="72"/>
        <v/>
      </c>
      <c r="D29" s="235"/>
      <c r="E29" s="235"/>
      <c r="F29" s="235"/>
      <c r="G29" s="235"/>
      <c r="H29" s="235"/>
      <c r="I29" s="235"/>
      <c r="J29" s="235"/>
      <c r="K29" s="235"/>
      <c r="L29" s="235"/>
      <c r="M29" s="235"/>
      <c r="N29" s="235"/>
      <c r="O29" s="235"/>
      <c r="P29" s="235"/>
      <c r="Q29" s="235"/>
      <c r="R29" s="235"/>
      <c r="S29" s="235"/>
      <c r="T29" s="235"/>
      <c r="U29" s="235"/>
      <c r="V29" s="235"/>
      <c r="W29" s="235"/>
      <c r="X29" s="235"/>
      <c r="Y29" s="235"/>
      <c r="Z29" s="235"/>
      <c r="AA29" s="235"/>
      <c r="AB29" s="235"/>
      <c r="AD29" s="93"/>
      <c r="AE29" s="93"/>
      <c r="AF29" s="93"/>
      <c r="AG29" s="93"/>
      <c r="AH29" s="93"/>
      <c r="AI29" s="93"/>
      <c r="AJ29" s="93"/>
      <c r="AK29" s="93"/>
      <c r="AL29" s="93"/>
      <c r="AM29" s="93"/>
      <c r="AN29" s="93"/>
      <c r="AO29" s="93"/>
    </row>
    <row r="30" spans="1:41" s="104" customFormat="1" ht="20.149999999999999" customHeight="1" x14ac:dyDescent="0.25">
      <c r="B30" s="233"/>
      <c r="C30" s="261"/>
      <c r="D30" s="235"/>
      <c r="E30" s="235"/>
      <c r="F30" s="235"/>
      <c r="G30" s="235"/>
      <c r="H30" s="235"/>
      <c r="I30" s="235"/>
      <c r="J30" s="235"/>
      <c r="K30" s="235"/>
      <c r="L30" s="235"/>
      <c r="M30" s="235"/>
      <c r="N30" s="235"/>
      <c r="O30" s="235"/>
      <c r="P30" s="235"/>
      <c r="Q30" s="235"/>
      <c r="R30" s="235"/>
      <c r="S30" s="235"/>
      <c r="T30" s="235"/>
      <c r="U30" s="235"/>
      <c r="V30" s="235"/>
      <c r="W30" s="235"/>
      <c r="X30" s="235"/>
      <c r="Y30" s="235"/>
      <c r="Z30" s="235"/>
      <c r="AA30" s="235"/>
      <c r="AB30" s="235"/>
      <c r="AD30" s="93"/>
      <c r="AE30" s="93"/>
      <c r="AF30" s="93"/>
      <c r="AG30" s="93"/>
      <c r="AH30" s="93"/>
      <c r="AI30" s="93"/>
      <c r="AJ30" s="93"/>
      <c r="AK30" s="93"/>
      <c r="AL30" s="93"/>
      <c r="AM30" s="93"/>
      <c r="AN30" s="93"/>
      <c r="AO30" s="93"/>
    </row>
    <row r="31" spans="1:41" s="104" customFormat="1" ht="20.149999999999999" customHeight="1" x14ac:dyDescent="0.25">
      <c r="B31" s="233"/>
      <c r="C31" s="261" t="str">
        <f t="shared" si="72"/>
        <v/>
      </c>
      <c r="D31" s="235"/>
      <c r="E31" s="235"/>
      <c r="F31" s="235"/>
      <c r="G31" s="235"/>
      <c r="H31" s="235"/>
      <c r="I31" s="235"/>
      <c r="J31" s="235"/>
      <c r="K31" s="235"/>
      <c r="L31" s="235"/>
      <c r="M31" s="235"/>
      <c r="N31" s="235"/>
      <c r="O31" s="235"/>
      <c r="P31" s="235"/>
      <c r="Q31" s="235"/>
      <c r="R31" s="235"/>
      <c r="S31" s="235"/>
      <c r="T31" s="235"/>
      <c r="U31" s="235"/>
      <c r="V31" s="235"/>
      <c r="W31" s="235"/>
      <c r="X31" s="235"/>
      <c r="Y31" s="235"/>
      <c r="Z31" s="235"/>
      <c r="AA31" s="235"/>
      <c r="AB31" s="235"/>
      <c r="AD31" s="93"/>
      <c r="AE31" s="93"/>
      <c r="AF31" s="93"/>
      <c r="AG31" s="93"/>
      <c r="AH31" s="93"/>
      <c r="AI31" s="93"/>
      <c r="AJ31" s="93"/>
      <c r="AK31" s="93"/>
      <c r="AL31" s="93"/>
      <c r="AM31" s="93"/>
      <c r="AN31" s="93"/>
      <c r="AO31" s="93"/>
    </row>
    <row r="32" spans="1:41" s="104" customFormat="1" ht="20.149999999999999" customHeight="1" x14ac:dyDescent="0.25">
      <c r="B32" s="262"/>
      <c r="C32" s="262" t="s">
        <v>266</v>
      </c>
      <c r="D32" s="263">
        <f t="shared" ref="D32:AB32" si="73">SUMPRODUCT(D27:D31,$B$27:$B$31)</f>
        <v>154</v>
      </c>
      <c r="E32" s="263">
        <f t="shared" si="73"/>
        <v>140</v>
      </c>
      <c r="F32" s="263">
        <f t="shared" si="73"/>
        <v>147</v>
      </c>
      <c r="G32" s="263">
        <f t="shared" si="73"/>
        <v>147</v>
      </c>
      <c r="H32" s="263">
        <f t="shared" si="73"/>
        <v>154</v>
      </c>
      <c r="I32" s="263">
        <f t="shared" si="73"/>
        <v>154</v>
      </c>
      <c r="J32" s="263">
        <f t="shared" si="73"/>
        <v>154</v>
      </c>
      <c r="K32" s="263">
        <f t="shared" si="73"/>
        <v>147</v>
      </c>
      <c r="L32" s="263">
        <f t="shared" si="73"/>
        <v>154</v>
      </c>
      <c r="M32" s="263">
        <f t="shared" si="73"/>
        <v>112</v>
      </c>
      <c r="N32" s="263">
        <f t="shared" si="73"/>
        <v>0</v>
      </c>
      <c r="O32" s="263">
        <f t="shared" si="73"/>
        <v>0</v>
      </c>
      <c r="P32" s="263">
        <f t="shared" si="73"/>
        <v>0</v>
      </c>
      <c r="Q32" s="263">
        <f t="shared" si="73"/>
        <v>0</v>
      </c>
      <c r="R32" s="263">
        <f t="shared" si="73"/>
        <v>0</v>
      </c>
      <c r="S32" s="263">
        <f t="shared" si="73"/>
        <v>0</v>
      </c>
      <c r="T32" s="263">
        <f t="shared" si="73"/>
        <v>0</v>
      </c>
      <c r="U32" s="263">
        <f t="shared" si="73"/>
        <v>0</v>
      </c>
      <c r="V32" s="263">
        <f t="shared" si="73"/>
        <v>0</v>
      </c>
      <c r="W32" s="263">
        <f t="shared" si="73"/>
        <v>0</v>
      </c>
      <c r="X32" s="263">
        <f t="shared" si="73"/>
        <v>0</v>
      </c>
      <c r="Y32" s="263">
        <f t="shared" si="73"/>
        <v>0</v>
      </c>
      <c r="Z32" s="263">
        <f t="shared" si="73"/>
        <v>0</v>
      </c>
      <c r="AA32" s="263">
        <f t="shared" si="73"/>
        <v>0</v>
      </c>
      <c r="AB32" s="263">
        <f t="shared" si="73"/>
        <v>0</v>
      </c>
    </row>
    <row r="33" spans="1:41" s="104" customFormat="1" ht="20.149999999999999" customHeight="1" x14ac:dyDescent="0.25">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Y33" s="182"/>
      <c r="Z33" s="182"/>
      <c r="AA33" s="182"/>
      <c r="AB33" s="182"/>
    </row>
    <row r="34" spans="1:41" x14ac:dyDescent="0.25">
      <c r="A34" s="104"/>
      <c r="D34" s="99"/>
      <c r="E34" s="99"/>
      <c r="F34" s="99"/>
      <c r="G34" s="99"/>
      <c r="H34" s="99"/>
      <c r="I34" s="99"/>
      <c r="J34" s="99"/>
      <c r="K34" s="99"/>
      <c r="L34" s="99"/>
      <c r="M34" s="99"/>
    </row>
    <row r="35" spans="1:41" ht="20.149999999999999" customHeight="1" x14ac:dyDescent="0.25">
      <c r="B35" s="334" t="s">
        <v>269</v>
      </c>
      <c r="C35" s="334"/>
      <c r="D35" s="335" t="s">
        <v>263</v>
      </c>
      <c r="E35" s="335"/>
      <c r="F35" s="335"/>
      <c r="G35" s="335"/>
      <c r="H35" s="99"/>
      <c r="I35" s="99"/>
      <c r="J35" s="99"/>
      <c r="K35" s="99"/>
      <c r="L35" s="99"/>
      <c r="M35" s="99"/>
      <c r="N35" s="99"/>
      <c r="O35" s="99"/>
      <c r="P35" s="99"/>
      <c r="Q35" s="99"/>
      <c r="R35" s="99"/>
    </row>
    <row r="36" spans="1:41" s="103" customFormat="1" ht="35.15" customHeight="1" x14ac:dyDescent="0.25">
      <c r="B36" s="291" t="s">
        <v>264</v>
      </c>
      <c r="C36" s="291" t="s">
        <v>265</v>
      </c>
      <c r="D36" s="234">
        <f>'Project Infor'!$C$8</f>
        <v>46023</v>
      </c>
      <c r="E36" s="234">
        <f t="shared" ref="E36" si="74">EOMONTH(D36,1)</f>
        <v>46081</v>
      </c>
      <c r="F36" s="234">
        <f t="shared" ref="F36" si="75">EOMONTH(E36,1)</f>
        <v>46112</v>
      </c>
      <c r="G36" s="234">
        <f t="shared" ref="G36" si="76">EOMONTH(F36,1)</f>
        <v>46142</v>
      </c>
      <c r="H36" s="234">
        <f t="shared" ref="H36" si="77">EOMONTH(G36,1)</f>
        <v>46173</v>
      </c>
      <c r="I36" s="234">
        <f t="shared" ref="I36" si="78">EOMONTH(H36,1)</f>
        <v>46203</v>
      </c>
      <c r="J36" s="234">
        <f t="shared" ref="J36" si="79">EOMONTH(I36,1)</f>
        <v>46234</v>
      </c>
      <c r="K36" s="234">
        <f t="shared" ref="K36" si="80">EOMONTH(J36,1)</f>
        <v>46265</v>
      </c>
      <c r="L36" s="234">
        <f t="shared" ref="L36" si="81">EOMONTH(K36,1)</f>
        <v>46295</v>
      </c>
      <c r="M36" s="234">
        <f t="shared" ref="M36" si="82">EOMONTH(L36,1)</f>
        <v>46326</v>
      </c>
      <c r="N36" s="234">
        <f t="shared" ref="N36" si="83">EOMONTH(M36,1)</f>
        <v>46356</v>
      </c>
      <c r="O36" s="234">
        <f t="shared" ref="O36" si="84">EOMONTH(N36,1)</f>
        <v>46387</v>
      </c>
      <c r="P36" s="234">
        <f t="shared" ref="P36" si="85">EOMONTH(O36,1)</f>
        <v>46418</v>
      </c>
      <c r="Q36" s="234">
        <f t="shared" ref="Q36" si="86">EOMONTH(P36,1)</f>
        <v>46446</v>
      </c>
      <c r="R36" s="234">
        <f t="shared" ref="R36" si="87">EOMONTH(Q36,1)</f>
        <v>46477</v>
      </c>
      <c r="S36" s="234">
        <f t="shared" ref="S36" si="88">EOMONTH(R36,1)</f>
        <v>46507</v>
      </c>
      <c r="T36" s="234">
        <f t="shared" ref="T36" si="89">EOMONTH(S36,1)</f>
        <v>46538</v>
      </c>
      <c r="U36" s="234">
        <f t="shared" ref="U36" si="90">EOMONTH(T36,1)</f>
        <v>46568</v>
      </c>
      <c r="V36" s="234">
        <f t="shared" ref="V36" si="91">EOMONTH(U36,1)</f>
        <v>46599</v>
      </c>
      <c r="W36" s="234">
        <f t="shared" ref="W36" si="92">EOMONTH(V36,1)</f>
        <v>46630</v>
      </c>
      <c r="X36" s="234">
        <f t="shared" ref="X36" si="93">EOMONTH(W36,1)</f>
        <v>46660</v>
      </c>
      <c r="Y36" s="234">
        <f t="shared" ref="Y36" si="94">EOMONTH(X36,1)</f>
        <v>46691</v>
      </c>
      <c r="Z36" s="234">
        <f t="shared" ref="Z36" si="95">EOMONTH(Y36,1)</f>
        <v>46721</v>
      </c>
      <c r="AA36" s="234">
        <f t="shared" ref="AA36" si="96">EOMONTH(Z36,1)</f>
        <v>46752</v>
      </c>
      <c r="AB36" s="234">
        <f t="shared" ref="AB36" si="97">EOMONTH(AA36,1)</f>
        <v>46783</v>
      </c>
      <c r="AD36" s="93"/>
      <c r="AE36" s="93"/>
      <c r="AF36" s="93"/>
      <c r="AG36" s="93"/>
      <c r="AH36" s="93"/>
      <c r="AI36" s="93"/>
      <c r="AJ36" s="93"/>
      <c r="AK36" s="93"/>
      <c r="AL36" s="93"/>
      <c r="AM36" s="93"/>
      <c r="AN36" s="93"/>
      <c r="AO36" s="93"/>
    </row>
    <row r="37" spans="1:41" s="104" customFormat="1" ht="20.149999999999999" customHeight="1" x14ac:dyDescent="0.25">
      <c r="B37" s="233">
        <v>7</v>
      </c>
      <c r="C37" s="261" t="str">
        <f>IF(B37=0,"",CONCATENATE("Jornadas de ",B37," horas: "))</f>
        <v xml:space="preserve">Jornadas de 7 horas: </v>
      </c>
      <c r="D37" s="235">
        <v>22</v>
      </c>
      <c r="E37" s="235">
        <v>20</v>
      </c>
      <c r="F37" s="235"/>
      <c r="G37" s="235"/>
      <c r="H37" s="235"/>
      <c r="I37" s="235"/>
      <c r="J37" s="235"/>
      <c r="K37" s="235"/>
      <c r="L37" s="235"/>
      <c r="M37" s="235"/>
      <c r="N37" s="235"/>
      <c r="O37" s="235"/>
      <c r="P37" s="235"/>
      <c r="Q37" s="235"/>
      <c r="R37" s="235"/>
      <c r="S37" s="235"/>
      <c r="T37" s="235"/>
      <c r="U37" s="235"/>
      <c r="V37" s="235"/>
      <c r="W37" s="235"/>
      <c r="X37" s="235"/>
      <c r="Y37" s="235"/>
      <c r="Z37" s="235"/>
      <c r="AA37" s="235"/>
      <c r="AB37" s="235"/>
      <c r="AD37" s="93"/>
      <c r="AE37" s="93"/>
      <c r="AF37" s="93"/>
      <c r="AG37" s="93"/>
      <c r="AH37" s="93"/>
      <c r="AI37" s="93"/>
      <c r="AJ37" s="93"/>
      <c r="AK37" s="93"/>
      <c r="AL37" s="93"/>
      <c r="AM37" s="93"/>
      <c r="AN37" s="93"/>
      <c r="AO37" s="93"/>
    </row>
    <row r="38" spans="1:41" s="104" customFormat="1" ht="20.149999999999999" customHeight="1" x14ac:dyDescent="0.25">
      <c r="B38" s="233"/>
      <c r="C38" s="261" t="str">
        <f t="shared" ref="C38:C41" si="98">IF(B38=0,"",CONCATENATE("Jornadas de ",B38," horas: "))</f>
        <v/>
      </c>
      <c r="D38" s="235"/>
      <c r="E38" s="235"/>
      <c r="F38" s="235"/>
      <c r="G38" s="235"/>
      <c r="H38" s="235"/>
      <c r="I38" s="235"/>
      <c r="J38" s="235"/>
      <c r="K38" s="235"/>
      <c r="L38" s="235"/>
      <c r="M38" s="235"/>
      <c r="N38" s="235"/>
      <c r="O38" s="235"/>
      <c r="P38" s="235"/>
      <c r="Q38" s="235"/>
      <c r="R38" s="235"/>
      <c r="S38" s="235"/>
      <c r="T38" s="235"/>
      <c r="U38" s="235"/>
      <c r="V38" s="235"/>
      <c r="W38" s="235"/>
      <c r="X38" s="235"/>
      <c r="Y38" s="235"/>
      <c r="Z38" s="235"/>
      <c r="AA38" s="235"/>
      <c r="AB38" s="235"/>
      <c r="AD38" s="93"/>
      <c r="AE38" s="93"/>
      <c r="AF38" s="93"/>
      <c r="AG38" s="93"/>
      <c r="AH38" s="93"/>
      <c r="AI38" s="93"/>
      <c r="AJ38" s="93"/>
      <c r="AK38" s="93"/>
      <c r="AL38" s="93"/>
      <c r="AM38" s="93"/>
      <c r="AN38" s="93"/>
      <c r="AO38" s="93"/>
    </row>
    <row r="39" spans="1:41" s="104" customFormat="1" ht="20.149999999999999" customHeight="1" x14ac:dyDescent="0.25">
      <c r="B39" s="233"/>
      <c r="C39" s="261" t="str">
        <f t="shared" si="98"/>
        <v/>
      </c>
      <c r="D39" s="235"/>
      <c r="E39" s="235"/>
      <c r="F39" s="235"/>
      <c r="G39" s="235"/>
      <c r="H39" s="235"/>
      <c r="I39" s="235"/>
      <c r="J39" s="235"/>
      <c r="K39" s="235"/>
      <c r="L39" s="235"/>
      <c r="M39" s="235"/>
      <c r="N39" s="235"/>
      <c r="O39" s="235"/>
      <c r="P39" s="235"/>
      <c r="Q39" s="235"/>
      <c r="R39" s="235"/>
      <c r="S39" s="235"/>
      <c r="T39" s="235"/>
      <c r="U39" s="235"/>
      <c r="V39" s="235"/>
      <c r="W39" s="235"/>
      <c r="X39" s="235"/>
      <c r="Y39" s="235"/>
      <c r="Z39" s="235"/>
      <c r="AA39" s="235"/>
      <c r="AB39" s="235"/>
      <c r="AD39" s="93"/>
      <c r="AE39" s="93"/>
      <c r="AF39" s="93"/>
      <c r="AG39" s="93"/>
      <c r="AH39" s="93"/>
      <c r="AI39" s="93"/>
      <c r="AJ39" s="93"/>
      <c r="AK39" s="93"/>
      <c r="AL39" s="93"/>
      <c r="AM39" s="93"/>
      <c r="AN39" s="93"/>
      <c r="AO39" s="93"/>
    </row>
    <row r="40" spans="1:41" s="104" customFormat="1" ht="20.149999999999999" customHeight="1" x14ac:dyDescent="0.25">
      <c r="B40" s="233"/>
      <c r="C40" s="261"/>
      <c r="D40" s="235"/>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D40" s="93"/>
      <c r="AE40" s="93"/>
      <c r="AF40" s="93"/>
      <c r="AG40" s="93"/>
      <c r="AH40" s="93"/>
      <c r="AI40" s="93"/>
      <c r="AJ40" s="93"/>
      <c r="AK40" s="93"/>
      <c r="AL40" s="93"/>
      <c r="AM40" s="93"/>
      <c r="AN40" s="93"/>
      <c r="AO40" s="93"/>
    </row>
    <row r="41" spans="1:41" s="104" customFormat="1" ht="20.149999999999999" customHeight="1" x14ac:dyDescent="0.25">
      <c r="B41" s="232"/>
      <c r="C41" s="264" t="str">
        <f t="shared" si="98"/>
        <v/>
      </c>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260"/>
      <c r="AB41" s="260"/>
      <c r="AD41" s="93"/>
      <c r="AE41" s="93"/>
      <c r="AF41" s="93"/>
      <c r="AG41" s="93"/>
      <c r="AH41" s="93"/>
      <c r="AI41" s="93"/>
      <c r="AJ41" s="93"/>
      <c r="AK41" s="93"/>
      <c r="AL41" s="93"/>
      <c r="AM41" s="93"/>
      <c r="AN41" s="93"/>
      <c r="AO41" s="93"/>
    </row>
    <row r="42" spans="1:41" s="104" customFormat="1" ht="20.149999999999999" customHeight="1" x14ac:dyDescent="0.25">
      <c r="B42" s="262"/>
      <c r="C42" s="262" t="s">
        <v>266</v>
      </c>
      <c r="D42" s="263">
        <f t="shared" ref="D42:AB42" si="99">SUMPRODUCT(D37:D41,$B$37:$B$41)</f>
        <v>154</v>
      </c>
      <c r="E42" s="263">
        <f t="shared" si="99"/>
        <v>140</v>
      </c>
      <c r="F42" s="263">
        <f t="shared" si="99"/>
        <v>0</v>
      </c>
      <c r="G42" s="263">
        <f t="shared" si="99"/>
        <v>0</v>
      </c>
      <c r="H42" s="263">
        <f t="shared" si="99"/>
        <v>0</v>
      </c>
      <c r="I42" s="263">
        <f t="shared" si="99"/>
        <v>0</v>
      </c>
      <c r="J42" s="263">
        <f t="shared" si="99"/>
        <v>0</v>
      </c>
      <c r="K42" s="263">
        <f t="shared" si="99"/>
        <v>0</v>
      </c>
      <c r="L42" s="263">
        <f t="shared" si="99"/>
        <v>0</v>
      </c>
      <c r="M42" s="263">
        <f t="shared" si="99"/>
        <v>0</v>
      </c>
      <c r="N42" s="263">
        <f t="shared" si="99"/>
        <v>0</v>
      </c>
      <c r="O42" s="263">
        <f t="shared" si="99"/>
        <v>0</v>
      </c>
      <c r="P42" s="263">
        <f t="shared" si="99"/>
        <v>0</v>
      </c>
      <c r="Q42" s="263">
        <f t="shared" si="99"/>
        <v>0</v>
      </c>
      <c r="R42" s="263">
        <f t="shared" si="99"/>
        <v>0</v>
      </c>
      <c r="S42" s="263">
        <f t="shared" si="99"/>
        <v>0</v>
      </c>
      <c r="T42" s="263">
        <f t="shared" si="99"/>
        <v>0</v>
      </c>
      <c r="U42" s="263">
        <f t="shared" si="99"/>
        <v>0</v>
      </c>
      <c r="V42" s="263">
        <f t="shared" si="99"/>
        <v>0</v>
      </c>
      <c r="W42" s="263">
        <f t="shared" si="99"/>
        <v>0</v>
      </c>
      <c r="X42" s="263">
        <f t="shared" si="99"/>
        <v>0</v>
      </c>
      <c r="Y42" s="263">
        <f t="shared" si="99"/>
        <v>0</v>
      </c>
      <c r="Z42" s="263">
        <f t="shared" si="99"/>
        <v>0</v>
      </c>
      <c r="AA42" s="263">
        <f t="shared" si="99"/>
        <v>0</v>
      </c>
      <c r="AB42" s="263">
        <f t="shared" si="99"/>
        <v>0</v>
      </c>
    </row>
    <row r="43" spans="1:41" s="104" customFormat="1" ht="20.149999999999999" customHeight="1" x14ac:dyDescent="0.25">
      <c r="B43" s="182"/>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row>
    <row r="44" spans="1:41" x14ac:dyDescent="0.25">
      <c r="A44" s="104"/>
      <c r="D44" s="99"/>
      <c r="E44" s="99"/>
      <c r="F44" s="99"/>
      <c r="G44" s="99"/>
      <c r="H44" s="99"/>
      <c r="I44" s="99"/>
      <c r="J44" s="99"/>
      <c r="K44" s="99"/>
      <c r="L44" s="99"/>
      <c r="M44" s="99"/>
    </row>
    <row r="45" spans="1:41" ht="20.149999999999999" customHeight="1" x14ac:dyDescent="0.25">
      <c r="B45" s="334" t="s">
        <v>270</v>
      </c>
      <c r="C45" s="334"/>
      <c r="D45" s="335" t="s">
        <v>263</v>
      </c>
      <c r="E45" s="335"/>
      <c r="F45" s="335"/>
      <c r="G45" s="335"/>
      <c r="H45" s="99"/>
      <c r="I45" s="99"/>
      <c r="J45" s="99"/>
      <c r="K45" s="99"/>
      <c r="L45" s="99"/>
      <c r="M45" s="99"/>
      <c r="N45" s="99"/>
      <c r="O45" s="99"/>
      <c r="P45" s="99"/>
      <c r="Q45" s="99"/>
      <c r="R45" s="99"/>
    </row>
    <row r="46" spans="1:41" s="103" customFormat="1" ht="35.15" customHeight="1" x14ac:dyDescent="0.25">
      <c r="B46" s="291" t="s">
        <v>264</v>
      </c>
      <c r="C46" s="291" t="s">
        <v>265</v>
      </c>
      <c r="D46" s="234">
        <f>'Project Infor'!$C$8</f>
        <v>46023</v>
      </c>
      <c r="E46" s="234">
        <f t="shared" ref="E46" si="100">EOMONTH(D46,1)</f>
        <v>46081</v>
      </c>
      <c r="F46" s="234">
        <f t="shared" ref="F46" si="101">EOMONTH(E46,1)</f>
        <v>46112</v>
      </c>
      <c r="G46" s="234">
        <f t="shared" ref="G46" si="102">EOMONTH(F46,1)</f>
        <v>46142</v>
      </c>
      <c r="H46" s="234">
        <f t="shared" ref="H46" si="103">EOMONTH(G46,1)</f>
        <v>46173</v>
      </c>
      <c r="I46" s="234">
        <f t="shared" ref="I46" si="104">EOMONTH(H46,1)</f>
        <v>46203</v>
      </c>
      <c r="J46" s="234">
        <f t="shared" ref="J46" si="105">EOMONTH(I46,1)</f>
        <v>46234</v>
      </c>
      <c r="K46" s="234">
        <f t="shared" ref="K46" si="106">EOMONTH(J46,1)</f>
        <v>46265</v>
      </c>
      <c r="L46" s="234">
        <f t="shared" ref="L46" si="107">EOMONTH(K46,1)</f>
        <v>46295</v>
      </c>
      <c r="M46" s="234">
        <f t="shared" ref="M46" si="108">EOMONTH(L46,1)</f>
        <v>46326</v>
      </c>
      <c r="N46" s="234">
        <f t="shared" ref="N46" si="109">EOMONTH(M46,1)</f>
        <v>46356</v>
      </c>
      <c r="O46" s="234">
        <f t="shared" ref="O46" si="110">EOMONTH(N46,1)</f>
        <v>46387</v>
      </c>
      <c r="P46" s="234">
        <f t="shared" ref="P46" si="111">EOMONTH(O46,1)</f>
        <v>46418</v>
      </c>
      <c r="Q46" s="234">
        <f t="shared" ref="Q46" si="112">EOMONTH(P46,1)</f>
        <v>46446</v>
      </c>
      <c r="R46" s="234">
        <f t="shared" ref="R46" si="113">EOMONTH(Q46,1)</f>
        <v>46477</v>
      </c>
      <c r="S46" s="234">
        <f t="shared" ref="S46" si="114">EOMONTH(R46,1)</f>
        <v>46507</v>
      </c>
      <c r="T46" s="234">
        <f t="shared" ref="T46" si="115">EOMONTH(S46,1)</f>
        <v>46538</v>
      </c>
      <c r="U46" s="234">
        <f t="shared" ref="U46" si="116">EOMONTH(T46,1)</f>
        <v>46568</v>
      </c>
      <c r="V46" s="234">
        <f t="shared" ref="V46" si="117">EOMONTH(U46,1)</f>
        <v>46599</v>
      </c>
      <c r="W46" s="234">
        <f t="shared" ref="W46" si="118">EOMONTH(V46,1)</f>
        <v>46630</v>
      </c>
      <c r="X46" s="234">
        <f t="shared" ref="X46" si="119">EOMONTH(W46,1)</f>
        <v>46660</v>
      </c>
      <c r="Y46" s="234">
        <f t="shared" ref="Y46" si="120">EOMONTH(X46,1)</f>
        <v>46691</v>
      </c>
      <c r="Z46" s="234">
        <f t="shared" ref="Z46" si="121">EOMONTH(Y46,1)</f>
        <v>46721</v>
      </c>
      <c r="AA46" s="234">
        <f t="shared" ref="AA46" si="122">EOMONTH(Z46,1)</f>
        <v>46752</v>
      </c>
      <c r="AB46" s="234">
        <f t="shared" ref="AB46" si="123">EOMONTH(AA46,1)</f>
        <v>46783</v>
      </c>
      <c r="AD46" s="93"/>
      <c r="AE46" s="93"/>
      <c r="AF46" s="93"/>
      <c r="AG46" s="93"/>
      <c r="AH46" s="93"/>
      <c r="AI46" s="93"/>
      <c r="AJ46" s="93"/>
      <c r="AK46" s="93"/>
      <c r="AL46" s="93"/>
      <c r="AM46" s="93"/>
      <c r="AN46" s="93"/>
      <c r="AO46" s="93"/>
    </row>
    <row r="47" spans="1:41" s="104" customFormat="1" ht="20.149999999999999" customHeight="1" x14ac:dyDescent="0.25">
      <c r="B47" s="233">
        <v>7</v>
      </c>
      <c r="C47" s="261" t="str">
        <f>IF(B47=0,"",CONCATENATE("Jornadas de ",B47," horas: "))</f>
        <v xml:space="preserve">Jornadas de 7 horas: </v>
      </c>
      <c r="D47" s="235">
        <v>22</v>
      </c>
      <c r="E47" s="235">
        <v>20</v>
      </c>
      <c r="F47" s="235"/>
      <c r="G47" s="235"/>
      <c r="H47" s="235"/>
      <c r="I47" s="235"/>
      <c r="J47" s="235"/>
      <c r="K47" s="235"/>
      <c r="L47" s="235"/>
      <c r="M47" s="235"/>
      <c r="N47" s="235"/>
      <c r="O47" s="235"/>
      <c r="P47" s="235"/>
      <c r="Q47" s="235"/>
      <c r="R47" s="235"/>
      <c r="S47" s="235"/>
      <c r="T47" s="235"/>
      <c r="U47" s="235"/>
      <c r="V47" s="235"/>
      <c r="W47" s="235"/>
      <c r="X47" s="235"/>
      <c r="Y47" s="235"/>
      <c r="Z47" s="235"/>
      <c r="AA47" s="235"/>
      <c r="AB47" s="235"/>
      <c r="AD47" s="93"/>
      <c r="AE47" s="93"/>
      <c r="AF47" s="93"/>
      <c r="AG47" s="93"/>
      <c r="AH47" s="93"/>
      <c r="AI47" s="93"/>
      <c r="AJ47" s="93"/>
      <c r="AK47" s="93"/>
      <c r="AL47" s="93"/>
      <c r="AM47" s="93"/>
      <c r="AN47" s="93"/>
      <c r="AO47" s="93"/>
    </row>
    <row r="48" spans="1:41" s="104" customFormat="1" ht="20.149999999999999" customHeight="1" x14ac:dyDescent="0.25">
      <c r="B48" s="233"/>
      <c r="C48" s="261" t="str">
        <f t="shared" ref="C48:C51" si="124">IF(B48=0,"",CONCATENATE("Jornadas de ",B48," horas: "))</f>
        <v/>
      </c>
      <c r="D48" s="235"/>
      <c r="E48" s="235"/>
      <c r="F48" s="235"/>
      <c r="G48" s="235"/>
      <c r="H48" s="235"/>
      <c r="I48" s="235"/>
      <c r="J48" s="235"/>
      <c r="K48" s="235"/>
      <c r="L48" s="235"/>
      <c r="M48" s="235"/>
      <c r="N48" s="235"/>
      <c r="O48" s="235"/>
      <c r="P48" s="235"/>
      <c r="Q48" s="235"/>
      <c r="R48" s="235"/>
      <c r="S48" s="235"/>
      <c r="T48" s="235"/>
      <c r="U48" s="235"/>
      <c r="V48" s="235"/>
      <c r="W48" s="235"/>
      <c r="X48" s="235"/>
      <c r="Y48" s="235"/>
      <c r="Z48" s="235"/>
      <c r="AA48" s="235"/>
      <c r="AB48" s="235"/>
      <c r="AD48" s="93"/>
      <c r="AE48" s="93"/>
      <c r="AF48" s="93"/>
      <c r="AG48" s="93"/>
      <c r="AH48" s="93"/>
      <c r="AI48" s="93"/>
      <c r="AJ48" s="93"/>
      <c r="AK48" s="93"/>
      <c r="AL48" s="93"/>
      <c r="AM48" s="93"/>
      <c r="AN48" s="93"/>
      <c r="AO48" s="93"/>
    </row>
    <row r="49" spans="1:41" s="104" customFormat="1" ht="20.149999999999999" customHeight="1" x14ac:dyDescent="0.25">
      <c r="B49" s="233"/>
      <c r="C49" s="261" t="str">
        <f t="shared" si="124"/>
        <v/>
      </c>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D49" s="93"/>
      <c r="AE49" s="93"/>
      <c r="AF49" s="93"/>
      <c r="AG49" s="93"/>
      <c r="AH49" s="93"/>
      <c r="AI49" s="93"/>
      <c r="AJ49" s="93"/>
      <c r="AK49" s="93"/>
      <c r="AL49" s="93"/>
      <c r="AM49" s="93"/>
      <c r="AN49" s="93"/>
      <c r="AO49" s="93"/>
    </row>
    <row r="50" spans="1:41" s="104" customFormat="1" ht="20.149999999999999" customHeight="1" x14ac:dyDescent="0.25">
      <c r="B50" s="233"/>
      <c r="C50" s="261"/>
      <c r="D50" s="235"/>
      <c r="E50" s="235"/>
      <c r="F50" s="235"/>
      <c r="G50" s="235"/>
      <c r="H50" s="235"/>
      <c r="I50" s="235"/>
      <c r="J50" s="235"/>
      <c r="K50" s="235"/>
      <c r="L50" s="235"/>
      <c r="M50" s="235"/>
      <c r="N50" s="235"/>
      <c r="O50" s="235"/>
      <c r="P50" s="235"/>
      <c r="Q50" s="235"/>
      <c r="R50" s="235"/>
      <c r="S50" s="235"/>
      <c r="T50" s="235"/>
      <c r="U50" s="235"/>
      <c r="V50" s="235"/>
      <c r="W50" s="235"/>
      <c r="X50" s="235"/>
      <c r="Y50" s="235"/>
      <c r="Z50" s="235"/>
      <c r="AA50" s="235"/>
      <c r="AB50" s="235"/>
      <c r="AD50" s="93"/>
      <c r="AE50" s="93"/>
      <c r="AF50" s="93"/>
      <c r="AG50" s="93"/>
      <c r="AH50" s="93"/>
      <c r="AI50" s="93"/>
      <c r="AJ50" s="93"/>
      <c r="AK50" s="93"/>
      <c r="AL50" s="93"/>
      <c r="AM50" s="93"/>
      <c r="AN50" s="93"/>
      <c r="AO50" s="93"/>
    </row>
    <row r="51" spans="1:41" s="104" customFormat="1" ht="20.149999999999999" customHeight="1" x14ac:dyDescent="0.25">
      <c r="B51" s="233"/>
      <c r="C51" s="261" t="str">
        <f t="shared" si="124"/>
        <v/>
      </c>
      <c r="D51" s="235"/>
      <c r="E51" s="235"/>
      <c r="F51" s="235"/>
      <c r="G51" s="235"/>
      <c r="H51" s="235"/>
      <c r="I51" s="235"/>
      <c r="J51" s="235"/>
      <c r="K51" s="235"/>
      <c r="L51" s="235"/>
      <c r="M51" s="235"/>
      <c r="N51" s="235"/>
      <c r="O51" s="235"/>
      <c r="P51" s="235"/>
      <c r="Q51" s="235"/>
      <c r="R51" s="235"/>
      <c r="S51" s="235"/>
      <c r="T51" s="235"/>
      <c r="U51" s="235"/>
      <c r="V51" s="235"/>
      <c r="W51" s="235"/>
      <c r="X51" s="235"/>
      <c r="Y51" s="235"/>
      <c r="Z51" s="235"/>
      <c r="AA51" s="235"/>
      <c r="AB51" s="235"/>
      <c r="AD51" s="93"/>
      <c r="AE51" s="93"/>
      <c r="AF51" s="93"/>
      <c r="AG51" s="93"/>
      <c r="AH51" s="93"/>
      <c r="AI51" s="93"/>
      <c r="AJ51" s="93"/>
      <c r="AK51" s="93"/>
      <c r="AL51" s="93"/>
      <c r="AM51" s="93"/>
      <c r="AN51" s="93"/>
      <c r="AO51" s="93"/>
    </row>
    <row r="52" spans="1:41" s="104" customFormat="1" ht="20.149999999999999" customHeight="1" x14ac:dyDescent="0.25">
      <c r="B52" s="262"/>
      <c r="C52" s="262" t="s">
        <v>266</v>
      </c>
      <c r="D52" s="263">
        <f>SUMPRODUCT(D47:D51,$B$47:$B$51)</f>
        <v>154</v>
      </c>
      <c r="E52" s="263">
        <f t="shared" ref="E52:AB52" si="125">SUMPRODUCT(E47:E51,$B$47:$B$51)</f>
        <v>140</v>
      </c>
      <c r="F52" s="263">
        <f t="shared" si="125"/>
        <v>0</v>
      </c>
      <c r="G52" s="263">
        <f t="shared" si="125"/>
        <v>0</v>
      </c>
      <c r="H52" s="263">
        <f t="shared" si="125"/>
        <v>0</v>
      </c>
      <c r="I52" s="263">
        <f t="shared" si="125"/>
        <v>0</v>
      </c>
      <c r="J52" s="263">
        <f t="shared" si="125"/>
        <v>0</v>
      </c>
      <c r="K52" s="263">
        <f t="shared" si="125"/>
        <v>0</v>
      </c>
      <c r="L52" s="263">
        <f t="shared" si="125"/>
        <v>0</v>
      </c>
      <c r="M52" s="263">
        <f>SUMPRODUCT(M47:M51,$B$47:$B$51)</f>
        <v>0</v>
      </c>
      <c r="N52" s="263">
        <f t="shared" si="125"/>
        <v>0</v>
      </c>
      <c r="O52" s="263">
        <f t="shared" si="125"/>
        <v>0</v>
      </c>
      <c r="P52" s="263">
        <f t="shared" si="125"/>
        <v>0</v>
      </c>
      <c r="Q52" s="263">
        <f t="shared" si="125"/>
        <v>0</v>
      </c>
      <c r="R52" s="263">
        <f t="shared" si="125"/>
        <v>0</v>
      </c>
      <c r="S52" s="263">
        <f>SUMPRODUCT(S47:S51,$B$47:$B$51)</f>
        <v>0</v>
      </c>
      <c r="T52" s="263">
        <f t="shared" si="125"/>
        <v>0</v>
      </c>
      <c r="U52" s="263">
        <f>SUMPRODUCT(U47:U51,$B$47:$B$51)</f>
        <v>0</v>
      </c>
      <c r="V52" s="263">
        <f t="shared" si="125"/>
        <v>0</v>
      </c>
      <c r="W52" s="263">
        <f t="shared" si="125"/>
        <v>0</v>
      </c>
      <c r="X52" s="263">
        <f t="shared" si="125"/>
        <v>0</v>
      </c>
      <c r="Y52" s="263">
        <f t="shared" si="125"/>
        <v>0</v>
      </c>
      <c r="Z52" s="263">
        <f t="shared" si="125"/>
        <v>0</v>
      </c>
      <c r="AA52" s="263">
        <f>SUMPRODUCT(AA47:AA51,$B$47:$B$51)</f>
        <v>0</v>
      </c>
      <c r="AB52" s="263">
        <f t="shared" si="125"/>
        <v>0</v>
      </c>
    </row>
    <row r="53" spans="1:41" s="104" customFormat="1" ht="20.149999999999999" customHeight="1" x14ac:dyDescent="0.25">
      <c r="B53" s="182"/>
      <c r="C53" s="182"/>
      <c r="D53" s="182"/>
      <c r="E53" s="182"/>
      <c r="F53" s="182"/>
      <c r="G53" s="182"/>
      <c r="H53" s="182"/>
      <c r="I53" s="182"/>
      <c r="J53" s="182"/>
      <c r="K53" s="182"/>
      <c r="L53" s="182"/>
      <c r="M53" s="182"/>
      <c r="N53" s="182"/>
      <c r="O53" s="182"/>
      <c r="P53" s="182"/>
      <c r="Q53" s="182"/>
      <c r="R53" s="182"/>
      <c r="S53" s="182"/>
      <c r="T53" s="182"/>
      <c r="U53" s="182"/>
      <c r="V53" s="182"/>
      <c r="W53" s="182"/>
      <c r="X53" s="182"/>
      <c r="Y53" s="182"/>
      <c r="Z53" s="182"/>
      <c r="AA53" s="182"/>
      <c r="AB53" s="182"/>
    </row>
    <row r="54" spans="1:41" x14ac:dyDescent="0.25">
      <c r="A54" s="104"/>
      <c r="D54" s="99"/>
      <c r="E54" s="99"/>
      <c r="F54" s="99"/>
      <c r="G54" s="99"/>
      <c r="H54" s="99"/>
      <c r="I54" s="99"/>
      <c r="J54" s="99"/>
      <c r="K54" s="99"/>
      <c r="L54" s="99"/>
      <c r="M54" s="99"/>
    </row>
    <row r="55" spans="1:41" ht="20.149999999999999" customHeight="1" x14ac:dyDescent="0.25">
      <c r="B55" s="334" t="s">
        <v>271</v>
      </c>
      <c r="C55" s="334"/>
      <c r="D55" s="335" t="s">
        <v>263</v>
      </c>
      <c r="E55" s="335"/>
      <c r="F55" s="335"/>
      <c r="G55" s="335"/>
      <c r="H55" s="99"/>
      <c r="I55" s="99"/>
      <c r="J55" s="99"/>
      <c r="K55" s="99"/>
      <c r="L55" s="99"/>
      <c r="M55" s="99"/>
      <c r="N55" s="99"/>
      <c r="O55" s="99"/>
      <c r="P55" s="99"/>
      <c r="Q55" s="99"/>
      <c r="R55" s="99"/>
    </row>
    <row r="56" spans="1:41" s="103" customFormat="1" ht="35.15" customHeight="1" x14ac:dyDescent="0.25">
      <c r="B56" s="291" t="s">
        <v>264</v>
      </c>
      <c r="C56" s="291" t="s">
        <v>265</v>
      </c>
      <c r="D56" s="234">
        <f>'Project Infor'!$C$8</f>
        <v>46023</v>
      </c>
      <c r="E56" s="234">
        <f t="shared" ref="E56" si="126">EOMONTH(D56,1)</f>
        <v>46081</v>
      </c>
      <c r="F56" s="234">
        <f t="shared" ref="F56" si="127">EOMONTH(E56,1)</f>
        <v>46112</v>
      </c>
      <c r="G56" s="234">
        <f t="shared" ref="G56" si="128">EOMONTH(F56,1)</f>
        <v>46142</v>
      </c>
      <c r="H56" s="234">
        <f t="shared" ref="H56" si="129">EOMONTH(G56,1)</f>
        <v>46173</v>
      </c>
      <c r="I56" s="234">
        <f t="shared" ref="I56" si="130">EOMONTH(H56,1)</f>
        <v>46203</v>
      </c>
      <c r="J56" s="234">
        <f t="shared" ref="J56" si="131">EOMONTH(I56,1)</f>
        <v>46234</v>
      </c>
      <c r="K56" s="234">
        <f t="shared" ref="K56" si="132">EOMONTH(J56,1)</f>
        <v>46265</v>
      </c>
      <c r="L56" s="234">
        <f t="shared" ref="L56" si="133">EOMONTH(K56,1)</f>
        <v>46295</v>
      </c>
      <c r="M56" s="234">
        <f t="shared" ref="M56" si="134">EOMONTH(L56,1)</f>
        <v>46326</v>
      </c>
      <c r="N56" s="234">
        <f t="shared" ref="N56" si="135">EOMONTH(M56,1)</f>
        <v>46356</v>
      </c>
      <c r="O56" s="234">
        <f t="shared" ref="O56" si="136">EOMONTH(N56,1)</f>
        <v>46387</v>
      </c>
      <c r="P56" s="234">
        <f t="shared" ref="P56" si="137">EOMONTH(O56,1)</f>
        <v>46418</v>
      </c>
      <c r="Q56" s="234">
        <f t="shared" ref="Q56" si="138">EOMONTH(P56,1)</f>
        <v>46446</v>
      </c>
      <c r="R56" s="234">
        <f t="shared" ref="R56" si="139">EOMONTH(Q56,1)</f>
        <v>46477</v>
      </c>
      <c r="S56" s="234">
        <f t="shared" ref="S56" si="140">EOMONTH(R56,1)</f>
        <v>46507</v>
      </c>
      <c r="T56" s="234">
        <f t="shared" ref="T56" si="141">EOMONTH(S56,1)</f>
        <v>46538</v>
      </c>
      <c r="U56" s="234">
        <f t="shared" ref="U56" si="142">EOMONTH(T56,1)</f>
        <v>46568</v>
      </c>
      <c r="V56" s="234">
        <f t="shared" ref="V56" si="143">EOMONTH(U56,1)</f>
        <v>46599</v>
      </c>
      <c r="W56" s="234">
        <f t="shared" ref="W56" si="144">EOMONTH(V56,1)</f>
        <v>46630</v>
      </c>
      <c r="X56" s="234">
        <f t="shared" ref="X56" si="145">EOMONTH(W56,1)</f>
        <v>46660</v>
      </c>
      <c r="Y56" s="234">
        <f t="shared" ref="Y56" si="146">EOMONTH(X56,1)</f>
        <v>46691</v>
      </c>
      <c r="Z56" s="234">
        <f t="shared" ref="Z56" si="147">EOMONTH(Y56,1)</f>
        <v>46721</v>
      </c>
      <c r="AA56" s="234">
        <f t="shared" ref="AA56" si="148">EOMONTH(Z56,1)</f>
        <v>46752</v>
      </c>
      <c r="AB56" s="234">
        <f t="shared" ref="AB56" si="149">EOMONTH(AA56,1)</f>
        <v>46783</v>
      </c>
      <c r="AD56" s="93"/>
      <c r="AE56" s="93"/>
      <c r="AF56" s="93"/>
      <c r="AG56" s="93"/>
      <c r="AH56" s="93"/>
      <c r="AI56" s="93"/>
      <c r="AJ56" s="93"/>
      <c r="AK56" s="93"/>
      <c r="AL56" s="93"/>
      <c r="AM56" s="93"/>
      <c r="AN56" s="93"/>
      <c r="AO56" s="93"/>
    </row>
    <row r="57" spans="1:41" s="104" customFormat="1" ht="20.149999999999999" customHeight="1" x14ac:dyDescent="0.25">
      <c r="B57" s="233"/>
      <c r="C57" s="261"/>
      <c r="D57" s="235"/>
      <c r="E57" s="235"/>
      <c r="F57" s="235"/>
      <c r="G57" s="235"/>
      <c r="H57" s="235"/>
      <c r="I57" s="235"/>
      <c r="J57" s="235"/>
      <c r="K57" s="235"/>
      <c r="L57" s="235"/>
      <c r="M57" s="235"/>
      <c r="N57" s="235"/>
      <c r="O57" s="235"/>
      <c r="P57" s="235"/>
      <c r="Q57" s="235"/>
      <c r="R57" s="235"/>
      <c r="S57" s="235"/>
      <c r="T57" s="235"/>
      <c r="U57" s="235"/>
      <c r="V57" s="235"/>
      <c r="W57" s="235"/>
      <c r="X57" s="235"/>
      <c r="Y57" s="235"/>
      <c r="Z57" s="235"/>
      <c r="AA57" s="235"/>
      <c r="AB57" s="235"/>
      <c r="AD57" s="93"/>
      <c r="AE57" s="93"/>
      <c r="AF57" s="93"/>
      <c r="AG57" s="93"/>
      <c r="AH57" s="93"/>
      <c r="AI57" s="93"/>
      <c r="AJ57" s="93"/>
      <c r="AK57" s="93"/>
      <c r="AL57" s="93"/>
      <c r="AM57" s="93"/>
      <c r="AN57" s="93"/>
      <c r="AO57" s="93"/>
    </row>
    <row r="58" spans="1:41" s="104" customFormat="1" ht="20.149999999999999" customHeight="1" x14ac:dyDescent="0.25">
      <c r="B58" s="233"/>
      <c r="C58" s="261" t="str">
        <f t="shared" ref="C58:C61" si="150">IF(B58=0,"",CONCATENATE("Jornadas de ",B58," horas: "))</f>
        <v/>
      </c>
      <c r="D58" s="235"/>
      <c r="E58" s="235"/>
      <c r="F58" s="235"/>
      <c r="G58" s="235"/>
      <c r="H58" s="235"/>
      <c r="I58" s="235"/>
      <c r="J58" s="235"/>
      <c r="K58" s="235"/>
      <c r="L58" s="235"/>
      <c r="M58" s="235"/>
      <c r="N58" s="235"/>
      <c r="O58" s="235"/>
      <c r="P58" s="235"/>
      <c r="Q58" s="235"/>
      <c r="R58" s="235"/>
      <c r="S58" s="235"/>
      <c r="T58" s="235"/>
      <c r="U58" s="235"/>
      <c r="V58" s="235"/>
      <c r="W58" s="235"/>
      <c r="X58" s="235"/>
      <c r="Y58" s="235"/>
      <c r="Z58" s="235"/>
      <c r="AA58" s="235"/>
      <c r="AB58" s="235"/>
      <c r="AD58" s="93"/>
      <c r="AE58" s="93"/>
      <c r="AF58" s="93"/>
      <c r="AG58" s="93"/>
      <c r="AH58" s="93"/>
      <c r="AI58" s="93"/>
      <c r="AJ58" s="93"/>
      <c r="AK58" s="93"/>
      <c r="AL58" s="93"/>
      <c r="AM58" s="93"/>
      <c r="AN58" s="93"/>
      <c r="AO58" s="93"/>
    </row>
    <row r="59" spans="1:41" s="104" customFormat="1" ht="20.149999999999999" customHeight="1" x14ac:dyDescent="0.25">
      <c r="B59" s="233"/>
      <c r="C59" s="261" t="str">
        <f t="shared" si="150"/>
        <v/>
      </c>
      <c r="D59" s="235"/>
      <c r="E59" s="235"/>
      <c r="F59" s="235"/>
      <c r="G59" s="235"/>
      <c r="H59" s="235"/>
      <c r="I59" s="235"/>
      <c r="J59" s="235"/>
      <c r="K59" s="235"/>
      <c r="L59" s="235"/>
      <c r="M59" s="235"/>
      <c r="N59" s="235"/>
      <c r="O59" s="235"/>
      <c r="P59" s="235"/>
      <c r="Q59" s="235"/>
      <c r="R59" s="235"/>
      <c r="S59" s="235"/>
      <c r="T59" s="235"/>
      <c r="U59" s="235"/>
      <c r="V59" s="235"/>
      <c r="W59" s="235"/>
      <c r="X59" s="235"/>
      <c r="Y59" s="235"/>
      <c r="Z59" s="235"/>
      <c r="AA59" s="235"/>
      <c r="AB59" s="235"/>
      <c r="AD59" s="93"/>
      <c r="AE59" s="93"/>
      <c r="AF59" s="93"/>
      <c r="AG59" s="93"/>
      <c r="AH59" s="93"/>
      <c r="AI59" s="93"/>
      <c r="AJ59" s="93"/>
      <c r="AK59" s="93"/>
      <c r="AL59" s="93"/>
      <c r="AM59" s="93"/>
      <c r="AN59" s="93"/>
      <c r="AO59" s="93"/>
    </row>
    <row r="60" spans="1:41" s="104" customFormat="1" ht="20.149999999999999" customHeight="1" x14ac:dyDescent="0.25">
      <c r="B60" s="233"/>
      <c r="C60" s="261"/>
      <c r="D60" s="235"/>
      <c r="E60" s="235"/>
      <c r="F60" s="235"/>
      <c r="G60" s="235"/>
      <c r="H60" s="235"/>
      <c r="I60" s="235"/>
      <c r="J60" s="235"/>
      <c r="K60" s="235"/>
      <c r="L60" s="235"/>
      <c r="M60" s="235"/>
      <c r="N60" s="235"/>
      <c r="O60" s="235"/>
      <c r="P60" s="235"/>
      <c r="Q60" s="235"/>
      <c r="R60" s="235"/>
      <c r="S60" s="235"/>
      <c r="T60" s="235"/>
      <c r="U60" s="235"/>
      <c r="V60" s="235"/>
      <c r="W60" s="235"/>
      <c r="X60" s="235"/>
      <c r="Y60" s="235"/>
      <c r="Z60" s="235"/>
      <c r="AA60" s="235"/>
      <c r="AB60" s="235"/>
      <c r="AD60" s="93"/>
      <c r="AE60" s="93"/>
      <c r="AF60" s="93"/>
      <c r="AG60" s="93"/>
      <c r="AH60" s="93"/>
      <c r="AI60" s="93"/>
      <c r="AJ60" s="93"/>
      <c r="AK60" s="93"/>
      <c r="AL60" s="93"/>
      <c r="AM60" s="93"/>
      <c r="AN60" s="93"/>
      <c r="AO60" s="93"/>
    </row>
    <row r="61" spans="1:41" s="104" customFormat="1" ht="20.149999999999999" customHeight="1" x14ac:dyDescent="0.25">
      <c r="B61" s="233"/>
      <c r="C61" s="261" t="str">
        <f t="shared" si="150"/>
        <v/>
      </c>
      <c r="D61" s="235"/>
      <c r="E61" s="235"/>
      <c r="F61" s="235"/>
      <c r="G61" s="235"/>
      <c r="H61" s="235"/>
      <c r="I61" s="235"/>
      <c r="J61" s="235"/>
      <c r="K61" s="235"/>
      <c r="L61" s="235"/>
      <c r="M61" s="235"/>
      <c r="N61" s="235"/>
      <c r="O61" s="235"/>
      <c r="P61" s="235"/>
      <c r="Q61" s="235"/>
      <c r="R61" s="235"/>
      <c r="S61" s="235"/>
      <c r="T61" s="235"/>
      <c r="U61" s="235"/>
      <c r="V61" s="235"/>
      <c r="W61" s="235"/>
      <c r="X61" s="235"/>
      <c r="Y61" s="235"/>
      <c r="Z61" s="235"/>
      <c r="AA61" s="235"/>
      <c r="AB61" s="235"/>
      <c r="AD61" s="93"/>
      <c r="AE61" s="93"/>
      <c r="AF61" s="93"/>
      <c r="AG61" s="93"/>
      <c r="AH61" s="93"/>
      <c r="AI61" s="93"/>
      <c r="AJ61" s="93"/>
      <c r="AK61" s="93"/>
      <c r="AL61" s="93"/>
      <c r="AM61" s="93"/>
      <c r="AN61" s="93"/>
      <c r="AO61" s="93"/>
    </row>
    <row r="62" spans="1:41" s="104" customFormat="1" ht="20.149999999999999" customHeight="1" x14ac:dyDescent="0.25">
      <c r="B62" s="262"/>
      <c r="C62" s="262" t="s">
        <v>266</v>
      </c>
      <c r="D62" s="263">
        <f>SUMPRODUCT(D57:D61,$B$57:$B$61)</f>
        <v>0</v>
      </c>
      <c r="E62" s="263">
        <f t="shared" ref="E62:AA62" si="151">SUMPRODUCT(E57:E61,$B$57:$B$61)</f>
        <v>0</v>
      </c>
      <c r="F62" s="263">
        <f>SUMPRODUCT(F57:F61,$B$57:$B$61)</f>
        <v>0</v>
      </c>
      <c r="G62" s="263">
        <f t="shared" si="151"/>
        <v>0</v>
      </c>
      <c r="H62" s="263">
        <f t="shared" si="151"/>
        <v>0</v>
      </c>
      <c r="I62" s="263">
        <f t="shared" si="151"/>
        <v>0</v>
      </c>
      <c r="J62" s="263">
        <f t="shared" si="151"/>
        <v>0</v>
      </c>
      <c r="K62" s="263">
        <f>SUMPRODUCT(K57:K61,$B$57:$B$61)</f>
        <v>0</v>
      </c>
      <c r="L62" s="263">
        <f t="shared" si="151"/>
        <v>0</v>
      </c>
      <c r="M62" s="263">
        <f t="shared" si="151"/>
        <v>0</v>
      </c>
      <c r="N62" s="263">
        <f>SUMPRODUCT(N57:N61,$B$57:$B$61)</f>
        <v>0</v>
      </c>
      <c r="O62" s="263">
        <f t="shared" si="151"/>
        <v>0</v>
      </c>
      <c r="P62" s="263">
        <f>SUMPRODUCT(P57:P61,$B$57:$B$61)</f>
        <v>0</v>
      </c>
      <c r="Q62" s="263">
        <f t="shared" si="151"/>
        <v>0</v>
      </c>
      <c r="R62" s="263">
        <f t="shared" si="151"/>
        <v>0</v>
      </c>
      <c r="S62" s="263">
        <f t="shared" si="151"/>
        <v>0</v>
      </c>
      <c r="T62" s="263">
        <f t="shared" si="151"/>
        <v>0</v>
      </c>
      <c r="U62" s="263">
        <f t="shared" si="151"/>
        <v>0</v>
      </c>
      <c r="V62" s="263">
        <f t="shared" si="151"/>
        <v>0</v>
      </c>
      <c r="W62" s="263">
        <f t="shared" si="151"/>
        <v>0</v>
      </c>
      <c r="X62" s="263">
        <f t="shared" si="151"/>
        <v>0</v>
      </c>
      <c r="Y62" s="263">
        <f t="shared" si="151"/>
        <v>0</v>
      </c>
      <c r="Z62" s="263">
        <f>SUMPRODUCT(Z57:Z61,$B$57:$B$61)</f>
        <v>0</v>
      </c>
      <c r="AA62" s="263">
        <f t="shared" si="151"/>
        <v>0</v>
      </c>
      <c r="AB62" s="263">
        <f>SUMPRODUCT(AB57:AB61,$B$57:$B$61)</f>
        <v>0</v>
      </c>
    </row>
    <row r="63" spans="1:41" s="104" customFormat="1" ht="20.149999999999999" customHeight="1" x14ac:dyDescent="0.25">
      <c r="B63" s="182"/>
      <c r="C63" s="182"/>
      <c r="D63" s="182"/>
      <c r="E63" s="182"/>
      <c r="F63" s="182"/>
      <c r="G63" s="182"/>
      <c r="H63" s="182"/>
      <c r="I63" s="182"/>
      <c r="J63" s="182"/>
      <c r="K63" s="182"/>
      <c r="L63" s="182"/>
      <c r="M63" s="182"/>
      <c r="N63" s="182"/>
      <c r="O63" s="182"/>
      <c r="P63" s="182"/>
      <c r="Q63" s="182"/>
      <c r="R63" s="182"/>
      <c r="S63" s="182"/>
      <c r="T63" s="182"/>
      <c r="U63" s="182"/>
      <c r="V63" s="182"/>
      <c r="W63" s="182"/>
      <c r="X63" s="182"/>
      <c r="Y63" s="182"/>
      <c r="Z63" s="182"/>
      <c r="AA63" s="182"/>
      <c r="AB63" s="182"/>
    </row>
    <row r="64" spans="1:41" x14ac:dyDescent="0.25">
      <c r="D64" s="99"/>
      <c r="E64" s="99"/>
      <c r="F64" s="99"/>
      <c r="G64" s="99"/>
      <c r="H64" s="99"/>
      <c r="I64" s="99"/>
      <c r="J64" s="99"/>
      <c r="K64" s="99"/>
      <c r="L64" s="99"/>
      <c r="M64" s="99"/>
    </row>
    <row r="65" spans="4:13" x14ac:dyDescent="0.25">
      <c r="D65" s="99"/>
      <c r="E65" s="99"/>
      <c r="F65" s="99"/>
      <c r="G65" s="99"/>
      <c r="H65" s="99"/>
      <c r="I65" s="99"/>
      <c r="J65" s="99"/>
      <c r="K65" s="99"/>
      <c r="L65" s="99"/>
      <c r="M65" s="99"/>
    </row>
    <row r="66" spans="4:13" x14ac:dyDescent="0.25">
      <c r="F66" s="99"/>
      <c r="G66" s="99"/>
      <c r="H66" s="99"/>
    </row>
    <row r="67" spans="4:13" x14ac:dyDescent="0.25">
      <c r="F67" s="99"/>
      <c r="G67" s="99"/>
      <c r="H67" s="99"/>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53D5CC-2F3C-48AA-8382-954EB2322467}">
  <ds:schemaRefs>
    <ds:schemaRef ds:uri="http://schemas.microsoft.com/sharepoint/v3/contenttype/forms"/>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2026-05-11T08:50:00Z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