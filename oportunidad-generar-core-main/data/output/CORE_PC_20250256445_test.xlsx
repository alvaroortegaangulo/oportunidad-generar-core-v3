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nuget\packages\oportunidad-generar-core-main\1.0.29-e06\content\data\output\test\"/>
    </mc:Choice>
  </mc:AlternateContent>
  <xr:revisionPtr revIDLastSave="0" documentId="13_ncr:1_{FDEB4DB8-BE42-4035-892F-80121DDDA4F4}" xr6:coauthVersionLast="47" xr6:coauthVersionMax="47" xr10:uidLastSave="{00000000-0000-0000-0000-000000000000}"/>
  <bookViews>
    <workbookView xWindow="28680" yWindow="-120" windowWidth="29040" windowHeight="17520" tabRatio="740" activeTab="3"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C6" i="1"/>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L40" i="6" l="1" a="1"/>
  <c r="AL40" i="6" s="1"/>
  <c r="AU40" i="6" a="1"/>
  <c r="AU40" i="6" s="1"/>
  <c r="BC40" i="6" a="1"/>
  <c r="BC40" i="6" s="1"/>
  <c r="BL40" i="6" a="1"/>
  <c r="BL40" i="6" s="1"/>
  <c r="AJ41" i="6" a="1"/>
  <c r="AJ41" i="6" s="1"/>
  <c r="AS41" i="6" a="1"/>
  <c r="AS41" i="6" s="1"/>
  <c r="BA41" i="6" a="1"/>
  <c r="BA41" i="6" s="1"/>
  <c r="BI41" i="6" a="1"/>
  <c r="BI41" i="6" s="1"/>
  <c r="BB40" i="6" a="1"/>
  <c r="BB40" i="6" s="1"/>
  <c r="AE40" i="6" a="1"/>
  <c r="AE40" i="6" s="1"/>
  <c r="AM40" i="6" a="1"/>
  <c r="AM40" i="6" s="1"/>
  <c r="BD40" i="6" a="1"/>
  <c r="BD40" i="6" s="1"/>
  <c r="AT41" i="6" a="1"/>
  <c r="AT41" i="6" s="1"/>
  <c r="BJ41" i="6" a="1"/>
  <c r="BJ41" i="6" s="1"/>
  <c r="AK41" i="6" a="1"/>
  <c r="AK41" i="6" s="1"/>
  <c r="BK41" i="6" a="1"/>
  <c r="BK41" i="6" s="1"/>
  <c r="AS40" i="6" a="1"/>
  <c r="AS40" i="6" s="1"/>
  <c r="AF40" i="6" a="1"/>
  <c r="AF40" i="6" s="1"/>
  <c r="AN40" i="6" a="1"/>
  <c r="AN40" i="6" s="1"/>
  <c r="AV40" i="6" a="1"/>
  <c r="AV40" i="6" s="1"/>
  <c r="BE40" i="6" a="1"/>
  <c r="BE40" i="6" s="1"/>
  <c r="BM40" i="6" a="1"/>
  <c r="BM40" i="6" s="1"/>
  <c r="BB41" i="6" a="1"/>
  <c r="BB41" i="6" s="1"/>
  <c r="BH41" i="6" a="1"/>
  <c r="BH41" i="6" s="1"/>
  <c r="BF40" i="6" a="1"/>
  <c r="BF40" i="6" s="1"/>
  <c r="AL41" i="6" a="1"/>
  <c r="AL41" i="6" s="1"/>
  <c r="AU41" i="6" a="1"/>
  <c r="AU41" i="6" s="1"/>
  <c r="BL41" i="6" a="1"/>
  <c r="BL41" i="6" s="1"/>
  <c r="BN41" i="6" a="1"/>
  <c r="BN41" i="6" s="1"/>
  <c r="BK40" i="6" a="1"/>
  <c r="BK40" i="6" s="1"/>
  <c r="AG40" i="6" a="1"/>
  <c r="AG40" i="6" s="1"/>
  <c r="AO40" i="6" a="1"/>
  <c r="AO40" i="6" s="1"/>
  <c r="AW40" i="6" a="1"/>
  <c r="AW40" i="6" s="1"/>
  <c r="BN40" i="6" a="1"/>
  <c r="BN40" i="6" s="1"/>
  <c r="AM41" i="6" a="1"/>
  <c r="AM41" i="6" s="1"/>
  <c r="BC41" i="6" a="1"/>
  <c r="BC41" i="6" s="1"/>
  <c r="AP40" i="6" a="1"/>
  <c r="AP40" i="6" s="1"/>
  <c r="BE41" i="6" a="1"/>
  <c r="BE41" i="6" s="1"/>
  <c r="AY41" i="6" a="1"/>
  <c r="AY41" i="6" s="1"/>
  <c r="AI41" i="6" a="1"/>
  <c r="AI41" i="6" s="1"/>
  <c r="AK40" i="6" a="1"/>
  <c r="AK40" i="6" s="1"/>
  <c r="AR41" i="6" a="1"/>
  <c r="AR41" i="6" s="1"/>
  <c r="AH40" i="6" a="1"/>
  <c r="AH40" i="6" s="1"/>
  <c r="AX40" i="6" a="1"/>
  <c r="AX40" i="6" s="1"/>
  <c r="BG40" i="6" a="1"/>
  <c r="BG40" i="6" s="1"/>
  <c r="AN41" i="6" a="1"/>
  <c r="AN41" i="6" s="1"/>
  <c r="AV41" i="6" a="1"/>
  <c r="AV41" i="6" s="1"/>
  <c r="BD41" i="6" a="1"/>
  <c r="BD41" i="6" s="1"/>
  <c r="BM41" i="6" a="1"/>
  <c r="BM41" i="6" s="1"/>
  <c r="AY40" i="6" a="1"/>
  <c r="AY40" i="6" s="1"/>
  <c r="AE41" i="6" a="1"/>
  <c r="AE41" i="6" s="1"/>
  <c r="AQ41" i="6" a="1"/>
  <c r="AQ41" i="6" s="1"/>
  <c r="AT40" i="6" a="1"/>
  <c r="AT40" i="6" s="1"/>
  <c r="AI40" i="6" a="1"/>
  <c r="AI40" i="6" s="1"/>
  <c r="AZ40" i="6" a="1"/>
  <c r="AZ40" i="6" s="1"/>
  <c r="BH40" i="6" a="1"/>
  <c r="BH40" i="6" s="1"/>
  <c r="AF41" i="6" a="1"/>
  <c r="AF41" i="6" s="1"/>
  <c r="AO41" i="6" a="1"/>
  <c r="AO41" i="6" s="1"/>
  <c r="AW41" i="6" a="1"/>
  <c r="AW41" i="6" s="1"/>
  <c r="BF41" i="6" a="1"/>
  <c r="BF41" i="6" s="1"/>
  <c r="AR40" i="6" a="1"/>
  <c r="AR40" i="6" s="1"/>
  <c r="BI40" i="6" a="1"/>
  <c r="BI40" i="6" s="1"/>
  <c r="BJ40" i="6" a="1"/>
  <c r="BJ40" i="6" s="1"/>
  <c r="AQ40" i="6" a="1"/>
  <c r="AQ40" i="6" s="1"/>
  <c r="AG41" i="6" a="1"/>
  <c r="AG41" i="6" s="1"/>
  <c r="AP41" i="6" a="1"/>
  <c r="AP41" i="6" s="1"/>
  <c r="AX41" i="6" a="1"/>
  <c r="AX41" i="6" s="1"/>
  <c r="BG41" i="6" a="1"/>
  <c r="BG41" i="6" s="1"/>
  <c r="AJ40" i="6" a="1"/>
  <c r="AJ40" i="6" s="1"/>
  <c r="BA40" i="6" a="1"/>
  <c r="BA40" i="6" s="1"/>
  <c r="AH41" i="6" a="1"/>
  <c r="AH41" i="6" s="1"/>
  <c r="AZ41" i="6" a="1"/>
  <c r="AZ41"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D6" i="1"/>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D13" i="9"/>
  <c r="D14" i="9" s="1"/>
  <c r="O36" i="3"/>
  <c r="M36" i="3"/>
  <c r="AM43" i="9" l="1"/>
  <c r="E40" i="9"/>
  <c r="M8" i="3"/>
  <c r="O7" i="3"/>
  <c r="N7" i="3"/>
  <c r="AD8" i="6"/>
  <c r="AE8" i="6" s="1"/>
  <c r="K6" i="10"/>
  <c r="L6" i="10" s="1"/>
  <c r="E8" i="10"/>
  <c r="K8" i="10" s="1"/>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J7" i="10"/>
  <c r="J9" i="10" s="1"/>
  <c r="D47" i="6"/>
  <c r="E47" i="6" s="1"/>
  <c r="G7" i="10"/>
  <c r="G9" i="10" s="1"/>
  <c r="E7" i="10"/>
  <c r="F5" i="6"/>
  <c r="I5" i="6" s="1"/>
  <c r="F50" i="6"/>
  <c r="I50" i="6" s="1"/>
  <c r="I7" i="10"/>
  <c r="I9" i="10" s="1"/>
  <c r="F8" i="3"/>
  <c r="N8" i="3" s="1"/>
  <c r="F9" i="10"/>
  <c r="F12" i="9"/>
  <c r="F7" i="9"/>
  <c r="F8" i="9"/>
  <c r="F6" i="9"/>
  <c r="F11" i="9"/>
  <c r="F10" i="9"/>
  <c r="E13" i="9"/>
  <c r="E15" i="9" s="1"/>
  <c r="U24" i="3"/>
  <c r="U32" i="3"/>
  <c r="U23" i="3"/>
  <c r="U25" i="3"/>
  <c r="U21" i="3"/>
  <c r="U20" i="3"/>
  <c r="U22" i="3"/>
  <c r="U30" i="3"/>
  <c r="U28" i="3"/>
  <c r="U29" i="3"/>
  <c r="D15" i="9"/>
  <c r="C37" i="1"/>
  <c r="AE7" i="6" l="1"/>
  <c r="AF8" i="6"/>
  <c r="AN43" i="9"/>
  <c r="AD7" i="6"/>
  <c r="F40" i="9"/>
  <c r="G6" i="9"/>
  <c r="G10" i="9"/>
  <c r="G12" i="9"/>
  <c r="G8" i="9"/>
  <c r="H4" i="9"/>
  <c r="G7" i="9"/>
  <c r="G11" i="9"/>
  <c r="G9" i="9"/>
  <c r="E5" i="12"/>
  <c r="J5" i="12" s="1"/>
  <c r="P8" i="3" a="1"/>
  <c r="P8" i="3" s="1"/>
  <c r="K7" i="10"/>
  <c r="D7" i="10"/>
  <c r="D8" i="10" s="1"/>
  <c r="M8" i="10" s="1"/>
  <c r="O8" i="3"/>
  <c r="E9" i="10"/>
  <c r="F13" i="9"/>
  <c r="F14" i="9" s="1"/>
  <c r="E14" i="9"/>
  <c r="U34" i="3"/>
  <c r="U31" i="3"/>
  <c r="U17" i="3"/>
  <c r="U27" i="3"/>
  <c r="U19" i="3"/>
  <c r="U35" i="3"/>
  <c r="U33" i="3"/>
  <c r="U26" i="3"/>
  <c r="U18" i="3"/>
  <c r="AG8" i="6" l="1"/>
  <c r="AF7" i="6"/>
  <c r="AO43" i="9"/>
  <c r="L8" i="10"/>
  <c r="G40" i="9"/>
  <c r="D9" i="10"/>
  <c r="H6" i="9"/>
  <c r="H11" i="9"/>
  <c r="H8" i="9"/>
  <c r="I4" i="9"/>
  <c r="H7" i="9"/>
  <c r="H12" i="9"/>
  <c r="H10" i="9"/>
  <c r="G13" i="9"/>
  <c r="G15" i="9" s="1"/>
  <c r="H9" i="9"/>
  <c r="N8" i="10"/>
  <c r="L7" i="10"/>
  <c r="K9" i="10"/>
  <c r="F15" i="9"/>
  <c r="I10" i="9" l="1"/>
  <c r="I9" i="9"/>
  <c r="AG7" i="6"/>
  <c r="AH8" i="6"/>
  <c r="AP43" i="9"/>
  <c r="H40" i="9"/>
  <c r="I11" i="9"/>
  <c r="I7" i="9"/>
  <c r="I12" i="9"/>
  <c r="I8" i="9"/>
  <c r="I6" i="9"/>
  <c r="J4" i="9"/>
  <c r="G14" i="9"/>
  <c r="H13" i="9"/>
  <c r="H15" i="9" s="1"/>
  <c r="L9" i="10"/>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c r="Q8" i="9" l="1"/>
  <c r="Q12" i="9"/>
  <c r="Q9"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P15" i="9"/>
  <c r="Q10" i="9"/>
  <c r="Q6" i="9"/>
  <c r="R11" i="9" l="1"/>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10" i="9" l="1"/>
  <c r="S12" i="9"/>
  <c r="S9" i="9"/>
  <c r="S8" i="9"/>
  <c r="S11" i="9"/>
  <c r="T11" i="9" s="1"/>
  <c r="T5" i="9"/>
  <c r="T4" i="9" s="1"/>
  <c r="S6" i="9"/>
  <c r="T6" i="9" s="1"/>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T12" i="9" l="1"/>
  <c r="T10" i="9"/>
  <c r="U5" i="9"/>
  <c r="U4" i="9" s="1"/>
  <c r="T7" i="9"/>
  <c r="T8" i="9"/>
  <c r="R15" i="9"/>
  <c r="S13" i="9"/>
  <c r="S15" i="9" s="1"/>
  <c r="S40" i="9"/>
  <c r="T9" i="9"/>
  <c r="U9" i="9" s="1"/>
  <c r="M33" i="9"/>
  <c r="L21" i="9"/>
  <c r="M36" i="9"/>
  <c r="L24" i="9"/>
  <c r="M35" i="9"/>
  <c r="L23" i="9"/>
  <c r="L22" i="9"/>
  <c r="M34" i="9"/>
  <c r="K18" i="9"/>
  <c r="K38" i="9"/>
  <c r="K44" i="9"/>
  <c r="AR7" i="6"/>
  <c r="AS8" i="6"/>
  <c r="J26" i="9"/>
  <c r="J27" i="9"/>
  <c r="M32" i="9"/>
  <c r="L20" i="9"/>
  <c r="L30" i="9" a="1"/>
  <c r="L30" i="9" s="1"/>
  <c r="L37" i="9"/>
  <c r="K25" i="9"/>
  <c r="M31" i="9"/>
  <c r="L19" i="9"/>
  <c r="BA43" i="9"/>
  <c r="T40" i="9"/>
  <c r="S14" i="9"/>
  <c r="U6" i="9"/>
  <c r="U7" i="9"/>
  <c r="U11" i="9"/>
  <c r="U10" i="9"/>
  <c r="U12" i="9"/>
  <c r="V5" i="9"/>
  <c r="V4" i="9" s="1"/>
  <c r="U8" i="9" l="1"/>
  <c r="U13" i="9" s="1"/>
  <c r="U14" i="9" s="1"/>
  <c r="T13" i="9"/>
  <c r="T14" i="9" s="1"/>
  <c r="M19" i="9"/>
  <c r="N31" i="9"/>
  <c r="L25" i="9"/>
  <c r="M23" i="9"/>
  <c r="N35" i="9"/>
  <c r="M20" i="9"/>
  <c r="M37" i="9"/>
  <c r="M30" i="9" a="1"/>
  <c r="M30" i="9" s="1"/>
  <c r="N32" i="9"/>
  <c r="M24" i="9"/>
  <c r="N36" i="9"/>
  <c r="K26" i="9"/>
  <c r="K27" i="9"/>
  <c r="M22" i="9"/>
  <c r="N34" i="9"/>
  <c r="L38" i="9"/>
  <c r="L44" i="9"/>
  <c r="L18" i="9"/>
  <c r="AS7" i="6"/>
  <c r="AT8" i="6"/>
  <c r="N33" i="9"/>
  <c r="M21" i="9"/>
  <c r="BB43" i="9"/>
  <c r="U40" i="9"/>
  <c r="V12" i="9"/>
  <c r="V9" i="9"/>
  <c r="V10" i="9"/>
  <c r="V11" i="9"/>
  <c r="V7" i="9"/>
  <c r="V6" i="9"/>
  <c r="W5" i="9"/>
  <c r="W4" i="9" s="1"/>
  <c r="V8" i="9" l="1"/>
  <c r="T15" i="9"/>
  <c r="N21" i="9"/>
  <c r="O33" i="9"/>
  <c r="M44" i="9"/>
  <c r="M18" i="9"/>
  <c r="M38" i="9"/>
  <c r="L27" i="9"/>
  <c r="L26" i="9"/>
  <c r="O36" i="9"/>
  <c r="N24" i="9"/>
  <c r="N37" i="9"/>
  <c r="N30" i="9" a="1"/>
  <c r="N30" i="9" s="1"/>
  <c r="N20" i="9"/>
  <c r="O32" i="9"/>
  <c r="AU8" i="6"/>
  <c r="AT7" i="6"/>
  <c r="M25" i="9"/>
  <c r="N23" i="9"/>
  <c r="O35" i="9"/>
  <c r="N22" i="9"/>
  <c r="O34" i="9"/>
  <c r="N19" i="9"/>
  <c r="O31" i="9"/>
  <c r="BC43" i="9"/>
  <c r="V40" i="9"/>
  <c r="W6" i="9"/>
  <c r="W7" i="9"/>
  <c r="W11" i="9"/>
  <c r="U15" i="9"/>
  <c r="W10" i="9"/>
  <c r="W9" i="9"/>
  <c r="V13" i="9"/>
  <c r="V15" i="9" s="1"/>
  <c r="W8" i="9"/>
  <c r="W12" i="9"/>
  <c r="X5" i="9"/>
  <c r="X4" i="9" s="1"/>
  <c r="N25" i="9" l="1"/>
  <c r="O22" i="9"/>
  <c r="P34" i="9"/>
  <c r="M27" i="9"/>
  <c r="M26" i="9"/>
  <c r="AV8" i="6"/>
  <c r="AU7" i="6"/>
  <c r="O21" i="9"/>
  <c r="P33" i="9"/>
  <c r="N38" i="9"/>
  <c r="N44" i="9"/>
  <c r="N18" i="9"/>
  <c r="O19" i="9"/>
  <c r="P31" i="9"/>
  <c r="O24" i="9"/>
  <c r="P36" i="9"/>
  <c r="O23" i="9"/>
  <c r="P35" i="9"/>
  <c r="O30" i="9" a="1"/>
  <c r="O30" i="9" s="1"/>
  <c r="O37" i="9"/>
  <c r="P32" i="9"/>
  <c r="O20" i="9"/>
  <c r="BD43" i="9"/>
  <c r="W40" i="9"/>
  <c r="X9" i="9"/>
  <c r="X7" i="9"/>
  <c r="V14" i="9"/>
  <c r="X10" i="9"/>
  <c r="X12" i="9"/>
  <c r="W13" i="9"/>
  <c r="W15" i="9" s="1"/>
  <c r="X8" i="9"/>
  <c r="X6" i="9"/>
  <c r="X11" i="9"/>
  <c r="Y5" i="9"/>
  <c r="Y4" i="9" s="1"/>
  <c r="O25" i="9" l="1"/>
  <c r="N26" i="9"/>
  <c r="N27" i="9"/>
  <c r="P21" i="9"/>
  <c r="Q33" i="9"/>
  <c r="P23" i="9"/>
  <c r="Q35" i="9"/>
  <c r="P22" i="9"/>
  <c r="Q34" i="9"/>
  <c r="P20" i="9"/>
  <c r="P37" i="9"/>
  <c r="Q32" i="9"/>
  <c r="P30" i="9" a="1"/>
  <c r="P30" i="9" s="1"/>
  <c r="O38" i="9"/>
  <c r="O44" i="9"/>
  <c r="O18" i="9"/>
  <c r="AW8" i="6"/>
  <c r="AV7" i="6"/>
  <c r="P24" i="9"/>
  <c r="Q36" i="9"/>
  <c r="P19" i="9"/>
  <c r="Q31" i="9"/>
  <c r="BE43" i="9"/>
  <c r="X40" i="9"/>
  <c r="Y12" i="9"/>
  <c r="W14" i="9"/>
  <c r="Y11" i="9"/>
  <c r="Y7" i="9"/>
  <c r="Y9" i="9"/>
  <c r="X13" i="9"/>
  <c r="X14" i="9" s="1"/>
  <c r="Y8" i="9"/>
  <c r="Y10" i="9"/>
  <c r="Y6" i="9"/>
  <c r="Z5" i="9"/>
  <c r="Z4" i="9" s="1"/>
  <c r="P25" i="9" l="1"/>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AE12" i="9" s="1"/>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E10" i="9" l="1"/>
  <c r="AC15" i="9"/>
  <c r="AB15" i="9"/>
  <c r="AC40" i="9"/>
  <c r="AD13" i="9"/>
  <c r="AD14" i="9" s="1"/>
  <c r="AE8" i="9"/>
  <c r="AE6" i="9"/>
  <c r="AE4" i="9"/>
  <c r="AD40" i="9" s="1"/>
  <c r="AF5" i="9"/>
  <c r="AE7" i="9"/>
  <c r="AF7" i="9" s="1"/>
  <c r="AE11" i="9"/>
  <c r="AF11" i="9" s="1"/>
  <c r="V34" i="9"/>
  <c r="U22" i="9"/>
  <c r="V35" i="9"/>
  <c r="U23" i="9"/>
  <c r="U24" i="9"/>
  <c r="V36" i="9"/>
  <c r="U20" i="9"/>
  <c r="V32" i="9"/>
  <c r="U37" i="9"/>
  <c r="U30" i="9" a="1"/>
  <c r="U30" i="9" s="1"/>
  <c r="S27" i="9"/>
  <c r="S26" i="9"/>
  <c r="BB8" i="6"/>
  <c r="BA7" i="6"/>
  <c r="T25" i="9"/>
  <c r="U19" i="9"/>
  <c r="V31" i="9"/>
  <c r="T44" i="9"/>
  <c r="T18" i="9"/>
  <c r="T38" i="9"/>
  <c r="U21" i="9"/>
  <c r="V33" i="9"/>
  <c r="BJ43" i="9"/>
  <c r="AD15" i="9" l="1"/>
  <c r="AF4" i="9"/>
  <c r="AG5" i="9"/>
  <c r="AG11" i="9" s="1"/>
  <c r="AF6" i="9"/>
  <c r="AF10" i="9"/>
  <c r="AG10" i="9" s="1"/>
  <c r="AG7" i="9"/>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E15" i="9" l="1"/>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G14" i="9" s="1"/>
  <c r="AH7" i="9"/>
  <c r="AH4" i="9"/>
  <c r="AI5" i="9"/>
  <c r="AG15" i="9"/>
  <c r="AH6" i="9"/>
  <c r="AH9" i="9"/>
  <c r="AI9" i="9" s="1"/>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AI7" i="9" l="1"/>
  <c r="X25" i="9"/>
  <c r="AG40" i="9"/>
  <c r="AI6" i="9"/>
  <c r="AI12" i="9"/>
  <c r="AJ5" i="9"/>
  <c r="AJ9" i="9" s="1"/>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AJ12" i="9" l="1"/>
  <c r="AH15" i="9"/>
  <c r="Y25" i="9"/>
  <c r="AJ4" i="9"/>
  <c r="AK5" i="9"/>
  <c r="AH40" i="9"/>
  <c r="AI15" i="9"/>
  <c r="AJ6" i="9"/>
  <c r="AJ11" i="9"/>
  <c r="AK11" i="9" s="1"/>
  <c r="AJ7" i="9"/>
  <c r="AK7" i="9" s="1"/>
  <c r="AK9" i="9"/>
  <c r="AJ10" i="9"/>
  <c r="AJ8" i="9"/>
  <c r="AI13" i="9"/>
  <c r="AI14" i="9" s="1"/>
  <c r="Z24" i="9"/>
  <c r="AA36" i="9"/>
  <c r="AA35" i="9"/>
  <c r="Z23" i="9"/>
  <c r="AA32" i="9"/>
  <c r="Z20" i="9"/>
  <c r="Z37" i="9"/>
  <c r="Z30" i="9" a="1"/>
  <c r="Z30" i="9" s="1"/>
  <c r="Z22" i="9"/>
  <c r="AA34" i="9"/>
  <c r="Z19" i="9"/>
  <c r="AA31" i="9"/>
  <c r="Z21" i="9"/>
  <c r="AA33" i="9"/>
  <c r="BG8" i="6"/>
  <c r="BF7" i="6"/>
  <c r="Y38" i="9"/>
  <c r="Y44" i="9"/>
  <c r="Y18" i="9"/>
  <c r="X26" i="9"/>
  <c r="X27" i="9"/>
  <c r="AK10" i="9" l="1"/>
  <c r="AK12" i="9"/>
  <c r="AK6" i="9"/>
  <c r="AJ13" i="9"/>
  <c r="AJ14" i="9" s="1"/>
  <c r="AK8" i="9"/>
  <c r="AL5" i="9"/>
  <c r="AK4" i="9"/>
  <c r="AL9" i="9"/>
  <c r="AI40" i="9"/>
  <c r="AA22" i="9"/>
  <c r="AB34" i="9"/>
  <c r="Y27" i="9"/>
  <c r="Y26" i="9"/>
  <c r="AA20" i="9"/>
  <c r="AB32" i="9"/>
  <c r="AA30" i="9" a="1"/>
  <c r="AA30" i="9" s="1"/>
  <c r="AA37" i="9"/>
  <c r="AA19" i="9"/>
  <c r="AB31" i="9"/>
  <c r="Z18" i="9"/>
  <c r="Z38" i="9"/>
  <c r="Z44" i="9"/>
  <c r="Z25" i="9"/>
  <c r="BG7" i="6"/>
  <c r="BH8" i="6"/>
  <c r="AA21" i="9"/>
  <c r="AB33" i="9"/>
  <c r="AA23" i="9"/>
  <c r="AB35" i="9"/>
  <c r="AB36" i="9"/>
  <c r="AA24" i="9"/>
  <c r="AJ15" i="9" l="1"/>
  <c r="AL7" i="9"/>
  <c r="AM7" i="9" s="1"/>
  <c r="AM5" i="9"/>
  <c r="AM9" i="9" s="1"/>
  <c r="AL4" i="9"/>
  <c r="AL8" i="9"/>
  <c r="AK13" i="9"/>
  <c r="AK14" i="9" s="1"/>
  <c r="AJ40" i="9"/>
  <c r="AL10" i="9"/>
  <c r="AM10" i="9" s="1"/>
  <c r="AL11" i="9"/>
  <c r="AM11" i="9" s="1"/>
  <c r="AL6" i="9"/>
  <c r="AK15"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8" i="9" l="1"/>
  <c r="AL13" i="9"/>
  <c r="AL14" i="9" s="1"/>
  <c r="AK40" i="9"/>
  <c r="AN5" i="9"/>
  <c r="AM4" i="9"/>
  <c r="AN11" i="9"/>
  <c r="AB25" i="9"/>
  <c r="AL15" i="9"/>
  <c r="AM6" i="9"/>
  <c r="AB44" i="9"/>
  <c r="AB38" i="9"/>
  <c r="AB18" i="9"/>
  <c r="AC20" i="9"/>
  <c r="AD32" i="9"/>
  <c r="AC37" i="9"/>
  <c r="AC30" i="9" a="1"/>
  <c r="AC30" i="9" s="1"/>
  <c r="AC21" i="9"/>
  <c r="AD33" i="9"/>
  <c r="AA27" i="9"/>
  <c r="AA26" i="9"/>
  <c r="AC23" i="9"/>
  <c r="AD35" i="9"/>
  <c r="AC24" i="9"/>
  <c r="AD36" i="9"/>
  <c r="BJ8" i="6"/>
  <c r="BI7" i="6"/>
  <c r="AD31" i="9"/>
  <c r="AC19" i="9"/>
  <c r="AC22" i="9"/>
  <c r="AD34" i="9"/>
  <c r="AN12" i="9" l="1"/>
  <c r="AO5" i="9"/>
  <c r="AN4" i="9"/>
  <c r="AN10" i="9"/>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2" i="9" l="1"/>
  <c r="AM15" i="9"/>
  <c r="AO10" i="9"/>
  <c r="AM40" i="9"/>
  <c r="AP5" i="9"/>
  <c r="AO4" i="9"/>
  <c r="AO8" i="9"/>
  <c r="AN13" i="9"/>
  <c r="AN14" i="9" s="1"/>
  <c r="AO6" i="9"/>
  <c r="AN15" i="9"/>
  <c r="AO11" i="9"/>
  <c r="AE19" i="9"/>
  <c r="AF31" i="9"/>
  <c r="AD38" i="9"/>
  <c r="AD18" i="9"/>
  <c r="AD44" i="9"/>
  <c r="AE24" i="9"/>
  <c r="AF36" i="9"/>
  <c r="AD25" i="9"/>
  <c r="BL8" i="6"/>
  <c r="BK7" i="6"/>
  <c r="AE22" i="9"/>
  <c r="AF34" i="9"/>
  <c r="AC26" i="9"/>
  <c r="AC27" i="9"/>
  <c r="AE23" i="9"/>
  <c r="AF35" i="9"/>
  <c r="AF33" i="9"/>
  <c r="AE21" i="9"/>
  <c r="AE20" i="9"/>
  <c r="AF32" i="9"/>
  <c r="AE37" i="9"/>
  <c r="AE30" i="9" a="1"/>
  <c r="AE30" i="9" s="1"/>
  <c r="AP12" i="9" l="1"/>
  <c r="AP9" i="9"/>
  <c r="AP4" i="9"/>
  <c r="AO40" i="9" s="1"/>
  <c r="AQ5" i="9"/>
  <c r="AP10" i="9"/>
  <c r="AP6" i="9"/>
  <c r="AN40" i="9"/>
  <c r="AP8" i="9"/>
  <c r="AO13" i="9"/>
  <c r="AO14" i="9" s="1"/>
  <c r="AP11" i="9"/>
  <c r="AQ11" i="9" s="1"/>
  <c r="AP7" i="9"/>
  <c r="AQ7" i="9" s="1"/>
  <c r="AF22" i="9"/>
  <c r="AG34" i="9"/>
  <c r="AF20" i="9"/>
  <c r="AG32" i="9"/>
  <c r="AF37" i="9"/>
  <c r="AF30" i="9" a="1"/>
  <c r="AF30" i="9" s="1"/>
  <c r="AE25" i="9"/>
  <c r="AF24" i="9"/>
  <c r="AG36" i="9"/>
  <c r="AF23" i="9"/>
  <c r="AG35" i="9"/>
  <c r="AF19" i="9"/>
  <c r="AG31" i="9"/>
  <c r="AE18" i="9"/>
  <c r="AE38" i="9"/>
  <c r="AE44" i="9"/>
  <c r="BM8" i="6"/>
  <c r="BL7" i="6"/>
  <c r="AG33" i="9"/>
  <c r="AF21" i="9"/>
  <c r="AD26" i="9"/>
  <c r="AD27" i="9"/>
  <c r="AO15" i="9" l="1"/>
  <c r="AQ9" i="9"/>
  <c r="AQ6" i="9"/>
  <c r="AQ12" i="9"/>
  <c r="AQ10" i="9"/>
  <c r="AP13" i="9"/>
  <c r="AP14" i="9" s="1"/>
  <c r="AQ8" i="9"/>
  <c r="AQ4" i="9"/>
  <c r="AR5" i="9"/>
  <c r="AR11" i="9" s="1"/>
  <c r="AG23" i="9"/>
  <c r="AH35" i="9"/>
  <c r="AH36" i="9"/>
  <c r="AG24" i="9"/>
  <c r="AG21" i="9"/>
  <c r="AH33" i="9"/>
  <c r="AF18" i="9"/>
  <c r="AF38" i="9"/>
  <c r="AF44" i="9"/>
  <c r="AG20" i="9"/>
  <c r="AH32" i="9"/>
  <c r="AG37" i="9"/>
  <c r="AG30" i="9" a="1"/>
  <c r="AG30" i="9" s="1"/>
  <c r="AF25" i="9"/>
  <c r="AE26" i="9"/>
  <c r="AE27" i="9"/>
  <c r="AH34" i="9"/>
  <c r="AG22" i="9"/>
  <c r="BN8" i="6"/>
  <c r="BN7" i="6" s="1"/>
  <c r="BM7" i="6"/>
  <c r="AH31" i="9"/>
  <c r="AG19" i="9"/>
  <c r="AP15" i="9" l="1"/>
  <c r="AR10" i="9"/>
  <c r="AR8" i="9"/>
  <c r="AQ13" i="9"/>
  <c r="AQ14" i="9" s="1"/>
  <c r="AR12" i="9"/>
  <c r="AR7" i="9"/>
  <c r="AS5" i="9"/>
  <c r="AR4" i="9"/>
  <c r="AQ40" i="9" s="1"/>
  <c r="AG25" i="9"/>
  <c r="AP40" i="9"/>
  <c r="AQ15" i="9"/>
  <c r="AR6" i="9"/>
  <c r="AR9" i="9"/>
  <c r="AH21" i="9"/>
  <c r="AI33" i="9"/>
  <c r="AH37" i="9"/>
  <c r="AH20" i="9"/>
  <c r="AI32" i="9"/>
  <c r="AH30" i="9" a="1"/>
  <c r="AH30" i="9" s="1"/>
  <c r="AH19" i="9"/>
  <c r="AI31" i="9"/>
  <c r="AF27" i="9"/>
  <c r="AF26" i="9"/>
  <c r="AH22" i="9"/>
  <c r="AI34" i="9"/>
  <c r="AH24" i="9"/>
  <c r="AI36" i="9"/>
  <c r="AH23" i="9"/>
  <c r="AI35" i="9"/>
  <c r="AG44" i="9"/>
  <c r="AG18" i="9"/>
  <c r="AG38" i="9"/>
  <c r="AS7" i="9" l="1"/>
  <c r="AS10" i="9"/>
  <c r="AS11" i="9"/>
  <c r="AS12" i="9"/>
  <c r="AS6" i="9"/>
  <c r="AT5" i="9"/>
  <c r="AS4" i="9"/>
  <c r="AS9" i="9"/>
  <c r="AT9" i="9" s="1"/>
  <c r="AR13" i="9"/>
  <c r="AR14" i="9" s="1"/>
  <c r="AS8" i="9"/>
  <c r="AI22" i="9"/>
  <c r="AJ34" i="9"/>
  <c r="AG26" i="9"/>
  <c r="AG27" i="9"/>
  <c r="AH25" i="9"/>
  <c r="AI19" i="9"/>
  <c r="AJ31" i="9"/>
  <c r="AJ33" i="9"/>
  <c r="AI21" i="9"/>
  <c r="AH18" i="9"/>
  <c r="AH44" i="9"/>
  <c r="AH38" i="9"/>
  <c r="AI20" i="9"/>
  <c r="AJ32" i="9"/>
  <c r="AI37" i="9"/>
  <c r="AI30" i="9" a="1"/>
  <c r="AI30" i="9" s="1"/>
  <c r="AI23" i="9"/>
  <c r="AJ35" i="9"/>
  <c r="AI24" i="9"/>
  <c r="AJ36" i="9"/>
  <c r="AR15" i="9" l="1"/>
  <c r="AT11" i="9"/>
  <c r="AR40" i="9"/>
  <c r="AS13" i="9"/>
  <c r="AT8" i="9"/>
  <c r="AT12" i="9"/>
  <c r="AT7" i="9"/>
  <c r="AS15" i="9"/>
  <c r="AS14"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U6" i="9" l="1"/>
  <c r="AU8" i="9"/>
  <c r="AT13" i="9"/>
  <c r="AT14" i="9" s="1"/>
  <c r="AV5" i="9"/>
  <c r="AU4" i="9"/>
  <c r="AT40" i="9" s="1"/>
  <c r="AU9" i="9"/>
  <c r="AU7" i="9"/>
  <c r="AV7" i="9" s="1"/>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K25" i="9"/>
  <c r="AV9" i="9"/>
  <c r="AU13" i="9"/>
  <c r="AU14" i="9" s="1"/>
  <c r="AV8" i="9"/>
  <c r="AV6" i="9"/>
  <c r="AU15" i="9"/>
  <c r="AV12" i="9"/>
  <c r="AW5" i="9"/>
  <c r="AV4" i="9"/>
  <c r="AU40" i="9" s="1"/>
  <c r="AL23" i="9"/>
  <c r="AM35" i="9"/>
  <c r="AK18" i="9"/>
  <c r="AK38" i="9"/>
  <c r="AK44" i="9"/>
  <c r="AM32" i="9"/>
  <c r="AL20" i="9"/>
  <c r="AL37" i="9"/>
  <c r="AL30" i="9" a="1"/>
  <c r="AL30" i="9" s="1"/>
  <c r="AL19" i="9"/>
  <c r="AM31" i="9"/>
  <c r="AL21" i="9"/>
  <c r="AM33" i="9"/>
  <c r="AJ27" i="9"/>
  <c r="AJ26" i="9"/>
  <c r="AM36" i="9"/>
  <c r="AL24" i="9"/>
  <c r="AL22" i="9"/>
  <c r="AM34" i="9"/>
  <c r="AW9" i="9" l="1"/>
  <c r="AW12" i="9"/>
  <c r="AW4" i="9"/>
  <c r="AV40" i="9" s="1"/>
  <c r="AX5" i="9"/>
  <c r="AW10" i="9"/>
  <c r="AW8" i="9"/>
  <c r="AV13" i="9"/>
  <c r="AV15" i="9" s="1"/>
  <c r="AW6" i="9"/>
  <c r="AW7" i="9"/>
  <c r="AX7" i="9" s="1"/>
  <c r="AW11" i="9"/>
  <c r="AX11" i="9" s="1"/>
  <c r="AL18" i="9"/>
  <c r="AL38" i="9"/>
  <c r="AL44" i="9"/>
  <c r="AM22" i="9"/>
  <c r="AN34" i="9"/>
  <c r="AN32" i="9"/>
  <c r="AM20" i="9"/>
  <c r="AM37" i="9"/>
  <c r="AM30" i="9" a="1"/>
  <c r="AM30" i="9" s="1"/>
  <c r="AN36" i="9"/>
  <c r="AM24" i="9"/>
  <c r="AK27" i="9"/>
  <c r="AK26" i="9"/>
  <c r="AM19" i="9"/>
  <c r="AN31" i="9"/>
  <c r="AL25" i="9"/>
  <c r="AN35" i="9"/>
  <c r="AM23" i="9"/>
  <c r="AM21" i="9"/>
  <c r="AN33" i="9"/>
  <c r="AV14" i="9" l="1"/>
  <c r="AX12" i="9"/>
  <c r="AX9" i="9"/>
  <c r="AX10"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11" i="9" s="1"/>
  <c r="AZ5" i="9"/>
  <c r="AY4" i="9"/>
  <c r="AX40" i="9" s="1"/>
  <c r="AY8" i="9"/>
  <c r="AX13" i="9"/>
  <c r="AY9" i="9"/>
  <c r="AZ9" i="9" s="1"/>
  <c r="AY7" i="9"/>
  <c r="AZ7" i="9" s="1"/>
  <c r="AX15" i="9"/>
  <c r="AY6" i="9"/>
  <c r="AX14" i="9"/>
  <c r="AY10" i="9"/>
  <c r="AZ10" i="9" s="1"/>
  <c r="AY12" i="9"/>
  <c r="AN44" i="9"/>
  <c r="AN18" i="9"/>
  <c r="AN38" i="9"/>
  <c r="AO23" i="9"/>
  <c r="AP35" i="9"/>
  <c r="AO20" i="9"/>
  <c r="AO37" i="9"/>
  <c r="AP32" i="9"/>
  <c r="AO30" i="9" a="1"/>
  <c r="AO30" i="9" s="1"/>
  <c r="AO21" i="9"/>
  <c r="AP33" i="9"/>
  <c r="AM26" i="9"/>
  <c r="AM27" i="9"/>
  <c r="AO19" i="9"/>
  <c r="AP31" i="9"/>
  <c r="AP34" i="9"/>
  <c r="AO22" i="9"/>
  <c r="AN25" i="9"/>
  <c r="AP36" i="9"/>
  <c r="AO24" i="9"/>
  <c r="AZ12" i="9" l="1"/>
  <c r="AZ6" i="9"/>
  <c r="AY13" i="9"/>
  <c r="AY14" i="9" s="1"/>
  <c r="AZ8" i="9"/>
  <c r="BA5" i="9"/>
  <c r="BA7" i="9" s="1"/>
  <c r="AZ4" i="9"/>
  <c r="AY40" i="9" s="1"/>
  <c r="AP21" i="9"/>
  <c r="AQ33" i="9"/>
  <c r="AO38" i="9"/>
  <c r="AO18" i="9"/>
  <c r="AO44" i="9"/>
  <c r="AP20" i="9"/>
  <c r="AQ32" i="9"/>
  <c r="AP37" i="9"/>
  <c r="AP30" i="9" a="1"/>
  <c r="AP30" i="9" s="1"/>
  <c r="AQ36" i="9"/>
  <c r="AP24" i="9"/>
  <c r="AO25" i="9"/>
  <c r="AQ35" i="9"/>
  <c r="AP23" i="9"/>
  <c r="AP22" i="9"/>
  <c r="AQ34" i="9"/>
  <c r="AQ31" i="9"/>
  <c r="AP19" i="9"/>
  <c r="AN26" i="9"/>
  <c r="AN27" i="9"/>
  <c r="AY15" i="9" l="1"/>
  <c r="BA11" i="9"/>
  <c r="BA10" i="9"/>
  <c r="AZ13" i="9"/>
  <c r="BA8" i="9"/>
  <c r="BA12" i="9"/>
  <c r="BB5" i="9"/>
  <c r="BA4" i="9"/>
  <c r="AZ40" i="9" s="1"/>
  <c r="BA9" i="9"/>
  <c r="BB9" i="9" s="1"/>
  <c r="BA6" i="9"/>
  <c r="AZ14" i="9"/>
  <c r="AZ15" i="9"/>
  <c r="AP25" i="9"/>
  <c r="AQ24" i="9"/>
  <c r="AR36" i="9"/>
  <c r="AQ21" i="9"/>
  <c r="AR33" i="9"/>
  <c r="AP18" i="9"/>
  <c r="AP38" i="9"/>
  <c r="AP44" i="9"/>
  <c r="AQ20" i="9"/>
  <c r="AQ25" i="9" s="1"/>
  <c r="AQ37" i="9"/>
  <c r="AR32" i="9"/>
  <c r="AQ30" i="9" a="1"/>
  <c r="AQ30" i="9" s="1"/>
  <c r="AQ19" i="9"/>
  <c r="AR31" i="9"/>
  <c r="AQ22" i="9"/>
  <c r="AR34" i="9"/>
  <c r="AO26" i="9"/>
  <c r="AO27" i="9"/>
  <c r="AQ23" i="9"/>
  <c r="AR35" i="9"/>
  <c r="BB12" i="9" l="1"/>
  <c r="BB8" i="9"/>
  <c r="BA13" i="9"/>
  <c r="BA14" i="9" s="1"/>
  <c r="BC5" i="9"/>
  <c r="BB4" i="9"/>
  <c r="BA40" i="9" s="1"/>
  <c r="BB6" i="9"/>
  <c r="BB11" i="9"/>
  <c r="BB10" i="9"/>
  <c r="BC10" i="9" s="1"/>
  <c r="BB7" i="9"/>
  <c r="BC7" i="9" s="1"/>
  <c r="AQ18" i="9"/>
  <c r="AQ38" i="9"/>
  <c r="AQ44" i="9"/>
  <c r="AS35" i="9"/>
  <c r="AR23" i="9"/>
  <c r="AP26" i="9"/>
  <c r="AP27" i="9"/>
  <c r="AR21" i="9"/>
  <c r="AS33" i="9"/>
  <c r="AR22" i="9"/>
  <c r="AS34" i="9"/>
  <c r="AR19" i="9"/>
  <c r="AS31" i="9"/>
  <c r="AR20" i="9"/>
  <c r="AS32" i="9"/>
  <c r="AR37" i="9"/>
  <c r="AR30" i="9" a="1"/>
  <c r="AR30" i="9" s="1"/>
  <c r="AR24" i="9"/>
  <c r="AS36" i="9"/>
  <c r="BC12" i="9" l="1"/>
  <c r="BA15" i="9"/>
  <c r="BC11" i="9"/>
  <c r="BC6" i="9"/>
  <c r="BD5" i="9"/>
  <c r="BD7" i="9" s="1"/>
  <c r="BC4" i="9"/>
  <c r="BB40" i="9" s="1"/>
  <c r="BC8" i="9"/>
  <c r="BB13" i="9"/>
  <c r="BB14" i="9" s="1"/>
  <c r="BC9" i="9"/>
  <c r="BD9" i="9" s="1"/>
  <c r="AT34" i="9"/>
  <c r="AS22" i="9"/>
  <c r="AT33" i="9"/>
  <c r="AS21" i="9"/>
  <c r="AS24" i="9"/>
  <c r="AT36" i="9"/>
  <c r="AT32" i="9"/>
  <c r="AS20" i="9"/>
  <c r="AS37" i="9"/>
  <c r="AS30" i="9" a="1"/>
  <c r="AS30" i="9" s="1"/>
  <c r="AR25" i="9"/>
  <c r="AR38" i="9"/>
  <c r="AR44" i="9"/>
  <c r="AR18" i="9"/>
  <c r="AT35" i="9"/>
  <c r="AS23" i="9"/>
  <c r="AT31" i="9"/>
  <c r="AS19" i="9"/>
  <c r="AQ26" i="9"/>
  <c r="AQ27" i="9"/>
  <c r="BD11" i="9" l="1"/>
  <c r="BB15" i="9"/>
  <c r="BC13" i="9"/>
  <c r="BC14" i="9" s="1"/>
  <c r="BD8" i="9"/>
  <c r="AS25" i="9"/>
  <c r="BD4" i="9"/>
  <c r="BC40" i="9" s="1"/>
  <c r="BE5" i="9"/>
  <c r="BE11" i="9" s="1"/>
  <c r="BD6" i="9"/>
  <c r="BC15" i="9"/>
  <c r="BD10" i="9"/>
  <c r="BE10" i="9" s="1"/>
  <c r="BE9" i="9"/>
  <c r="BE7" i="9"/>
  <c r="BD12" i="9"/>
  <c r="AS18" i="9"/>
  <c r="AS38" i="9"/>
  <c r="AS44" i="9"/>
  <c r="AT20" i="9"/>
  <c r="AU32" i="9"/>
  <c r="AT37" i="9"/>
  <c r="AT30" i="9" a="1"/>
  <c r="AT30" i="9" s="1"/>
  <c r="AT24" i="9"/>
  <c r="AU36" i="9"/>
  <c r="AT19" i="9"/>
  <c r="AU31" i="9"/>
  <c r="AT23" i="9"/>
  <c r="AU35" i="9"/>
  <c r="AT21" i="9"/>
  <c r="AU33" i="9"/>
  <c r="AR27" i="9"/>
  <c r="AR26" i="9"/>
  <c r="AU34" i="9"/>
  <c r="AT22" i="9"/>
  <c r="BE6" i="9" l="1"/>
  <c r="BD13" i="9"/>
  <c r="BD14" i="9" s="1"/>
  <c r="BE8" i="9"/>
  <c r="BF5" i="9"/>
  <c r="BE4" i="9"/>
  <c r="BD40" i="9" s="1"/>
  <c r="BE12" i="9"/>
  <c r="BF12" i="9" s="1"/>
  <c r="AU24" i="9"/>
  <c r="AV36" i="9"/>
  <c r="AV33" i="9"/>
  <c r="AU21" i="9"/>
  <c r="AU19" i="9"/>
  <c r="AV31" i="9"/>
  <c r="AU20" i="9"/>
  <c r="AU37" i="9"/>
  <c r="AV32" i="9"/>
  <c r="AU30" i="9" a="1"/>
  <c r="AU30" i="9" s="1"/>
  <c r="AT44" i="9"/>
  <c r="AT38" i="9"/>
  <c r="AT18" i="9"/>
  <c r="AV34" i="9"/>
  <c r="AU22" i="9"/>
  <c r="AT25" i="9"/>
  <c r="AU23" i="9"/>
  <c r="AV35" i="9"/>
  <c r="AS27" i="9"/>
  <c r="AS26" i="9"/>
  <c r="BD15" i="9" l="1"/>
  <c r="BF11" i="9"/>
  <c r="BG5" i="9"/>
  <c r="BF4" i="9"/>
  <c r="BE40" i="9" s="1"/>
  <c r="BF8" i="9"/>
  <c r="BE13" i="9"/>
  <c r="AU25" i="9"/>
  <c r="BF7" i="9"/>
  <c r="BG7" i="9" s="1"/>
  <c r="BF9" i="9"/>
  <c r="BG9" i="9" s="1"/>
  <c r="BE15" i="9"/>
  <c r="BF6" i="9"/>
  <c r="BE14" i="9"/>
  <c r="BF10" i="9"/>
  <c r="AW33" i="9"/>
  <c r="AV21" i="9"/>
  <c r="AW32" i="9"/>
  <c r="AV20" i="9"/>
  <c r="AV37" i="9"/>
  <c r="AV30" i="9" a="1"/>
  <c r="AV30" i="9" s="1"/>
  <c r="AV23" i="9"/>
  <c r="AW35" i="9"/>
  <c r="AV24" i="9"/>
  <c r="AW36" i="9"/>
  <c r="AU18" i="9"/>
  <c r="AU38" i="9"/>
  <c r="AU44" i="9"/>
  <c r="AV19" i="9"/>
  <c r="AW31" i="9"/>
  <c r="AW34" i="9"/>
  <c r="AV22" i="9"/>
  <c r="AT26" i="9"/>
  <c r="AT27" i="9"/>
  <c r="BG11" i="9" l="1"/>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F15" i="9"/>
  <c r="BH12" i="9"/>
  <c r="BH7" i="9"/>
  <c r="BI5" i="9"/>
  <c r="BI11" i="9" s="1"/>
  <c r="BH4" i="9"/>
  <c r="BG40" i="9" s="1"/>
  <c r="BH8" i="9"/>
  <c r="BG13" i="9"/>
  <c r="BH10" i="9"/>
  <c r="BG15" i="9"/>
  <c r="BH6" i="9"/>
  <c r="BG14" i="9"/>
  <c r="BH9" i="9"/>
  <c r="BI9" i="9" s="1"/>
  <c r="AV26" i="9"/>
  <c r="AV27" i="9"/>
  <c r="AY33" i="9"/>
  <c r="AX21" i="9"/>
  <c r="AX24" i="9"/>
  <c r="AY36" i="9"/>
  <c r="AW25" i="9"/>
  <c r="AX23" i="9"/>
  <c r="AY35" i="9"/>
  <c r="AW38" i="9"/>
  <c r="AW18" i="9"/>
  <c r="AW44" i="9"/>
  <c r="AY31" i="9"/>
  <c r="AX19" i="9"/>
  <c r="AX37" i="9"/>
  <c r="AX20" i="9"/>
  <c r="AY32" i="9"/>
  <c r="AX30" i="9" a="1"/>
  <c r="AX30" i="9" s="1"/>
  <c r="AX22" i="9"/>
  <c r="AY34" i="9"/>
  <c r="BI10" i="9" l="1"/>
  <c r="BI7" i="9"/>
  <c r="BI12" i="9"/>
  <c r="BH13" i="9"/>
  <c r="BH14" i="9" s="1"/>
  <c r="BI8" i="9"/>
  <c r="BH15" i="9"/>
  <c r="BI6" i="9"/>
  <c r="BI4" i="9"/>
  <c r="BH40" i="9" s="1"/>
  <c r="BJ5" i="9"/>
  <c r="BJ12" i="9" s="1"/>
  <c r="AZ35" i="9"/>
  <c r="AY23" i="9"/>
  <c r="AY22" i="9"/>
  <c r="AZ34" i="9"/>
  <c r="AZ36" i="9"/>
  <c r="AY24" i="9"/>
  <c r="AX25" i="9"/>
  <c r="AZ33" i="9"/>
  <c r="AY21" i="9"/>
  <c r="AW27" i="9"/>
  <c r="AW26" i="9"/>
  <c r="AX44" i="9"/>
  <c r="AX18" i="9"/>
  <c r="AX38" i="9"/>
  <c r="AY20" i="9"/>
  <c r="AZ32" i="9"/>
  <c r="AY37" i="9"/>
  <c r="AY30" i="9" a="1"/>
  <c r="AY30" i="9" s="1"/>
  <c r="AY19" i="9"/>
  <c r="AZ31" i="9"/>
  <c r="BJ7" i="9" l="1"/>
  <c r="BJ9" i="9"/>
  <c r="BJ11" i="9"/>
  <c r="BJ10" i="9"/>
  <c r="BK5" i="9"/>
  <c r="BK12" i="9" s="1"/>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1" i="9" l="1"/>
  <c r="BI15" i="9"/>
  <c r="BK10" i="9"/>
  <c r="BJ13" i="9"/>
  <c r="BJ14" i="9" s="1"/>
  <c r="BK8" i="9"/>
  <c r="BK6" i="9"/>
  <c r="BJ15" i="9"/>
  <c r="BL5" i="9"/>
  <c r="BL4" i="9" s="1"/>
  <c r="D11"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D12" i="10" l="1"/>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N11" i="10" l="1"/>
  <c r="M11" i="10"/>
  <c r="BL13" i="9"/>
  <c r="BL15" i="9" s="1"/>
  <c r="BK15" i="9"/>
  <c r="K11" i="10"/>
  <c r="L11" i="10" s="1"/>
  <c r="BC24" i="9"/>
  <c r="BD36" i="9"/>
  <c r="BB44" i="9"/>
  <c r="BB18" i="9"/>
  <c r="BB38" i="9"/>
  <c r="BB25" i="9"/>
  <c r="BA27" i="9"/>
  <c r="BA26" i="9"/>
  <c r="BC20" i="9"/>
  <c r="BD32" i="9"/>
  <c r="BC37" i="9"/>
  <c r="BC30" i="9" a="1"/>
  <c r="BC30" i="9" s="1"/>
  <c r="BC21" i="9"/>
  <c r="BD33" i="9"/>
  <c r="BC23" i="9"/>
  <c r="BD35" i="9"/>
  <c r="BC22" i="9"/>
  <c r="BD34" i="9"/>
  <c r="BC19" i="9"/>
  <c r="BD31" i="9"/>
  <c r="BL14" i="9" l="1"/>
  <c r="BC2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30" i="9" a="1"/>
  <c r="BF30" i="9" s="1"/>
  <c r="BE25" i="9"/>
  <c r="BF22" i="9"/>
  <c r="BG34" i="9"/>
  <c r="BD26" i="9"/>
  <c r="BD27" i="9"/>
  <c r="BE38" i="9"/>
  <c r="BE44" i="9"/>
  <c r="BE18" i="9"/>
  <c r="BF25" i="9" l="1"/>
  <c r="BF38" i="9"/>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<sst xmlns="http://schemas.openxmlformats.org/spreadsheetml/2006/main" count="533" uniqueCount="314">
  <si>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</si>
  <si>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</si>
  <si>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</si>
  <si>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</si>
  <si>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</si>
  <si>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</si>
  <si>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</si>
  <si>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</si>
  <si>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</si>
  <si>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</si>
  <si>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</si>
  <si>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</si>
  <si>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</si>
  <si>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</si>
  <si>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</si>
  <si>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</si>
  <si>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</si>
  <si>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</si>
  <si>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</si>
  <si>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</si>
  <si>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</si>
  <si>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</si>
  <si>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</si>
  <si>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</si>
  <si>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</si>
  <si>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</si>
  <si>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</si>
  <si>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</si>
  <si>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</si>
  <si>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</si>
  <si>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</si>
  <si>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</si>
  <si>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</si>
  <si>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</si>
  <si>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</si>
  <si>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</si>
  <si>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</si>
  <si>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</si>
  <si>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</si>
  <si>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</si>
  <si>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</si>
  <si>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</si>
  <si>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</si>
  <si>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</si>
  <si>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</si>
  <si>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</si>
  <si>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</si>
  <si>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</si>
  <si>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</si>
  <si>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</si>
  <si>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</si>
  <si>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</si>
  <si>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</si>
  <si>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</si>
  <si>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</si>
  <si>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</si>
  <si>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</si>
  <si>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</si>
  <si>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</si>
  <si>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</si>
  <si>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</si>
  <si>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</si>
  <si>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</si>
  <si>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</si>
  <si>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</si>
  <si>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</si>
  <si>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</si>
  <si>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</si>
  <si>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</si>
  <si>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</si>
  <si>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</si>
  <si>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</si>
  <si>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</si>
  <si>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</si>
  <si>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</si>
  <si>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</si>
  <si>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</si>
  <si>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</si>
  <si>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</si>
  <si>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</si>
  <si>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</si>
  <si>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</si>
  <si>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</si>
  <si>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</si>
  <si>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</si>
  <si>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</si>
  <si>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</si>
  <si>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</si>
  <si>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</si>
  <si>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</si>
  <si>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</si>
  <si>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</si>
  <si>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</si>
  <si>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</si>
  <si>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</si>
  <si>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</si>
  <si>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</si>
  <si>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</si>
  <si>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</si>
  <si>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</si>
  <si>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</si>
  <si>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</si>
  <si>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</si>
  <si>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</si>
  <si>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</si>
  <si>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</si>
  <si>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</si>
  <si>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</si>
  <si>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</si>
  <si>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</si>
  <si>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</si>
  <si>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</si>
  <si>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</si>
  <si>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</si>
  <si>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</si>
  <si>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</si>
  <si>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</si>
  <si>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</si>
  <si>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</si>
  <si>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</si>
  <si>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</si>
  <si>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</si>
  <si>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</si>
  <si>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</si>
  <si>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</si>
  <si>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</si>
  <si>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</si>
  <si>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</si>
  <si>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 El coste de RECURSOS planificado es mayor que el de la BASELINE</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</si>
  <si>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</si>
  <si>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</si>
  <si>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</si>
  <si>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</si>
  <si>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</si>
  <si>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</si>
  <si>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</si>
  <si>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</si>
  <si>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</si>
  <si>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</si>
  <si>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</si>
  <si>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 El coste de GASTOS planificado es mayor que el de la BASELINE</t>
  </si>
  <si>
    <t>TIPO GASTO</t>
  </si>
  <si>
    <t>DESCRIPCION GASTO</t>
  </si>
  <si>
    <t xml:space="preserve">INFORMACION ADICIONAL </t>
  </si>
  <si>
    <t>Salaries varios (becas,…)</t>
  </si>
  <si>
    <t>Travelling Expenses</t>
  </si>
  <si>
    <t>Otros</t>
  </si>
  <si>
    <t>TOTAL GASTOS</t>
  </si>
  <si>
    <t xml:space="preserve">COSTE TOTAL COMPRAS BASELINE </t>
  </si>
  <si>
    <t>(!) El coste de COMPRAS planificado es mayor que el de la BASELINE</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</si>
  <si>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</si>
  <si>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</si>
  <si>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</si>
  <si>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</si>
  <si>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</si>
  <si>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</si>
  <si>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</si>
  <si>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</si>
  <si>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</si>
  <si>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</si>
  <si>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</si>
  <si>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</si>
  <si>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</si>
  <si>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</si>
  <si>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</si>
  <si>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</si>
  <si>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</si>
  <si>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</si>
  <si>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</si>
  <si>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</si>
  <si>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</si>
  <si>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</si>
  <si>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</si>
  <si>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</si>
  <si>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</si>
  <si>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</si>
  <si>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</si>
  <si>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</si>
  <si>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</si>
  <si>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</si>
  <si>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</si>
  <si>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</si>
  <si>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</si>
  <si>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</si>
  <si>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</si>
  <si>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</si>
  <si>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</si>
  <si>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</si>
  <si>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</si>
  <si>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</si>
  <si>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</si>
  <si>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</si>
  <si>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</si>
  <si>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</si>
  <si>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</si>
  <si>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</si>
  <si>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</si>
  <si>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</si>
  <si>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</si>
  <si>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</si>
  <si>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</si>
  <si>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</si>
  <si>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</si>
  <si>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</si>
  <si>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</si>
  <si>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</si>
  <si>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</si>
  <si>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</si>
  <si>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</si>
  <si>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</si>
  <si>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</si>
  <si>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</si>
  <si>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</si>
  <si>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</si>
  <si>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</si>
  <si>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</si>
  <si>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</si>
  <si>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</si>
  <si>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</si>
  <si>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</si>
  <si>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</si>
  <si>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</si>
  <si>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</si>
  <si>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</si>
  <si>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</si>
  <si>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</si>
  <si>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</si>
  <si>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</si>
  <si>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</si>
  <si>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</si>
  <si>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</si>
  <si>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</si>
  <si>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</si>
  <si>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</si>
  <si>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</si>
  <si>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</si>
  <si>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</si>
  <si>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</si>
  <si>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</si>
  <si>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</si>
  <si>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</si>
  <si>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</si>
  <si>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</si>
  <si>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</si>
  <si>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</si>
  <si>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</si>
  <si>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</si>
  <si>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</si>
  <si>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</si>
  <si>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</si>
  <si>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</si>
  <si>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</si>
  <si>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</si>
  <si>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</si>
  <si>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</si>
  <si>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</si>
  <si>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</si>
  <si>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</si>
  <si>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</si>
  <si>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</si>
  <si>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</si>
  <si>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</si>
  <si>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</si>
  <si>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</si>
  <si>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</si>
  <si>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</si>
  <si>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</si>
  <si>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</si>
  <si>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</si>
  <si>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</si>
  <si>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</si>
  <si>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</si>
  <si>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</si>
  <si>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</si>
  <si>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</si>
  <si>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</si>
  <si>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Software Development</t>
  </si>
  <si>
    <t>CUST-GAP-TEST</t>
  </si>
  <si>
    <t>GAP</t>
  </si>
  <si>
    <t>SLFC 20250256445</t>
  </si>
  <si>
    <t>SO-TEST-20250256445</t>
  </si>
  <si>
    <t>E90001</t>
  </si>
  <si>
    <t>PM Test</t>
  </si>
  <si>
    <t>E90002</t>
  </si>
  <si>
    <t>Practice Leader Test</t>
  </si>
  <si>
    <t>E90003</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</si>
  <si>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</si>
  <si>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</si>
  <si>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</si>
  <si>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</si>
  <si>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</si>
  <si>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</si>
  <si>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</si>
  <si>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</si>
  <si>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</si>
  <si>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</si>
  <si>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</si>
  <si>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</si>
  <si>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</si>
  <si>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</si>
  <si>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</si>
  <si>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</si>
  <si>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</si>
  <si>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</si>
  <si>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</si>
  <si>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</si>
  <si>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Coste no disponible</t>
  </si>
  <si>
    <t>Agencia de Viajes</t>
  </si>
  <si>
    <t>PPO</t>
  </si>
  <si>
    <t>Expenses/Gastos</t>
  </si>
  <si>
    <t>Proveedor Test</t>
  </si>
  <si>
    <t>Trabajos on site</t>
  </si>
  <si>
    <t>PO-TEST-001</t>
  </si>
  <si>
    <t>ARIBA-TEST-001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</si>
</sst>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5"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
      <sz val="11"/>
      <color rgb="FFFF0000"/>
      <name val="Calibri"/>
      <family val="2"/>
      <scheme val="minor"/>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2">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54" fillId="0" borderId="0" xfId="0" applyFont="1"/>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3" borderId="4" xfId="0" applyFont="1" applyFill="1" applyBorder="1" applyAlignment="1" applyProtection="1">
      <alignment horizontal="left" vertical="center"/>
      <protection locked="0"/>
    </xf>
    <xf numFmtId="0" fontId="11" fillId="7" borderId="3" xfId="0" applyFont="1" applyFill="1" applyBorder="1" applyAlignment="1">
      <alignment horizontal="left" vertical="center" wrapText="1"/>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1" t="s">
        <v>0</v>
      </c>
      <c r="C3" s="291"/>
      <c r="D3" s="291"/>
    </row>
    <row r="4" spans="2:16" ht="21" customHeight="1" thickBot="1" x14ac:dyDescent="0.35">
      <c r="B4" s="63"/>
      <c r="C4" s="64"/>
      <c r="D4" s="65"/>
      <c r="E4" s="65"/>
      <c r="F4" s="72"/>
      <c r="G4" s="67"/>
    </row>
    <row r="5" spans="2:16" ht="21" customHeight="1" thickBot="1" x14ac:dyDescent="0.35">
      <c r="B5" s="66" t="s">
        <v>1</v>
      </c>
      <c r="C5" s="59">
        <v>46153</v>
      </c>
      <c r="D5" s="67"/>
      <c r="E5" s="65"/>
      <c r="F5" s="72"/>
      <c r="G5" s="67"/>
    </row>
    <row r="6" spans="2:16" ht="18" customHeight="1" x14ac:dyDescent="0.3">
      <c r="B6" s="71" t="s">
        <v>2</v>
      </c>
      <c r="C6" s="191">
        <f>DATE(IF(EXACT(MONTH(EDATE(C5,0)),"12"),YEAR(C5)+1,YEAR(C5)),MONTH(EDATE(C5,1)),1)</f>
        <v>46174</v>
      </c>
      <c r="D6" s="68">
        <f>DATE(YEAR(C6),MONTH(C6),1)</f>
        <v>46174</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274</v>
      </c>
      <c r="D10" s="235"/>
      <c r="H10" s="29"/>
      <c r="I10" s="29"/>
      <c r="J10" s="29"/>
      <c r="K10" s="29"/>
      <c r="L10" s="29"/>
      <c r="M10" s="29"/>
      <c r="N10" s="29"/>
      <c r="O10" s="29"/>
      <c r="P10" s="29"/>
    </row>
    <row r="11" spans="2:16" ht="18" customHeight="1" x14ac:dyDescent="0.3">
      <c r="B11" s="71" t="s">
        <v>6</v>
      </c>
      <c r="C11" s="295" t="s">
        <v>275</v>
      </c>
      <c r="D11" s="295"/>
      <c r="E11" s="295"/>
      <c r="F11" s="295"/>
      <c r="G11" s="295"/>
      <c r="H11" s="29"/>
      <c r="I11" s="29"/>
      <c r="J11" s="29"/>
      <c r="K11" s="29"/>
      <c r="L11" s="29"/>
      <c r="M11" s="29"/>
      <c r="N11" s="29"/>
      <c r="O11" s="29"/>
      <c r="P11" s="29"/>
    </row>
    <row r="12" spans="2:16" ht="18" customHeight="1" x14ac:dyDescent="0.3">
      <c r="B12" s="71" t="s">
        <v>7</v>
      </c>
      <c r="C12" s="292" t="s">
        <v>276</v>
      </c>
      <c r="D12" s="292"/>
      <c r="H12" s="29"/>
      <c r="I12" s="29"/>
      <c r="J12" s="29"/>
      <c r="K12" s="29"/>
      <c r="L12" s="29"/>
      <c r="M12" s="29"/>
      <c r="N12" s="29"/>
      <c r="O12" s="29"/>
      <c r="P12" s="29"/>
    </row>
    <row r="13" spans="2:16" ht="18" customHeight="1" x14ac:dyDescent="0.3">
      <c r="B13" s="71" t="s">
        <v>8</v>
      </c>
      <c r="C13" s="293"/>
      <c r="D13" s="294"/>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t="s">
        <v>277</v>
      </c>
      <c r="D16" s="16" t="s">
        <v>278</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279</v>
      </c>
      <c r="D18" s="16"/>
      <c r="E18" s="29"/>
      <c r="F18" s="29"/>
      <c r="G18" s="29"/>
      <c r="H18" s="29"/>
      <c r="I18" s="29"/>
      <c r="J18" s="29"/>
      <c r="K18" s="29"/>
      <c r="L18" s="29"/>
      <c r="M18" s="29"/>
      <c r="N18" s="29"/>
      <c r="O18" s="29"/>
      <c r="P18" s="29"/>
    </row>
    <row r="19" spans="2:16" ht="18" customHeight="1" x14ac:dyDescent="0.3">
      <c r="B19" s="71" t="s">
        <v>13</v>
      </c>
      <c r="C19" s="183" t="s">
        <v>280</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t="s">
        <v>281</v>
      </c>
      <c r="D22" s="16" t="s">
        <v>282</v>
      </c>
      <c r="E22" s="75"/>
      <c r="F22" s="187"/>
      <c r="G22" s="187"/>
      <c r="H22" s="29"/>
      <c r="I22" s="29"/>
      <c r="J22" s="29"/>
      <c r="K22" s="29"/>
      <c r="L22" s="29"/>
      <c r="M22" s="29"/>
      <c r="N22" s="29"/>
      <c r="O22" s="29"/>
      <c r="P22" s="29"/>
    </row>
    <row r="23" spans="2:16" ht="18" customHeight="1" x14ac:dyDescent="0.3">
      <c r="B23" s="71" t="s">
        <v>17</v>
      </c>
      <c r="C23" s="16" t="s">
        <v>283</v>
      </c>
      <c r="D23" s="17" t="s">
        <v>284</v>
      </c>
      <c r="E23" s="75"/>
      <c r="F23" s="187"/>
      <c r="G23" s="187"/>
      <c r="H23" s="29"/>
      <c r="I23" s="29"/>
      <c r="J23" s="29"/>
      <c r="K23" s="29"/>
      <c r="L23" s="29"/>
      <c r="M23" s="29"/>
      <c r="N23" s="29"/>
      <c r="O23" s="29"/>
      <c r="P23" s="29"/>
    </row>
    <row r="24" spans="2:16" ht="18" customHeight="1" x14ac:dyDescent="0.3">
      <c r="B24" s="71" t="s">
        <v>18</v>
      </c>
      <c r="C24" s="17" t="s">
        <v>285</v>
      </c>
      <c r="D24" s="184" t="s">
        <v>286</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88"/>
      <c r="C41" s="289"/>
      <c r="D41" s="290"/>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88"/>
      <c r="C57" s="289"/>
      <c r="D57" s="290"/>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270</v>
      </c>
      <c r="C61" s="29"/>
      <c r="D61" s="29"/>
      <c r="E61" s="29"/>
      <c r="F61" s="29"/>
      <c r="G61" s="29"/>
      <c r="H61" s="29"/>
      <c r="I61" s="29"/>
      <c r="J61" s="29"/>
      <c r="K61" s="29"/>
      <c r="L61" s="29"/>
      <c r="M61" s="29"/>
      <c r="N61" s="29"/>
      <c r="O61" s="29"/>
      <c r="P61" s="29"/>
    </row>
    <row r="62" spans="2:16" ht="12.75" hidden="1" customHeight="1" x14ac:dyDescent="0.3">
      <c r="B62" s="26" t="s">
        <v>267</v>
      </c>
      <c r="C62" s="29"/>
      <c r="D62" s="29"/>
      <c r="E62" s="29"/>
      <c r="F62" s="29"/>
      <c r="G62" s="29"/>
      <c r="H62" s="29"/>
      <c r="I62" s="29"/>
      <c r="J62" s="29"/>
      <c r="K62" s="29"/>
      <c r="L62" s="29"/>
      <c r="M62" s="29"/>
      <c r="N62" s="29"/>
      <c r="O62" s="29"/>
      <c r="P62" s="29"/>
    </row>
    <row r="63" spans="2:16" hidden="1" x14ac:dyDescent="0.3">
      <c r="B63" s="26" t="s">
        <v>269</v>
      </c>
    </row>
    <row r="64" spans="2:16" ht="12.75" hidden="1" customHeight="1" x14ac:dyDescent="0.3">
      <c r="B64" s="26" t="s">
        <v>268</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273</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272</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271</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0" t="s">
        <v>50</v>
      </c>
      <c r="C5" s="300"/>
      <c r="D5" s="300"/>
      <c r="E5" s="300"/>
      <c r="F5" s="300"/>
      <c r="G5" s="300"/>
      <c r="H5" s="300"/>
      <c r="I5" s="300"/>
      <c r="J5" s="300"/>
      <c r="K5" s="300"/>
      <c r="L5" s="300"/>
      <c r="M5" s="300"/>
      <c r="N5" s="300"/>
      <c r="O5" s="300"/>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1" t="s">
        <v>68</v>
      </c>
      <c r="C7" s="302"/>
      <c r="D7" s="302"/>
      <c r="E7" s="302"/>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3" t="s">
        <v>69</v>
      </c>
      <c r="C8" s="303"/>
      <c r="D8" s="303"/>
      <c r="E8" s="303"/>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0" t="s">
        <v>70</v>
      </c>
      <c r="C10" s="300"/>
      <c r="D10" s="300"/>
      <c r="E10" s="300"/>
      <c r="F10" s="300"/>
      <c r="G10" s="300"/>
      <c r="H10" s="300"/>
      <c r="I10" s="300"/>
      <c r="J10" s="300"/>
      <c r="K10" s="300"/>
      <c r="L10" s="300"/>
      <c r="M10" s="300"/>
      <c r="N10" s="300"/>
      <c r="O10" s="300"/>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0" t="s">
        <v>77</v>
      </c>
      <c r="C14" s="300"/>
      <c r="D14" s="300"/>
      <c r="E14" s="300"/>
      <c r="F14" s="300"/>
      <c r="G14" s="300"/>
      <c r="H14" s="300"/>
      <c r="I14" s="300"/>
      <c r="J14" s="300"/>
      <c r="K14" s="300"/>
      <c r="L14" s="300"/>
      <c r="M14" s="300"/>
      <c r="N14" s="300"/>
      <c r="O14" s="300"/>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299" t="s">
        <v>84</v>
      </c>
      <c r="C36" s="299"/>
      <c r="D36" s="299"/>
      <c r="E36" s="299"/>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299" t="s">
        <v>85</v>
      </c>
      <c r="C37" s="299"/>
      <c r="D37" s="299"/>
      <c r="E37" s="299"/>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96" t="s">
        <v>87</v>
      </c>
      <c r="C49" s="297"/>
      <c r="D49" s="297"/>
      <c r="E49" s="297"/>
      <c r="F49" s="297"/>
      <c r="G49" s="297"/>
      <c r="H49" s="297"/>
      <c r="I49" s="297"/>
      <c r="J49" s="298"/>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287</v>
      </c>
      <c r="C7" t="s">
        <v>288</v>
      </c>
      <c r="D7" t="s">
        <v>93</v>
      </c>
      <c r="E7" t="s">
        <v>289</v>
      </c>
      <c r="F7" s="287" t="s">
        <v>306</v>
      </c>
      <c r="G7" s="287" t="s">
        <v>306</v>
      </c>
      <c r="H7" s="287" t="s">
        <v>306</v>
      </c>
      <c r="I7" s="287" t="s">
        <v>306</v>
      </c>
      <c r="J7" s="287" t="s">
        <v>306</v>
      </c>
      <c r="K7" s="287" t="s">
        <v>306</v>
      </c>
      <c r="L7" s="287" t="s">
        <v>306</v>
      </c>
      <c r="M7" s="287" t="s">
        <v>306</v>
      </c>
      <c r="N7" s="287" t="s">
        <v>306</v>
      </c>
      <c r="O7" s="287" t="s">
        <v>306</v>
      </c>
      <c r="P7" s="287" t="s">
        <v>306</v>
      </c>
      <c r="Q7" s="287" t="s">
        <v>306</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290</v>
      </c>
      <c r="C8" t="s">
        <v>291</v>
      </c>
      <c r="D8" t="s">
        <v>91</v>
      </c>
      <c r="E8" t="s">
        <v>292</v>
      </c>
      <c r="F8" s="287" t="s">
        <v>306</v>
      </c>
      <c r="G8" s="287" t="s">
        <v>306</v>
      </c>
      <c r="H8" s="287" t="s">
        <v>306</v>
      </c>
      <c r="I8" s="287" t="s">
        <v>306</v>
      </c>
      <c r="J8" s="287" t="s">
        <v>306</v>
      </c>
      <c r="K8" s="287" t="s">
        <v>306</v>
      </c>
      <c r="L8" s="287" t="s">
        <v>306</v>
      </c>
      <c r="M8" s="287" t="s">
        <v>306</v>
      </c>
      <c r="N8" s="287" t="s">
        <v>306</v>
      </c>
      <c r="O8" s="287" t="s">
        <v>306</v>
      </c>
      <c r="P8" s="287" t="s">
        <v>306</v>
      </c>
      <c r="Q8" s="287" t="s">
        <v>306</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293</v>
      </c>
      <c r="C9" t="s">
        <v>294</v>
      </c>
      <c r="D9" t="s">
        <v>91</v>
      </c>
      <c r="E9" t="s">
        <v>295</v>
      </c>
      <c r="F9" s="287" t="s">
        <v>306</v>
      </c>
      <c r="G9" s="287" t="s">
        <v>306</v>
      </c>
      <c r="H9" s="287" t="s">
        <v>306</v>
      </c>
      <c r="I9" s="287" t="s">
        <v>306</v>
      </c>
      <c r="J9" s="287" t="s">
        <v>306</v>
      </c>
      <c r="K9" s="287" t="s">
        <v>306</v>
      </c>
      <c r="L9" s="287" t="s">
        <v>306</v>
      </c>
      <c r="M9" s="287" t="s">
        <v>306</v>
      </c>
      <c r="N9" s="287" t="s">
        <v>306</v>
      </c>
      <c r="O9" s="287" t="s">
        <v>306</v>
      </c>
      <c r="P9" s="287" t="s">
        <v>306</v>
      </c>
      <c r="Q9" s="287" t="s">
        <v>306</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296</v>
      </c>
      <c r="C10" t="s">
        <v>297</v>
      </c>
      <c r="D10" t="s">
        <v>91</v>
      </c>
      <c r="E10" t="s">
        <v>109</v>
      </c>
      <c r="F10" s="287" t="s">
        <v>306</v>
      </c>
      <c r="G10" s="287" t="s">
        <v>306</v>
      </c>
      <c r="H10" s="287" t="s">
        <v>306</v>
      </c>
      <c r="I10" s="287" t="s">
        <v>306</v>
      </c>
      <c r="J10" s="287" t="s">
        <v>306</v>
      </c>
      <c r="K10" s="287" t="s">
        <v>306</v>
      </c>
      <c r="L10" s="287" t="s">
        <v>306</v>
      </c>
      <c r="M10" s="287" t="s">
        <v>306</v>
      </c>
      <c r="N10" s="287" t="s">
        <v>306</v>
      </c>
      <c r="O10" s="287" t="s">
        <v>306</v>
      </c>
      <c r="P10" s="287" t="s">
        <v>306</v>
      </c>
      <c r="Q10" s="287" t="s">
        <v>306</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298</v>
      </c>
      <c r="C11" t="s">
        <v>299</v>
      </c>
      <c r="D11" t="s">
        <v>91</v>
      </c>
      <c r="E11" t="s">
        <v>300</v>
      </c>
      <c r="F11" s="287" t="s">
        <v>306</v>
      </c>
      <c r="G11" s="287" t="s">
        <v>306</v>
      </c>
      <c r="H11" s="287" t="s">
        <v>306</v>
      </c>
      <c r="I11" s="287" t="s">
        <v>306</v>
      </c>
      <c r="J11" s="287" t="s">
        <v>306</v>
      </c>
      <c r="K11" s="287" t="s">
        <v>306</v>
      </c>
      <c r="L11" s="287" t="s">
        <v>306</v>
      </c>
      <c r="M11" s="287" t="s">
        <v>306</v>
      </c>
      <c r="N11" s="287" t="s">
        <v>306</v>
      </c>
      <c r="O11" s="287" t="s">
        <v>306</v>
      </c>
      <c r="P11" s="287" t="s">
        <v>306</v>
      </c>
      <c r="Q11" s="287" t="s">
        <v>306</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301</v>
      </c>
      <c r="C12" t="s">
        <v>302</v>
      </c>
      <c r="D12" t="s">
        <v>91</v>
      </c>
      <c r="E12" t="s">
        <v>303</v>
      </c>
      <c r="F12" s="287" t="s">
        <v>306</v>
      </c>
      <c r="G12" s="287" t="s">
        <v>306</v>
      </c>
      <c r="H12" s="287" t="s">
        <v>306</v>
      </c>
      <c r="I12" s="287" t="s">
        <v>306</v>
      </c>
      <c r="J12" s="287" t="s">
        <v>306</v>
      </c>
      <c r="K12" s="287" t="s">
        <v>306</v>
      </c>
      <c r="L12" s="287" t="s">
        <v>306</v>
      </c>
      <c r="M12" s="287" t="s">
        <v>306</v>
      </c>
      <c r="N12" s="287" t="s">
        <v>306</v>
      </c>
      <c r="O12" s="287" t="s">
        <v>306</v>
      </c>
      <c r="P12" s="287" t="s">
        <v>306</v>
      </c>
      <c r="Q12" s="287" t="s">
        <v>306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304</v>
      </c>
      <c r="C13" t="s">
        <v>123</v>
      </c>
      <c r="D13" t="s">
        <v>91</v>
      </c>
      <c r="E13" t="s">
        <v>305</v>
      </c>
      <c r="F13" s="287" t="s">
        <v>306</v>
      </c>
      <c r="G13" s="287" t="s">
        <v>306</v>
      </c>
      <c r="H13" s="287" t="s">
        <v>306</v>
      </c>
      <c r="I13" s="287" t="s">
        <v>306</v>
      </c>
      <c r="J13" s="287" t="s">
        <v>306</v>
      </c>
      <c r="K13" s="287" t="s">
        <v>306</v>
      </c>
      <c r="L13" s="287" t="s">
        <v>306</v>
      </c>
      <c r="M13" s="287" t="s">
        <v>306</v>
      </c>
      <c r="N13" s="287" t="s">
        <v>306</v>
      </c>
      <c r="O13" s="287" t="s">
        <v>306</v>
      </c>
      <c r="P13" s="287" t="s">
        <v>306</v>
      </c>
      <c r="Q13" s="287" t="s">
        <v>306</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tabSelected="1"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F5-SUM(F40:BN41)</f>
        <v>367515.14</v>
      </c>
      <c r="J5" s="104"/>
      <c r="K5" s="280" t="s">
        <v>128</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Real</v>
      </c>
      <c r="H7" s="120" t="str">
        <f t="shared" ref="H7:BN7" si="0">IF(H8&gt;EOMONTH(FIN,0),"Fin",IF(H8&gt;FECHA,"Prev","Real"))</f>
        <v>Real</v>
      </c>
      <c r="I7" s="120" t="str">
        <f t="shared" si="0"/>
        <v>Real</v>
      </c>
      <c r="J7" s="120" t="str">
        <f t="shared" si="0"/>
        <v>Real</v>
      </c>
      <c r="K7" s="120" t="str">
        <f t="shared" si="0"/>
        <v>Real</v>
      </c>
      <c r="L7" s="120" t="str">
        <f t="shared" si="0"/>
        <v>Real</v>
      </c>
      <c r="M7" s="120" t="str">
        <f t="shared" si="0"/>
        <v>Real</v>
      </c>
      <c r="N7" s="120" t="str">
        <f t="shared" si="0"/>
        <v>Real</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129</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130</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131</v>
      </c>
      <c r="C40" s="122"/>
      <c r="D40" s="123"/>
      <c r="E40" s="123"/>
      <c r="F40" s="186">
        <f>'Project Infor'!C47</f>
        <v>0</v>
      </c>
      <c r="G40" s="124" cm="1">
        <f t="array" ref="G40">SUMPRODUCT(($D$10:$D$39="NO")*1,G$10:G$39,Resources!F7:F36)+G42</f>
        <v>0</v>
      </c>
      <c r="H40" s="124" cm="1">
        <f t="array" ref="H40">SUMPRODUCT(($D$10:$D$39="NO")*1,H$10:H$39,Resources!G7:G36)+H42</f>
        <v>0</v>
      </c>
      <c r="I40" s="124" cm="1">
        <f t="array" ref="I40">SUMPRODUCT(($D$10:$D$39="NO")*1,I$10:I$39,Resources!H7:H36)+I42</f>
        <v>0</v>
      </c>
      <c r="J40" s="124" cm="1">
        <f t="array" ref="J40">SUMPRODUCT(($D$10:$D$39="NO")*1,J$10:J$39,Resources!I7:I36)+J42</f>
        <v>0</v>
      </c>
      <c r="K40" s="124" cm="1">
        <f t="array" ref="K40">SUMPRODUCT(($D$10:$D$39="NO")*1,K$10:K$39,Resources!J7:J36)+K42</f>
        <v>0</v>
      </c>
      <c r="L40" s="124" cm="1">
        <f t="array" ref="L40">SUMPRODUCT(($D$10:$D$39="NO")*1,L$10:L$39,Resources!K7:K36)+L42</f>
        <v>0</v>
      </c>
      <c r="M40" s="124" cm="1">
        <f t="array" ref="M40">SUMPRODUCT(($D$10:$D$39="NO")*1,M$10:M$39,Resources!L7:L36)+M42</f>
        <v>0</v>
      </c>
      <c r="N40" s="124" cm="1">
        <f t="array" ref="N40">SUMPRODUCT(($D$10:$D$39="NO")*1,N$10:N$39,Resources!M7:M36)+N42</f>
        <v>0</v>
      </c>
      <c r="O40" s="124" cm="1">
        <f t="array" ref="O40">SUMPRODUCT(($D$10:$D$39="NO")*1,O$10:O$39,Resources!N7:N36)+O42</f>
        <v>0</v>
      </c>
      <c r="P40" s="124" cm="1">
        <f t="array" ref="P40">SUMPRODUCT(($D$10:$D$39="NO")*1,P$10:P$39,Resources!O7:O36)+P42</f>
        <v>0</v>
      </c>
      <c r="Q40" s="124" cm="1">
        <f t="array" ref="Q40">SUMPRODUCT(($D$10:$D$39="NO")*1,Q$10:Q$39,Resources!P7:P36)+Q42</f>
        <v>0</v>
      </c>
      <c r="R40" s="124" cm="1">
        <f t="array" ref="R40">SUMPRODUCT(($D$10:$D$39="NO")*1,R$10:R$39,Resources!Q7:Q36)+R42</f>
        <v>0</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132</v>
      </c>
      <c r="C41" s="127"/>
      <c r="D41" s="128"/>
      <c r="E41" s="128"/>
      <c r="F41" s="124"/>
      <c r="G41" s="124" cm="1">
        <f t="array" ref="G41">SUMPRODUCT(($D$10:$D$39="INTERCO")*1,G$10:G$39,Resources!F7:F36)+G43</f>
        <v>0</v>
      </c>
      <c r="H41" s="124" cm="1">
        <f t="array" ref="H41">SUMPRODUCT(($D$10:$D$39="INTERCO")*1,H$10:H$39,Resources!G7:G36)+H43</f>
        <v>0</v>
      </c>
      <c r="I41" s="124" cm="1">
        <f t="array" ref="I41">SUMPRODUCT(($D$10:$D$39="INTERCO")*1,I$10:I$39,Resources!H7:H36)+I43</f>
        <v>0</v>
      </c>
      <c r="J41" s="124" cm="1">
        <f t="array" ref="J41">SUMPRODUCT(($D$10:$D$39="INTERCO")*1,J$10:J$39,Resources!I7:I36)+J43</f>
        <v>0</v>
      </c>
      <c r="K41" s="124" cm="1">
        <f t="array" ref="K41">SUMPRODUCT(($D$10:$D$39="INTERCO")*1,K$10:K$39,Resources!J7:J36)+K43</f>
        <v>0</v>
      </c>
      <c r="L41" s="124" cm="1">
        <f t="array" ref="L41">SUMPRODUCT(($D$10:$D$39="INTERCO")*1,L$10:L$39,Resources!K7:K36)+L43</f>
        <v>0</v>
      </c>
      <c r="M41" s="124" cm="1">
        <f t="array" ref="M41">SUMPRODUCT(($D$10:$D$39="INTERCO")*1,M$10:M$39,Resources!L7:L36)+M43</f>
        <v>0</v>
      </c>
      <c r="N41" s="124" cm="1">
        <f t="array" ref="N41">SUMPRODUCT(($D$10:$D$39="INTERCO")*1,N$10:N$39,Resources!M7:M36)+N43</f>
        <v>0</v>
      </c>
      <c r="O41" s="124" cm="1">
        <f t="array" ref="O41">SUMPRODUCT(($D$10:$D$39="INTERCO")*1,O$10:O$39,Resources!N7:N36)+O43</f>
        <v>0</v>
      </c>
      <c r="P41" s="124" cm="1">
        <f t="array" ref="P41">SUMPRODUCT(($D$10:$D$39="INTERCO")*1,P$10:P$39,Resources!O7:O36)+P43</f>
        <v>0</v>
      </c>
      <c r="Q41" s="124" cm="1">
        <f t="array" ref="Q41">SUMPRODUCT(($D$10:$D$39="INTERCO")*1,Q$10:Q$39,Resources!P7:P36)+Q43</f>
        <v>0</v>
      </c>
      <c r="R41" s="124" cm="1">
        <f t="array" ref="R41">SUMPRODUCT(($D$10:$D$39="INTERCO")*1,R$10:R$39,Resources!Q7:Q36)+R43</f>
        <v>0</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133</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134</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135</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136</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137</v>
      </c>
      <c r="C48" s="139" t="s">
        <v>138</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139</v>
      </c>
      <c r="E50" s="115"/>
      <c r="F50" s="116">
        <f>'Cost Overview'!K8</f>
        <v>7400</v>
      </c>
      <c r="G50" s="240" t="s">
        <v>127</v>
      </c>
      <c r="H50" s="117"/>
      <c r="I50" s="118">
        <f>F50-SUM(F59:BN59)</f>
        <v>0</v>
      </c>
      <c r="J50" s="104"/>
      <c r="K50" s="280" t="s">
        <v>140</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141</v>
      </c>
      <c r="C52" s="237" t="s">
        <v>142</v>
      </c>
      <c r="D52" s="237" t="s">
        <v>143</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145</v>
      </c>
      <c r="C53" t="s">
        <v>307</v>
      </c>
      <c r="D53" t="s">
        <v>308</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146</v>
      </c>
      <c r="C54" t="s">
        <v>309</v>
      </c>
      <c r="D54" t="s">
        <v>308</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147</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148</v>
      </c>
      <c r="E61" s="115"/>
      <c r="F61" s="116">
        <f>'Cost Overview'!L8</f>
        <v>40000</v>
      </c>
      <c r="G61" s="241" t="s">
        <v>127</v>
      </c>
      <c r="H61" s="143"/>
      <c r="I61" s="118">
        <f>F61-SUM(F74:BN74)</f>
        <v>0</v>
      </c>
      <c r="J61" s="104"/>
      <c r="K61" s="280" t="s">
        <v>149</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150</v>
      </c>
      <c r="C63" s="237" t="s">
        <v>151</v>
      </c>
      <c r="D63" s="237" t="s">
        <v>152</v>
      </c>
      <c r="E63" s="237" t="s">
        <v>153</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310</v>
      </c>
      <c r="C64" t="s">
        <v>311</v>
      </c>
      <c r="D64" t="s">
        <v>312</v>
      </c>
      <c r="E64" t="s">
        <v>313</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154</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155</v>
      </c>
    </row>
    <row r="86" spans="2:2" ht="14" x14ac:dyDescent="0.3">
      <c r="B86" s="26" t="s">
        <v>145</v>
      </c>
    </row>
    <row r="87" spans="2:2" ht="14" x14ac:dyDescent="0.3">
      <c r="B87" s="26" t="s">
        <v>156</v>
      </c>
    </row>
    <row r="88" spans="2:2" ht="14" x14ac:dyDescent="0.3">
      <c r="B88" s="26" t="s">
        <v>157</v>
      </c>
    </row>
    <row r="89" spans="2:2" ht="14" x14ac:dyDescent="0.3">
      <c r="B89" s="26" t="s">
        <v>144</v>
      </c>
    </row>
    <row r="90" spans="2:2" ht="14" x14ac:dyDescent="0.3">
      <c r="B90" s="26" t="s">
        <v>158</v>
      </c>
    </row>
    <row r="91" spans="2:2" ht="14" x14ac:dyDescent="0.3">
      <c r="B91" s="26" t="s">
        <v>146</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Real</v>
      </c>
      <c r="F4" s="150" t="str">
        <f t="shared" si="0"/>
        <v>Real</v>
      </c>
      <c r="G4" s="150" t="str">
        <f>IF(G5&gt;EOMONTH(FIN,0),"Fin",IF(G5&gt;FECHA,"Prev","Real"))</f>
        <v>Real</v>
      </c>
      <c r="H4" s="150" t="str">
        <f t="shared" si="0"/>
        <v>Real</v>
      </c>
      <c r="I4" s="150" t="str">
        <f>IF(I5&gt;EOMONTH(FIN,0),"Fin",IF(I5&gt;FECHA,"Prev","Real"))</f>
        <v>Real</v>
      </c>
      <c r="J4" s="150" t="str">
        <f t="shared" si="0"/>
        <v>Real</v>
      </c>
      <c r="K4" s="150" t="str">
        <f t="shared" si="0"/>
        <v>Real</v>
      </c>
      <c r="L4" s="150" t="str">
        <f t="shared" si="0"/>
        <v>Real</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159</v>
      </c>
      <c r="C5" s="237"/>
      <c r="D5" s="151" t="s">
        <v>160</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161</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162</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163</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164</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165</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166</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167</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168</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169</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170</v>
      </c>
      <c r="C18" s="282"/>
      <c r="D18" s="156"/>
      <c r="E18" s="156">
        <f ca="1">E30-D30</f>
        <v>26951.710732904849</v>
      </c>
      <c r="F18" s="156">
        <f ca="1">F30-E30</f>
        <v>26951.710732904849</v>
      </c>
      <c r="G18" s="156">
        <f t="shared" ref="G18:AA18" ca="1" si="130">G30-F30</f>
        <v>997.21329711747967</v>
      </c>
      <c r="H18" s="156">
        <f t="shared" ca="1" si="130"/>
        <v>997.21329711747967</v>
      </c>
      <c r="I18" s="156">
        <f t="shared" ca="1" si="130"/>
        <v>997.21329711747239</v>
      </c>
      <c r="J18" s="156">
        <f t="shared" ca="1" si="130"/>
        <v>997.21329711747967</v>
      </c>
      <c r="K18" s="156">
        <f t="shared" ca="1" si="130"/>
        <v>997.21329711747967</v>
      </c>
      <c r="L18" s="156">
        <f t="shared" ca="1" si="130"/>
        <v>997.21329711747967</v>
      </c>
      <c r="M18" s="156">
        <f t="shared" ca="1" si="130"/>
        <v>997.21329711747967</v>
      </c>
      <c r="N18" s="156">
        <f t="shared" ca="1" si="130"/>
        <v>997.21329711747967</v>
      </c>
      <c r="O18" s="156">
        <f t="shared" ca="1" si="130"/>
        <v>997.21329711747967</v>
      </c>
      <c r="P18" s="156">
        <f t="shared" ca="1" si="130"/>
        <v>521018.20886013302</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-495258.08716215141</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162</v>
      </c>
      <c r="C20" s="283"/>
      <c r="D20" s="158"/>
      <c r="E20" s="158">
        <f t="shared" si="168"/>
        <v>0</v>
      </c>
      <c r="F20" s="158">
        <f t="shared" ref="F20:AA20" si="170">F32-E32</f>
        <v>0</v>
      </c>
      <c r="G20" s="158">
        <f t="shared" si="170"/>
        <v>0</v>
      </c>
      <c r="H20" s="158">
        <f t="shared" si="170"/>
        <v>0</v>
      </c>
      <c r="I20" s="158">
        <f t="shared" si="170"/>
        <v>0</v>
      </c>
      <c r="J20" s="158">
        <f t="shared" si="170"/>
        <v>0</v>
      </c>
      <c r="K20" s="158">
        <f t="shared" si="170"/>
        <v>0</v>
      </c>
      <c r="L20" s="158">
        <f t="shared" si="170"/>
        <v>0</v>
      </c>
      <c r="M20" s="158">
        <f t="shared" si="170"/>
        <v>0</v>
      </c>
      <c r="N20" s="158">
        <f>N32-M32</f>
        <v>0</v>
      </c>
      <c r="O20" s="158">
        <f t="shared" si="170"/>
        <v>0</v>
      </c>
      <c r="P20" s="158">
        <f t="shared" si="170"/>
        <v>0</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163</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164</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165</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166</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20000</v>
      </c>
      <c r="F25" s="157">
        <f t="shared" ref="F25:AA25" si="175">SUM(F20:F24)</f>
        <v>20000</v>
      </c>
      <c r="G25" s="157">
        <f t="shared" si="175"/>
        <v>740</v>
      </c>
      <c r="H25" s="157">
        <f t="shared" si="175"/>
        <v>740</v>
      </c>
      <c r="I25" s="157">
        <f t="shared" si="175"/>
        <v>740</v>
      </c>
      <c r="J25" s="157">
        <f t="shared" si="175"/>
        <v>740</v>
      </c>
      <c r="K25" s="157">
        <f t="shared" si="175"/>
        <v>740</v>
      </c>
      <c r="L25" s="157">
        <f t="shared" si="175"/>
        <v>740</v>
      </c>
      <c r="M25" s="157">
        <f t="shared" si="175"/>
        <v>740</v>
      </c>
      <c r="N25" s="157">
        <f t="shared" si="175"/>
        <v>740</v>
      </c>
      <c r="O25" s="157">
        <f t="shared" si="175"/>
        <v>740</v>
      </c>
      <c r="P25" s="157">
        <f t="shared" si="175"/>
        <v>19115.759999999998</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167</v>
      </c>
      <c r="C26" s="285"/>
      <c r="D26" s="159"/>
      <c r="E26" s="159">
        <f ca="1">E18-E25</f>
        <v>6951.7107329048486</v>
      </c>
      <c r="F26" s="163">
        <f t="shared" ref="F26:Z26" ca="1" si="177">F18-F25</f>
        <v>6951.7107329048486</v>
      </c>
      <c r="G26" s="163">
        <f t="shared" ca="1" si="177"/>
        <v>257.21329711747967</v>
      </c>
      <c r="H26" s="163">
        <f t="shared" ca="1" si="177"/>
        <v>257.21329711747967</v>
      </c>
      <c r="I26" s="163">
        <f t="shared" ca="1" si="177"/>
        <v>257.21329711747239</v>
      </c>
      <c r="J26" s="163">
        <f t="shared" ca="1" si="177"/>
        <v>257.21329711747967</v>
      </c>
      <c r="K26" s="163">
        <f t="shared" ca="1" si="177"/>
        <v>257.21329711747967</v>
      </c>
      <c r="L26" s="163">
        <f t="shared" ca="1" si="177"/>
        <v>257.21329711747967</v>
      </c>
      <c r="M26" s="163">
        <f t="shared" ca="1" si="177"/>
        <v>257.21329711747967</v>
      </c>
      <c r="N26" s="163">
        <f t="shared" ca="1" si="177"/>
        <v>257.21329711747967</v>
      </c>
      <c r="O26" s="163">
        <f t="shared" ca="1" si="177"/>
        <v>257.21329711747967</v>
      </c>
      <c r="P26" s="163">
        <f t="shared" ca="1" si="177"/>
        <v>501902.44886013301</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-495258.08716215141</v>
      </c>
    </row>
    <row r="27" spans="2:77" s="72" customFormat="1" ht="25" customHeight="1" x14ac:dyDescent="0.3">
      <c r="B27" s="285" t="s">
        <v>168</v>
      </c>
      <c r="C27" s="285"/>
      <c r="D27" s="160"/>
      <c r="E27" s="160">
        <f ca="1">IF(E18=0,0,(E18-SUM(E20,E21,E22,E23,E24))/E18)</f>
        <v>0.25793207718045269</v>
      </c>
      <c r="F27" s="160">
        <f t="shared" ref="F27:Z27" ca="1" si="179">IF(F18=0,0,(F18-SUM(F20,F21,F22,F23,F24))/F18)</f>
        <v>0.25793207718045269</v>
      </c>
      <c r="G27" s="160">
        <f t="shared" ca="1" si="179"/>
        <v>0.25793207718045291</v>
      </c>
      <c r="H27" s="160">
        <f t="shared" ca="1" si="179"/>
        <v>0.25793207718045291</v>
      </c>
      <c r="I27" s="160">
        <f t="shared" ca="1" si="179"/>
        <v>0.25793207718044747</v>
      </c>
      <c r="J27" s="160">
        <f t="shared" ca="1" si="179"/>
        <v>0.25793207718045291</v>
      </c>
      <c r="K27" s="160">
        <f t="shared" ca="1" si="179"/>
        <v>0.25793207718045291</v>
      </c>
      <c r="L27" s="160">
        <f t="shared" ca="1" si="179"/>
        <v>0.25793207718045291</v>
      </c>
      <c r="M27" s="160">
        <f t="shared" ca="1" si="179"/>
        <v>0.25793207718045291</v>
      </c>
      <c r="N27" s="160">
        <f t="shared" ca="1" si="179"/>
        <v>0.25793207718045291</v>
      </c>
      <c r="O27" s="160">
        <f t="shared" ca="1" si="179"/>
        <v>0.25793207718045291</v>
      </c>
      <c r="P27" s="160">
        <f t="shared" ca="1" si="179"/>
        <v>0.96331076404830296</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171</v>
      </c>
      <c r="C29" s="237"/>
      <c r="D29" s="151" t="s">
        <v>172</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173</v>
      </c>
      <c r="C30" s="282"/>
      <c r="D30" s="156">
        <f>'Project Infor'!C45</f>
        <v>0</v>
      </c>
      <c r="E30" s="156" cm="1">
        <f t="array" aca="1" ref="E30" ca="1">IF(E40,E40,E6*((E32+E33+E34+E35+E36)/(IF(E14&lt;margendirectofinal,E6-E14,pedidobaselineactual-margendirectofinal))))</f>
        <v>26951.710732904849</v>
      </c>
      <c r="F30" s="156" cm="1">
        <f t="array" aca="1" ref="F30" ca="1">IF(F40,F40,F6*((F32+F33+F34+F35+F36)/(IF(F14&lt;margendirectofinal,F6-F14,pedidobaselineactual-margendirectofinal))))</f>
        <v>53903.421465809697</v>
      </c>
      <c r="G30" s="156" cm="1">
        <f t="array" aca="1" ref="G30" ca="1">IF(G40,G40,G6*((G32+G33+G34+G35+G36)/(IF(G14&lt;margendirectofinal,G6-G14,pedidobaselineactual-margendirectofinal))))</f>
        <v>54900.634762927177</v>
      </c>
      <c r="H30" s="156" cm="1">
        <f t="array" aca="1" ref="H30" ca="1">IF(H40,H40,H6*((H32+H33+H34+H35+H36)/(IF(H14&lt;margendirectofinal,H6-H14,pedidobaselineactual-margendirectofinal))))</f>
        <v>55897.848060044656</v>
      </c>
      <c r="I30" s="156" cm="1">
        <f t="array" aca="1" ref="I30" ca="1">IF(I40,I40,I6*((I32+I33+I34+I35+I36)/(IF(I14&lt;margendirectofinal,I6-I14,pedidobaselineactual-margendirectofinal))))</f>
        <v>56895.061357162129</v>
      </c>
      <c r="J30" s="156" cm="1">
        <f t="array" aca="1" ref="J30" ca="1">IF(J40,J40,J6*((J32+J33+J34+J35+J36)/(IF(J14&lt;margendirectofinal,J6-J14,pedidobaselineactual-margendirectofinal))))</f>
        <v>57892.274654279609</v>
      </c>
      <c r="K30" s="156" cm="1">
        <f t="array" aca="1" ref="K30" ca="1">IF(K40,K40,K6*((K32+K33+K34+K35+K36)/(IF(K14&lt;margendirectofinal,K6-K14,pedidobaselineactual-margendirectofinal))))</f>
        <v>58889.487951397088</v>
      </c>
      <c r="L30" s="156" cm="1">
        <f t="array" aca="1" ref="L30" ca="1">IF(L40,L40,L6*((L32+L33+L34+L35+L36)/(IF(L14&lt;margendirectofinal,L6-L14,pedidobaselineactual-margendirectofinal))))</f>
        <v>59886.701248514568</v>
      </c>
      <c r="M30" s="156" cm="1">
        <f t="array" aca="1" ref="M30" ca="1">IF(M40,M40,M6*((M32+M33+M34+M35+M36)/(IF(M14&lt;margendirectofinal,M6-M14,pedidobaselineactual-margendirectofinal))))</f>
        <v>60883.914545632048</v>
      </c>
      <c r="N30" s="156" cm="1">
        <f t="array" aca="1" ref="N30" ca="1">IF(N40,N40,N6*((N32+N33+N34+N35+N36)/(IF(N14&lt;margendirectofinal,N6-N14,pedidobaselineactual-margendirectofinal))))</f>
        <v>61881.127842749527</v>
      </c>
      <c r="O30" s="156" cm="1">
        <f t="array" aca="1" ref="O30" ca="1">IF(O40,O40,O6*((O32+O33+O34+O35+O36)/(IF(O14&lt;margendirectofinal,O6-O14,pedidobaselineactual-margendirectofinal))))</f>
        <v>62878.341139867007</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88638.462837848652</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174</v>
      </c>
      <c r="C32" s="283"/>
      <c r="D32" s="164">
        <f>'Project Infor'!C47</f>
        <v>0</v>
      </c>
      <c r="E32" s="164">
        <f>D32+LOOKUP(E$5,'Cost Planning'!$G$8:$BN$8,'Cost Planning'!$G$40:$BN$40)+LOOKUP(E$5,'Cost Planning'!$G$8:$BN$8,'Cost Planning'!$G$41:$BN$41)</f>
        <v>0</v>
      </c>
      <c r="F32" s="164">
        <f>E32+LOOKUP(F$5,'Cost Planning'!$G$8:$BN$8,'Cost Planning'!$G$40:$BN$40)+LOOKUP(F$5,'Cost Planning'!$G$8:$BN$8,'Cost Planning'!$G$41:$BN$41)</f>
        <v>0</v>
      </c>
      <c r="G32" s="164">
        <f>F32+LOOKUP(G$5,'Cost Planning'!$G$8:$BN$8,'Cost Planning'!$G$40:$BN$40)+LOOKUP(G$5,'Cost Planning'!$G$8:$BN$8,'Cost Planning'!$G$41:$BN$41)</f>
        <v>0</v>
      </c>
      <c r="H32" s="164">
        <f>G32+LOOKUP(H$5,'Cost Planning'!$G$8:$BN$8,'Cost Planning'!$G$40:$BN$40)+LOOKUP(H$5,'Cost Planning'!$G$8:$BN$8,'Cost Planning'!$G$41:$BN$41)</f>
        <v>0</v>
      </c>
      <c r="I32" s="164">
        <f>H32+LOOKUP(I$5,'Cost Planning'!$G$8:$BN$8,'Cost Planning'!$G$40:$BN$40)+LOOKUP(I$5,'Cost Planning'!$G$8:$BN$8,'Cost Planning'!$G$41:$BN$41)</f>
        <v>0</v>
      </c>
      <c r="J32" s="164">
        <f>I32+LOOKUP(J$5,'Cost Planning'!$G$8:$BN$8,'Cost Planning'!$G$40:$BN$40)+LOOKUP(J$5,'Cost Planning'!$G$8:$BN$8,'Cost Planning'!$G$41:$BN$41)</f>
        <v>0</v>
      </c>
      <c r="K32" s="164">
        <f>J32+LOOKUP(K$5,'Cost Planning'!$G$8:$BN$8,'Cost Planning'!$G$40:$BN$40)+LOOKUP(K$5,'Cost Planning'!$G$8:$BN$8,'Cost Planning'!$G$41:$BN$41)</f>
        <v>0</v>
      </c>
      <c r="L32" s="164">
        <f>K32+LOOKUP(L$5,'Cost Planning'!$G$8:$BN$8,'Cost Planning'!$G$40:$BN$40)+LOOKUP(L$5,'Cost Planning'!$G$8:$BN$8,'Cost Planning'!$G$41:$BN$41)</f>
        <v>0</v>
      </c>
      <c r="M32" s="164">
        <f>L32+LOOKUP(M$5,'Cost Planning'!$G$8:$BN$8,'Cost Planning'!$G$40:$BN$40)+LOOKUP(M$5,'Cost Planning'!$G$8:$BN$8,'Cost Planning'!$G$41:$BN$41)</f>
        <v>0</v>
      </c>
      <c r="N32" s="164">
        <f>M32+LOOKUP(N$5,'Cost Planning'!$G$8:$BN$8,'Cost Planning'!$G$40:$BN$40)+LOOKUP(N$5,'Cost Planning'!$G$8:$BN$8,'Cost Planning'!$G$41:$BN$41)</f>
        <v>0</v>
      </c>
      <c r="O32" s="164">
        <f>N32+LOOKUP(O$5,'Cost Planning'!$G$8:$BN$8,'Cost Planning'!$G$40:$BN$40)+LOOKUP(O$5,'Cost Planning'!$G$8:$BN$8,'Cost Planning'!$G$41:$BN$41)</f>
        <v>0</v>
      </c>
      <c r="P32" s="164">
        <f>O32+LOOKUP(P$5,'Cost Planning'!$G$8:$BN$8,'Cost Planning'!$G$40:$BN$40)+LOOKUP(P$5,'Cost Planning'!$G$8:$BN$8,'Cost Planning'!$G$41:$BN$41)</f>
        <v>0</v>
      </c>
      <c r="Q32" s="164">
        <f>P32+LOOKUP(Q$5,'Cost Planning'!$G$8:$BN$8,'Cost Planning'!$G$40:$BN$40)+LOOKUP(Q$5,'Cost Planning'!$G$8:$BN$8,'Cost Planning'!$G$41:$BN$41)</f>
        <v>0</v>
      </c>
      <c r="R32" s="164">
        <f>Q32+LOOKUP(R$5,'Cost Planning'!$G$8:$BN$8,'Cost Planning'!$G$40:$BN$40)+LOOKUP(R$5,'Cost Planning'!$G$8:$BN$8,'Cost Planning'!$G$41:$BN$41)</f>
        <v>0</v>
      </c>
      <c r="S32" s="164">
        <f>R32+LOOKUP(S$5,'Cost Planning'!$G$8:$BN$8,'Cost Planning'!$G$40:$BN$40)+LOOKUP(S$5,'Cost Planning'!$G$8:$BN$8,'Cost Planning'!$G$41:$BN$41)</f>
        <v>0</v>
      </c>
      <c r="T32" s="164">
        <f>S32+LOOKUP(T$5,'Cost Planning'!$G$8:$BN$8,'Cost Planning'!$G$40:$BN$40)+LOOKUP(T$5,'Cost Planning'!$G$8:$BN$8,'Cost Planning'!$G$41:$BN$41)</f>
        <v>0</v>
      </c>
      <c r="U32" s="164">
        <f>T32+LOOKUP(U$5,'Cost Planning'!$G$8:$BN$8,'Cost Planning'!$G$40:$BN$40)+LOOKUP(U$5,'Cost Planning'!$G$8:$BN$8,'Cost Planning'!$G$41:$BN$41)</f>
        <v>0</v>
      </c>
      <c r="V32" s="164">
        <f>U32+LOOKUP(V$5,'Cost Planning'!$G$8:$BN$8,'Cost Planning'!$G$40:$BN$40)+LOOKUP(V$5,'Cost Planning'!$G$8:$BN$8,'Cost Planning'!$G$41:$BN$41)</f>
        <v>0</v>
      </c>
      <c r="W32" s="164">
        <f>V32+LOOKUP(W$5,'Cost Planning'!$G$8:$BN$8,'Cost Planning'!$G$40:$BN$40)+LOOKUP(W$5,'Cost Planning'!$G$8:$BN$8,'Cost Planning'!$G$41:$BN$41)</f>
        <v>0</v>
      </c>
      <c r="X32" s="164">
        <f>W32+LOOKUP(X$5,'Cost Planning'!$G$8:$BN$8,'Cost Planning'!$G$40:$BN$40)+LOOKUP(X$5,'Cost Planning'!$G$8:$BN$8,'Cost Planning'!$G$41:$BN$41)</f>
        <v>0</v>
      </c>
      <c r="Y32" s="164">
        <f>X32+LOOKUP(Y$5,'Cost Planning'!$G$8:$BN$8,'Cost Planning'!$G$40:$BN$40)+LOOKUP(Y$5,'Cost Planning'!$G$8:$BN$8,'Cost Planning'!$G$41:$BN$41)</f>
        <v>0</v>
      </c>
      <c r="Z32" s="164">
        <f>Y32+LOOKUP(Z$5,'Cost Planning'!$G$8:$BN$8,'Cost Planning'!$G$40:$BN$40)+LOOKUP(Z$5,'Cost Planning'!$G$8:$BN$8,'Cost Planning'!$G$41:$BN$41)</f>
        <v>0</v>
      </c>
      <c r="AA32" s="164">
        <f>Z32+LOOKUP(AA$5,'Cost Planning'!$G$8:$BN$8,'Cost Planning'!$G$40:$BN$40)+LOOKUP(AA$5,'Cost Planning'!$G$8:$BN$8,'Cost Planning'!$G$41:$BN$41)</f>
        <v>0</v>
      </c>
      <c r="AB32" s="164">
        <f>AA32+LOOKUP(AB$5,'Cost Planning'!$G$8:$BN$8,'Cost Planning'!$G$40:$BN$40)+LOOKUP(AB$5,'Cost Planning'!$G$8:$BN$8,'Cost Planning'!$G$41:$BN$41)</f>
        <v>0</v>
      </c>
      <c r="AC32" s="164">
        <f>AB32+LOOKUP(AC$5,'Cost Planning'!$G$8:$BN$8,'Cost Planning'!$G$40:$BN$40)+LOOKUP(AC$5,'Cost Planning'!$G$8:$BN$8,'Cost Planning'!$G$41:$BN$41)</f>
        <v>0</v>
      </c>
      <c r="AD32" s="164">
        <f>AC32+LOOKUP(AD$5,'Cost Planning'!$G$8:$BN$8,'Cost Planning'!$G$40:$BN$40)+LOOKUP(AD$5,'Cost Planning'!$G$8:$BN$8,'Cost Planning'!$G$41:$BN$41)</f>
        <v>0</v>
      </c>
      <c r="AE32" s="164">
        <f>AD32+LOOKUP(AE$5,'Cost Planning'!$G$8:$BN$8,'Cost Planning'!$G$40:$BN$40)+LOOKUP(AE$5,'Cost Planning'!$G$8:$BN$8,'Cost Planning'!$G$41:$BN$41)</f>
        <v>0</v>
      </c>
      <c r="AF32" s="164">
        <f>AE32+LOOKUP(AF$5,'Cost Planning'!$G$8:$BN$8,'Cost Planning'!$G$40:$BN$40)+LOOKUP(AF$5,'Cost Planning'!$G$8:$BN$8,'Cost Planning'!$G$41:$BN$41)</f>
        <v>0</v>
      </c>
      <c r="AG32" s="164">
        <f>AF32+LOOKUP(AG$5,'Cost Planning'!$G$8:$BN$8,'Cost Planning'!$G$40:$BN$40)+LOOKUP(AG$5,'Cost Planning'!$G$8:$BN$8,'Cost Planning'!$G$41:$BN$41)</f>
        <v>0</v>
      </c>
      <c r="AH32" s="164">
        <f>AG32+LOOKUP(AH$5,'Cost Planning'!$G$8:$BN$8,'Cost Planning'!$G$40:$BN$40)+LOOKUP(AH$5,'Cost Planning'!$G$8:$BN$8,'Cost Planning'!$G$41:$BN$41)</f>
        <v>0</v>
      </c>
      <c r="AI32" s="164">
        <f>AH32+LOOKUP(AI$5,'Cost Planning'!$G$8:$BN$8,'Cost Planning'!$G$40:$BN$40)+LOOKUP(AI$5,'Cost Planning'!$G$8:$BN$8,'Cost Planning'!$G$41:$BN$41)</f>
        <v>0</v>
      </c>
      <c r="AJ32" s="164">
        <f>AI32+LOOKUP(AJ$5,'Cost Planning'!$G$8:$BN$8,'Cost Planning'!$G$40:$BN$40)+LOOKUP(AJ$5,'Cost Planning'!$G$8:$BN$8,'Cost Planning'!$G$41:$BN$41)</f>
        <v>0</v>
      </c>
      <c r="AK32" s="164">
        <f>AJ32+LOOKUP(AK$5,'Cost Planning'!$G$8:$BN$8,'Cost Planning'!$G$40:$BN$40)+LOOKUP(AK$5,'Cost Planning'!$G$8:$BN$8,'Cost Planning'!$G$41:$BN$41)</f>
        <v>0</v>
      </c>
      <c r="AL32" s="164">
        <f>AK32+LOOKUP(AL$5,'Cost Planning'!$G$8:$BN$8,'Cost Planning'!$G$40:$BN$40)+LOOKUP(AL$5,'Cost Planning'!$G$8:$BN$8,'Cost Planning'!$G$41:$BN$41)</f>
        <v>0</v>
      </c>
      <c r="AM32" s="164">
        <f>AL32+LOOKUP(AM$5,'Cost Planning'!$G$8:$BN$8,'Cost Planning'!$G$40:$BN$40)+LOOKUP(AM$5,'Cost Planning'!$G$8:$BN$8,'Cost Planning'!$G$41:$BN$41)</f>
        <v>0</v>
      </c>
      <c r="AN32" s="164">
        <f>AM32+LOOKUP(AN$5,'Cost Planning'!$G$8:$BN$8,'Cost Planning'!$G$40:$BN$40)+LOOKUP(AN$5,'Cost Planning'!$G$8:$BN$8,'Cost Planning'!$G$41:$BN$41)</f>
        <v>0</v>
      </c>
      <c r="AO32" s="164">
        <f>AN32+LOOKUP(AO$5,'Cost Planning'!$G$8:$BN$8,'Cost Planning'!$G$40:$BN$40)+LOOKUP(AO$5,'Cost Planning'!$G$8:$BN$8,'Cost Planning'!$G$41:$BN$41)</f>
        <v>0</v>
      </c>
      <c r="AP32" s="164">
        <f>AO32+LOOKUP(AP$5,'Cost Planning'!$G$8:$BN$8,'Cost Planning'!$G$40:$BN$40)+LOOKUP(AP$5,'Cost Planning'!$G$8:$BN$8,'Cost Planning'!$G$41:$BN$41)</f>
        <v>0</v>
      </c>
      <c r="AQ32" s="164">
        <f>AP32+LOOKUP(AQ$5,'Cost Planning'!$G$8:$BN$8,'Cost Planning'!$G$40:$BN$40)+LOOKUP(AQ$5,'Cost Planning'!$G$8:$BN$8,'Cost Planning'!$G$41:$BN$41)</f>
        <v>0</v>
      </c>
      <c r="AR32" s="164">
        <f>AQ32+LOOKUP(AR$5,'Cost Planning'!$G$8:$BN$8,'Cost Planning'!$G$40:$BN$40)+LOOKUP(AR$5,'Cost Planning'!$G$8:$BN$8,'Cost Planning'!$G$41:$BN$41)</f>
        <v>0</v>
      </c>
      <c r="AS32" s="164">
        <f>AR32+LOOKUP(AS$5,'Cost Planning'!$G$8:$BN$8,'Cost Planning'!$G$40:$BN$40)+LOOKUP(AS$5,'Cost Planning'!$G$8:$BN$8,'Cost Planning'!$G$41:$BN$41)</f>
        <v>0</v>
      </c>
      <c r="AT32" s="164">
        <f>AS32+LOOKUP(AT$5,'Cost Planning'!$G$8:$BN$8,'Cost Planning'!$G$40:$BN$40)+LOOKUP(AT$5,'Cost Planning'!$G$8:$BN$8,'Cost Planning'!$G$41:$BN$41)</f>
        <v>0</v>
      </c>
      <c r="AU32" s="164">
        <f>AT32+LOOKUP(AU$5,'Cost Planning'!$G$8:$BN$8,'Cost Planning'!$G$40:$BN$40)+LOOKUP(AU$5,'Cost Planning'!$G$8:$BN$8,'Cost Planning'!$G$41:$BN$41)</f>
        <v>0</v>
      </c>
      <c r="AV32" s="164">
        <f>AU32+LOOKUP(AV$5,'Cost Planning'!$G$8:$BN$8,'Cost Planning'!$G$40:$BN$40)+LOOKUP(AV$5,'Cost Planning'!$G$8:$BN$8,'Cost Planning'!$G$41:$BN$41)</f>
        <v>0</v>
      </c>
      <c r="AW32" s="164">
        <f>AV32+LOOKUP(AW$5,'Cost Planning'!$G$8:$BN$8,'Cost Planning'!$G$40:$BN$40)+LOOKUP(AW$5,'Cost Planning'!$G$8:$BN$8,'Cost Planning'!$G$41:$BN$41)</f>
        <v>0</v>
      </c>
      <c r="AX32" s="164">
        <f>AW32+LOOKUP(AX$5,'Cost Planning'!$G$8:$BN$8,'Cost Planning'!$G$40:$BN$40)+LOOKUP(AX$5,'Cost Planning'!$G$8:$BN$8,'Cost Planning'!$G$41:$BN$41)</f>
        <v>0</v>
      </c>
      <c r="AY32" s="164">
        <f>AX32+LOOKUP(AY$5,'Cost Planning'!$G$8:$BN$8,'Cost Planning'!$G$40:$BN$40)+LOOKUP(AY$5,'Cost Planning'!$G$8:$BN$8,'Cost Planning'!$G$41:$BN$41)</f>
        <v>0</v>
      </c>
      <c r="AZ32" s="164">
        <f>AY32+LOOKUP(AZ$5,'Cost Planning'!$G$8:$BN$8,'Cost Planning'!$G$40:$BN$40)+LOOKUP(AZ$5,'Cost Planning'!$G$8:$BN$8,'Cost Planning'!$G$41:$BN$41)</f>
        <v>0</v>
      </c>
      <c r="BA32" s="164">
        <f>AZ32+LOOKUP(BA$5,'Cost Planning'!$G$8:$BN$8,'Cost Planning'!$G$40:$BN$40)+LOOKUP(BA$5,'Cost Planning'!$G$8:$BN$8,'Cost Planning'!$G$41:$BN$41)</f>
        <v>0</v>
      </c>
      <c r="BB32" s="164">
        <f>BA32+LOOKUP(BB$5,'Cost Planning'!$G$8:$BN$8,'Cost Planning'!$G$40:$BN$40)+LOOKUP(BB$5,'Cost Planning'!$G$8:$BN$8,'Cost Planning'!$G$41:$BN$41)</f>
        <v>0</v>
      </c>
      <c r="BC32" s="164">
        <f>BB32+LOOKUP(BC$5,'Cost Planning'!$G$8:$BN$8,'Cost Planning'!$G$40:$BN$40)+LOOKUP(BC$5,'Cost Planning'!$G$8:$BN$8,'Cost Planning'!$G$41:$BN$41)</f>
        <v>0</v>
      </c>
      <c r="BD32" s="164">
        <f>BC32+LOOKUP(BD$5,'Cost Planning'!$G$8:$BN$8,'Cost Planning'!$G$40:$BN$40)+LOOKUP(BD$5,'Cost Planning'!$G$8:$BN$8,'Cost Planning'!$G$41:$BN$41)</f>
        <v>0</v>
      </c>
      <c r="BE32" s="164">
        <f>BD32+LOOKUP(BE$5,'Cost Planning'!$G$8:$BN$8,'Cost Planning'!$G$40:$BN$40)+LOOKUP(BE$5,'Cost Planning'!$G$8:$BN$8,'Cost Planning'!$G$41:$BN$41)</f>
        <v>0</v>
      </c>
      <c r="BF32" s="164">
        <f>BE32+LOOKUP(BF$5,'Cost Planning'!$G$8:$BN$8,'Cost Planning'!$G$40:$BN$40)+LOOKUP(BF$5,'Cost Planning'!$G$8:$BN$8,'Cost Planning'!$G$41:$BN$41)</f>
        <v>0</v>
      </c>
      <c r="BG32" s="164">
        <f>BF32+LOOKUP(BG$5,'Cost Planning'!$G$8:$BN$8,'Cost Planning'!$G$40:$BN$40)+LOOKUP(BG$5,'Cost Planning'!$G$8:$BN$8,'Cost Planning'!$G$41:$BN$41)</f>
        <v>0</v>
      </c>
      <c r="BH32" s="164">
        <f>BG32+LOOKUP(BH$5,'Cost Planning'!$G$8:$BN$8,'Cost Planning'!$G$40:$BN$40)+LOOKUP(BH$5,'Cost Planning'!$G$8:$BN$8,'Cost Planning'!$G$41:$BN$41)</f>
        <v>0</v>
      </c>
      <c r="BI32" s="164">
        <f>BH32+LOOKUP(BI$5,'Cost Planning'!$G$8:$BN$8,'Cost Planning'!$G$40:$BN$40)+LOOKUP(BI$5,'Cost Planning'!$G$8:$BN$8,'Cost Planning'!$G$41:$BN$41)</f>
        <v>0</v>
      </c>
      <c r="BJ32" s="164">
        <f>BI32+LOOKUP(BJ$5,'Cost Planning'!$G$8:$BN$8,'Cost Planning'!$G$40:$BN$40)+LOOKUP(BJ$5,'Cost Planning'!$G$8:$BN$8,'Cost Planning'!$G$41:$BN$41)</f>
        <v>0</v>
      </c>
      <c r="BK32" s="164">
        <f>BJ32+LOOKUP(BK$5,'Cost Planning'!$G$8:$BN$8,'Cost Planning'!$G$40:$BN$40)+LOOKUP(BK$5,'Cost Planning'!$G$8:$BN$8,'Cost Planning'!$G$41:$BN$41)</f>
        <v>0</v>
      </c>
      <c r="BL32" s="164">
        <f>BK32+LOOKUP(BL$5,'Cost Planning'!$G$8:$BN$8,'Cost Planning'!$G$40:$BN$40)+LOOKUP(BL$5,'Cost Planning'!$G$8:$BN$8,'Cost Planning'!$G$41:$BN$41)</f>
        <v>0</v>
      </c>
      <c r="BN32" s="26"/>
      <c r="BO32" s="26"/>
      <c r="BP32" s="26"/>
      <c r="BQ32" s="26"/>
      <c r="BR32" s="26"/>
      <c r="BS32" s="26"/>
      <c r="BT32" s="26"/>
      <c r="BU32" s="26"/>
      <c r="BV32" s="26"/>
      <c r="BW32" s="26"/>
      <c r="BX32" s="26"/>
      <c r="BY32" s="26"/>
    </row>
    <row r="33" spans="2:77" s="72" customFormat="1" ht="25" customHeight="1" outlineLevel="1" x14ac:dyDescent="0.3">
      <c r="B33" s="283" t="s">
        <v>163</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164</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165</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166</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20000</v>
      </c>
      <c r="F37" s="164">
        <f t="shared" ref="F37:AB37" si="240">SUM(F32:F36)</f>
        <v>40000</v>
      </c>
      <c r="G37" s="164">
        <f t="shared" si="240"/>
        <v>40740</v>
      </c>
      <c r="H37" s="164">
        <f t="shared" si="240"/>
        <v>41480</v>
      </c>
      <c r="I37" s="164">
        <f t="shared" si="240"/>
        <v>42220</v>
      </c>
      <c r="J37" s="164">
        <f t="shared" si="240"/>
        <v>42960</v>
      </c>
      <c r="K37" s="164">
        <f t="shared" si="240"/>
        <v>43700</v>
      </c>
      <c r="L37" s="164">
        <f t="shared" si="240"/>
        <v>44440</v>
      </c>
      <c r="M37" s="164">
        <f t="shared" si="240"/>
        <v>45180</v>
      </c>
      <c r="N37" s="164">
        <f t="shared" si="240"/>
        <v>45920</v>
      </c>
      <c r="O37" s="164">
        <f t="shared" si="240"/>
        <v>46660</v>
      </c>
      <c r="P37" s="164">
        <f t="shared" si="240"/>
        <v>65775.759999999995</v>
      </c>
      <c r="Q37" s="164">
        <f t="shared" si="240"/>
        <v>65775.759999999995</v>
      </c>
      <c r="R37" s="164">
        <f t="shared" si="240"/>
        <v>65775.759999999995</v>
      </c>
      <c r="S37" s="164">
        <f t="shared" si="240"/>
        <v>65775.759999999995</v>
      </c>
      <c r="T37" s="164">
        <f t="shared" si="240"/>
        <v>65775.759999999995</v>
      </c>
      <c r="U37" s="164">
        <f t="shared" si="240"/>
        <v>65775.759999999995</v>
      </c>
      <c r="V37" s="164">
        <f t="shared" si="240"/>
        <v>65775.759999999995</v>
      </c>
      <c r="W37" s="164">
        <f t="shared" si="240"/>
        <v>65775.759999999995</v>
      </c>
      <c r="X37" s="164">
        <f t="shared" si="240"/>
        <v>65775.759999999995</v>
      </c>
      <c r="Y37" s="164">
        <f t="shared" si="240"/>
        <v>65775.759999999995</v>
      </c>
      <c r="Z37" s="164">
        <f t="shared" si="240"/>
        <v>65775.759999999995</v>
      </c>
      <c r="AA37" s="164">
        <f t="shared" si="240"/>
        <v>65775.759999999995</v>
      </c>
      <c r="AB37" s="164">
        <f t="shared" si="240"/>
        <v>65775.759999999995</v>
      </c>
      <c r="AC37" s="164">
        <f t="shared" ref="AC37:BL37" si="241">SUM(AC32:AC36)</f>
        <v>65775.759999999995</v>
      </c>
      <c r="AD37" s="164">
        <f t="shared" si="241"/>
        <v>65775.759999999995</v>
      </c>
      <c r="AE37" s="164">
        <f t="shared" si="241"/>
        <v>65775.759999999995</v>
      </c>
      <c r="AF37" s="164">
        <f t="shared" si="241"/>
        <v>65775.759999999995</v>
      </c>
      <c r="AG37" s="164">
        <f t="shared" si="241"/>
        <v>65775.759999999995</v>
      </c>
      <c r="AH37" s="164">
        <f t="shared" si="241"/>
        <v>65775.759999999995</v>
      </c>
      <c r="AI37" s="164">
        <f t="shared" si="241"/>
        <v>65775.759999999995</v>
      </c>
      <c r="AJ37" s="164">
        <f t="shared" si="241"/>
        <v>65775.759999999995</v>
      </c>
      <c r="AK37" s="164">
        <f t="shared" si="241"/>
        <v>65775.759999999995</v>
      </c>
      <c r="AL37" s="164">
        <f t="shared" si="241"/>
        <v>65775.759999999995</v>
      </c>
      <c r="AM37" s="164">
        <f t="shared" si="241"/>
        <v>65775.759999999995</v>
      </c>
      <c r="AN37" s="164">
        <f t="shared" si="241"/>
        <v>65775.759999999995</v>
      </c>
      <c r="AO37" s="164">
        <f t="shared" si="241"/>
        <v>65775.759999999995</v>
      </c>
      <c r="AP37" s="164">
        <f t="shared" si="241"/>
        <v>65775.759999999995</v>
      </c>
      <c r="AQ37" s="164">
        <f t="shared" si="241"/>
        <v>65775.759999999995</v>
      </c>
      <c r="AR37" s="164">
        <f t="shared" si="241"/>
        <v>65775.759999999995</v>
      </c>
      <c r="AS37" s="164">
        <f t="shared" si="241"/>
        <v>65775.759999999995</v>
      </c>
      <c r="AT37" s="164">
        <f t="shared" si="241"/>
        <v>65775.759999999995</v>
      </c>
      <c r="AU37" s="164">
        <f t="shared" si="241"/>
        <v>65775.759999999995</v>
      </c>
      <c r="AV37" s="164">
        <f t="shared" si="241"/>
        <v>65775.759999999995</v>
      </c>
      <c r="AW37" s="164">
        <f t="shared" si="241"/>
        <v>65775.759999999995</v>
      </c>
      <c r="AX37" s="164">
        <f t="shared" si="241"/>
        <v>65775.759999999995</v>
      </c>
      <c r="AY37" s="164">
        <f t="shared" si="241"/>
        <v>65775.759999999995</v>
      </c>
      <c r="AZ37" s="164">
        <f t="shared" si="241"/>
        <v>65775.759999999995</v>
      </c>
      <c r="BA37" s="164">
        <f t="shared" si="241"/>
        <v>65775.759999999995</v>
      </c>
      <c r="BB37" s="164">
        <f t="shared" si="241"/>
        <v>65775.759999999995</v>
      </c>
      <c r="BC37" s="164">
        <f t="shared" si="241"/>
        <v>65775.759999999995</v>
      </c>
      <c r="BD37" s="164">
        <f t="shared" si="241"/>
        <v>65775.759999999995</v>
      </c>
      <c r="BE37" s="164">
        <f t="shared" si="241"/>
        <v>65775.759999999995</v>
      </c>
      <c r="BF37" s="164">
        <f t="shared" si="241"/>
        <v>65775.759999999995</v>
      </c>
      <c r="BG37" s="164">
        <f t="shared" si="241"/>
        <v>65775.759999999995</v>
      </c>
      <c r="BH37" s="164">
        <f t="shared" si="241"/>
        <v>65775.759999999995</v>
      </c>
      <c r="BI37" s="164">
        <f t="shared" si="241"/>
        <v>65775.759999999995</v>
      </c>
      <c r="BJ37" s="164">
        <f t="shared" si="241"/>
        <v>65775.759999999995</v>
      </c>
      <c r="BK37" s="164">
        <f t="shared" si="241"/>
        <v>65775.759999999995</v>
      </c>
      <c r="BL37" s="164">
        <f t="shared" si="241"/>
        <v>65775.759999999995</v>
      </c>
    </row>
    <row r="38" spans="2:77" s="72" customFormat="1" ht="25" customHeight="1" x14ac:dyDescent="0.3">
      <c r="B38" s="284" t="s">
        <v>175</v>
      </c>
      <c r="C38" s="284"/>
      <c r="D38" s="165">
        <f>D30-D32-D33-D34-D35-D36</f>
        <v>0</v>
      </c>
      <c r="E38" s="165">
        <f ca="1">E30-E32-E33-E34-E35-E36</f>
        <v>6951.7107329048486</v>
      </c>
      <c r="F38" s="165">
        <f t="shared" ref="F38:Z38" ca="1" si="242">F30-F32-F33-F34-F35-F36</f>
        <v>13903.421465809697</v>
      </c>
      <c r="G38" s="165">
        <f t="shared" ca="1" si="242"/>
        <v>14160.634762927177</v>
      </c>
      <c r="H38" s="165">
        <f t="shared" ca="1" si="242"/>
        <v>14417.848060044656</v>
      </c>
      <c r="I38" s="165">
        <f t="shared" ca="1" si="242"/>
        <v>14675.061357162129</v>
      </c>
      <c r="J38" s="165">
        <f t="shared" ca="1" si="242"/>
        <v>14932.274654279609</v>
      </c>
      <c r="K38" s="165">
        <f t="shared" ca="1" si="242"/>
        <v>15189.487951397088</v>
      </c>
      <c r="L38" s="165">
        <f t="shared" ca="1" si="242"/>
        <v>15446.701248514568</v>
      </c>
      <c r="M38" s="165">
        <f t="shared" ca="1" si="242"/>
        <v>15703.914545632048</v>
      </c>
      <c r="N38" s="165">
        <f t="shared" ca="1" si="242"/>
        <v>15961.127842749527</v>
      </c>
      <c r="O38" s="165">
        <f t="shared" ca="1" si="242"/>
        <v>16218.341139867007</v>
      </c>
      <c r="P38" s="165">
        <f t="shared" ca="1" si="242"/>
        <v>518120.79000000004</v>
      </c>
      <c r="Q38" s="165">
        <f t="shared" ca="1" si="242"/>
        <v>518120.79000000004</v>
      </c>
      <c r="R38" s="165">
        <f t="shared" ca="1" si="242"/>
        <v>518120.79000000004</v>
      </c>
      <c r="S38" s="165">
        <f t="shared" ca="1" si="242"/>
        <v>518120.79000000004</v>
      </c>
      <c r="T38" s="165">
        <f t="shared" ca="1" si="242"/>
        <v>518120.79000000004</v>
      </c>
      <c r="U38" s="165">
        <f t="shared" ca="1" si="242"/>
        <v>518120.79000000004</v>
      </c>
      <c r="V38" s="165">
        <f t="shared" ca="1" si="242"/>
        <v>518120.79000000004</v>
      </c>
      <c r="W38" s="165">
        <f t="shared" ca="1" si="242"/>
        <v>518120.79000000004</v>
      </c>
      <c r="X38" s="165">
        <f t="shared" ca="1" si="242"/>
        <v>518120.79000000004</v>
      </c>
      <c r="Y38" s="165">
        <f t="shared" ca="1" si="242"/>
        <v>518120.79000000004</v>
      </c>
      <c r="Z38" s="165">
        <f t="shared" ca="1" si="242"/>
        <v>518120.79000000004</v>
      </c>
      <c r="AA38" s="165">
        <f ca="1">AA30-AA32-AA33-AA34-AA35-AA36</f>
        <v>518120.79000000004</v>
      </c>
      <c r="AB38" s="165">
        <f ca="1">AB30-AB32-AB33-AB34-AB35-AB36</f>
        <v>518120.79000000004</v>
      </c>
      <c r="AC38" s="165">
        <f t="shared" ref="AC38:BL38" ca="1" si="243">AC30-AC32-AC33-AC34-AC35-AC36</f>
        <v>518120.79000000004</v>
      </c>
      <c r="AD38" s="165">
        <f t="shared" ca="1" si="243"/>
        <v>518120.79000000004</v>
      </c>
      <c r="AE38" s="165">
        <f t="shared" ca="1" si="243"/>
        <v>518120.79000000004</v>
      </c>
      <c r="AF38" s="165">
        <f t="shared" ca="1" si="243"/>
        <v>518120.79000000004</v>
      </c>
      <c r="AG38" s="165">
        <f t="shared" ca="1" si="243"/>
        <v>518120.79000000004</v>
      </c>
      <c r="AH38" s="165">
        <f t="shared" ca="1" si="243"/>
        <v>518120.79000000004</v>
      </c>
      <c r="AI38" s="165">
        <f t="shared" ca="1" si="243"/>
        <v>518120.79000000004</v>
      </c>
      <c r="AJ38" s="165">
        <f t="shared" ca="1" si="243"/>
        <v>518120.79000000004</v>
      </c>
      <c r="AK38" s="165">
        <f t="shared" ca="1" si="243"/>
        <v>518120.79000000004</v>
      </c>
      <c r="AL38" s="165">
        <f t="shared" ca="1" si="243"/>
        <v>518120.79000000004</v>
      </c>
      <c r="AM38" s="165">
        <f t="shared" ca="1" si="243"/>
        <v>518120.79000000004</v>
      </c>
      <c r="AN38" s="165">
        <f t="shared" ca="1" si="243"/>
        <v>518120.79000000004</v>
      </c>
      <c r="AO38" s="165">
        <f t="shared" ca="1" si="243"/>
        <v>518120.79000000004</v>
      </c>
      <c r="AP38" s="165">
        <f t="shared" ca="1" si="243"/>
        <v>518120.79000000004</v>
      </c>
      <c r="AQ38" s="165">
        <f t="shared" ca="1" si="243"/>
        <v>518120.79000000004</v>
      </c>
      <c r="AR38" s="165">
        <f t="shared" ca="1" si="243"/>
        <v>518120.79000000004</v>
      </c>
      <c r="AS38" s="165">
        <f t="shared" ca="1" si="243"/>
        <v>518120.79000000004</v>
      </c>
      <c r="AT38" s="165">
        <f t="shared" ca="1" si="243"/>
        <v>518120.79000000004</v>
      </c>
      <c r="AU38" s="165">
        <f t="shared" ca="1" si="243"/>
        <v>518120.79000000004</v>
      </c>
      <c r="AV38" s="165">
        <f t="shared" ca="1" si="243"/>
        <v>518120.79000000004</v>
      </c>
      <c r="AW38" s="165">
        <f t="shared" ca="1" si="243"/>
        <v>518120.79000000004</v>
      </c>
      <c r="AX38" s="165">
        <f t="shared" ca="1" si="243"/>
        <v>518120.79000000004</v>
      </c>
      <c r="AY38" s="165">
        <f t="shared" ca="1" si="243"/>
        <v>518120.79000000004</v>
      </c>
      <c r="AZ38" s="165">
        <f t="shared" ca="1" si="243"/>
        <v>518120.79000000004</v>
      </c>
      <c r="BA38" s="165">
        <f t="shared" ca="1" si="243"/>
        <v>518120.79000000004</v>
      </c>
      <c r="BB38" s="165">
        <f t="shared" ca="1" si="243"/>
        <v>518120.79000000004</v>
      </c>
      <c r="BC38" s="165">
        <f t="shared" ca="1" si="243"/>
        <v>518120.79000000004</v>
      </c>
      <c r="BD38" s="165">
        <f t="shared" ca="1" si="243"/>
        <v>518120.79000000004</v>
      </c>
      <c r="BE38" s="165">
        <f t="shared" ca="1" si="243"/>
        <v>518120.79000000004</v>
      </c>
      <c r="BF38" s="165">
        <f t="shared" ca="1" si="243"/>
        <v>518120.79000000004</v>
      </c>
      <c r="BG38" s="165">
        <f t="shared" ca="1" si="243"/>
        <v>518120.79000000004</v>
      </c>
      <c r="BH38" s="165">
        <f t="shared" ca="1" si="243"/>
        <v>518120.79000000004</v>
      </c>
      <c r="BI38" s="165">
        <f t="shared" ca="1" si="243"/>
        <v>518120.79000000004</v>
      </c>
      <c r="BJ38" s="165">
        <f t="shared" ca="1" si="243"/>
        <v>518120.79000000004</v>
      </c>
      <c r="BK38" s="165">
        <f t="shared" ca="1" si="243"/>
        <v>518120.79000000004</v>
      </c>
      <c r="BL38" s="165">
        <f t="shared" ca="1" si="243"/>
        <v>22862.702837848658</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176</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177</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178</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179</v>
      </c>
      <c r="C44" s="285"/>
      <c r="D44" s="166"/>
      <c r="E44" s="166">
        <f t="shared" ref="E44:Z44" ca="1" si="284">E43-E30</f>
        <v>-26951.710732904849</v>
      </c>
      <c r="F44" s="166">
        <f t="shared" ca="1" si="284"/>
        <v>-53903.421465809697</v>
      </c>
      <c r="G44" s="166">
        <f t="shared" ca="1" si="284"/>
        <v>-54900.634762927177</v>
      </c>
      <c r="H44" s="166">
        <f t="shared" ca="1" si="284"/>
        <v>-55897.848060044656</v>
      </c>
      <c r="I44" s="166">
        <f t="shared" ca="1" si="284"/>
        <v>-56895.061357162129</v>
      </c>
      <c r="J44" s="166">
        <f t="shared" ca="1" si="284"/>
        <v>-57892.274654279609</v>
      </c>
      <c r="K44" s="166">
        <f t="shared" ca="1" si="284"/>
        <v>-58889.487951397088</v>
      </c>
      <c r="L44" s="166">
        <f t="shared" ca="1" si="284"/>
        <v>-59886.701248514568</v>
      </c>
      <c r="M44" s="166">
        <f t="shared" ca="1" si="284"/>
        <v>-60883.914545632048</v>
      </c>
      <c r="N44" s="166">
        <f t="shared" ca="1" si="284"/>
        <v>-61881.127842749527</v>
      </c>
      <c r="O44" s="166">
        <f t="shared" ca="1" si="284"/>
        <v>-62878.341139867007</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-88638.462837848652</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180</v>
      </c>
      <c r="M5" s="214" t="s">
        <v>181</v>
      </c>
      <c r="N5" s="214" t="s">
        <v>67</v>
      </c>
      <c r="O5" s="93"/>
      <c r="P5" s="93"/>
    </row>
    <row r="6" spans="2:16" s="94" customFormat="1" ht="36.75" customHeight="1" x14ac:dyDescent="0.3">
      <c r="B6" s="305" t="s">
        <v>182</v>
      </c>
      <c r="C6" s="306"/>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307" t="s">
        <v>183</v>
      </c>
      <c r="C7" s="307"/>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307" t="s">
        <v>184</v>
      </c>
      <c r="C8" s="307"/>
      <c r="D8" s="215">
        <f>D7</f>
        <v>583896.55000000005</v>
      </c>
      <c r="E8" s="215">
        <f>SUM('Cost Planning'!F40:BN41)</f>
        <v>0</v>
      </c>
      <c r="F8" s="215">
        <f>SUM('Cost Planning'!F9:BN9)</f>
        <v>11850</v>
      </c>
      <c r="G8" s="215">
        <f>SUM('Cost Planning'!G47:BN47)</f>
        <v>18375.759999999998</v>
      </c>
      <c r="H8" s="215">
        <f>SUM('Cost Planning'!G48:BN48)</f>
        <v>0</v>
      </c>
      <c r="I8" s="215">
        <f>SUM('Cost Planning'!F59:BN59)</f>
        <v>7400</v>
      </c>
      <c r="J8" s="215">
        <f>SUM('Cost Planning'!F74:BN74)</f>
        <v>40000</v>
      </c>
      <c r="K8" s="215">
        <f>SUM(E8,G8,H8,I8,J8)</f>
        <v>65775.759999999995</v>
      </c>
      <c r="L8" s="215">
        <f>D8-K8</f>
        <v>518120.79000000004</v>
      </c>
      <c r="M8" s="216">
        <f>IF(D8=0,0,(D8-E8-H8-I8-G8-J8)/D8)</f>
        <v>0.8873503191618447</v>
      </c>
      <c r="N8" s="216">
        <f>IF(D8=0,0,(D8-E8/UTILIZACION-G8/UTILIZACION-H8/UTILIZACION-I8-J8)/D8)</f>
        <v>0.88498154044508381</v>
      </c>
      <c r="O8" s="29"/>
      <c r="P8" s="27"/>
    </row>
    <row r="9" spans="2:16" ht="20.149999999999999" customHeight="1" x14ac:dyDescent="0.3">
      <c r="B9" s="308" t="s">
        <v>185</v>
      </c>
      <c r="C9" s="308"/>
      <c r="D9" s="217">
        <f>IF(D8=0,1,(D8-D7)/D8)</f>
        <v>0</v>
      </c>
      <c r="E9" s="217">
        <f t="shared" ref="E9:L9" si="0">IF(E8=0,1,(E8-E7)/E8)</f>
        <v>1</v>
      </c>
      <c r="F9" s="217">
        <f t="shared" si="0"/>
        <v>-0.1451476793248945</v>
      </c>
      <c r="G9" s="217">
        <f t="shared" si="0"/>
        <v>0</v>
      </c>
      <c r="H9" s="217">
        <f t="shared" si="0"/>
        <v>1</v>
      </c>
      <c r="I9" s="217">
        <f t="shared" si="0"/>
        <v>0</v>
      </c>
      <c r="J9" s="217">
        <f t="shared" si="0"/>
        <v>0</v>
      </c>
      <c r="K9" s="217">
        <f t="shared" si="0"/>
        <v>-5.5873948092732038</v>
      </c>
      <c r="L9" s="217">
        <f t="shared" si="0"/>
        <v>0.70932328347604034</v>
      </c>
      <c r="M9" s="218">
        <f>M8-M7</f>
        <v>0.62941824198139207</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306" t="s">
        <v>186</v>
      </c>
      <c r="C11" s="306"/>
      <c r="D11" s="208">
        <f ca="1">SUMIF('Monthly View'!$E$4:$BL$4,"Real",'Monthly View'!$E$18:$BL$18)+'Project Infor'!C45</f>
        <v>59886.701248514568</v>
      </c>
      <c r="E11" s="208">
        <f>SUMIF('Monthly View'!$E$4:$BL$4,"Real",'Monthly View'!$E$20:$BL$20)+'Project Infor'!C47</f>
        <v>0</v>
      </c>
      <c r="F11" s="208">
        <f>SUMIF('Monthly View'!$E$4:$BL$4,"Real",'Monthly View'!$E$19:$BL$19)+'Project Infor'!C46</f>
        <v>7598</v>
      </c>
      <c r="G11" s="208">
        <f>SUMIF('Monthly View'!$E$4:$BL$4,"Real",'Monthly View'!$E$21:$BL$21)</f>
        <v>0</v>
      </c>
      <c r="H11" s="208">
        <f>SUMIF('Monthly View'!$E$4:$BL$4,"Real",'Monthly View'!$E$22:$BL$22)</f>
        <v>0</v>
      </c>
      <c r="I11" s="208">
        <f>SUMIF('Monthly View'!$E$4:$BL$4,"Real",'Monthly View'!$E$23:$BL$23)+'Project Infor'!C48</f>
        <v>4440</v>
      </c>
      <c r="J11" s="208">
        <f>SUMIF('Monthly View'!$E$4:$BL$4,"Real",'Monthly View'!$E$24:$BL$24)+'Project Infor'!C49</f>
        <v>40000</v>
      </c>
      <c r="K11" s="208">
        <f>SUM(E11,G11,H11,I11,J11)</f>
        <v>44440</v>
      </c>
      <c r="L11" s="208">
        <f ca="1">D11-K11</f>
        <v>15446.701248514568</v>
      </c>
      <c r="M11" s="209">
        <f ca="1">IF(D11=0,0,(D11-E11-H11-I11-G11-J11)/D11)</f>
        <v>0.25793207718045263</v>
      </c>
      <c r="N11" s="207">
        <f ca="1">IF(D11=0,0,(D11-E11/UTILIZACION-G11/UTILIZACION-H11/UTILIZACION-I11-J11)/D11)</f>
        <v>0.25793207718045263</v>
      </c>
      <c r="O11" s="29"/>
      <c r="P11" s="27"/>
    </row>
    <row r="12" spans="2:16" ht="20.149999999999999" customHeight="1" x14ac:dyDescent="0.3">
      <c r="B12" s="304" t="s">
        <v>187</v>
      </c>
      <c r="C12" s="304"/>
      <c r="D12" s="171">
        <f ca="1">IF(D11=0,1,(D11/D8))</f>
        <v>0.10256388952548968</v>
      </c>
      <c r="E12" s="171">
        <f>IF(E11=0,1,(E11/E8))</f>
        <v>1</v>
      </c>
      <c r="F12" s="171">
        <f>IF(F11=0,1,(F11/F8))</f>
        <v>0.64118143459915611</v>
      </c>
      <c r="G12" s="171"/>
      <c r="H12" s="171"/>
      <c r="I12" s="171"/>
      <c r="J12" s="171"/>
      <c r="K12" s="171"/>
      <c r="L12" s="171"/>
      <c r="M12" s="172"/>
      <c r="N12" s="173"/>
      <c r="O12" s="29"/>
      <c r="P12" s="29"/>
    </row>
    <row r="17" spans="2:16" ht="20.149999999999999" customHeight="1" x14ac:dyDescent="0.3">
      <c r="B17" s="70" t="s">
        <v>188</v>
      </c>
      <c r="C17" s="70"/>
      <c r="D17" s="70"/>
      <c r="E17" s="29"/>
      <c r="F17" s="29"/>
      <c r="G17" s="29"/>
      <c r="H17" s="29"/>
      <c r="I17" s="29"/>
      <c r="J17" s="29"/>
      <c r="K17" s="29"/>
      <c r="L17" s="29"/>
      <c r="M17" s="29"/>
      <c r="N17" s="29"/>
      <c r="O17" s="29"/>
      <c r="P17" s="29"/>
    </row>
    <row r="18" spans="2:16" ht="285.75" customHeight="1" x14ac:dyDescent="0.3">
      <c r="B18" s="296"/>
      <c r="C18" s="297"/>
      <c r="D18" s="297"/>
      <c r="E18" s="297"/>
      <c r="F18" s="297"/>
      <c r="G18" s="297"/>
      <c r="H18" s="297"/>
      <c r="I18" s="297"/>
      <c r="J18" s="298"/>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9" t="s">
        <v>189</v>
      </c>
      <c r="C2" s="309"/>
      <c r="D2" s="309"/>
    </row>
    <row r="3" spans="2:4" ht="19.5" customHeight="1" x14ac:dyDescent="0.25"/>
    <row r="4" spans="2:4" ht="24" customHeight="1" x14ac:dyDescent="0.25">
      <c r="B4" s="180" t="s">
        <v>190</v>
      </c>
    </row>
    <row r="5" spans="2:4" ht="24" customHeight="1" x14ac:dyDescent="0.25">
      <c r="B5" s="181" t="s">
        <v>191</v>
      </c>
    </row>
    <row r="6" spans="2:4" ht="24" customHeight="1" x14ac:dyDescent="0.25">
      <c r="B6" s="181" t="s">
        <v>192</v>
      </c>
    </row>
    <row r="7" spans="2:4" ht="45" customHeight="1" x14ac:dyDescent="0.25">
      <c r="B7" s="181" t="s">
        <v>193</v>
      </c>
    </row>
    <row r="8" spans="2:4" ht="30" customHeight="1" x14ac:dyDescent="0.25">
      <c r="B8" s="181" t="s">
        <v>194</v>
      </c>
    </row>
    <row r="9" spans="2:4" ht="25" customHeight="1" x14ac:dyDescent="0.25">
      <c r="B9" s="181" t="s">
        <v>195</v>
      </c>
    </row>
    <row r="10" spans="2:4" ht="24" customHeight="1" x14ac:dyDescent="0.25">
      <c r="B10" s="182"/>
    </row>
    <row r="11" spans="2:4" ht="24" customHeight="1" x14ac:dyDescent="0.25">
      <c r="B11" s="180" t="s">
        <v>196</v>
      </c>
    </row>
    <row r="12" spans="2:4" ht="24" customHeight="1" x14ac:dyDescent="0.25">
      <c r="B12" s="181" t="s">
        <v>197</v>
      </c>
    </row>
    <row r="13" spans="2:4" ht="24" customHeight="1" x14ac:dyDescent="0.25">
      <c r="B13" s="181" t="s">
        <v>198</v>
      </c>
    </row>
    <row r="14" spans="2:4" ht="54" customHeight="1" x14ac:dyDescent="0.25">
      <c r="B14" s="181" t="s">
        <v>199</v>
      </c>
    </row>
    <row r="15" spans="2:4" ht="54" customHeight="1" x14ac:dyDescent="0.25">
      <c r="B15" s="181" t="s">
        <v>200</v>
      </c>
    </row>
    <row r="16" spans="2:4" ht="34.5" customHeight="1" x14ac:dyDescent="0.25">
      <c r="B16" s="181" t="s">
        <v>201</v>
      </c>
    </row>
    <row r="17" spans="2:2" ht="54.75" customHeight="1" x14ac:dyDescent="0.25">
      <c r="B17" s="181" t="s">
        <v>202</v>
      </c>
    </row>
    <row r="18" spans="2:2" ht="51.75" customHeight="1" x14ac:dyDescent="0.25">
      <c r="B18" s="181" t="s">
        <v>203</v>
      </c>
    </row>
    <row r="19" spans="2:2" ht="24" customHeight="1" x14ac:dyDescent="0.25"/>
    <row r="20" spans="2:2" ht="24" customHeight="1" x14ac:dyDescent="0.25">
      <c r="B20" s="180" t="s">
        <v>204</v>
      </c>
    </row>
    <row r="21" spans="2:2" ht="24" customHeight="1" x14ac:dyDescent="0.25">
      <c r="B21" s="181" t="s">
        <v>205</v>
      </c>
    </row>
    <row r="22" spans="2:2" ht="24" customHeight="1" x14ac:dyDescent="0.25">
      <c r="B22" s="181" t="s">
        <v>206</v>
      </c>
    </row>
    <row r="23" spans="2:2" ht="36" customHeight="1" x14ac:dyDescent="0.25">
      <c r="B23" s="181" t="s">
        <v>207</v>
      </c>
    </row>
    <row r="24" spans="2:2" ht="125.25" customHeight="1" x14ac:dyDescent="0.25">
      <c r="B24" s="181" t="s">
        <v>208</v>
      </c>
    </row>
    <row r="25" spans="2:2" ht="42.75" customHeight="1" x14ac:dyDescent="0.25">
      <c r="B25" s="181" t="s">
        <v>209</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210</v>
      </c>
      <c r="C5" s="262"/>
      <c r="D5" s="262"/>
      <c r="E5" s="263">
        <f>'Cost Overview'!F8</f>
        <v>583896.55000000005</v>
      </c>
      <c r="F5" s="311" t="s">
        <v>211</v>
      </c>
      <c r="G5" s="311"/>
      <c r="H5" s="311"/>
      <c r="I5" s="311"/>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212</v>
      </c>
      <c r="C7" s="250" t="s">
        <v>213</v>
      </c>
      <c r="D7" s="250" t="s">
        <v>214</v>
      </c>
      <c r="E7" s="250" t="s">
        <v>215</v>
      </c>
      <c r="F7" s="251" t="s">
        <v>216</v>
      </c>
      <c r="G7" s="251" t="s">
        <v>217</v>
      </c>
      <c r="H7" s="250" t="s">
        <v>218</v>
      </c>
      <c r="I7" s="250" t="s">
        <v>219</v>
      </c>
      <c r="J7" s="250" t="s">
        <v>220</v>
      </c>
      <c r="K7" s="250" t="s">
        <v>221</v>
      </c>
      <c r="L7" s="250" t="s">
        <v>222</v>
      </c>
      <c r="M7" s="251" t="s">
        <v>223</v>
      </c>
      <c r="N7" s="251" t="s">
        <v>224</v>
      </c>
      <c r="O7" s="251" t="s">
        <v>225</v>
      </c>
      <c r="P7" s="251" t="s">
        <v>226</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10" t="s">
        <v>227</v>
      </c>
      <c r="C41" s="310"/>
      <c r="D41" s="310"/>
      <c r="E41" s="310"/>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228</v>
      </c>
      <c r="C50" s="17"/>
      <c r="D50" s="17"/>
      <c r="E50" s="261"/>
      <c r="F50" s="261"/>
      <c r="G50" s="261"/>
      <c r="H50" s="261"/>
      <c r="I50" s="261"/>
      <c r="J50" s="261"/>
      <c r="K50" s="261"/>
      <c r="L50" s="17"/>
      <c r="M50" s="261"/>
      <c r="N50" s="261"/>
      <c r="O50" s="261"/>
      <c r="P50" s="261"/>
      <c r="Q50" s="261"/>
      <c r="R50" s="261"/>
      <c r="S50" s="261"/>
    </row>
    <row r="51" spans="2:19" ht="285.75" customHeight="1" x14ac:dyDescent="0.3">
      <c r="B51" s="296" t="s">
        <v>87</v>
      </c>
      <c r="C51" s="297"/>
      <c r="D51" s="297"/>
      <c r="E51" s="297"/>
      <c r="F51" s="297"/>
      <c r="G51" s="297"/>
      <c r="H51" s="297"/>
      <c r="I51" s="297"/>
      <c r="J51" s="298"/>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229</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230</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96" t="s">
        <v>87</v>
      </c>
      <c r="C20" s="297"/>
      <c r="D20" s="297"/>
      <c r="E20" s="297"/>
      <c r="F20" s="297"/>
      <c r="G20" s="297"/>
      <c r="H20" s="297"/>
      <c r="I20" s="297"/>
      <c r="J20" s="298"/>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221</v>
      </c>
      <c r="C4" s="292" t="s">
        <v>231</v>
      </c>
      <c r="D4" s="292"/>
      <c r="E4" s="27"/>
      <c r="F4" s="313" t="s">
        <v>232</v>
      </c>
      <c r="G4" s="318"/>
      <c r="H4" s="242" t="s">
        <v>233</v>
      </c>
      <c r="I4" s="242" t="s">
        <v>234</v>
      </c>
      <c r="J4" s="242" t="s">
        <v>235</v>
      </c>
      <c r="K4" s="313" t="s">
        <v>236</v>
      </c>
      <c r="L4" s="313"/>
      <c r="M4" s="313"/>
      <c r="N4" s="313"/>
    </row>
    <row r="5" spans="2:23" ht="18" customHeight="1" x14ac:dyDescent="0.3">
      <c r="B5" s="82" t="s">
        <v>237</v>
      </c>
      <c r="C5" s="312" t="s">
        <v>238</v>
      </c>
      <c r="D5" s="312"/>
      <c r="E5" s="27"/>
      <c r="F5" s="312" t="s">
        <v>239</v>
      </c>
      <c r="G5" s="312"/>
      <c r="H5" s="244">
        <v>0.5</v>
      </c>
      <c r="I5" s="245">
        <v>5000</v>
      </c>
      <c r="J5" s="234" t="s">
        <v>238</v>
      </c>
      <c r="K5" s="312"/>
      <c r="L5" s="312"/>
      <c r="M5" s="312"/>
      <c r="N5" s="312"/>
    </row>
    <row r="6" spans="2:23" ht="18" customHeight="1" x14ac:dyDescent="0.3">
      <c r="B6" s="82" t="s">
        <v>240</v>
      </c>
      <c r="C6" s="312" t="s">
        <v>241</v>
      </c>
      <c r="D6" s="312"/>
      <c r="E6" s="27"/>
      <c r="F6" s="312" t="s">
        <v>242</v>
      </c>
      <c r="G6" s="312"/>
      <c r="H6" s="244">
        <v>0.1</v>
      </c>
      <c r="I6" s="245">
        <v>1000</v>
      </c>
      <c r="J6" s="234"/>
      <c r="K6" s="312"/>
      <c r="L6" s="312"/>
      <c r="M6" s="312"/>
      <c r="N6" s="312"/>
    </row>
    <row r="7" spans="2:23" ht="18" customHeight="1" x14ac:dyDescent="0.3">
      <c r="B7" s="82" t="s">
        <v>243</v>
      </c>
      <c r="C7" s="317">
        <v>10000</v>
      </c>
      <c r="D7" s="317"/>
      <c r="E7" s="243" t="s">
        <v>244</v>
      </c>
      <c r="F7" s="312" t="s">
        <v>245</v>
      </c>
      <c r="G7" s="312"/>
      <c r="H7" s="244">
        <v>0.2</v>
      </c>
      <c r="I7" s="245">
        <v>2000</v>
      </c>
      <c r="J7" s="234"/>
      <c r="K7" s="312"/>
      <c r="L7" s="312"/>
      <c r="M7" s="312"/>
      <c r="N7" s="312"/>
    </row>
    <row r="8" spans="2:23" ht="18" customHeight="1" x14ac:dyDescent="0.3">
      <c r="D8" s="27"/>
      <c r="E8" s="27"/>
      <c r="F8" s="312" t="s">
        <v>246</v>
      </c>
      <c r="G8" s="312"/>
      <c r="H8" s="244">
        <v>0.1</v>
      </c>
      <c r="I8" s="245">
        <v>1000</v>
      </c>
      <c r="J8" s="234"/>
      <c r="K8" s="312"/>
      <c r="L8" s="312"/>
      <c r="M8" s="312"/>
      <c r="N8" s="312"/>
    </row>
    <row r="9" spans="2:23" ht="18" customHeight="1" x14ac:dyDescent="0.3">
      <c r="D9" s="27"/>
      <c r="E9" s="61"/>
      <c r="F9" s="312" t="s">
        <v>247</v>
      </c>
      <c r="G9" s="312"/>
      <c r="H9" s="244">
        <v>0.1</v>
      </c>
      <c r="I9" s="245">
        <v>1000</v>
      </c>
      <c r="J9" s="234"/>
      <c r="K9" s="312"/>
      <c r="L9" s="312"/>
      <c r="M9" s="312"/>
      <c r="N9" s="312"/>
      <c r="O9" s="29"/>
      <c r="P9" s="29"/>
    </row>
    <row r="10" spans="2:23" ht="23.25" customHeight="1" x14ac:dyDescent="0.3">
      <c r="C10" s="319" t="s">
        <v>211</v>
      </c>
      <c r="D10" s="319"/>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212</v>
      </c>
      <c r="C12" s="47" t="s">
        <v>213</v>
      </c>
      <c r="D12" s="47" t="s">
        <v>248</v>
      </c>
      <c r="E12" s="47" t="s">
        <v>215</v>
      </c>
      <c r="F12" s="48" t="s">
        <v>216</v>
      </c>
      <c r="G12" s="48" t="s">
        <v>217</v>
      </c>
      <c r="H12" s="47" t="s">
        <v>218</v>
      </c>
      <c r="I12" s="47" t="s">
        <v>219</v>
      </c>
      <c r="J12" s="47" t="s">
        <v>221</v>
      </c>
      <c r="K12" s="47" t="s">
        <v>249</v>
      </c>
      <c r="L12" s="48" t="s">
        <v>223</v>
      </c>
      <c r="M12" s="48" t="s">
        <v>224</v>
      </c>
      <c r="N12" s="48" t="s">
        <v>225</v>
      </c>
      <c r="O12" s="48" t="s">
        <v>226</v>
      </c>
      <c r="P12" s="29"/>
      <c r="Q12" s="26"/>
      <c r="R12" s="26"/>
      <c r="S12" s="26"/>
      <c r="T12" s="26"/>
      <c r="U12" s="26"/>
      <c r="V12" s="26"/>
      <c r="W12" s="26"/>
    </row>
    <row r="13" spans="2:23" s="72" customFormat="1" ht="20.149999999999999" customHeight="1" x14ac:dyDescent="0.3">
      <c r="B13" s="205" t="s">
        <v>250</v>
      </c>
      <c r="C13" s="232">
        <v>44286</v>
      </c>
      <c r="D13" s="4" t="s">
        <v>239</v>
      </c>
      <c r="E13" s="4" t="s">
        <v>251</v>
      </c>
      <c r="F13" s="5">
        <v>3000</v>
      </c>
      <c r="G13" s="5" t="s">
        <v>252</v>
      </c>
      <c r="H13" s="13">
        <v>0.21</v>
      </c>
      <c r="I13" s="5">
        <f>IF(F13=0," ",F13+F13*H13)</f>
        <v>3630</v>
      </c>
      <c r="J13" s="14" t="s">
        <v>253</v>
      </c>
      <c r="K13" s="5"/>
      <c r="L13" s="60"/>
      <c r="M13" s="5" t="s">
        <v>254</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4" t="s">
        <v>227</v>
      </c>
      <c r="C46" s="314"/>
      <c r="D46" s="314"/>
      <c r="E46" s="314"/>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255</v>
      </c>
      <c r="C55" s="70"/>
      <c r="D55" s="70"/>
      <c r="E55" s="29"/>
      <c r="F55" s="29"/>
      <c r="G55" s="29"/>
      <c r="H55" s="29"/>
      <c r="I55" s="29"/>
      <c r="J55" s="29"/>
      <c r="K55" s="70"/>
      <c r="L55" s="29"/>
      <c r="M55" s="29"/>
      <c r="N55" s="29"/>
      <c r="O55" s="29"/>
      <c r="P55" s="29"/>
      <c r="Q55" s="29"/>
      <c r="R55" s="29"/>
    </row>
    <row r="56" spans="2:22" ht="285.75" customHeight="1" x14ac:dyDescent="0.3">
      <c r="B56" s="315" t="s">
        <v>87</v>
      </c>
      <c r="C56" s="316"/>
      <c r="D56" s="316"/>
      <c r="E56" s="316"/>
      <c r="F56" s="316"/>
      <c r="G56" s="316"/>
      <c r="H56" s="316"/>
      <c r="I56" s="316"/>
      <c r="J56" s="179"/>
      <c r="K56" s="179"/>
      <c r="L56" s="179"/>
      <c r="M56" s="29"/>
      <c r="N56" s="29"/>
      <c r="O56" s="29"/>
      <c r="P56" s="29"/>
      <c r="Q56" s="29"/>
      <c r="R56" s="29"/>
    </row>
  </sheetData>
  <autoFilter ref="B12:E12" xr:uid="{F0215733-3491-41E7-AEDA-44D9E214180D}"/>
  <mergeCells count="19">
    <mergeCell ref="B46:E46"/>
    <mergeCell ref="B56:I56"/>
    <mergeCell ref="C4:D4"/>
    <mergeCell ref="C5:D5"/>
    <mergeCell ref="C6:D6"/>
    <mergeCell ref="C7:D7"/>
    <mergeCell ref="F5:G5"/>
    <mergeCell ref="F4:G4"/>
    <mergeCell ref="C10:D10"/>
    <mergeCell ref="K4:N4"/>
    <mergeCell ref="K5:N5"/>
    <mergeCell ref="K6:N6"/>
    <mergeCell ref="K7:N7"/>
    <mergeCell ref="K8:N8"/>
    <mergeCell ref="K9:N9"/>
    <mergeCell ref="F6:G6"/>
    <mergeCell ref="F7:G7"/>
    <mergeCell ref="F8:G8"/>
    <mergeCell ref="F9:G9"/>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20" t="s">
        <v>256</v>
      </c>
      <c r="C5" s="320"/>
      <c r="D5" s="321" t="s">
        <v>266</v>
      </c>
      <c r="E5" s="321"/>
      <c r="F5" s="321"/>
      <c r="G5" s="321"/>
      <c r="H5" s="104"/>
      <c r="I5" s="104"/>
      <c r="J5" s="104"/>
      <c r="K5" s="104"/>
      <c r="L5" s="104"/>
      <c r="M5" s="104"/>
      <c r="N5" s="104"/>
      <c r="O5" s="104"/>
      <c r="P5" s="104"/>
      <c r="Q5" s="104"/>
      <c r="R5" s="104"/>
    </row>
    <row r="6" spans="1:41" s="108" customFormat="1" ht="35.15" customHeight="1" x14ac:dyDescent="0.25">
      <c r="B6" s="237" t="s">
        <v>258</v>
      </c>
      <c r="C6" s="237" t="s">
        <v>259</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260</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20" t="s">
        <v>261</v>
      </c>
      <c r="C15" s="320"/>
      <c r="D15" s="321" t="s">
        <v>257</v>
      </c>
      <c r="E15" s="321"/>
      <c r="F15" s="321"/>
      <c r="G15" s="321"/>
      <c r="H15" s="104"/>
      <c r="I15" s="104"/>
      <c r="J15" s="104"/>
      <c r="K15" s="104"/>
      <c r="L15" s="104"/>
      <c r="M15" s="104"/>
      <c r="N15" s="104"/>
      <c r="O15" s="104"/>
      <c r="P15" s="104"/>
      <c r="Q15" s="104"/>
      <c r="R15" s="104"/>
    </row>
    <row r="16" spans="1:41" s="108" customFormat="1" ht="35.15" customHeight="1" x14ac:dyDescent="0.25">
      <c r="B16" s="237" t="s">
        <v>258</v>
      </c>
      <c r="C16" s="237" t="s">
        <v>259</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260</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20" t="s">
        <v>262</v>
      </c>
      <c r="C25" s="320"/>
      <c r="D25" s="321" t="s">
        <v>257</v>
      </c>
      <c r="E25" s="321"/>
      <c r="F25" s="321"/>
      <c r="G25" s="321"/>
      <c r="H25" s="104"/>
      <c r="I25" s="104"/>
      <c r="J25" s="104"/>
      <c r="K25" s="104"/>
      <c r="L25" s="104"/>
      <c r="M25" s="104"/>
      <c r="N25" s="104"/>
      <c r="O25" s="104"/>
      <c r="P25" s="104"/>
      <c r="Q25" s="104"/>
      <c r="R25" s="104"/>
    </row>
    <row r="26" spans="1:41" s="108" customFormat="1" ht="35.15" customHeight="1" x14ac:dyDescent="0.25">
      <c r="B26" s="237" t="s">
        <v>258</v>
      </c>
      <c r="C26" s="237" t="s">
        <v>259</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260</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20" t="s">
        <v>263</v>
      </c>
      <c r="C35" s="320"/>
      <c r="D35" s="321" t="s">
        <v>257</v>
      </c>
      <c r="E35" s="321"/>
      <c r="F35" s="321"/>
      <c r="G35" s="321"/>
      <c r="H35" s="104"/>
      <c r="I35" s="104"/>
      <c r="J35" s="104"/>
      <c r="K35" s="104"/>
      <c r="L35" s="104"/>
      <c r="M35" s="104"/>
      <c r="N35" s="104"/>
      <c r="O35" s="104"/>
      <c r="P35" s="104"/>
      <c r="Q35" s="104"/>
      <c r="R35" s="104"/>
    </row>
    <row r="36" spans="1:41" s="108" customFormat="1" ht="35.15" customHeight="1" x14ac:dyDescent="0.25">
      <c r="B36" s="237" t="s">
        <v>258</v>
      </c>
      <c r="C36" s="237" t="s">
        <v>259</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260</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20" t="s">
        <v>264</v>
      </c>
      <c r="C45" s="320"/>
      <c r="D45" s="321" t="s">
        <v>257</v>
      </c>
      <c r="E45" s="321"/>
      <c r="F45" s="321"/>
      <c r="G45" s="321"/>
      <c r="H45" s="104"/>
      <c r="I45" s="104"/>
      <c r="J45" s="104"/>
      <c r="K45" s="104"/>
      <c r="L45" s="104"/>
      <c r="M45" s="104"/>
      <c r="N45" s="104"/>
      <c r="O45" s="104"/>
      <c r="P45" s="104"/>
      <c r="Q45" s="104"/>
      <c r="R45" s="104"/>
    </row>
    <row r="46" spans="1:41" s="108" customFormat="1" ht="35.15" customHeight="1" x14ac:dyDescent="0.25">
      <c r="B46" s="237" t="s">
        <v>258</v>
      </c>
      <c r="C46" s="237" t="s">
        <v>259</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260</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20" t="s">
        <v>265</v>
      </c>
      <c r="C55" s="320"/>
      <c r="D55" s="321" t="s">
        <v>257</v>
      </c>
      <c r="E55" s="321"/>
      <c r="F55" s="321"/>
      <c r="G55" s="321"/>
      <c r="H55" s="104"/>
      <c r="I55" s="104"/>
      <c r="J55" s="104"/>
      <c r="K55" s="104"/>
      <c r="L55" s="104"/>
      <c r="M55" s="104"/>
      <c r="N55" s="104"/>
      <c r="O55" s="104"/>
      <c r="P55" s="104"/>
      <c r="Q55" s="104"/>
      <c r="R55" s="104"/>
    </row>
    <row r="56" spans="1:41" s="108" customFormat="1" ht="35.15" customHeight="1" x14ac:dyDescent="0.25">
      <c r="B56" s="237" t="s">
        <v>258</v>
      </c>
      <c r="C56" s="237" t="s">
        <v>259</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260</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2.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2026-05-11T05:19:21Z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