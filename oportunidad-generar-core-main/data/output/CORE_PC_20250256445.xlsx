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55-ep5\content\data\output\"/>
    </mc:Choice>
  </mc:AlternateContent>
  <xr:revisionPtr revIDLastSave="0" documentId="13_ncr:1_{1AB6B18C-277D-42CE-9F91-6B4403C5AE52}" xr6:coauthVersionLast="47" xr6:coauthVersionMax="47" xr10:uidLastSave="{00000000-0000-0000-0000-000000000000}"/>
  <bookViews>
    <workbookView xWindow="-110" yWindow="-110" windowWidth="19420" windowHeight="10300" tabRatio="740"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Planning'!$B$63:$E$63</definedName>
    <definedName name="_xlnm._FilterDatabase" localSheetId="2" hidden="1">Resources!$B$6:$E$6</definedName>
    <definedName name="costerecursosbaselineactual">'Cost Overview'!$G$8</definedName>
    <definedName name="costerecursostotalplanificado">costerecursosbaselineactual-'Cost Planning'!$I$5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Planning'!$I$5+'Cost Planning'!$E$47+'Cost Planning'!$E$48+'Cost Planning'!$I$50+'Cost Planning'!$I$61</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E9" i="6"/>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AE59" i="6"/>
  <c r="AF59" i="6"/>
  <c r="AG59" i="6"/>
  <c r="AH59" i="6"/>
  <c r="AI59" i="6"/>
  <c r="AJ59" i="6"/>
  <c r="AK59" i="6"/>
  <c r="AL59" i="6"/>
  <c r="AM59" i="6"/>
  <c r="AN59" i="6"/>
  <c r="AO59" i="6"/>
  <c r="AP59" i="6"/>
  <c r="AQ59" i="6"/>
  <c r="AR59" i="6"/>
  <c r="AS59" i="6"/>
  <c r="AT59" i="6"/>
  <c r="AU59" i="6"/>
  <c r="AV59" i="6"/>
  <c r="AW59" i="6"/>
  <c r="AX59" i="6"/>
  <c r="AY59" i="6"/>
  <c r="AZ59" i="6"/>
  <c r="BA59" i="6"/>
  <c r="BB59" i="6"/>
  <c r="BC59" i="6"/>
  <c r="BD59" i="6"/>
  <c r="BE59" i="6"/>
  <c r="BF59" i="6"/>
  <c r="BG59" i="6"/>
  <c r="BH59" i="6"/>
  <c r="BI59" i="6"/>
  <c r="BJ59" i="6"/>
  <c r="BK59" i="6"/>
  <c r="BL59" i="6"/>
  <c r="BM59" i="6"/>
  <c r="BN59" i="6"/>
  <c r="AE74" i="6"/>
  <c r="AF74" i="6"/>
  <c r="AG74" i="6"/>
  <c r="AH74" i="6"/>
  <c r="AI74" i="6"/>
  <c r="AJ74" i="6"/>
  <c r="AK74" i="6"/>
  <c r="AL74" i="6"/>
  <c r="AM74" i="6"/>
  <c r="AN74" i="6"/>
  <c r="AO74" i="6"/>
  <c r="AP74" i="6"/>
  <c r="AQ74" i="6"/>
  <c r="AR74" i="6"/>
  <c r="AS74" i="6"/>
  <c r="AT74" i="6"/>
  <c r="AU74" i="6"/>
  <c r="AV74" i="6"/>
  <c r="AW74" i="6"/>
  <c r="AX74" i="6"/>
  <c r="AY74" i="6"/>
  <c r="AZ74" i="6"/>
  <c r="BA74" i="6"/>
  <c r="BB74" i="6"/>
  <c r="BC74" i="6"/>
  <c r="BD74" i="6"/>
  <c r="BE74" i="6"/>
  <c r="BF74" i="6"/>
  <c r="BG74" i="6"/>
  <c r="BH74" i="6"/>
  <c r="BI74" i="6"/>
  <c r="BJ74" i="6"/>
  <c r="BK74" i="6"/>
  <c r="BL74" i="6"/>
  <c r="BM74" i="6"/>
  <c r="BN74" i="6"/>
  <c r="J36" i="3"/>
  <c r="D8" i="12"/>
  <c r="C7" i="16"/>
  <c r="C8" i="16"/>
  <c r="C9" i="16"/>
  <c r="C10" i="16"/>
  <c r="C11" i="16"/>
  <c r="U59"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D74" i="6"/>
  <c r="AD59" i="6"/>
  <c r="AD9"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N12" i="3" l="1"/>
  <c r="M12" i="3"/>
  <c r="G7"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H74" i="6"/>
  <c r="G74" i="6"/>
  <c r="P59" i="6"/>
  <c r="F9" i="6"/>
  <c r="D42" i="9"/>
  <c r="D43" i="9" s="1"/>
  <c r="E43" i="9" s="1"/>
  <c r="F43" i="9" s="1"/>
  <c r="G43" i="9" s="1"/>
  <c r="H43" i="9" s="1"/>
  <c r="I43" i="9" s="1"/>
  <c r="J43" i="9" s="1"/>
  <c r="K43" i="9" s="1"/>
  <c r="L43" i="9" s="1"/>
  <c r="M43" i="9" s="1"/>
  <c r="H9" i="6"/>
  <c r="I9" i="6"/>
  <c r="J9" i="6"/>
  <c r="K9" i="6"/>
  <c r="L9" i="6"/>
  <c r="M9" i="6"/>
  <c r="N9" i="6"/>
  <c r="O9" i="6"/>
  <c r="P9" i="6"/>
  <c r="Q9" i="6"/>
  <c r="R9" i="6"/>
  <c r="S9" i="6"/>
  <c r="T9" i="6"/>
  <c r="U9" i="6"/>
  <c r="V9" i="6"/>
  <c r="W9" i="6"/>
  <c r="X9" i="6"/>
  <c r="Y9" i="6"/>
  <c r="Z9" i="6"/>
  <c r="AA9" i="6"/>
  <c r="AB9" i="6"/>
  <c r="AC9" i="6"/>
  <c r="G9" i="6"/>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F8" i="10"/>
  <c r="D30" i="9"/>
  <c r="AI43" i="9" l="1"/>
  <c r="F59" i="6"/>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B11" i="6"/>
  <c r="C11" i="6"/>
  <c r="D11" i="6"/>
  <c r="E11" i="6"/>
  <c r="B12" i="6"/>
  <c r="C12" i="6"/>
  <c r="D12" i="6"/>
  <c r="E12" i="6"/>
  <c r="B13" i="6"/>
  <c r="C13" i="6"/>
  <c r="D13" i="6"/>
  <c r="E13" i="6"/>
  <c r="B14" i="6"/>
  <c r="C14" i="6"/>
  <c r="D14" i="6"/>
  <c r="E14" i="6"/>
  <c r="B15" i="6"/>
  <c r="C15" i="6"/>
  <c r="D15" i="6"/>
  <c r="E15" i="6"/>
  <c r="B16" i="6"/>
  <c r="C16" i="6"/>
  <c r="D16" i="6"/>
  <c r="E16" i="6"/>
  <c r="B17" i="6"/>
  <c r="C17" i="6"/>
  <c r="D17" i="6"/>
  <c r="E17" i="6"/>
  <c r="B18" i="6"/>
  <c r="C18" i="6"/>
  <c r="D18" i="6"/>
  <c r="E18" i="6"/>
  <c r="B19" i="6"/>
  <c r="C19" i="6"/>
  <c r="D19" i="6"/>
  <c r="E19" i="6"/>
  <c r="B20" i="6"/>
  <c r="C20" i="6"/>
  <c r="D20" i="6"/>
  <c r="E20" i="6"/>
  <c r="B21" i="6"/>
  <c r="C21" i="6"/>
  <c r="D21" i="6"/>
  <c r="E21" i="6"/>
  <c r="B22" i="6"/>
  <c r="C22" i="6"/>
  <c r="D22" i="6"/>
  <c r="E22" i="6"/>
  <c r="B23" i="6"/>
  <c r="C23" i="6"/>
  <c r="D23" i="6"/>
  <c r="E23" i="6"/>
  <c r="B24" i="6"/>
  <c r="C24" i="6"/>
  <c r="D24" i="6"/>
  <c r="E24" i="6"/>
  <c r="B25" i="6"/>
  <c r="C25" i="6"/>
  <c r="D25" i="6"/>
  <c r="E25" i="6"/>
  <c r="B26" i="6"/>
  <c r="C26" i="6"/>
  <c r="D26" i="6"/>
  <c r="E26" i="6"/>
  <c r="B27" i="6"/>
  <c r="C27" i="6"/>
  <c r="D27" i="6"/>
  <c r="E27" i="6"/>
  <c r="B28" i="6"/>
  <c r="C28" i="6"/>
  <c r="D28" i="6"/>
  <c r="E28" i="6"/>
  <c r="B29" i="6"/>
  <c r="C29" i="6"/>
  <c r="D29" i="6"/>
  <c r="E29" i="6"/>
  <c r="B30" i="6"/>
  <c r="C30" i="6"/>
  <c r="D30" i="6"/>
  <c r="E30" i="6"/>
  <c r="B31" i="6"/>
  <c r="C31" i="6"/>
  <c r="D31" i="6"/>
  <c r="E31" i="6"/>
  <c r="B32" i="6"/>
  <c r="C32" i="6"/>
  <c r="D32" i="6"/>
  <c r="E32" i="6"/>
  <c r="B33" i="6"/>
  <c r="C33" i="6"/>
  <c r="D33" i="6"/>
  <c r="E33" i="6"/>
  <c r="B34" i="6"/>
  <c r="C34" i="6"/>
  <c r="D34" i="6"/>
  <c r="E34" i="6"/>
  <c r="B35" i="6"/>
  <c r="C35" i="6"/>
  <c r="D35" i="6"/>
  <c r="E35" i="6"/>
  <c r="B36" i="6"/>
  <c r="C36" i="6"/>
  <c r="D36" i="6"/>
  <c r="E36" i="6"/>
  <c r="B37" i="6"/>
  <c r="C37" i="6"/>
  <c r="D37" i="6"/>
  <c r="E37" i="6"/>
  <c r="B38" i="6"/>
  <c r="C38" i="6"/>
  <c r="D38" i="6"/>
  <c r="E38" i="6"/>
  <c r="B39" i="6"/>
  <c r="C39" i="6"/>
  <c r="D39" i="6"/>
  <c r="E39" i="6"/>
  <c r="D10" i="6"/>
  <c r="E10" i="6"/>
  <c r="C10" i="6"/>
  <c r="B10" i="6"/>
  <c r="D36" i="9"/>
  <c r="D35" i="9"/>
  <c r="D32" i="9"/>
  <c r="D31" i="9"/>
  <c r="F74" i="6"/>
  <c r="AL40" i="6" l="1" a="1"/>
  <c r="AL40" i="6" s="1"/>
  <c r="AU40" i="6" a="1"/>
  <c r="AU40" i="6" s="1"/>
  <c r="BC40" i="6" a="1"/>
  <c r="BC40" i="6" s="1"/>
  <c r="BL40" i="6" a="1"/>
  <c r="BL40" i="6" s="1"/>
  <c r="AJ41" i="6" a="1"/>
  <c r="AJ41" i="6" s="1"/>
  <c r="AS41" i="6" a="1"/>
  <c r="AS41" i="6" s="1"/>
  <c r="BA41" i="6" a="1"/>
  <c r="BA41" i="6" s="1"/>
  <c r="BI41" i="6" a="1"/>
  <c r="BI41" i="6" s="1"/>
  <c r="BE40" i="6" a="1"/>
  <c r="BE40" i="6" s="1"/>
  <c r="AK41" i="6" a="1"/>
  <c r="AK41" i="6" s="1"/>
  <c r="BK41" i="6" a="1"/>
  <c r="BK41" i="6" s="1"/>
  <c r="AL41" i="6" a="1"/>
  <c r="AL41" i="6" s="1"/>
  <c r="BL41" i="6" a="1"/>
  <c r="BL41" i="6" s="1"/>
  <c r="AO40" i="6" a="1"/>
  <c r="AO40" i="6" s="1"/>
  <c r="AM41" i="6" a="1"/>
  <c r="AM41" i="6" s="1"/>
  <c r="BC41" i="6" a="1"/>
  <c r="BC41" i="6" s="1"/>
  <c r="AX40" i="6" a="1"/>
  <c r="AX40" i="6" s="1"/>
  <c r="AN41" i="6" a="1"/>
  <c r="AN41" i="6" s="1"/>
  <c r="BD41" i="6" a="1"/>
  <c r="BD41" i="6" s="1"/>
  <c r="AY40" i="6" a="1"/>
  <c r="AY40" i="6" s="1"/>
  <c r="BE41" i="6" a="1"/>
  <c r="BE41" i="6" s="1"/>
  <c r="AZ40" i="6" a="1"/>
  <c r="AZ40" i="6" s="1"/>
  <c r="AO41" i="6" a="1"/>
  <c r="AO41" i="6" s="1"/>
  <c r="BF41" i="6" a="1"/>
  <c r="BF41" i="6" s="1"/>
  <c r="AG41" i="6" a="1"/>
  <c r="AG41" i="6" s="1"/>
  <c r="BG41" i="6" a="1"/>
  <c r="BG41" i="6" s="1"/>
  <c r="BA40" i="6" a="1"/>
  <c r="BA40" i="6" s="1"/>
  <c r="AH41" i="6" a="1"/>
  <c r="AH41" i="6" s="1"/>
  <c r="AS40" i="6" a="1"/>
  <c r="AS40" i="6" s="1"/>
  <c r="AI41" i="6" a="1"/>
  <c r="AI41" i="6" s="1"/>
  <c r="BH41" i="6" a="1"/>
  <c r="BH41" i="6" s="1"/>
  <c r="AT40" i="6" a="1"/>
  <c r="AT40" i="6" s="1"/>
  <c r="AE40" i="6" a="1"/>
  <c r="AE40" i="6" s="1"/>
  <c r="AM40" i="6" a="1"/>
  <c r="AM40" i="6" s="1"/>
  <c r="BD40" i="6" a="1"/>
  <c r="BD40" i="6" s="1"/>
  <c r="AT41" i="6" a="1"/>
  <c r="AT41" i="6" s="1"/>
  <c r="BJ41" i="6" a="1"/>
  <c r="BJ41" i="6" s="1"/>
  <c r="AF40" i="6" a="1"/>
  <c r="AF40" i="6" s="1"/>
  <c r="AN40" i="6" a="1"/>
  <c r="AN40" i="6" s="1"/>
  <c r="AV40" i="6" a="1"/>
  <c r="AV40" i="6" s="1"/>
  <c r="BM40" i="6" a="1"/>
  <c r="BM40" i="6" s="1"/>
  <c r="BB41" i="6" a="1"/>
  <c r="BB41" i="6" s="1"/>
  <c r="BF40" i="6" a="1"/>
  <c r="BF40" i="6" s="1"/>
  <c r="AU41" i="6" a="1"/>
  <c r="AU41" i="6" s="1"/>
  <c r="AG40" i="6" a="1"/>
  <c r="AG40" i="6" s="1"/>
  <c r="BN40" i="6" a="1"/>
  <c r="BN40" i="6" s="1"/>
  <c r="AH40" i="6" a="1"/>
  <c r="AH40" i="6" s="1"/>
  <c r="BG40" i="6" a="1"/>
  <c r="BG40" i="6" s="1"/>
  <c r="AV41" i="6" a="1"/>
  <c r="AV41" i="6" s="1"/>
  <c r="BM41" i="6" a="1"/>
  <c r="BM41" i="6" s="1"/>
  <c r="AP40" i="6" a="1"/>
  <c r="AP40" i="6" s="1"/>
  <c r="AE41" i="6" a="1"/>
  <c r="AE41" i="6" s="1"/>
  <c r="AI40" i="6" a="1"/>
  <c r="AI40" i="6" s="1"/>
  <c r="AF41" i="6" a="1"/>
  <c r="AF41" i="6" s="1"/>
  <c r="AW41" i="6" a="1"/>
  <c r="AW41" i="6" s="1"/>
  <c r="AQ40" i="6" a="1"/>
  <c r="AQ40" i="6" s="1"/>
  <c r="AX41" i="6" a="1"/>
  <c r="AX41" i="6" s="1"/>
  <c r="AJ40" i="6" a="1"/>
  <c r="AJ40" i="6" s="1"/>
  <c r="BI40" i="6" a="1"/>
  <c r="BI40" i="6" s="1"/>
  <c r="BB40" i="6" a="1"/>
  <c r="BB40" i="6" s="1"/>
  <c r="AQ41" i="6" a="1"/>
  <c r="AQ41" i="6" s="1"/>
  <c r="AK40" i="6" a="1"/>
  <c r="AK40" i="6" s="1"/>
  <c r="AR41" i="6" a="1"/>
  <c r="AR41" i="6" s="1"/>
  <c r="AW40" i="6" a="1"/>
  <c r="AW40" i="6" s="1"/>
  <c r="BN41" i="6" a="1"/>
  <c r="BN41" i="6" s="1"/>
  <c r="BH40" i="6" a="1"/>
  <c r="BH40" i="6" s="1"/>
  <c r="AP41" i="6" a="1"/>
  <c r="AP41" i="6" s="1"/>
  <c r="AR40" i="6" a="1"/>
  <c r="AR40" i="6" s="1"/>
  <c r="AY41" i="6" a="1"/>
  <c r="AY41" i="6" s="1"/>
  <c r="BJ40" i="6" a="1"/>
  <c r="BJ40" i="6" s="1"/>
  <c r="AZ41" i="6" a="1"/>
  <c r="AZ41" i="6" s="1"/>
  <c r="BK40" i="6" a="1"/>
  <c r="BK40" i="6" s="1"/>
  <c r="AJ43" i="9"/>
  <c r="J41" i="6" a="1"/>
  <c r="J41" i="6" s="1"/>
  <c r="O40" i="6" a="1"/>
  <c r="O40" i="6" s="1"/>
  <c r="X41" i="6" a="1"/>
  <c r="X41" i="6" s="1"/>
  <c r="G40" i="6" a="1"/>
  <c r="G40" i="6" s="1"/>
  <c r="P41" i="6" a="1"/>
  <c r="P41" i="6" s="1"/>
  <c r="AA40" i="6" a="1"/>
  <c r="AA40" i="6" s="1"/>
  <c r="D37" i="9"/>
  <c r="I41" i="6" a="1"/>
  <c r="I41" i="6" s="1"/>
  <c r="V41" i="6" a="1"/>
  <c r="V41" i="6" s="1"/>
  <c r="AC41" i="6" a="1"/>
  <c r="AC41" i="6" s="1"/>
  <c r="Y40" i="6" a="1"/>
  <c r="Y40" i="6" s="1"/>
  <c r="N41" i="6" a="1"/>
  <c r="N41" i="6" s="1"/>
  <c r="U41" i="6" a="1"/>
  <c r="U41" i="6" s="1"/>
  <c r="W41" i="6" a="1"/>
  <c r="W41" i="6" s="1"/>
  <c r="AD41" i="6" a="1"/>
  <c r="AD41" i="6" s="1"/>
  <c r="S40" i="6" a="1"/>
  <c r="S40" i="6" s="1"/>
  <c r="Z40" i="6" a="1"/>
  <c r="Z40" i="6" s="1"/>
  <c r="N40" i="6" a="1"/>
  <c r="N40" i="6" s="1"/>
  <c r="P40" i="6" a="1"/>
  <c r="P40" i="6" s="1"/>
  <c r="Q40" i="6" a="1"/>
  <c r="Q40" i="6" s="1"/>
  <c r="O41" i="6" a="1"/>
  <c r="O41" i="6" s="1"/>
  <c r="H40" i="6" a="1"/>
  <c r="H40" i="6" s="1"/>
  <c r="K41" i="6" a="1"/>
  <c r="K41" i="6" s="1"/>
  <c r="Q41" i="6" a="1"/>
  <c r="Q41" i="6" s="1"/>
  <c r="T40" i="6" a="1"/>
  <c r="T40" i="6" s="1"/>
  <c r="M40" i="6" a="1"/>
  <c r="M40" i="6" s="1"/>
  <c r="M41" i="6" a="1"/>
  <c r="M41" i="6" s="1"/>
  <c r="AC40" i="6" a="1"/>
  <c r="AC40" i="6" s="1"/>
  <c r="W40" i="6" a="1"/>
  <c r="W40" i="6" s="1"/>
  <c r="R40" i="6" a="1"/>
  <c r="R40" i="6" s="1"/>
  <c r="L41" i="6" a="1"/>
  <c r="L41" i="6" s="1"/>
  <c r="R41" i="6" a="1"/>
  <c r="R41" i="6" s="1"/>
  <c r="Y41" i="6" a="1"/>
  <c r="Y41" i="6" s="1"/>
  <c r="H41" i="6" a="1"/>
  <c r="H41" i="6" s="1"/>
  <c r="U40" i="6" a="1"/>
  <c r="U40" i="6" s="1"/>
  <c r="L40" i="6" a="1"/>
  <c r="L40" i="6" s="1"/>
  <c r="AA41" i="6" a="1"/>
  <c r="AA41" i="6" s="1"/>
  <c r="J40" i="6" a="1"/>
  <c r="J40" i="6" s="1"/>
  <c r="AD40" i="6" a="1"/>
  <c r="AD40" i="6" s="1"/>
  <c r="X40" i="6" a="1"/>
  <c r="X40" i="6" s="1"/>
  <c r="S41" i="6" a="1"/>
  <c r="S41" i="6" s="1"/>
  <c r="Z41" i="6" a="1"/>
  <c r="Z41" i="6" s="1"/>
  <c r="V40" i="6" a="1"/>
  <c r="V40" i="6" s="1"/>
  <c r="AB40" i="6" a="1"/>
  <c r="AB40" i="6" s="1"/>
  <c r="K40" i="6" a="1"/>
  <c r="K40" i="6" s="1"/>
  <c r="T41" i="6" a="1"/>
  <c r="T41" i="6" s="1"/>
  <c r="AB41" i="6" a="1"/>
  <c r="AB41" i="6" s="1"/>
  <c r="I40" i="6" a="1"/>
  <c r="I40" i="6" s="1"/>
  <c r="G41" i="6" a="1"/>
  <c r="G41" i="6" s="1"/>
  <c r="D38" i="9"/>
  <c r="F41" i="12"/>
  <c r="AK43" i="9" l="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G46" i="6"/>
  <c r="H46" i="6" s="1"/>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G52" i="6"/>
  <c r="H52" i="6" s="1"/>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AC59" i="6"/>
  <c r="AB59" i="6"/>
  <c r="AA59" i="6"/>
  <c r="Z59" i="6"/>
  <c r="Y59" i="6"/>
  <c r="X59" i="6"/>
  <c r="W59" i="6"/>
  <c r="V59" i="6"/>
  <c r="T59" i="6"/>
  <c r="S59" i="6"/>
  <c r="R59" i="6"/>
  <c r="Q59" i="6"/>
  <c r="O59" i="6"/>
  <c r="N59" i="6"/>
  <c r="M59" i="6"/>
  <c r="L59" i="6"/>
  <c r="K59" i="6"/>
  <c r="J59" i="6"/>
  <c r="I59" i="6"/>
  <c r="H59" i="6"/>
  <c r="G59" i="6"/>
  <c r="G63" i="6"/>
  <c r="H63" i="6" s="1"/>
  <c r="I63" i="6" s="1"/>
  <c r="J63" i="6" s="1"/>
  <c r="K63" i="6" s="1"/>
  <c r="L63" i="6" s="1"/>
  <c r="M63" i="6" s="1"/>
  <c r="N63" i="6" s="1"/>
  <c r="O63" i="6" s="1"/>
  <c r="P63" i="6" s="1"/>
  <c r="Q63" i="6" s="1"/>
  <c r="R63" i="6" s="1"/>
  <c r="S63" i="6" s="1"/>
  <c r="T63" i="6" s="1"/>
  <c r="U63" i="6" s="1"/>
  <c r="V63" i="6" s="1"/>
  <c r="W63" i="6" s="1"/>
  <c r="X63" i="6" s="1"/>
  <c r="Y63" i="6" s="1"/>
  <c r="Z63" i="6" s="1"/>
  <c r="AA63" i="6" s="1"/>
  <c r="AB63" i="6" s="1"/>
  <c r="AC63" i="6" s="1"/>
  <c r="AD63" i="6" s="1"/>
  <c r="AE63" i="6" s="1"/>
  <c r="AF63" i="6" s="1"/>
  <c r="AG63" i="6" s="1"/>
  <c r="AH63" i="6" s="1"/>
  <c r="AI63" i="6" s="1"/>
  <c r="AJ63" i="6" s="1"/>
  <c r="AK63" i="6" s="1"/>
  <c r="AL63" i="6" s="1"/>
  <c r="AM63" i="6" s="1"/>
  <c r="AN63" i="6" s="1"/>
  <c r="AO63" i="6" s="1"/>
  <c r="AP63" i="6" s="1"/>
  <c r="AQ63" i="6" s="1"/>
  <c r="AR63" i="6" s="1"/>
  <c r="AS63" i="6" s="1"/>
  <c r="AT63" i="6" s="1"/>
  <c r="AU63" i="6" s="1"/>
  <c r="AV63" i="6" s="1"/>
  <c r="AW63" i="6" s="1"/>
  <c r="AX63" i="6" s="1"/>
  <c r="AY63" i="6" s="1"/>
  <c r="AZ63" i="6" s="1"/>
  <c r="BA63" i="6" s="1"/>
  <c r="BB63" i="6" s="1"/>
  <c r="BC63" i="6" s="1"/>
  <c r="BD63" i="6" s="1"/>
  <c r="BE63" i="6" s="1"/>
  <c r="BF63" i="6" s="1"/>
  <c r="BG63" i="6" s="1"/>
  <c r="BH63" i="6" s="1"/>
  <c r="BI63" i="6" s="1"/>
  <c r="BJ63" i="6" s="1"/>
  <c r="BK63" i="6" s="1"/>
  <c r="BL63" i="6" s="1"/>
  <c r="BM63" i="6" s="1"/>
  <c r="BN63" i="6" s="1"/>
  <c r="I74" i="6"/>
  <c r="J74" i="6"/>
  <c r="K74" i="6"/>
  <c r="L74" i="6"/>
  <c r="M74" i="6"/>
  <c r="N74" i="6"/>
  <c r="O74" i="6"/>
  <c r="P74" i="6"/>
  <c r="Q74" i="6"/>
  <c r="R74" i="6"/>
  <c r="S74" i="6"/>
  <c r="T74" i="6"/>
  <c r="U74" i="6"/>
  <c r="V74" i="6"/>
  <c r="W74" i="6"/>
  <c r="X74" i="6"/>
  <c r="Y74" i="6"/>
  <c r="Z74" i="6"/>
  <c r="AA74" i="6"/>
  <c r="AB74" i="6"/>
  <c r="AC74"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7" i="3"/>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R6" i="5"/>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BA6" i="5" s="1"/>
  <c r="BB6" i="5" s="1"/>
  <c r="BC6" i="5" s="1"/>
  <c r="BD6" i="5" s="1"/>
  <c r="BE6" i="5" s="1"/>
  <c r="BF6" i="5" s="1"/>
  <c r="BG6" i="5" s="1"/>
  <c r="BH6" i="5" s="1"/>
  <c r="BI6" i="5" s="1"/>
  <c r="BJ6" i="5" s="1"/>
  <c r="BK6" i="5" s="1"/>
  <c r="BL6" i="5" s="1"/>
  <c r="BM6" i="5" s="1"/>
  <c r="C2" i="5"/>
  <c r="M35" i="3"/>
  <c r="M18" i="3"/>
  <c r="M19" i="3"/>
  <c r="M27" i="3"/>
  <c r="M31" i="3"/>
  <c r="M33" i="3"/>
  <c r="M34" i="3"/>
  <c r="I6" i="10"/>
  <c r="H6" i="10"/>
  <c r="G6" i="10"/>
  <c r="F6" i="10"/>
  <c r="AL43" i="9" l="1"/>
  <c r="M7" i="3"/>
  <c r="J8" i="10"/>
  <c r="G7" i="6"/>
  <c r="I41" i="12"/>
  <c r="I8" i="10"/>
  <c r="S8" i="6"/>
  <c r="T8" i="6" s="1"/>
  <c r="U8" i="6" s="1"/>
  <c r="V8" i="6" s="1"/>
  <c r="W8" i="6" s="1"/>
  <c r="X8" i="6" s="1"/>
  <c r="Y8" i="6" s="1"/>
  <c r="Z8" i="6" s="1"/>
  <c r="AA8" i="6" s="1"/>
  <c r="AB8" i="6" s="1"/>
  <c r="AC8" i="6" s="1"/>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AM43" i="9" l="1"/>
  <c r="E40" i="9"/>
  <c r="M8" i="3"/>
  <c r="O7" i="3"/>
  <c r="N7" i="3"/>
  <c r="AD8" i="6"/>
  <c r="AE8" i="6" s="1"/>
  <c r="K6" i="10"/>
  <c r="L6" i="10" s="1"/>
  <c r="E8" i="10"/>
  <c r="N6" i="10"/>
  <c r="M6" i="10"/>
  <c r="J7" i="6"/>
  <c r="H7" i="6"/>
  <c r="AC7" i="6"/>
  <c r="O7" i="6"/>
  <c r="U7" i="6"/>
  <c r="W7" i="6"/>
  <c r="L7" i="6"/>
  <c r="T7" i="6"/>
  <c r="I7" i="6"/>
  <c r="AA7" i="6"/>
  <c r="V7" i="6"/>
  <c r="S7" i="6"/>
  <c r="X7" i="6"/>
  <c r="AB7" i="6"/>
  <c r="R7" i="6"/>
  <c r="P7" i="6"/>
  <c r="Q7" i="6"/>
  <c r="N7" i="6"/>
  <c r="K7" i="6"/>
  <c r="Y7" i="6"/>
  <c r="M7" i="6"/>
  <c r="Z7" i="6"/>
  <c r="F9" i="9"/>
  <c r="G4" i="9"/>
  <c r="U16" i="3"/>
  <c r="D48" i="6"/>
  <c r="E48" i="6" s="1"/>
  <c r="H7" i="10"/>
  <c r="H9" i="10" s="1"/>
  <c r="F61" i="6"/>
  <c r="I61" i="6" s="1"/>
  <c r="K61" i="6" s="1"/>
  <c r="J7" i="10"/>
  <c r="J9" i="10" s="1"/>
  <c r="D47" i="6"/>
  <c r="E47" i="6" s="1"/>
  <c r="G7" i="10"/>
  <c r="G9" i="10" s="1"/>
  <c r="E7" i="10"/>
  <c r="F5" i="6"/>
  <c r="I5" i="6" s="1"/>
  <c r="K5" i="6" s="1"/>
  <c r="F50" i="6"/>
  <c r="I50" i="6" s="1"/>
  <c r="K50" i="6" s="1"/>
  <c r="I7" i="10"/>
  <c r="I9" i="10" s="1"/>
  <c r="F8" i="3"/>
  <c r="N8" i="3" s="1"/>
  <c r="F12" i="9"/>
  <c r="F7" i="9"/>
  <c r="F8" i="9"/>
  <c r="F6" i="9"/>
  <c r="F11" i="9"/>
  <c r="F10" i="9"/>
  <c r="E13" i="9"/>
  <c r="E15" i="9" s="1"/>
  <c r="U24" i="3"/>
  <c r="U32" i="3"/>
  <c r="U23" i="3"/>
  <c r="U25" i="3"/>
  <c r="U21" i="3"/>
  <c r="U20" i="3"/>
  <c r="U22" i="3"/>
  <c r="U30" i="3"/>
  <c r="U28" i="3"/>
  <c r="U29" i="3"/>
  <c r="D15" i="9"/>
  <c r="C37" i="1"/>
  <c r="K8" i="10" l="1"/>
  <c r="E9" i="10"/>
  <c r="AE7" i="6"/>
  <c r="AF8" i="6"/>
  <c r="AN43" i="9"/>
  <c r="AD7" i="6"/>
  <c r="F40" i="9"/>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8" i="6"/>
  <c r="AF7" i="6"/>
  <c r="AO43" i="9"/>
  <c r="L8" i="10"/>
  <c r="G40" i="9"/>
  <c r="H6" i="9"/>
  <c r="H11" i="9"/>
  <c r="H8" i="9"/>
  <c r="I4" i="9"/>
  <c r="H7" i="9"/>
  <c r="H12" i="9"/>
  <c r="H10" i="9"/>
  <c r="G13" i="9"/>
  <c r="G15" i="9" s="1"/>
  <c r="H9" i="9"/>
  <c r="N8" i="10"/>
  <c r="L7" i="10"/>
  <c r="F15" i="9"/>
  <c r="L9" i="10" l="1"/>
  <c r="I10" i="9"/>
  <c r="I9" i="9"/>
  <c r="AG7" i="6"/>
  <c r="AH8" i="6"/>
  <c r="AP43" i="9"/>
  <c r="H40" i="9"/>
  <c r="I11" i="9"/>
  <c r="I7" i="9"/>
  <c r="I12" i="9"/>
  <c r="I8" i="9"/>
  <c r="I6" i="9"/>
  <c r="J4" i="9"/>
  <c r="G14" i="9"/>
  <c r="H13" i="9"/>
  <c r="H15" i="9" s="1"/>
  <c r="AI8" i="6" l="1"/>
  <c r="AH7" i="6"/>
  <c r="AQ43" i="9"/>
  <c r="I40" i="9"/>
  <c r="I13" i="9"/>
  <c r="I15" i="9" s="1"/>
  <c r="J11" i="9"/>
  <c r="J6" i="9"/>
  <c r="J7" i="9"/>
  <c r="J9" i="9"/>
  <c r="K4" i="9"/>
  <c r="J10" i="9"/>
  <c r="J12" i="9"/>
  <c r="J8" i="9"/>
  <c r="H14" i="9"/>
  <c r="AI7" i="6" l="1"/>
  <c r="AJ8" i="6"/>
  <c r="AR43" i="9"/>
  <c r="J40" i="9"/>
  <c r="K6" i="9"/>
  <c r="K8" i="9"/>
  <c r="K11" i="9"/>
  <c r="K9" i="9"/>
  <c r="K7" i="9"/>
  <c r="K12" i="9"/>
  <c r="L4" i="9"/>
  <c r="I14" i="9"/>
  <c r="K10" i="9"/>
  <c r="J13" i="9"/>
  <c r="J14" i="9" s="1"/>
  <c r="AJ7" i="6" l="1"/>
  <c r="AK8" i="6"/>
  <c r="E33" i="9"/>
  <c r="E31" i="9"/>
  <c r="E35" i="9"/>
  <c r="E36" i="9"/>
  <c r="E34" i="9"/>
  <c r="E32" i="9"/>
  <c r="AS43" i="9"/>
  <c r="L7" i="9"/>
  <c r="K40" i="9"/>
  <c r="L6" i="9"/>
  <c r="L10" i="9"/>
  <c r="M4" i="9"/>
  <c r="L11" i="9"/>
  <c r="L8" i="9"/>
  <c r="L9" i="9"/>
  <c r="L12" i="9"/>
  <c r="K13" i="9"/>
  <c r="K15" i="9" s="1"/>
  <c r="J15" i="9"/>
  <c r="E22" i="9" l="1"/>
  <c r="F34" i="9"/>
  <c r="E24" i="9"/>
  <c r="F36" i="9"/>
  <c r="F31" i="9"/>
  <c r="E19" i="9"/>
  <c r="AK7" i="6"/>
  <c r="AL8" i="6"/>
  <c r="F32" i="9"/>
  <c r="E37" i="9"/>
  <c r="E20" i="9"/>
  <c r="E30" i="9" a="1"/>
  <c r="E30" i="9" s="1"/>
  <c r="F35" i="9"/>
  <c r="E23" i="9"/>
  <c r="E21" i="9"/>
  <c r="F33" i="9"/>
  <c r="AT43" i="9"/>
  <c r="M8" i="9"/>
  <c r="M10" i="9"/>
  <c r="M12" i="9"/>
  <c r="M9" i="9"/>
  <c r="M6" i="9"/>
  <c r="N4" i="9"/>
  <c r="M11" i="9"/>
  <c r="M7" i="9"/>
  <c r="L40" i="9"/>
  <c r="L13" i="9"/>
  <c r="L15" i="9" s="1"/>
  <c r="K14" i="9"/>
  <c r="E25" i="9" l="1"/>
  <c r="E38" i="9"/>
  <c r="E18" i="9"/>
  <c r="E44" i="9"/>
  <c r="AL7" i="6"/>
  <c r="AM8" i="6"/>
  <c r="F20" i="9"/>
  <c r="F37" i="9"/>
  <c r="F30" i="9" a="1"/>
  <c r="F30" i="9" s="1"/>
  <c r="G32" i="9"/>
  <c r="F19" i="9"/>
  <c r="G31" i="9"/>
  <c r="F24" i="9"/>
  <c r="G36" i="9"/>
  <c r="G34" i="9"/>
  <c r="F22" i="9"/>
  <c r="F21" i="9"/>
  <c r="G33" i="9"/>
  <c r="F23" i="9"/>
  <c r="G35" i="9"/>
  <c r="AU43" i="9"/>
  <c r="M40" i="9"/>
  <c r="N6" i="9"/>
  <c r="N9" i="9"/>
  <c r="N7" i="9"/>
  <c r="N12" i="9"/>
  <c r="M13" i="9"/>
  <c r="M14" i="9" s="1"/>
  <c r="O4" i="9"/>
  <c r="N8" i="9"/>
  <c r="N10" i="9"/>
  <c r="N11" i="9"/>
  <c r="L14" i="9"/>
  <c r="M15" i="9" l="1"/>
  <c r="G19" i="9"/>
  <c r="H31" i="9"/>
  <c r="F44" i="9"/>
  <c r="F18" i="9"/>
  <c r="F38" i="9"/>
  <c r="G21" i="9"/>
  <c r="H33" i="9"/>
  <c r="AM7" i="6"/>
  <c r="AN8" i="6"/>
  <c r="G22" i="9"/>
  <c r="H34" i="9"/>
  <c r="E26" i="9"/>
  <c r="E27" i="9"/>
  <c r="H32" i="9"/>
  <c r="G30" i="9" a="1"/>
  <c r="G30" i="9" s="1"/>
  <c r="G20" i="9"/>
  <c r="G37" i="9"/>
  <c r="G23" i="9"/>
  <c r="H35" i="9"/>
  <c r="F25" i="9"/>
  <c r="G24" i="9"/>
  <c r="H36" i="9"/>
  <c r="AV43" i="9"/>
  <c r="O9" i="9"/>
  <c r="P4" i="9"/>
  <c r="N40" i="9"/>
  <c r="O10" i="9"/>
  <c r="O6" i="9"/>
  <c r="O8" i="9"/>
  <c r="O12" i="9"/>
  <c r="O11" i="9"/>
  <c r="O7" i="9"/>
  <c r="N13" i="9"/>
  <c r="N14" i="9" s="1"/>
  <c r="I34" i="9" l="1"/>
  <c r="H22" i="9"/>
  <c r="AN7" i="6"/>
  <c r="AO8" i="6"/>
  <c r="H23" i="9"/>
  <c r="I35" i="9"/>
  <c r="H21" i="9"/>
  <c r="I33" i="9"/>
  <c r="G25" i="9"/>
  <c r="G44" i="9"/>
  <c r="G38" i="9"/>
  <c r="G18" i="9"/>
  <c r="F27" i="9"/>
  <c r="F26" i="9"/>
  <c r="I32" i="9"/>
  <c r="H37" i="9"/>
  <c r="H20" i="9"/>
  <c r="H30" i="9" a="1"/>
  <c r="H30" i="9" s="1"/>
  <c r="H19" i="9"/>
  <c r="I31" i="9"/>
  <c r="H24" i="9"/>
  <c r="I36" i="9"/>
  <c r="AW43" i="9"/>
  <c r="P11" i="9"/>
  <c r="P9" i="9"/>
  <c r="P12" i="9"/>
  <c r="P8" i="9"/>
  <c r="Q5" i="9"/>
  <c r="Q4" i="9" s="1"/>
  <c r="P7" i="9"/>
  <c r="O40" i="9"/>
  <c r="P6" i="9"/>
  <c r="O13" i="9"/>
  <c r="O14" i="9" s="1"/>
  <c r="P10" i="9"/>
  <c r="N15" i="9"/>
  <c r="O15" i="9" l="1"/>
  <c r="Q8" i="9"/>
  <c r="Q12" i="9"/>
  <c r="Q9" i="9"/>
  <c r="I23" i="9"/>
  <c r="J35" i="9"/>
  <c r="J36" i="9"/>
  <c r="I24" i="9"/>
  <c r="H18" i="9"/>
  <c r="H44" i="9"/>
  <c r="H38" i="9"/>
  <c r="I20" i="9"/>
  <c r="J32" i="9"/>
  <c r="I37" i="9"/>
  <c r="I30" i="9" a="1"/>
  <c r="I30" i="9" s="1"/>
  <c r="I19" i="9"/>
  <c r="J31" i="9"/>
  <c r="I21" i="9"/>
  <c r="J33" i="9"/>
  <c r="H25" i="9"/>
  <c r="AO7" i="6"/>
  <c r="AP8" i="6"/>
  <c r="G26" i="9"/>
  <c r="G27" i="9"/>
  <c r="I22" i="9"/>
  <c r="J34" i="9"/>
  <c r="AX43" i="9"/>
  <c r="Q7" i="9"/>
  <c r="R5" i="9"/>
  <c r="R4" i="9" s="1"/>
  <c r="Q11" i="9"/>
  <c r="P40" i="9"/>
  <c r="P13" i="9"/>
  <c r="P14" i="9" s="1"/>
  <c r="Q10" i="9"/>
  <c r="Q6" i="9"/>
  <c r="P15" i="9" l="1"/>
  <c r="R11" i="9"/>
  <c r="AQ8" i="6"/>
  <c r="AP7" i="6"/>
  <c r="I44" i="9"/>
  <c r="I38" i="9"/>
  <c r="I18" i="9"/>
  <c r="J30" i="9" a="1"/>
  <c r="J30" i="9" s="1"/>
  <c r="K32" i="9"/>
  <c r="J37" i="9"/>
  <c r="J20" i="9"/>
  <c r="J24" i="9"/>
  <c r="K36" i="9"/>
  <c r="J23" i="9"/>
  <c r="K35" i="9"/>
  <c r="J22" i="9"/>
  <c r="K34" i="9"/>
  <c r="I25" i="9"/>
  <c r="H26" i="9"/>
  <c r="H27" i="9"/>
  <c r="J21" i="9"/>
  <c r="K33" i="9"/>
  <c r="J19" i="9"/>
  <c r="K31" i="9"/>
  <c r="AY43" i="9"/>
  <c r="S5" i="9"/>
  <c r="S4" i="9" s="1"/>
  <c r="R10" i="9"/>
  <c r="R8" i="9"/>
  <c r="R9" i="9"/>
  <c r="R12" i="9"/>
  <c r="R7" i="9"/>
  <c r="Q40" i="9"/>
  <c r="R6" i="9"/>
  <c r="Q13" i="9"/>
  <c r="Q14" i="9" s="1"/>
  <c r="S12" i="9" l="1"/>
  <c r="S9" i="9"/>
  <c r="S8" i="9"/>
  <c r="S10" i="9"/>
  <c r="S11" i="9"/>
  <c r="T5" i="9"/>
  <c r="T4" i="9" s="1"/>
  <c r="S6" i="9"/>
  <c r="T6" i="9" s="1"/>
  <c r="S7" i="9"/>
  <c r="L31" i="9"/>
  <c r="K19" i="9"/>
  <c r="J25" i="9"/>
  <c r="J44" i="9"/>
  <c r="J38" i="9"/>
  <c r="J18" i="9"/>
  <c r="L34" i="9"/>
  <c r="K22" i="9"/>
  <c r="K24" i="9"/>
  <c r="L36" i="9"/>
  <c r="K21" i="9"/>
  <c r="L33" i="9"/>
  <c r="K20" i="9"/>
  <c r="K37" i="9"/>
  <c r="K30" i="9" a="1"/>
  <c r="K30" i="9" s="1"/>
  <c r="L32" i="9"/>
  <c r="I27" i="9"/>
  <c r="I26" i="9"/>
  <c r="K23" i="9"/>
  <c r="L35" i="9"/>
  <c r="AR8" i="6"/>
  <c r="AQ7" i="6"/>
  <c r="AZ43" i="9"/>
  <c r="R13" i="9"/>
  <c r="R14" i="9" s="1"/>
  <c r="Q15" i="9"/>
  <c r="R40" i="9"/>
  <c r="T9" i="9" l="1"/>
  <c r="T7" i="9"/>
  <c r="T12" i="9"/>
  <c r="T8" i="9"/>
  <c r="T10" i="9"/>
  <c r="T11" i="9"/>
  <c r="U5" i="9"/>
  <c r="U4" i="9" s="1"/>
  <c r="T40" i="9" s="1"/>
  <c r="S13" i="9"/>
  <c r="S15" i="9" s="1"/>
  <c r="R15" i="9"/>
  <c r="S40" i="9"/>
  <c r="M33" i="9"/>
  <c r="L21" i="9"/>
  <c r="M36" i="9"/>
  <c r="L24" i="9"/>
  <c r="M35" i="9"/>
  <c r="L23" i="9"/>
  <c r="L22" i="9"/>
  <c r="M34" i="9"/>
  <c r="K18" i="9"/>
  <c r="K38" i="9"/>
  <c r="K44" i="9"/>
  <c r="AR7" i="6"/>
  <c r="AS8" i="6"/>
  <c r="J26" i="9"/>
  <c r="J27" i="9"/>
  <c r="M32" i="9"/>
  <c r="L20" i="9"/>
  <c r="L30" i="9" a="1"/>
  <c r="L30" i="9" s="1"/>
  <c r="L37" i="9"/>
  <c r="K25" i="9"/>
  <c r="M31" i="9"/>
  <c r="L19" i="9"/>
  <c r="BA43" i="9"/>
  <c r="T13" i="9" l="1"/>
  <c r="T14" i="9" s="1"/>
  <c r="V5" i="9"/>
  <c r="V4" i="9" s="1"/>
  <c r="U12" i="9"/>
  <c r="U8" i="9"/>
  <c r="U10" i="9"/>
  <c r="U11" i="9"/>
  <c r="U7" i="9"/>
  <c r="U9" i="9"/>
  <c r="U6" i="9"/>
  <c r="S14" i="9"/>
  <c r="M19" i="9"/>
  <c r="N31" i="9"/>
  <c r="L25" i="9"/>
  <c r="M23" i="9"/>
  <c r="N35" i="9"/>
  <c r="M20" i="9"/>
  <c r="M37" i="9"/>
  <c r="M30" i="9" a="1"/>
  <c r="M30" i="9" s="1"/>
  <c r="N32" i="9"/>
  <c r="M24" i="9"/>
  <c r="N36" i="9"/>
  <c r="K26" i="9"/>
  <c r="K27" i="9"/>
  <c r="M22" i="9"/>
  <c r="N34" i="9"/>
  <c r="L38" i="9"/>
  <c r="L44" i="9"/>
  <c r="L18" i="9"/>
  <c r="AS7" i="6"/>
  <c r="AT8" i="6"/>
  <c r="N33" i="9"/>
  <c r="M21" i="9"/>
  <c r="BB43" i="9"/>
  <c r="T15" i="9" l="1"/>
  <c r="V6" i="9"/>
  <c r="W5" i="9"/>
  <c r="W4" i="9" s="1"/>
  <c r="V7" i="9"/>
  <c r="V11" i="9"/>
  <c r="V10" i="9"/>
  <c r="V9" i="9"/>
  <c r="V12" i="9"/>
  <c r="U13" i="9"/>
  <c r="U14" i="9" s="1"/>
  <c r="V8" i="9"/>
  <c r="U40" i="9"/>
  <c r="N21" i="9"/>
  <c r="O33" i="9"/>
  <c r="M44" i="9"/>
  <c r="M18" i="9"/>
  <c r="M38" i="9"/>
  <c r="L27" i="9"/>
  <c r="L26" i="9"/>
  <c r="O36" i="9"/>
  <c r="N24" i="9"/>
  <c r="N37" i="9"/>
  <c r="N30" i="9" a="1"/>
  <c r="N30" i="9" s="1"/>
  <c r="N20" i="9"/>
  <c r="O32" i="9"/>
  <c r="AU8" i="6"/>
  <c r="AT7" i="6"/>
  <c r="M25" i="9"/>
  <c r="N23" i="9"/>
  <c r="O35" i="9"/>
  <c r="N22" i="9"/>
  <c r="O34" i="9"/>
  <c r="N19" i="9"/>
  <c r="O31" i="9"/>
  <c r="BC43" i="9"/>
  <c r="X5" i="9" l="1"/>
  <c r="X4" i="9" s="1"/>
  <c r="W7" i="9"/>
  <c r="V40" i="9"/>
  <c r="W6" i="9"/>
  <c r="X6" i="9" s="1"/>
  <c r="W12" i="9"/>
  <c r="X12" i="9" s="1"/>
  <c r="W9" i="9"/>
  <c r="X9" i="9" s="1"/>
  <c r="W10" i="9"/>
  <c r="X10" i="9" s="1"/>
  <c r="W11" i="9"/>
  <c r="X11" i="9" s="1"/>
  <c r="V13" i="9"/>
  <c r="V15" i="9" s="1"/>
  <c r="U15" i="9"/>
  <c r="W8" i="9"/>
  <c r="N25" i="9"/>
  <c r="O22" i="9"/>
  <c r="P34" i="9"/>
  <c r="M27" i="9"/>
  <c r="M26" i="9"/>
  <c r="AV8" i="6"/>
  <c r="AU7" i="6"/>
  <c r="O21" i="9"/>
  <c r="P33" i="9"/>
  <c r="N38" i="9"/>
  <c r="N44" i="9"/>
  <c r="N18" i="9"/>
  <c r="O19" i="9"/>
  <c r="P31" i="9"/>
  <c r="O24" i="9"/>
  <c r="P36" i="9"/>
  <c r="O23" i="9"/>
  <c r="P35" i="9"/>
  <c r="O30" i="9" a="1"/>
  <c r="O30" i="9" s="1"/>
  <c r="O37" i="9"/>
  <c r="P32" i="9"/>
  <c r="O20" i="9"/>
  <c r="BD43" i="9"/>
  <c r="X7" i="9"/>
  <c r="Y5" i="9"/>
  <c r="Y4" i="9" s="1"/>
  <c r="W40" i="9" l="1"/>
  <c r="W13" i="9"/>
  <c r="W15" i="9" s="1"/>
  <c r="X8" i="9"/>
  <c r="X13" i="9" s="1"/>
  <c r="X14" i="9" s="1"/>
  <c r="V14" i="9"/>
  <c r="O25" i="9"/>
  <c r="N26" i="9"/>
  <c r="N27" i="9"/>
  <c r="P21" i="9"/>
  <c r="Q33" i="9"/>
  <c r="P23" i="9"/>
  <c r="Q35" i="9"/>
  <c r="P22" i="9"/>
  <c r="Q34" i="9"/>
  <c r="P20" i="9"/>
  <c r="P37" i="9"/>
  <c r="Q32" i="9"/>
  <c r="P30" i="9" a="1"/>
  <c r="P30" i="9" s="1"/>
  <c r="O38" i="9"/>
  <c r="O44" i="9"/>
  <c r="O18" i="9"/>
  <c r="AW8" i="6"/>
  <c r="AV7" i="6"/>
  <c r="P24" i="9"/>
  <c r="Q36" i="9"/>
  <c r="P19" i="9"/>
  <c r="Q31" i="9"/>
  <c r="BE43" i="9"/>
  <c r="X40" i="9"/>
  <c r="Y12" i="9"/>
  <c r="Y11" i="9"/>
  <c r="Y7" i="9"/>
  <c r="Y9" i="9"/>
  <c r="Y10" i="9"/>
  <c r="Y6" i="9"/>
  <c r="Z5" i="9"/>
  <c r="Z4" i="9" s="1"/>
  <c r="W14" i="9" l="1"/>
  <c r="Y8" i="9"/>
  <c r="Y13" i="9" s="1"/>
  <c r="Y15" i="9" s="1"/>
  <c r="P25" i="9"/>
  <c r="Q24" i="9"/>
  <c r="R36" i="9"/>
  <c r="P18" i="9"/>
  <c r="P38" i="9"/>
  <c r="P44" i="9"/>
  <c r="Q20" i="9"/>
  <c r="R32" i="9"/>
  <c r="Q37" i="9"/>
  <c r="Q30" i="9" a="1"/>
  <c r="Q30" i="9" s="1"/>
  <c r="Q19" i="9"/>
  <c r="R31" i="9"/>
  <c r="Q22" i="9"/>
  <c r="R34" i="9"/>
  <c r="R35" i="9"/>
  <c r="Q23" i="9"/>
  <c r="AX8" i="6"/>
  <c r="AW7" i="6"/>
  <c r="R33" i="9"/>
  <c r="Q21" i="9"/>
  <c r="O26" i="9"/>
  <c r="O27" i="9"/>
  <c r="BF43" i="9"/>
  <c r="Y40" i="9"/>
  <c r="X15" i="9"/>
  <c r="Z12" i="9"/>
  <c r="Z6" i="9"/>
  <c r="Z7" i="9"/>
  <c r="Z11" i="9"/>
  <c r="Z10" i="9"/>
  <c r="Z9" i="9"/>
  <c r="AA5" i="9"/>
  <c r="Z8" i="9" l="1"/>
  <c r="AA8" i="9" s="1"/>
  <c r="Q38" i="9"/>
  <c r="Q44" i="9"/>
  <c r="Q18" i="9"/>
  <c r="R30" i="9" a="1"/>
  <c r="R30" i="9" s="1"/>
  <c r="S32" i="9"/>
  <c r="R37" i="9"/>
  <c r="R20" i="9"/>
  <c r="R21" i="9"/>
  <c r="S33" i="9"/>
  <c r="Q25" i="9"/>
  <c r="AX7" i="6"/>
  <c r="AY8" i="6"/>
  <c r="S35" i="9"/>
  <c r="R23" i="9"/>
  <c r="R22" i="9"/>
  <c r="S34" i="9"/>
  <c r="R19" i="9"/>
  <c r="S31" i="9"/>
  <c r="P26" i="9"/>
  <c r="P27" i="9"/>
  <c r="R24" i="9"/>
  <c r="S36" i="9"/>
  <c r="BG43" i="9"/>
  <c r="AA4" i="9"/>
  <c r="Z40" i="9" s="1"/>
  <c r="AB5" i="9"/>
  <c r="AC5" i="9" s="1"/>
  <c r="AA10" i="9"/>
  <c r="Y14" i="9"/>
  <c r="AA7" i="9"/>
  <c r="AA9" i="9"/>
  <c r="AA11" i="9"/>
  <c r="AA6" i="9"/>
  <c r="AA12" i="9"/>
  <c r="Z13" i="9" l="1"/>
  <c r="Z14" i="9" s="1"/>
  <c r="AB12" i="9"/>
  <c r="AC12" i="9" s="1"/>
  <c r="AC4" i="9"/>
  <c r="AD5" i="9"/>
  <c r="S22" i="9"/>
  <c r="T34" i="9"/>
  <c r="Q26" i="9"/>
  <c r="Q27" i="9"/>
  <c r="AZ8" i="6"/>
  <c r="AY7" i="6"/>
  <c r="S24" i="9"/>
  <c r="T36" i="9"/>
  <c r="S21" i="9"/>
  <c r="T33" i="9"/>
  <c r="R25" i="9"/>
  <c r="T31" i="9"/>
  <c r="S19" i="9"/>
  <c r="S30" i="9" a="1"/>
  <c r="S30" i="9" s="1"/>
  <c r="S20" i="9"/>
  <c r="S37" i="9"/>
  <c r="T32" i="9"/>
  <c r="R44" i="9"/>
  <c r="R18" i="9"/>
  <c r="R38" i="9"/>
  <c r="S23" i="9"/>
  <c r="T35" i="9"/>
  <c r="BH43" i="9"/>
  <c r="AB10" i="9"/>
  <c r="AC10" i="9" s="1"/>
  <c r="AD10" i="9" s="1"/>
  <c r="AB8" i="9"/>
  <c r="AC8" i="9" s="1"/>
  <c r="AB9" i="9"/>
  <c r="AC9" i="9" s="1"/>
  <c r="AB7" i="9"/>
  <c r="AC7" i="9" s="1"/>
  <c r="AB11" i="9"/>
  <c r="AC11" i="9" s="1"/>
  <c r="AD11" i="9" s="1"/>
  <c r="AB4" i="9"/>
  <c r="AA40" i="9" s="1"/>
  <c r="AB6" i="9"/>
  <c r="AC6" i="9" s="1"/>
  <c r="Z15" i="9"/>
  <c r="AA13" i="9"/>
  <c r="AA14" i="9" s="1"/>
  <c r="AD7" i="9" l="1"/>
  <c r="AD9" i="9"/>
  <c r="AD4" i="9"/>
  <c r="AE5" i="9"/>
  <c r="AD6" i="9"/>
  <c r="AD8" i="9"/>
  <c r="AC13" i="9"/>
  <c r="AC14" i="9" s="1"/>
  <c r="AD12" i="9"/>
  <c r="T19" i="9"/>
  <c r="U31" i="9"/>
  <c r="U32" i="9"/>
  <c r="T37" i="9"/>
  <c r="T20" i="9"/>
  <c r="T30" i="9" a="1"/>
  <c r="T30" i="9" s="1"/>
  <c r="S25" i="9"/>
  <c r="T23" i="9"/>
  <c r="U35" i="9"/>
  <c r="S44" i="9"/>
  <c r="S38" i="9"/>
  <c r="S18" i="9"/>
  <c r="U33" i="9"/>
  <c r="T21" i="9"/>
  <c r="U36" i="9"/>
  <c r="T24" i="9"/>
  <c r="R27" i="9"/>
  <c r="R26" i="9"/>
  <c r="BA8" i="6"/>
  <c r="AZ7" i="6"/>
  <c r="T22" i="9"/>
  <c r="U34" i="9"/>
  <c r="BI43" i="9"/>
  <c r="AB13" i="9"/>
  <c r="AB14" i="9" s="1"/>
  <c r="AA15" i="9"/>
  <c r="AB40" i="9"/>
  <c r="AE9" i="9" l="1"/>
  <c r="AE12" i="9"/>
  <c r="AE10" i="9"/>
  <c r="AB15" i="9"/>
  <c r="AC15" i="9"/>
  <c r="AC40" i="9"/>
  <c r="AD13" i="9"/>
  <c r="AD14" i="9" s="1"/>
  <c r="AE8" i="9"/>
  <c r="AE6" i="9"/>
  <c r="AE4" i="9"/>
  <c r="AD40" i="9" s="1"/>
  <c r="AF5" i="9"/>
  <c r="AE7" i="9"/>
  <c r="AF7" i="9" s="1"/>
  <c r="AE11" i="9"/>
  <c r="V34" i="9"/>
  <c r="U22" i="9"/>
  <c r="V35" i="9"/>
  <c r="U23" i="9"/>
  <c r="U24" i="9"/>
  <c r="V36" i="9"/>
  <c r="U20" i="9"/>
  <c r="V32" i="9"/>
  <c r="U37" i="9"/>
  <c r="U30" i="9" a="1"/>
  <c r="U30" i="9" s="1"/>
  <c r="S27" i="9"/>
  <c r="S26" i="9"/>
  <c r="BB8" i="6"/>
  <c r="BA7" i="6"/>
  <c r="T25" i="9"/>
  <c r="U19" i="9"/>
  <c r="V31" i="9"/>
  <c r="T44" i="9"/>
  <c r="T18" i="9"/>
  <c r="T38" i="9"/>
  <c r="U21" i="9"/>
  <c r="V33" i="9"/>
  <c r="BJ43" i="9"/>
  <c r="AF11" i="9" l="1"/>
  <c r="AD15" i="9"/>
  <c r="AF4" i="9"/>
  <c r="AG5" i="9"/>
  <c r="AF6" i="9"/>
  <c r="AF10" i="9"/>
  <c r="AG10" i="9" s="1"/>
  <c r="AE13" i="9"/>
  <c r="AE14" i="9" s="1"/>
  <c r="AF8" i="9"/>
  <c r="AF12" i="9"/>
  <c r="AG12" i="9" s="1"/>
  <c r="AF9" i="9"/>
  <c r="AG9" i="9" s="1"/>
  <c r="V30" i="9" a="1"/>
  <c r="V30" i="9" s="1"/>
  <c r="V20" i="9"/>
  <c r="V37" i="9"/>
  <c r="W32" i="9"/>
  <c r="U25" i="9"/>
  <c r="U18" i="9"/>
  <c r="U38" i="9"/>
  <c r="U44" i="9"/>
  <c r="T27" i="9"/>
  <c r="T26" i="9"/>
  <c r="V19" i="9"/>
  <c r="W31" i="9"/>
  <c r="BC8" i="6"/>
  <c r="BB7" i="6"/>
  <c r="V22" i="9"/>
  <c r="W34" i="9"/>
  <c r="W33" i="9"/>
  <c r="V21" i="9"/>
  <c r="V24" i="9"/>
  <c r="W36" i="9"/>
  <c r="V23" i="9"/>
  <c r="W35" i="9"/>
  <c r="BK43" i="9"/>
  <c r="AG11" i="9" l="1"/>
  <c r="AE15" i="9"/>
  <c r="AG7" i="9"/>
  <c r="AE40" i="9"/>
  <c r="AG6" i="9"/>
  <c r="AH5" i="9"/>
  <c r="AH10" i="9" s="1"/>
  <c r="AG4" i="9"/>
  <c r="AF40" i="9" s="1"/>
  <c r="AF13" i="9"/>
  <c r="AF14" i="9" s="1"/>
  <c r="AG8" i="9"/>
  <c r="W19" i="9"/>
  <c r="X31" i="9"/>
  <c r="X35" i="9"/>
  <c r="W23" i="9"/>
  <c r="W24" i="9"/>
  <c r="X36" i="9"/>
  <c r="U26" i="9"/>
  <c r="U27" i="9"/>
  <c r="W21" i="9"/>
  <c r="X33" i="9"/>
  <c r="X34" i="9"/>
  <c r="W22" i="9"/>
  <c r="X32" i="9"/>
  <c r="W20" i="9"/>
  <c r="W37" i="9"/>
  <c r="W30" i="9" a="1"/>
  <c r="W30" i="9" s="1"/>
  <c r="V25" i="9"/>
  <c r="BD8" i="6"/>
  <c r="BC7" i="6"/>
  <c r="V44" i="9"/>
  <c r="V18" i="9"/>
  <c r="V38" i="9"/>
  <c r="BL43" i="9"/>
  <c r="AF15" i="9" l="1"/>
  <c r="AH8" i="9"/>
  <c r="AG13" i="9"/>
  <c r="AG14" i="9" s="1"/>
  <c r="AH7" i="9"/>
  <c r="AH4" i="9"/>
  <c r="AI5" i="9"/>
  <c r="AH6" i="9"/>
  <c r="AH9" i="9"/>
  <c r="AH12" i="9"/>
  <c r="AH11" i="9"/>
  <c r="AI11" i="9" s="1"/>
  <c r="Y34" i="9"/>
  <c r="X22" i="9"/>
  <c r="X21" i="9"/>
  <c r="Y33" i="9"/>
  <c r="V27" i="9"/>
  <c r="V26" i="9"/>
  <c r="X23" i="9"/>
  <c r="Y35" i="9"/>
  <c r="W18" i="9"/>
  <c r="W38" i="9"/>
  <c r="W44" i="9"/>
  <c r="W25" i="9"/>
  <c r="Y31" i="9"/>
  <c r="X19" i="9"/>
  <c r="BE8" i="6"/>
  <c r="BD7" i="6"/>
  <c r="X24" i="9"/>
  <c r="Y36" i="9"/>
  <c r="X37" i="9"/>
  <c r="X30" i="9" a="1"/>
  <c r="X30" i="9" s="1"/>
  <c r="Y32" i="9"/>
  <c r="X20" i="9"/>
  <c r="N7" i="10"/>
  <c r="M7" i="10"/>
  <c r="M9" i="10" s="1"/>
  <c r="AG15" i="9" l="1"/>
  <c r="AI9" i="9"/>
  <c r="X25" i="9"/>
  <c r="AI7" i="9"/>
  <c r="AG40" i="9"/>
  <c r="AI6" i="9"/>
  <c r="AI12" i="9"/>
  <c r="AJ5" i="9"/>
  <c r="AI4" i="9"/>
  <c r="AH13" i="9"/>
  <c r="AH14" i="9" s="1"/>
  <c r="AI8" i="9"/>
  <c r="AI10" i="9"/>
  <c r="X44" i="9"/>
  <c r="X18" i="9"/>
  <c r="X38" i="9"/>
  <c r="Y23" i="9"/>
  <c r="Z35" i="9"/>
  <c r="Y24" i="9"/>
  <c r="Z36" i="9"/>
  <c r="Y21" i="9"/>
  <c r="Z33" i="9"/>
  <c r="Y20" i="9"/>
  <c r="Z32" i="9"/>
  <c r="Y37" i="9"/>
  <c r="Y30" i="9" a="1"/>
  <c r="Y30" i="9" s="1"/>
  <c r="BE7" i="6"/>
  <c r="BF8" i="6"/>
  <c r="W27" i="9"/>
  <c r="W26" i="9"/>
  <c r="Z31" i="9"/>
  <c r="Y19" i="9"/>
  <c r="Y22" i="9"/>
  <c r="Z34" i="9"/>
  <c r="AJ9" i="9" l="1"/>
  <c r="Y25" i="9"/>
  <c r="AJ12" i="9"/>
  <c r="AH15" i="9"/>
  <c r="AJ4" i="9"/>
  <c r="AK5" i="9"/>
  <c r="AH40" i="9"/>
  <c r="AJ6" i="9"/>
  <c r="AJ11" i="9"/>
  <c r="AK11" i="9" s="1"/>
  <c r="AJ7" i="9"/>
  <c r="AJ10" i="9"/>
  <c r="AJ8" i="9"/>
  <c r="AI13" i="9"/>
  <c r="AI14" i="9" s="1"/>
  <c r="Z24" i="9"/>
  <c r="AA36" i="9"/>
  <c r="AA35" i="9"/>
  <c r="Z23" i="9"/>
  <c r="AA32" i="9"/>
  <c r="Z20" i="9"/>
  <c r="Z37" i="9"/>
  <c r="Z30" i="9" a="1"/>
  <c r="Z30" i="9" s="1"/>
  <c r="Z22" i="9"/>
  <c r="AA34" i="9"/>
  <c r="Z19" i="9"/>
  <c r="AA31" i="9"/>
  <c r="Z21" i="9"/>
  <c r="AA33" i="9"/>
  <c r="BG8" i="6"/>
  <c r="BF7" i="6"/>
  <c r="Y38" i="9"/>
  <c r="Y44" i="9"/>
  <c r="Y18" i="9"/>
  <c r="X26" i="9"/>
  <c r="X27" i="9"/>
  <c r="AK12" i="9" l="1"/>
  <c r="AK7" i="9"/>
  <c r="AK10" i="9"/>
  <c r="AK9" i="9"/>
  <c r="AI15" i="9"/>
  <c r="AK6" i="9"/>
  <c r="AJ13" i="9"/>
  <c r="AJ14" i="9" s="1"/>
  <c r="AK8" i="9"/>
  <c r="AL5" i="9"/>
  <c r="AK4" i="9"/>
  <c r="AI40" i="9"/>
  <c r="AA22" i="9"/>
  <c r="AB34" i="9"/>
  <c r="Y27" i="9"/>
  <c r="Y26" i="9"/>
  <c r="AA20" i="9"/>
  <c r="AB32" i="9"/>
  <c r="AA30" i="9" a="1"/>
  <c r="AA30" i="9" s="1"/>
  <c r="AA37" i="9"/>
  <c r="AA19" i="9"/>
  <c r="AB31" i="9"/>
  <c r="Z18" i="9"/>
  <c r="Z38" i="9"/>
  <c r="Z44" i="9"/>
  <c r="Z25" i="9"/>
  <c r="BG7" i="6"/>
  <c r="BH8" i="6"/>
  <c r="AA21" i="9"/>
  <c r="AB33" i="9"/>
  <c r="AA23" i="9"/>
  <c r="AB35" i="9"/>
  <c r="AB36" i="9"/>
  <c r="AA24" i="9"/>
  <c r="AL9" i="9" l="1"/>
  <c r="AJ15" i="9"/>
  <c r="AL7" i="9"/>
  <c r="AM5" i="9"/>
  <c r="AL4" i="9"/>
  <c r="AL8" i="9"/>
  <c r="AK13" i="9"/>
  <c r="AK14" i="9" s="1"/>
  <c r="AJ40" i="9"/>
  <c r="AL10" i="9"/>
  <c r="AL11" i="9"/>
  <c r="AM11" i="9" s="1"/>
  <c r="AL6" i="9"/>
  <c r="AK15" i="9"/>
  <c r="AL12" i="9"/>
  <c r="AA44" i="9"/>
  <c r="AA38" i="9"/>
  <c r="AA18" i="9"/>
  <c r="AC33" i="9"/>
  <c r="AB21" i="9"/>
  <c r="AC34" i="9"/>
  <c r="AB22" i="9"/>
  <c r="Z26" i="9"/>
  <c r="Z27" i="9"/>
  <c r="AC31" i="9"/>
  <c r="AB19" i="9"/>
  <c r="AC36" i="9"/>
  <c r="AB24" i="9"/>
  <c r="AC35" i="9"/>
  <c r="AB23" i="9"/>
  <c r="AC32" i="9"/>
  <c r="AB30" i="9" a="1"/>
  <c r="AB30" i="9" s="1"/>
  <c r="AB20" i="9"/>
  <c r="AB37" i="9"/>
  <c r="AA25" i="9"/>
  <c r="BH7" i="6"/>
  <c r="BI8" i="6"/>
  <c r="AM12" i="9" l="1"/>
  <c r="AM9" i="9"/>
  <c r="AM10" i="9"/>
  <c r="AM7" i="9"/>
  <c r="AM8" i="9"/>
  <c r="AL13" i="9"/>
  <c r="AL14" i="9" s="1"/>
  <c r="AK40" i="9"/>
  <c r="AN5" i="9"/>
  <c r="AN11" i="9" s="1"/>
  <c r="AM4" i="9"/>
  <c r="AB25" i="9"/>
  <c r="AM6" i="9"/>
  <c r="AB44" i="9"/>
  <c r="AB38" i="9"/>
  <c r="AB18" i="9"/>
  <c r="AC20" i="9"/>
  <c r="AD32" i="9"/>
  <c r="AC37" i="9"/>
  <c r="AC30" i="9" a="1"/>
  <c r="AC30" i="9" s="1"/>
  <c r="AC21" i="9"/>
  <c r="AD33" i="9"/>
  <c r="AA27" i="9"/>
  <c r="AA26" i="9"/>
  <c r="AC23" i="9"/>
  <c r="AD35" i="9"/>
  <c r="AC24" i="9"/>
  <c r="AD36" i="9"/>
  <c r="BJ8" i="6"/>
  <c r="BI7" i="6"/>
  <c r="AD31" i="9"/>
  <c r="AC19" i="9"/>
  <c r="AC22" i="9"/>
  <c r="AD34" i="9"/>
  <c r="AL15" i="9" l="1"/>
  <c r="AN12" i="9"/>
  <c r="AO5" i="9"/>
  <c r="AN4" i="9"/>
  <c r="AN10" i="9"/>
  <c r="AO10" i="9" s="1"/>
  <c r="AN7" i="9"/>
  <c r="AO7" i="9" s="1"/>
  <c r="AL40" i="9"/>
  <c r="AN6" i="9"/>
  <c r="AC25" i="9"/>
  <c r="AM13" i="9"/>
  <c r="AM14" i="9" s="1"/>
  <c r="AN8" i="9"/>
  <c r="AN9" i="9"/>
  <c r="AO9" i="9" s="1"/>
  <c r="AD22" i="9"/>
  <c r="AE34" i="9"/>
  <c r="AD20" i="9"/>
  <c r="AD37" i="9"/>
  <c r="AE32" i="9"/>
  <c r="AD30" i="9" a="1"/>
  <c r="AD30" i="9" s="1"/>
  <c r="AD21" i="9"/>
  <c r="AE33" i="9"/>
  <c r="AC44" i="9"/>
  <c r="AC38" i="9"/>
  <c r="AE31" i="9"/>
  <c r="AD19" i="9"/>
  <c r="BJ7" i="6"/>
  <c r="BK8" i="6"/>
  <c r="AD24" i="9"/>
  <c r="AE36" i="9"/>
  <c r="AB26" i="9"/>
  <c r="AB27" i="9"/>
  <c r="AD23" i="9"/>
  <c r="AE35" i="9"/>
  <c r="AC18" i="9"/>
  <c r="AO12" i="9" l="1"/>
  <c r="AM15" i="9"/>
  <c r="AM40" i="9"/>
  <c r="AP5" i="9"/>
  <c r="AO4" i="9"/>
  <c r="AO8" i="9"/>
  <c r="AN13" i="9"/>
  <c r="AN14" i="9" s="1"/>
  <c r="AO6" i="9"/>
  <c r="AO11" i="9"/>
  <c r="AE19" i="9"/>
  <c r="AF31" i="9"/>
  <c r="AD38" i="9"/>
  <c r="AD18" i="9"/>
  <c r="AD44" i="9"/>
  <c r="AE24" i="9"/>
  <c r="AF36" i="9"/>
  <c r="AD25" i="9"/>
  <c r="BL8" i="6"/>
  <c r="BK7" i="6"/>
  <c r="AE22" i="9"/>
  <c r="AF34" i="9"/>
  <c r="AC26" i="9"/>
  <c r="AC27" i="9"/>
  <c r="AE23" i="9"/>
  <c r="AF35" i="9"/>
  <c r="AF33" i="9"/>
  <c r="AE21" i="9"/>
  <c r="AE20" i="9"/>
  <c r="AF32" i="9"/>
  <c r="AE37" i="9"/>
  <c r="AE30" i="9" a="1"/>
  <c r="AE30" i="9" s="1"/>
  <c r="AP12" i="9" l="1"/>
  <c r="AP9" i="9"/>
  <c r="AN15" i="9"/>
  <c r="AP4" i="9"/>
  <c r="AO40" i="9" s="1"/>
  <c r="AQ5" i="9"/>
  <c r="AP10" i="9"/>
  <c r="AP6" i="9"/>
  <c r="AN40" i="9"/>
  <c r="AP8" i="9"/>
  <c r="AO13" i="9"/>
  <c r="AO14" i="9" s="1"/>
  <c r="AP11" i="9"/>
  <c r="AQ11" i="9" s="1"/>
  <c r="AP7" i="9"/>
  <c r="AQ7" i="9" s="1"/>
  <c r="AF22" i="9"/>
  <c r="AG34" i="9"/>
  <c r="AF20" i="9"/>
  <c r="AG32" i="9"/>
  <c r="AF37" i="9"/>
  <c r="AF30" i="9" a="1"/>
  <c r="AF30" i="9" s="1"/>
  <c r="AE25" i="9"/>
  <c r="AF24" i="9"/>
  <c r="AG36" i="9"/>
  <c r="AF23" i="9"/>
  <c r="AG35" i="9"/>
  <c r="AF19" i="9"/>
  <c r="AG31" i="9"/>
  <c r="AE18" i="9"/>
  <c r="AE38" i="9"/>
  <c r="AE44" i="9"/>
  <c r="BM8" i="6"/>
  <c r="BL7" i="6"/>
  <c r="AG33" i="9"/>
  <c r="AF21" i="9"/>
  <c r="AD26" i="9"/>
  <c r="AD27" i="9"/>
  <c r="AQ9" i="9" l="1"/>
  <c r="AO15" i="9"/>
  <c r="AQ6" i="9"/>
  <c r="AQ12" i="9"/>
  <c r="AQ10" i="9"/>
  <c r="AP13" i="9"/>
  <c r="AP14" i="9" s="1"/>
  <c r="AQ8" i="9"/>
  <c r="AQ4" i="9"/>
  <c r="AR5" i="9"/>
  <c r="AR11" i="9" s="1"/>
  <c r="AG23" i="9"/>
  <c r="AH35" i="9"/>
  <c r="AH36" i="9"/>
  <c r="AG24" i="9"/>
  <c r="AG21" i="9"/>
  <c r="AH33" i="9"/>
  <c r="AF18" i="9"/>
  <c r="AF38" i="9"/>
  <c r="AF44" i="9"/>
  <c r="AG20" i="9"/>
  <c r="AH32" i="9"/>
  <c r="AG37" i="9"/>
  <c r="AG30" i="9" a="1"/>
  <c r="AG30" i="9" s="1"/>
  <c r="AF25" i="9"/>
  <c r="AE26" i="9"/>
  <c r="AE27" i="9"/>
  <c r="AH34" i="9"/>
  <c r="AG22" i="9"/>
  <c r="BN8" i="6"/>
  <c r="BN7" i="6" s="1"/>
  <c r="BM7" i="6"/>
  <c r="AH31" i="9"/>
  <c r="AG19" i="9"/>
  <c r="AP15" i="9" l="1"/>
  <c r="AR10" i="9"/>
  <c r="AR8" i="9"/>
  <c r="AQ13" i="9"/>
  <c r="AQ14" i="9" s="1"/>
  <c r="AR12" i="9"/>
  <c r="AR7" i="9"/>
  <c r="AS5" i="9"/>
  <c r="AR4" i="9"/>
  <c r="AQ40" i="9" s="1"/>
  <c r="AG25" i="9"/>
  <c r="AP40" i="9"/>
  <c r="AR6" i="9"/>
  <c r="AR9" i="9"/>
  <c r="AH21" i="9"/>
  <c r="AI33" i="9"/>
  <c r="AH37" i="9"/>
  <c r="AH20" i="9"/>
  <c r="AI32" i="9"/>
  <c r="AH30" i="9" a="1"/>
  <c r="AH30" i="9" s="1"/>
  <c r="AH19" i="9"/>
  <c r="AI31" i="9"/>
  <c r="AF27" i="9"/>
  <c r="AF26" i="9"/>
  <c r="AH22" i="9"/>
  <c r="AI34" i="9"/>
  <c r="AH24" i="9"/>
  <c r="AI36" i="9"/>
  <c r="AH23" i="9"/>
  <c r="AI35" i="9"/>
  <c r="AG44" i="9"/>
  <c r="AG18" i="9"/>
  <c r="AG38" i="9"/>
  <c r="AQ15" i="9" l="1"/>
  <c r="AS7" i="9"/>
  <c r="AS10" i="9"/>
  <c r="AS11" i="9"/>
  <c r="AS12" i="9"/>
  <c r="AS6" i="9"/>
  <c r="AT5" i="9"/>
  <c r="AS4" i="9"/>
  <c r="AS9" i="9"/>
  <c r="AT9" i="9" s="1"/>
  <c r="AR13" i="9"/>
  <c r="AR14" i="9" s="1"/>
  <c r="AS8" i="9"/>
  <c r="AI22" i="9"/>
  <c r="AJ34" i="9"/>
  <c r="AG26" i="9"/>
  <c r="AG27" i="9"/>
  <c r="AH25" i="9"/>
  <c r="AI19" i="9"/>
  <c r="AJ31" i="9"/>
  <c r="AJ33" i="9"/>
  <c r="AI21" i="9"/>
  <c r="AH18" i="9"/>
  <c r="AH44" i="9"/>
  <c r="AH38" i="9"/>
  <c r="AI20" i="9"/>
  <c r="AJ32" i="9"/>
  <c r="AI37" i="9"/>
  <c r="AI30" i="9" a="1"/>
  <c r="AI30" i="9" s="1"/>
  <c r="AI23" i="9"/>
  <c r="AJ35" i="9"/>
  <c r="AI24" i="9"/>
  <c r="AJ36" i="9"/>
  <c r="AT11" i="9" l="1"/>
  <c r="AR15" i="9"/>
  <c r="AR40" i="9"/>
  <c r="AS13" i="9"/>
  <c r="AS14" i="9" s="1"/>
  <c r="AT8" i="9"/>
  <c r="AT12" i="9"/>
  <c r="AT7" i="9"/>
  <c r="AS15" i="9"/>
  <c r="AT6" i="9"/>
  <c r="AU5" i="9"/>
  <c r="AT4" i="9"/>
  <c r="AS40" i="9" s="1"/>
  <c r="AT10" i="9"/>
  <c r="AK35" i="9"/>
  <c r="AJ23" i="9"/>
  <c r="AH26" i="9"/>
  <c r="AH27" i="9"/>
  <c r="AJ21" i="9"/>
  <c r="AK33" i="9"/>
  <c r="AJ19" i="9"/>
  <c r="AK31" i="9"/>
  <c r="AK34" i="9"/>
  <c r="AJ22" i="9"/>
  <c r="AJ24" i="9"/>
  <c r="AK36" i="9"/>
  <c r="AI18" i="9"/>
  <c r="AI38" i="9"/>
  <c r="AI44" i="9"/>
  <c r="AJ37" i="9"/>
  <c r="AK32" i="9"/>
  <c r="AJ20" i="9"/>
  <c r="AJ30" i="9" a="1"/>
  <c r="AJ30" i="9" s="1"/>
  <c r="AI25" i="9"/>
  <c r="AU6" i="9" l="1"/>
  <c r="AU8" i="9"/>
  <c r="AT13" i="9"/>
  <c r="AT14" i="9" s="1"/>
  <c r="AV5" i="9"/>
  <c r="AU4" i="9"/>
  <c r="AT40" i="9" s="1"/>
  <c r="AU9" i="9"/>
  <c r="AU7" i="9"/>
  <c r="AU10" i="9"/>
  <c r="AU12" i="9"/>
  <c r="AU11" i="9"/>
  <c r="AK24" i="9"/>
  <c r="AL36" i="9"/>
  <c r="AK21" i="9"/>
  <c r="AL33" i="9"/>
  <c r="AL34" i="9"/>
  <c r="AK22" i="9"/>
  <c r="AL31" i="9"/>
  <c r="AK19" i="9"/>
  <c r="AK37" i="9"/>
  <c r="AL32" i="9"/>
  <c r="AK20" i="9"/>
  <c r="AK30" i="9" a="1"/>
  <c r="AK30" i="9" s="1"/>
  <c r="AJ38" i="9"/>
  <c r="AJ18" i="9"/>
  <c r="AJ44" i="9"/>
  <c r="AJ25" i="9"/>
  <c r="AI27" i="9"/>
  <c r="AI26" i="9"/>
  <c r="AK23" i="9"/>
  <c r="AL35" i="9"/>
  <c r="AV7" i="9" l="1"/>
  <c r="AV10" i="9"/>
  <c r="AV11" i="9"/>
  <c r="AT15" i="9"/>
  <c r="AK25" i="9"/>
  <c r="AV9" i="9"/>
  <c r="AU13" i="9"/>
  <c r="AU14" i="9" s="1"/>
  <c r="AV8" i="9"/>
  <c r="AV6" i="9"/>
  <c r="AV12" i="9"/>
  <c r="AW5" i="9"/>
  <c r="AV4" i="9"/>
  <c r="AU40" i="9" s="1"/>
  <c r="AL23" i="9"/>
  <c r="AM35" i="9"/>
  <c r="AK18" i="9"/>
  <c r="AK38" i="9"/>
  <c r="AK44" i="9"/>
  <c r="AM32" i="9"/>
  <c r="AL20" i="9"/>
  <c r="AL37" i="9"/>
  <c r="AL30" i="9" a="1"/>
  <c r="AL30" i="9" s="1"/>
  <c r="AL19" i="9"/>
  <c r="AM31" i="9"/>
  <c r="AL21" i="9"/>
  <c r="AM33" i="9"/>
  <c r="AJ27" i="9"/>
  <c r="AJ26" i="9"/>
  <c r="AM36" i="9"/>
  <c r="AL24" i="9"/>
  <c r="AL22" i="9"/>
  <c r="AM34" i="9"/>
  <c r="AW12" i="9" l="1"/>
  <c r="AU15" i="9"/>
  <c r="AW9" i="9"/>
  <c r="AW4" i="9"/>
  <c r="AV40" i="9" s="1"/>
  <c r="AX5" i="9"/>
  <c r="AX12" i="9" s="1"/>
  <c r="AW10" i="9"/>
  <c r="AW8" i="9"/>
  <c r="AV13" i="9"/>
  <c r="AV15" i="9" s="1"/>
  <c r="AW6" i="9"/>
  <c r="AW7" i="9"/>
  <c r="AX7" i="9" s="1"/>
  <c r="AW11" i="9"/>
  <c r="AX11" i="9" s="1"/>
  <c r="AL18" i="9"/>
  <c r="AL38" i="9"/>
  <c r="AL44" i="9"/>
  <c r="AM22" i="9"/>
  <c r="AN34" i="9"/>
  <c r="AN32" i="9"/>
  <c r="AM20" i="9"/>
  <c r="AM37" i="9"/>
  <c r="AM30" i="9" a="1"/>
  <c r="AM30" i="9" s="1"/>
  <c r="AN36" i="9"/>
  <c r="AM24" i="9"/>
  <c r="AK27" i="9"/>
  <c r="AK26" i="9"/>
  <c r="AM19" i="9"/>
  <c r="AN31" i="9"/>
  <c r="AL25" i="9"/>
  <c r="AN35" i="9"/>
  <c r="AM23" i="9"/>
  <c r="AM21" i="9"/>
  <c r="AN33" i="9"/>
  <c r="AX9" i="9" l="1"/>
  <c r="AX10" i="9"/>
  <c r="AV14" i="9"/>
  <c r="AX6" i="9"/>
  <c r="AY5" i="9"/>
  <c r="AX4" i="9"/>
  <c r="AW40" i="9" s="1"/>
  <c r="AX8" i="9"/>
  <c r="AW13" i="9"/>
  <c r="AW14" i="9" s="1"/>
  <c r="AM38" i="9"/>
  <c r="AM44" i="9"/>
  <c r="AM18" i="9"/>
  <c r="AM25" i="9"/>
  <c r="AN37" i="9"/>
  <c r="AO32" i="9"/>
  <c r="AN20" i="9"/>
  <c r="AN30" i="9" a="1"/>
  <c r="AN30" i="9" s="1"/>
  <c r="AN22" i="9"/>
  <c r="AO34" i="9"/>
  <c r="AN19" i="9"/>
  <c r="AO31" i="9"/>
  <c r="AO36" i="9"/>
  <c r="AN24" i="9"/>
  <c r="AN21" i="9"/>
  <c r="AO33" i="9"/>
  <c r="AN23" i="9"/>
  <c r="AO35" i="9"/>
  <c r="AL27" i="9"/>
  <c r="AL26" i="9"/>
  <c r="AW15" i="9" l="1"/>
  <c r="AY11" i="9"/>
  <c r="AZ5" i="9"/>
  <c r="AY4" i="9"/>
  <c r="AX40" i="9" s="1"/>
  <c r="AY8" i="9"/>
  <c r="AX13" i="9"/>
  <c r="AX15" i="9" s="1"/>
  <c r="AY9" i="9"/>
  <c r="AZ9" i="9" s="1"/>
  <c r="AY7" i="9"/>
  <c r="AZ7" i="9" s="1"/>
  <c r="AY6" i="9"/>
  <c r="AY10" i="9"/>
  <c r="AZ10" i="9" s="1"/>
  <c r="AY12" i="9"/>
  <c r="AZ12" i="9" s="1"/>
  <c r="AN44" i="9"/>
  <c r="AN18" i="9"/>
  <c r="AN38" i="9"/>
  <c r="AO23" i="9"/>
  <c r="AP35" i="9"/>
  <c r="AO20" i="9"/>
  <c r="AO37" i="9"/>
  <c r="AP32" i="9"/>
  <c r="AO30" i="9" a="1"/>
  <c r="AO30" i="9" s="1"/>
  <c r="AO21" i="9"/>
  <c r="AP33" i="9"/>
  <c r="AM26" i="9"/>
  <c r="AM27" i="9"/>
  <c r="AO19" i="9"/>
  <c r="AP31" i="9"/>
  <c r="AP34" i="9"/>
  <c r="AO22" i="9"/>
  <c r="AN25" i="9"/>
  <c r="AP36" i="9"/>
  <c r="AO24" i="9"/>
  <c r="AZ11" i="9" l="1"/>
  <c r="AX14" i="9"/>
  <c r="AZ6" i="9"/>
  <c r="AY13" i="9"/>
  <c r="AY14" i="9" s="1"/>
  <c r="AZ8" i="9"/>
  <c r="BA5" i="9"/>
  <c r="BA7" i="9" s="1"/>
  <c r="AZ4" i="9"/>
  <c r="AY40" i="9" s="1"/>
  <c r="AP21" i="9"/>
  <c r="AQ33" i="9"/>
  <c r="AO38" i="9"/>
  <c r="AO18" i="9"/>
  <c r="AO44" i="9"/>
  <c r="AP20" i="9"/>
  <c r="AQ32" i="9"/>
  <c r="AP37" i="9"/>
  <c r="AP30" i="9" a="1"/>
  <c r="AP30" i="9" s="1"/>
  <c r="AQ36" i="9"/>
  <c r="AP24" i="9"/>
  <c r="AO25" i="9"/>
  <c r="AQ35" i="9"/>
  <c r="AP23" i="9"/>
  <c r="AP22" i="9"/>
  <c r="AQ34" i="9"/>
  <c r="AQ31" i="9"/>
  <c r="AP19" i="9"/>
  <c r="AN26" i="9"/>
  <c r="AN27" i="9"/>
  <c r="AY15" i="9" l="1"/>
  <c r="BA11" i="9"/>
  <c r="BA10" i="9"/>
  <c r="AZ13" i="9"/>
  <c r="AZ14" i="9" s="1"/>
  <c r="BA8" i="9"/>
  <c r="BA12" i="9"/>
  <c r="BB5" i="9"/>
  <c r="BA4" i="9"/>
  <c r="AZ40" i="9" s="1"/>
  <c r="BA9" i="9"/>
  <c r="BA6" i="9"/>
  <c r="AP25" i="9"/>
  <c r="AQ24" i="9"/>
  <c r="AR36" i="9"/>
  <c r="AQ21" i="9"/>
  <c r="AR33" i="9"/>
  <c r="AP18" i="9"/>
  <c r="AP38" i="9"/>
  <c r="AP44" i="9"/>
  <c r="AQ20" i="9"/>
  <c r="AQ37" i="9"/>
  <c r="AR32" i="9"/>
  <c r="AQ30" i="9" a="1"/>
  <c r="AQ30" i="9" s="1"/>
  <c r="AQ19" i="9"/>
  <c r="AR31" i="9"/>
  <c r="AQ22" i="9"/>
  <c r="AR34" i="9"/>
  <c r="AO26" i="9"/>
  <c r="AO27" i="9"/>
  <c r="AQ23" i="9"/>
  <c r="AR35" i="9"/>
  <c r="BB9" i="9" l="1"/>
  <c r="BB12" i="9"/>
  <c r="AQ25" i="9"/>
  <c r="AZ15" i="9"/>
  <c r="BB8" i="9"/>
  <c r="BA13" i="9"/>
  <c r="BA14" i="9" s="1"/>
  <c r="BC5" i="9"/>
  <c r="BB4" i="9"/>
  <c r="BA40" i="9" s="1"/>
  <c r="BB6" i="9"/>
  <c r="BB11" i="9"/>
  <c r="BB10" i="9"/>
  <c r="BC10" i="9" s="1"/>
  <c r="BB7" i="9"/>
  <c r="BC7" i="9" s="1"/>
  <c r="AQ18" i="9"/>
  <c r="AQ38" i="9"/>
  <c r="AQ44" i="9"/>
  <c r="AS35" i="9"/>
  <c r="AR23" i="9"/>
  <c r="AP26" i="9"/>
  <c r="AP27" i="9"/>
  <c r="AR21" i="9"/>
  <c r="AS33" i="9"/>
  <c r="AR22" i="9"/>
  <c r="AS34" i="9"/>
  <c r="AR19" i="9"/>
  <c r="AS31" i="9"/>
  <c r="AR20" i="9"/>
  <c r="AS32" i="9"/>
  <c r="AR37" i="9"/>
  <c r="AR30" i="9" a="1"/>
  <c r="AR30" i="9" s="1"/>
  <c r="AR24" i="9"/>
  <c r="AS36" i="9"/>
  <c r="BA15" i="9" l="1"/>
  <c r="BC12" i="9"/>
  <c r="BC11" i="9"/>
  <c r="BC6" i="9"/>
  <c r="BD5" i="9"/>
  <c r="BD7" i="9" s="1"/>
  <c r="BC4" i="9"/>
  <c r="BB40" i="9" s="1"/>
  <c r="BC8" i="9"/>
  <c r="BB13" i="9"/>
  <c r="BB14" i="9" s="1"/>
  <c r="BC9" i="9"/>
  <c r="BD9" i="9" s="1"/>
  <c r="AT34" i="9"/>
  <c r="AS22" i="9"/>
  <c r="AT33" i="9"/>
  <c r="AS21" i="9"/>
  <c r="AS24" i="9"/>
  <c r="AT36" i="9"/>
  <c r="AT32" i="9"/>
  <c r="AS20" i="9"/>
  <c r="AS37" i="9"/>
  <c r="AS30" i="9" a="1"/>
  <c r="AS30" i="9" s="1"/>
  <c r="AR25" i="9"/>
  <c r="AR38" i="9"/>
  <c r="AR44" i="9"/>
  <c r="AR18" i="9"/>
  <c r="AT35" i="9"/>
  <c r="AS23" i="9"/>
  <c r="AT31" i="9"/>
  <c r="AS19" i="9"/>
  <c r="AQ26" i="9"/>
  <c r="AQ27" i="9"/>
  <c r="BD11" i="9" l="1"/>
  <c r="BB15" i="9"/>
  <c r="BC13" i="9"/>
  <c r="BD8" i="9"/>
  <c r="AS25" i="9"/>
  <c r="BD4" i="9"/>
  <c r="BC40" i="9" s="1"/>
  <c r="BE5" i="9"/>
  <c r="BE9" i="9" s="1"/>
  <c r="BD6" i="9"/>
  <c r="BC14" i="9"/>
  <c r="BC15" i="9"/>
  <c r="BD10" i="9"/>
  <c r="BD12" i="9"/>
  <c r="AS18" i="9"/>
  <c r="AS38" i="9"/>
  <c r="AS44" i="9"/>
  <c r="AT20" i="9"/>
  <c r="AU32" i="9"/>
  <c r="AT37" i="9"/>
  <c r="AT30" i="9" a="1"/>
  <c r="AT30" i="9" s="1"/>
  <c r="AT24" i="9"/>
  <c r="AU36" i="9"/>
  <c r="AT19" i="9"/>
  <c r="AU31" i="9"/>
  <c r="AT23" i="9"/>
  <c r="AU35" i="9"/>
  <c r="AT21" i="9"/>
  <c r="AU33" i="9"/>
  <c r="AR27" i="9"/>
  <c r="AR26" i="9"/>
  <c r="AU34" i="9"/>
  <c r="AT22" i="9"/>
  <c r="BE10" i="9" l="1"/>
  <c r="BE11" i="9"/>
  <c r="BE7" i="9"/>
  <c r="BE6" i="9"/>
  <c r="BD13" i="9"/>
  <c r="BD14" i="9" s="1"/>
  <c r="BE8" i="9"/>
  <c r="BF5" i="9"/>
  <c r="BE4" i="9"/>
  <c r="BD40" i="9" s="1"/>
  <c r="BE12" i="9"/>
  <c r="AU24" i="9"/>
  <c r="AV36" i="9"/>
  <c r="AV33" i="9"/>
  <c r="AU21" i="9"/>
  <c r="AU19" i="9"/>
  <c r="AV31" i="9"/>
  <c r="AU20" i="9"/>
  <c r="AU37" i="9"/>
  <c r="AV32" i="9"/>
  <c r="AU30" i="9" a="1"/>
  <c r="AU30" i="9" s="1"/>
  <c r="AT44" i="9"/>
  <c r="AT38" i="9"/>
  <c r="AT18" i="9"/>
  <c r="AV34" i="9"/>
  <c r="AU22" i="9"/>
  <c r="AT25" i="9"/>
  <c r="AU23" i="9"/>
  <c r="AV35" i="9"/>
  <c r="AS27" i="9"/>
  <c r="AS26" i="9"/>
  <c r="BF12" i="9" l="1"/>
  <c r="BD15" i="9"/>
  <c r="BF11" i="9"/>
  <c r="BG5" i="9"/>
  <c r="BF4" i="9"/>
  <c r="BE40" i="9" s="1"/>
  <c r="BF8" i="9"/>
  <c r="BE13" i="9"/>
  <c r="BE15" i="9" s="1"/>
  <c r="AU25" i="9"/>
  <c r="BF7" i="9"/>
  <c r="BG7" i="9" s="1"/>
  <c r="BF9" i="9"/>
  <c r="BG9" i="9" s="1"/>
  <c r="BF6" i="9"/>
  <c r="BF10" i="9"/>
  <c r="BG10" i="9" s="1"/>
  <c r="AW33" i="9"/>
  <c r="AV21" i="9"/>
  <c r="AW32" i="9"/>
  <c r="AV20" i="9"/>
  <c r="AV37" i="9"/>
  <c r="AV30" i="9" a="1"/>
  <c r="AV30" i="9" s="1"/>
  <c r="AV23" i="9"/>
  <c r="AW35" i="9"/>
  <c r="AV24" i="9"/>
  <c r="AW36" i="9"/>
  <c r="AU18" i="9"/>
  <c r="AU38" i="9"/>
  <c r="AU44" i="9"/>
  <c r="AV19" i="9"/>
  <c r="AW31" i="9"/>
  <c r="AW34" i="9"/>
  <c r="AV22" i="9"/>
  <c r="AT26" i="9"/>
  <c r="AT27" i="9"/>
  <c r="BG11" i="9" l="1"/>
  <c r="BE14" i="9"/>
  <c r="BG6" i="9"/>
  <c r="BF13" i="9"/>
  <c r="BF14" i="9" s="1"/>
  <c r="BG8" i="9"/>
  <c r="BG12" i="9"/>
  <c r="BG4" i="9"/>
  <c r="BF40" i="9" s="1"/>
  <c r="BH5" i="9"/>
  <c r="AU27" i="9"/>
  <c r="AU26" i="9"/>
  <c r="AX35" i="9"/>
  <c r="AW23" i="9"/>
  <c r="AX31" i="9"/>
  <c r="AW19" i="9"/>
  <c r="AX36" i="9"/>
  <c r="AW24" i="9"/>
  <c r="AV38" i="9"/>
  <c r="AV18" i="9"/>
  <c r="AV44" i="9"/>
  <c r="AW22" i="9"/>
  <c r="AX34" i="9"/>
  <c r="AV25" i="9"/>
  <c r="AX32" i="9"/>
  <c r="AW20" i="9"/>
  <c r="AW37" i="9"/>
  <c r="AW30" i="9" a="1"/>
  <c r="AW30" i="9" s="1"/>
  <c r="AX33" i="9"/>
  <c r="AW21" i="9"/>
  <c r="BH12" i="9" l="1"/>
  <c r="BH11" i="9"/>
  <c r="BF15" i="9"/>
  <c r="BH7" i="9"/>
  <c r="BI5" i="9"/>
  <c r="BH4" i="9"/>
  <c r="BG40" i="9" s="1"/>
  <c r="BH8" i="9"/>
  <c r="BG13" i="9"/>
  <c r="BG15" i="9" s="1"/>
  <c r="BH10" i="9"/>
  <c r="BH6" i="9"/>
  <c r="BG14" i="9"/>
  <c r="BH9" i="9"/>
  <c r="AV26" i="9"/>
  <c r="AV27" i="9"/>
  <c r="AY33" i="9"/>
  <c r="AX21" i="9"/>
  <c r="AX24" i="9"/>
  <c r="AY36" i="9"/>
  <c r="AW25" i="9"/>
  <c r="AX23" i="9"/>
  <c r="AY35" i="9"/>
  <c r="AW38" i="9"/>
  <c r="AW18" i="9"/>
  <c r="AW44" i="9"/>
  <c r="AY31" i="9"/>
  <c r="AX19" i="9"/>
  <c r="AX37" i="9"/>
  <c r="AX20" i="9"/>
  <c r="AY32" i="9"/>
  <c r="AX30" i="9" a="1"/>
  <c r="AX30" i="9" s="1"/>
  <c r="AX22" i="9"/>
  <c r="AY34" i="9"/>
  <c r="BI12" i="9" l="1"/>
  <c r="BI10" i="9"/>
  <c r="BI9" i="9"/>
  <c r="BI7" i="9"/>
  <c r="BI11" i="9"/>
  <c r="BH13" i="9"/>
  <c r="BH14" i="9" s="1"/>
  <c r="BI8" i="9"/>
  <c r="BI6" i="9"/>
  <c r="BI4" i="9"/>
  <c r="BH40" i="9" s="1"/>
  <c r="BJ5" i="9"/>
  <c r="BJ12" i="9" s="1"/>
  <c r="AZ35" i="9"/>
  <c r="AY23" i="9"/>
  <c r="AY22" i="9"/>
  <c r="AZ34" i="9"/>
  <c r="AZ36" i="9"/>
  <c r="AY24" i="9"/>
  <c r="AX25" i="9"/>
  <c r="AZ33" i="9"/>
  <c r="AY21" i="9"/>
  <c r="AW27" i="9"/>
  <c r="AW26" i="9"/>
  <c r="AX44" i="9"/>
  <c r="AX18" i="9"/>
  <c r="AX38" i="9"/>
  <c r="AY20" i="9"/>
  <c r="AZ32" i="9"/>
  <c r="AY37" i="9"/>
  <c r="AY30" i="9" a="1"/>
  <c r="AY30" i="9" s="1"/>
  <c r="AY19" i="9"/>
  <c r="AZ31" i="9"/>
  <c r="BJ7" i="9" l="1"/>
  <c r="BH15" i="9"/>
  <c r="BJ9" i="9"/>
  <c r="BJ11" i="9"/>
  <c r="BJ10" i="9"/>
  <c r="BK5" i="9"/>
  <c r="BK12" i="9" s="1"/>
  <c r="BJ4" i="9"/>
  <c r="BI40" i="9" s="1"/>
  <c r="BJ6" i="9"/>
  <c r="BJ8" i="9"/>
  <c r="BI13" i="9"/>
  <c r="BI14" i="9" s="1"/>
  <c r="AY18" i="9"/>
  <c r="AY38" i="9"/>
  <c r="AY44" i="9"/>
  <c r="AZ22" i="9"/>
  <c r="BA34" i="9"/>
  <c r="AY25" i="9"/>
  <c r="AZ19" i="9"/>
  <c r="BA31" i="9"/>
  <c r="BA33" i="9"/>
  <c r="AZ21" i="9"/>
  <c r="AZ24" i="9"/>
  <c r="BA36" i="9"/>
  <c r="AZ37" i="9"/>
  <c r="AZ20" i="9"/>
  <c r="BA32" i="9"/>
  <c r="AZ30" i="9" a="1"/>
  <c r="AZ30" i="9" s="1"/>
  <c r="AX27" i="9"/>
  <c r="AX26" i="9"/>
  <c r="AZ23" i="9"/>
  <c r="BA35" i="9"/>
  <c r="BK10" i="9" l="1"/>
  <c r="BK11" i="9"/>
  <c r="BI15" i="9"/>
  <c r="BJ13" i="9"/>
  <c r="BJ14" i="9" s="1"/>
  <c r="BK8" i="9"/>
  <c r="BK6" i="9"/>
  <c r="BJ15" i="9"/>
  <c r="BL5" i="9"/>
  <c r="BL4" i="9" s="1"/>
  <c r="BK4" i="9"/>
  <c r="BJ40" i="9" s="1"/>
  <c r="BK9" i="9"/>
  <c r="BL9" i="9" s="1"/>
  <c r="BK7" i="9"/>
  <c r="BL7" i="9" s="1"/>
  <c r="AY27" i="9"/>
  <c r="AY26" i="9"/>
  <c r="BA24" i="9"/>
  <c r="BB36" i="9"/>
  <c r="BB33" i="9"/>
  <c r="BA21" i="9"/>
  <c r="BB35" i="9"/>
  <c r="BA23" i="9"/>
  <c r="BA19" i="9"/>
  <c r="BB31" i="9"/>
  <c r="BA22" i="9"/>
  <c r="BB34" i="9"/>
  <c r="AZ18" i="9"/>
  <c r="AZ38" i="9"/>
  <c r="AZ44" i="9"/>
  <c r="BA20" i="9"/>
  <c r="BB32" i="9"/>
  <c r="BA37" i="9"/>
  <c r="BA30" i="9" a="1"/>
  <c r="BA30" i="9" s="1"/>
  <c r="AZ25" i="9"/>
  <c r="D11" i="10" l="1"/>
  <c r="D12" i="10" s="1"/>
  <c r="BL12" i="9"/>
  <c r="BL11" i="9"/>
  <c r="BL10" i="9"/>
  <c r="BL8" i="9"/>
  <c r="BK13" i="9"/>
  <c r="BK14" i="9" s="1"/>
  <c r="BK40" i="9"/>
  <c r="E11" i="10"/>
  <c r="E12" i="10" s="1"/>
  <c r="G11" i="10"/>
  <c r="H11" i="10"/>
  <c r="I11" i="10"/>
  <c r="F11" i="10"/>
  <c r="F12" i="10" s="1"/>
  <c r="J11" i="10"/>
  <c r="BL6" i="9"/>
  <c r="BC31" i="9"/>
  <c r="BB19" i="9"/>
  <c r="BA18" i="9"/>
  <c r="BA38" i="9"/>
  <c r="BA44" i="9"/>
  <c r="BB23" i="9"/>
  <c r="BC35" i="9"/>
  <c r="BB21" i="9"/>
  <c r="BC33" i="9"/>
  <c r="BC36" i="9"/>
  <c r="BB24" i="9"/>
  <c r="BB22" i="9"/>
  <c r="BC34" i="9"/>
  <c r="BC32" i="9"/>
  <c r="BB37" i="9"/>
  <c r="BB20" i="9"/>
  <c r="BB30" i="9" a="1"/>
  <c r="BB30" i="9" s="1"/>
  <c r="BA25" i="9"/>
  <c r="AZ26" i="9"/>
  <c r="AZ27" i="9"/>
  <c r="N11" i="10" l="1"/>
  <c r="M11" i="10"/>
  <c r="BL13" i="9"/>
  <c r="BL15" i="9" s="1"/>
  <c r="BK15" i="9"/>
  <c r="K11" i="10"/>
  <c r="L11" i="10" s="1"/>
  <c r="BC24" i="9"/>
  <c r="BD36" i="9"/>
  <c r="BB44" i="9"/>
  <c r="BB18" i="9"/>
  <c r="BB38" i="9"/>
  <c r="BB25" i="9"/>
  <c r="BA27" i="9"/>
  <c r="BA26" i="9"/>
  <c r="BC20" i="9"/>
  <c r="BD32" i="9"/>
  <c r="BC37" i="9"/>
  <c r="BC30" i="9" a="1"/>
  <c r="BC30" i="9" s="1"/>
  <c r="BC21" i="9"/>
  <c r="BD33" i="9"/>
  <c r="BC23" i="9"/>
  <c r="BD35" i="9"/>
  <c r="BC22" i="9"/>
  <c r="BD34" i="9"/>
  <c r="BC19" i="9"/>
  <c r="BD31" i="9"/>
  <c r="BC25" i="9" l="1"/>
  <c r="BL14" i="9"/>
  <c r="BC38" i="9"/>
  <c r="BC18" i="9"/>
  <c r="BC44" i="9"/>
  <c r="BB26" i="9"/>
  <c r="BB27" i="9"/>
  <c r="BD21" i="9"/>
  <c r="BE33" i="9"/>
  <c r="BD24" i="9"/>
  <c r="BE36" i="9"/>
  <c r="BD20" i="9"/>
  <c r="BE32" i="9"/>
  <c r="BD37" i="9"/>
  <c r="BD30" i="9" a="1"/>
  <c r="BD30" i="9" s="1"/>
  <c r="BE31" i="9"/>
  <c r="BD19" i="9"/>
  <c r="BD22" i="9"/>
  <c r="BE34" i="9"/>
  <c r="BD23" i="9"/>
  <c r="BE35" i="9"/>
  <c r="BD25" i="9" l="1"/>
  <c r="BD44" i="9"/>
  <c r="BD38" i="9"/>
  <c r="BD18" i="9"/>
  <c r="BE20" i="9"/>
  <c r="BF32" i="9"/>
  <c r="BE37" i="9"/>
  <c r="BE30" i="9" a="1"/>
  <c r="BE30" i="9" s="1"/>
  <c r="BF36" i="9"/>
  <c r="BE24" i="9"/>
  <c r="BF35" i="9"/>
  <c r="BE23" i="9"/>
  <c r="BF33" i="9"/>
  <c r="BE21" i="9"/>
  <c r="BE22" i="9"/>
  <c r="BF34" i="9"/>
  <c r="BE19" i="9"/>
  <c r="BF31" i="9"/>
  <c r="BC26" i="9"/>
  <c r="BC27" i="9"/>
  <c r="BG33" i="9" l="1"/>
  <c r="BF21" i="9"/>
  <c r="BF23" i="9"/>
  <c r="BG35" i="9"/>
  <c r="BG36" i="9"/>
  <c r="BF24" i="9"/>
  <c r="BG31" i="9"/>
  <c r="BF19" i="9"/>
  <c r="BF37" i="9"/>
  <c r="BG32" i="9"/>
  <c r="BF20" i="9"/>
  <c r="BF25" i="9" s="1"/>
  <c r="BF30" i="9" a="1"/>
  <c r="BF30" i="9" s="1"/>
  <c r="BE25" i="9"/>
  <c r="BF22" i="9"/>
  <c r="BG34" i="9"/>
  <c r="BD26" i="9"/>
  <c r="BD27" i="9"/>
  <c r="BE38" i="9"/>
  <c r="BE44" i="9"/>
  <c r="BE18" i="9"/>
  <c r="BF38" i="9" l="1"/>
  <c r="BF44" i="9"/>
  <c r="BF18" i="9"/>
  <c r="BE26" i="9"/>
  <c r="BE27" i="9"/>
  <c r="BG24" i="9"/>
  <c r="BH36" i="9"/>
  <c r="BH35" i="9"/>
  <c r="BG23" i="9"/>
  <c r="BH34" i="9"/>
  <c r="BG22" i="9"/>
  <c r="BH32" i="9"/>
  <c r="BG20" i="9"/>
  <c r="BG37" i="9"/>
  <c r="BG30" i="9" a="1"/>
  <c r="BG30" i="9" s="1"/>
  <c r="BH31" i="9"/>
  <c r="BG19" i="9"/>
  <c r="BG21" i="9"/>
  <c r="BH33" i="9"/>
  <c r="BI32" i="9" l="1"/>
  <c r="BH37" i="9"/>
  <c r="BH20" i="9"/>
  <c r="BH30" i="9" a="1"/>
  <c r="BH30" i="9" s="1"/>
  <c r="BH22" i="9"/>
  <c r="BI34" i="9"/>
  <c r="BH23" i="9"/>
  <c r="BI35" i="9"/>
  <c r="BH21" i="9"/>
  <c r="BI33" i="9"/>
  <c r="BH19" i="9"/>
  <c r="BI31" i="9"/>
  <c r="BG18" i="9"/>
  <c r="BG38" i="9"/>
  <c r="BG44" i="9"/>
  <c r="BF27" i="9"/>
  <c r="BF26" i="9"/>
  <c r="BI36" i="9"/>
  <c r="BH24" i="9"/>
  <c r="BG25" i="9"/>
  <c r="BI20" i="9" l="1"/>
  <c r="BJ32" i="9"/>
  <c r="BI37" i="9"/>
  <c r="BI30" i="9" a="1"/>
  <c r="BI30" i="9" s="1"/>
  <c r="BI21" i="9"/>
  <c r="BJ33" i="9"/>
  <c r="BI22" i="9"/>
  <c r="BJ34" i="9"/>
  <c r="BG26" i="9"/>
  <c r="BG27" i="9"/>
  <c r="BI19" i="9"/>
  <c r="BJ31" i="9"/>
  <c r="BI23" i="9"/>
  <c r="BJ35" i="9"/>
  <c r="BJ36" i="9"/>
  <c r="BI24" i="9"/>
  <c r="BH18" i="9"/>
  <c r="BH38" i="9"/>
  <c r="BH44" i="9"/>
  <c r="BH25" i="9"/>
  <c r="BK31" i="9" l="1"/>
  <c r="BJ19" i="9"/>
  <c r="BJ22" i="9"/>
  <c r="BK34" i="9"/>
  <c r="BJ21" i="9"/>
  <c r="BK33" i="9"/>
  <c r="BH27" i="9"/>
  <c r="BH26" i="9"/>
  <c r="BJ24" i="9"/>
  <c r="BK36" i="9"/>
  <c r="BJ37" i="9"/>
  <c r="BK32" i="9"/>
  <c r="BJ20" i="9"/>
  <c r="BJ30" i="9" a="1"/>
  <c r="BJ30" i="9" s="1"/>
  <c r="BI38" i="9"/>
  <c r="BI18" i="9"/>
  <c r="BI44" i="9"/>
  <c r="BJ23" i="9"/>
  <c r="BK35" i="9"/>
  <c r="BI25" i="9"/>
  <c r="BL32" i="9" l="1"/>
  <c r="BK20" i="9"/>
  <c r="BK37" i="9"/>
  <c r="BK30" i="9" a="1"/>
  <c r="BK30" i="9" s="1"/>
  <c r="BK24" i="9"/>
  <c r="BL36" i="9"/>
  <c r="BL24" i="9" s="1"/>
  <c r="BK23" i="9"/>
  <c r="BL35" i="9"/>
  <c r="BL23" i="9" s="1"/>
  <c r="BK21" i="9"/>
  <c r="BL33" i="9"/>
  <c r="BL21" i="9" s="1"/>
  <c r="BI27" i="9"/>
  <c r="BI26" i="9"/>
  <c r="BL34" i="9"/>
  <c r="BL22" i="9" s="1"/>
  <c r="BK22" i="9"/>
  <c r="BJ18" i="9"/>
  <c r="BJ44" i="9"/>
  <c r="BJ38" i="9"/>
  <c r="BJ25" i="9"/>
  <c r="BK19" i="9"/>
  <c r="BL31" i="9"/>
  <c r="BL19" i="9" s="1"/>
  <c r="BJ26" i="9" l="1"/>
  <c r="BJ27" i="9"/>
  <c r="BK38" i="9"/>
  <c r="BK18" i="9"/>
  <c r="BK44" i="9"/>
  <c r="BK25" i="9"/>
  <c r="BL20" i="9"/>
  <c r="BL25" i="9" s="1"/>
  <c r="BL37" i="9"/>
  <c r="BL30" i="9" a="1"/>
  <c r="BL30" i="9" s="1"/>
  <c r="BL44" i="9" l="1"/>
  <c r="BL38" i="9"/>
  <c r="BL18" i="9"/>
  <c r="BK26" i="9"/>
  <c r="BK27" i="9"/>
  <c r="BL27" i="9" l="1"/>
  <c r="BL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<sst xmlns="http://schemas.openxmlformats.org/spreadsheetml/2006/main" count="478" uniqueCount="307">
  <si>
    <t xml:space="preserve">CORE (COst REport) - PC </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</si>
  <si>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</si>
  <si>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</si>
  <si>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</si>
  <si>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</si>
  <si>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</si>
  <si>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</si>
  <si>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</si>
  <si>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</si>
  <si>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</si>
  <si>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</si>
  <si>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</si>
  <si>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</si>
  <si>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</si>
  <si>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</si>
  <si>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</si>
  <si>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</si>
  <si>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</si>
  <si>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</si>
  <si>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</si>
  <si>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</si>
  <si>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</si>
  <si>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</si>
  <si>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</si>
  <si>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</si>
  <si>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</si>
  <si>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</si>
  <si>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</si>
  <si>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</si>
  <si>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</si>
  <si>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</si>
  <si>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</si>
  <si>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</si>
  <si>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</si>
  <si>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</si>
  <si>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</si>
  <si>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</si>
  <si>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</si>
  <si>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</si>
  <si>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</si>
  <si>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</si>
  <si>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</si>
  <si>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</si>
  <si>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</si>
  <si>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</si>
  <si>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</si>
  <si>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</si>
  <si>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</si>
  <si>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</si>
  <si>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</si>
  <si>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</si>
  <si>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</si>
  <si>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</si>
  <si>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</si>
  <si>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</si>
  <si>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</si>
  <si>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</si>
  <si>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</si>
  <si>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</si>
  <si>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</si>
  <si>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</si>
  <si>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</si>
  <si>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</si>
  <si>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</si>
  <si>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</si>
  <si>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</si>
  <si>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</si>
  <si>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</si>
  <si>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</si>
  <si>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</si>
  <si>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</si>
  <si>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</si>
  <si>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</si>
  <si>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</si>
  <si>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</si>
  <si>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</si>
  <si>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</si>
  <si>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</si>
  <si>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</si>
  <si>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</si>
  <si>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</si>
  <si>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AMPLIACION</t>
  </si>
  <si>
    <t>ej:otro cliente, PO asociada, …</t>
  </si>
  <si>
    <t>REESTIMACION</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</si>
  <si>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</si>
  <si>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</si>
  <si>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</si>
  <si>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</si>
  <si>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</si>
  <si>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</si>
  <si>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</si>
  <si>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</si>
  <si>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</si>
  <si>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NO</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</si>
  <si>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</si>
  <si>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</si>
  <si>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</si>
  <si>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</si>
  <si>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</si>
  <si>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</si>
  <si>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</si>
  <si>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</si>
  <si>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</si>
  <si>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</si>
  <si>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</si>
  <si>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</si>
  <si>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</si>
  <si>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</si>
  <si>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</si>
  <si>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</si>
  <si>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</si>
  <si>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</si>
  <si>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</si>
  <si>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</si>
  <si>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</si>
  <si>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</si>
  <si>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</si>
  <si>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</si>
  <si>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</si>
  <si>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</si>
  <si>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</si>
  <si>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</si>
  <si>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</si>
  <si>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</si>
  <si>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</si>
  <si>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</si>
  <si>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</si>
  <si>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</si>
  <si>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CODIGO INTERCO</t>
  </si>
  <si>
    <t>HORAS TOTALES RECURSOS entidad PROYECTO + INTERCO</t>
  </si>
  <si>
    <t>COSTE TOTAL RECURSOS entidad PROYECTO (euros)</t>
  </si>
  <si>
    <t>COSTE TOTAL RECURSOS INTERCO (euros)</t>
  </si>
  <si>
    <t>AJUSTE con SAP (en EUROS) para perfiles NO INTERCO</t>
  </si>
  <si>
    <t>AJUSTE con SAP (en EUROS) para perfiles INTERCO</t>
  </si>
  <si>
    <t>PLANIFICADO BASELINE</t>
  </si>
  <si>
    <t>"accrual future loss"</t>
  </si>
  <si>
    <t>GARANTIA</t>
  </si>
  <si>
    <t>"Warranty Provisions"</t>
  </si>
  <si>
    <t>COSTE TOTAL GASTOS BASELINE</t>
  </si>
  <si>
    <t>TIPO GASTO</t>
  </si>
  <si>
    <t>DESCRIPCION GASTO</t>
  </si>
  <si>
    <t xml:space="preserve">INFORMACION ADICIONAL </t>
  </si>
  <si>
    <t>Salaries varios (becas,…)</t>
  </si>
  <si>
    <t>Travelling Expenses</t>
  </si>
  <si>
    <t>Otros</t>
  </si>
  <si>
    <t>TOTAL GASTOS</t>
  </si>
  <si>
    <t xml:space="preserve">COSTE TOTAL COMPRAS BASELINE </t>
  </si>
  <si>
    <t>PROVEEDOR</t>
  </si>
  <si>
    <t>DESCRIPCION COMPRA</t>
  </si>
  <si>
    <t>PO COMPRA</t>
  </si>
  <si>
    <t>INFOR ARIBA</t>
  </si>
  <si>
    <t>TOTAL COMPRAS</t>
  </si>
  <si>
    <t>Tipos Gasto</t>
  </si>
  <si>
    <t>Recruitment Fees</t>
  </si>
  <si>
    <t>Trainning Costs</t>
  </si>
  <si>
    <t>Fees</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</si>
  <si>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</si>
  <si>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</si>
  <si>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</si>
  <si>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</si>
  <si>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</si>
  <si>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</si>
  <si>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</si>
  <si>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</si>
  <si>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</si>
  <si>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</si>
  <si>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</si>
  <si>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</si>
  <si>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</si>
  <si>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</si>
  <si>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</si>
  <si>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</si>
  <si>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</si>
  <si>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</si>
  <si>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</si>
  <si>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</si>
  <si>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</si>
  <si>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</si>
  <si>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</si>
  <si>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</si>
  <si>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</si>
  <si>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</si>
  <si>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</si>
  <si>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</si>
  <si>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</si>
  <si>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</si>
  <si>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</si>
  <si>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</si>
  <si>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</si>
  <si>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</si>
  <si>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</si>
  <si>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</si>
  <si>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</si>
  <si>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</si>
  <si>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</si>
  <si>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</si>
  <si>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t>
  </si>
  <si>
    <t xml:space="preserve">4) Actualizar el Planning de Horas,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</si>
  <si>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t>
  </si>
  <si>
    <t xml:space="preserve">6) Actualizar Facturación en "Monthly View" - Fila 43. Una vez actualizada esta información tenemos en "Monthly View"-Fila 45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</si>
  <si>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41) para fijar la venta acumulada hasta el mes pasado para que la diferencia que tuvimos no impacte en el calculo de venta de este mes</t>
  </si>
  <si>
    <t>Normas para cumplimentar la Información</t>
  </si>
  <si>
    <t>Las celdas para completar información tendrán fondo blanco.</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</si>
  <si>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</si>
  <si>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</si>
  <si>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59
- COMPRAS: costes provisionados para compras (hardware, subcontractors, ...), aparecen en "Cost Planning" - Fila 74</t>
  </si>
  <si>
    <t>Los datos del FORECAST de VENTA aparecen en "Monthly View" - Fila 19.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</si>
  <si>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</si>
  <si>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</si>
  <si>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</si>
  <si>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</si>
  <si>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</si>
  <si>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</si>
  <si>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</si>
  <si>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</si>
  <si>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</si>
  <si>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</si>
  <si>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</si>
  <si>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</si>
  <si>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</si>
  <si>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</si>
  <si>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</si>
  <si>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</si>
  <si>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</si>
  <si>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</si>
  <si>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</si>
  <si>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</si>
  <si>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</si>
  <si>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</si>
  <si>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</si>
  <si>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</si>
  <si>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</si>
  <si>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</si>
  <si>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</si>
  <si>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</si>
  <si>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</si>
  <si>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</si>
  <si>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</si>
  <si>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</si>
  <si>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</si>
  <si>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</si>
  <si>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</si>
  <si>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</si>
  <si>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</si>
  <si>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</si>
  <si>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</si>
  <si>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</si>
  <si>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</si>
  <si>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</si>
  <si>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</si>
  <si>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</si>
  <si>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</si>
  <si>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</si>
  <si>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</si>
  <si>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</si>
  <si>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</si>
  <si>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</si>
  <si>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</si>
  <si>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</si>
  <si>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</si>
  <si>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</si>
  <si>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</si>
  <si>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</si>
  <si>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Madrid + GS</t>
  </si>
  <si>
    <t>Advanced Services (Data Analytics)</t>
  </si>
  <si>
    <t>Advanced Services (Testing &amp; QA)</t>
  </si>
  <si>
    <t>Advanced Services (PMO)</t>
  </si>
  <si>
    <t>Advanced Services</t>
  </si>
  <si>
    <t>Tailored Software</t>
  </si>
  <si>
    <t>Outsourcing contracts &amp; Devops</t>
  </si>
  <si>
    <t>EAI (Enterprise App Integration) &amp; Cloud Native</t>
  </si>
  <si>
    <t>ZEV-PCE0012-1001</t>
  </si>
  <si>
    <t>Smart Airport en la nueva terminal de Puerto Vallarta</t>
  </si>
  <si>
    <t>Compania: Connectis-ICT | Unidad: ICT | Portfolio: Smart Spaces | Subpractice: Smart Spaces/EAI | Origen: Mobility</t>
  </si>
  <si>
    <t>GAP</t>
  </si>
  <si>
    <t>SLFC 20250256445</t>
  </si>
  <si>
    <t>LLUIS GUERRA GONZALEZ</t>
  </si>
  <si>
    <t>Carlos Alvarez Gonzalez</t>
  </si>
  <si>
    <t>Joan MARCER</t>
  </si>
  <si>
    <t>E91010</t>
  </si>
  <si>
    <t>JP</t>
  </si>
  <si>
    <t>Jefe Proyecto</t>
  </si>
  <si>
    <t>E91011</t>
  </si>
  <si>
    <t>CSS</t>
  </si>
  <si>
    <t>Consultor Smart Spaces</t>
  </si>
  <si>
    <t>E91012</t>
  </si>
  <si>
    <t>CJSS</t>
  </si>
  <si>
    <t>Consultor Junior Smart Spaces</t>
  </si>
  <si>
    <t>E91013</t>
  </si>
  <si>
    <t>A</t>
  </si>
  <si>
    <t>E91014</t>
  </si>
  <si>
    <t>II</t>
  </si>
  <si>
    <t>Ingeniero Integración</t>
  </si>
  <si>
    <t>E91015</t>
  </si>
  <si>
    <t>P</t>
  </si>
  <si>
    <t>Configuración Portal</t>
  </si>
  <si>
    <t>E91016</t>
  </si>
  <si>
    <t>Diseñador gráfico</t>
  </si>
  <si>
    <t>Agencia de Viajes</t>
  </si>
  <si>
    <t>PPO</t>
  </si>
  <si>
    <t>Expenses/Gastos</t>
  </si>
  <si>
    <t/>
  </si>
  <si>
    <t>Proveedor Test</t>
  </si>
  <si>
    <t>Trabajos on site</t>
  </si>
  <si>
    <t>PVR-OC-0005647</t>
  </si>
  <si>
    <t>ARIBA-TEST-001</t>
  </si>
  <si>
    <t>RPA_VALIDACION: Generado por RPA: 2026-05-12 04:27:10 | PPO=20250256445  PPO_NuevaTerminalPVR v2 1.xlsm | NumeroSF=20250256445 | Tipo=PC | Campos PPO=7 | Trazabilidad: PPO=baseline; SAP/SF=datos de prueba hardcodeados en Main.xaml; reglas=recursos/gastos/compras prorrateados por anualidad, riesgos/garantia al ultimo mes, facturacion y realizado vacios; pendiente JP=revisar intercompany, externos y planificacion mensual. | PC: detectadas anualidades fuera de calendario CORE. Calendario 2025-11 a 2026-10. Baseline recursos PPO: 367.515,14 EUR. Recursos planificados: 324.095,05 EUR. Pendiente fuera de calendario: 1.720 h / 43.420,09 EUR. Años afectados: 2027, 2028. Revisión requerida por JP.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</si>
</sst>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 [$€-C0A]_-;\-* #,##0.00\ [$€-C0A]_-;_-* &quot;-&quot;??\ [$€-C0A]_-;_-@_-"/>
    <numFmt numFmtId="166" formatCode="[$-C0A]mmm\-yy;@"/>
    <numFmt numFmtId="167" formatCode="[$-C0A]d\-mmm\-yy;@"/>
    <numFmt numFmtId="168" formatCode="#,##0.00_ ;\-#,##0.00\ "/>
    <numFmt numFmtId="169" formatCode="dd\.mm\.yyyy"/>
    <numFmt numFmtId="170" formatCode="#,##0.0"/>
    <numFmt numFmtId="171" formatCode="#,##0.00_ ;[Red]\-#,##0.00\ "/>
  </numFmts>
  <fonts count="54"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5">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s>
  <borders count="37">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style="medium">
        <color indexed="64"/>
      </right>
      <top/>
      <bottom style="medium">
        <color rgb="FFFF670A"/>
      </bottom>
      <diagonal/>
    </border>
    <border>
      <left style="medium">
        <color indexed="64"/>
      </left>
      <right/>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23">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protection locked="0"/>
    </xf>
    <xf numFmtId="40" fontId="11" fillId="3" borderId="4" xfId="0" applyNumberFormat="1" applyFont="1" applyFill="1" applyBorder="1" applyAlignment="1" applyProtection="1">
      <alignment horizontal="left"/>
      <protection locked="0"/>
    </xf>
    <xf numFmtId="40" fontId="19" fillId="0" borderId="4" xfId="0" applyNumberFormat="1" applyFont="1" applyBorder="1" applyAlignment="1" applyProtection="1">
      <alignment horizontal="left" vertical="center"/>
      <protection locked="0"/>
    </xf>
    <xf numFmtId="40" fontId="11" fillId="0" borderId="4" xfId="0" applyNumberFormat="1" applyFont="1" applyBorder="1" applyAlignment="1" applyProtection="1">
      <alignment horizontal="left" vertical="center"/>
      <protection locked="0"/>
    </xf>
    <xf numFmtId="38" fontId="11" fillId="3" borderId="4" xfId="0" applyNumberFormat="1" applyFont="1" applyFill="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40" fontId="19" fillId="0" borderId="3"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37" fillId="0" borderId="4"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5"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5"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0" fillId="0" borderId="3" xfId="0" applyNumberFormat="1" applyFont="1" applyBorder="1" applyAlignment="1">
      <alignment horizontal="right" wrapText="1"/>
    </xf>
    <xf numFmtId="0" fontId="30"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2" fillId="7" borderId="14" xfId="0" applyNumberFormat="1" applyFont="1" applyFill="1" applyBorder="1" applyAlignment="1">
      <alignment horizontal="right" vertical="center"/>
    </xf>
    <xf numFmtId="40" fontId="32" fillId="7" borderId="16" xfId="0" applyNumberFormat="1" applyFont="1" applyFill="1" applyBorder="1" applyAlignment="1">
      <alignment horizontal="right" vertical="center"/>
    </xf>
    <xf numFmtId="40" fontId="32" fillId="7" borderId="0" xfId="0" applyNumberFormat="1" applyFont="1" applyFill="1" applyAlignment="1">
      <alignment horizontal="right" vertical="center"/>
    </xf>
    <xf numFmtId="10" fontId="33" fillId="7" borderId="16" xfId="0" applyNumberFormat="1" applyFont="1" applyFill="1" applyBorder="1" applyAlignment="1">
      <alignment horizontal="right" vertical="center"/>
    </xf>
    <xf numFmtId="10" fontId="33"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0" fillId="0" borderId="3" xfId="0" applyFont="1" applyBorder="1" applyAlignment="1">
      <alignment horizontal="left" wrapText="1"/>
    </xf>
    <xf numFmtId="40" fontId="30"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0"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31" xfId="0" applyNumberFormat="1" applyFont="1" applyBorder="1" applyAlignment="1" applyProtection="1">
      <alignment horizontal="left" vertical="center"/>
      <protection locked="0"/>
    </xf>
    <xf numFmtId="169"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7" fillId="0" borderId="0" xfId="0" applyFont="1"/>
    <xf numFmtId="0" fontId="11" fillId="7" borderId="12" xfId="0" applyFont="1" applyFill="1" applyBorder="1" applyAlignment="1">
      <alignment vertical="center"/>
    </xf>
    <xf numFmtId="0" fontId="45" fillId="0" borderId="0" xfId="0" applyFont="1"/>
    <xf numFmtId="14" fontId="46"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1"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1" fillId="0" borderId="3" xfId="0" applyFont="1" applyBorder="1" applyAlignment="1">
      <alignment horizontal="left"/>
    </xf>
    <xf numFmtId="0" fontId="7" fillId="0" borderId="7" xfId="0" applyFont="1" applyBorder="1" applyAlignment="1">
      <alignment vertical="center"/>
    </xf>
    <xf numFmtId="0" fontId="28" fillId="9" borderId="0" xfId="0" applyFont="1" applyFill="1" applyAlignment="1">
      <alignment horizontal="left" vertical="center"/>
    </xf>
    <xf numFmtId="0" fontId="27"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5"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5" fillId="0" borderId="0" xfId="0" applyFont="1" applyAlignment="1">
      <alignment vertical="center"/>
    </xf>
    <xf numFmtId="0" fontId="16" fillId="0" borderId="0" xfId="0" applyFont="1"/>
    <xf numFmtId="0" fontId="48" fillId="0" borderId="0" xfId="0" applyFont="1" applyAlignment="1">
      <alignment vertical="center"/>
    </xf>
    <xf numFmtId="0" fontId="16" fillId="0" borderId="0" xfId="0" applyFont="1" applyAlignment="1">
      <alignment vertical="center"/>
    </xf>
    <xf numFmtId="0" fontId="7" fillId="0" borderId="0" xfId="0" applyFont="1"/>
    <xf numFmtId="0" fontId="45"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6" fillId="9" borderId="0" xfId="0" applyFont="1" applyFill="1" applyAlignment="1">
      <alignment vertical="center"/>
    </xf>
    <xf numFmtId="0" fontId="34" fillId="0" borderId="3" xfId="0" applyFont="1" applyBorder="1" applyAlignment="1">
      <alignment horizontal="left" wrapText="1"/>
    </xf>
    <xf numFmtId="166" fontId="34"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11" fillId="3" borderId="0" xfId="0" applyFont="1" applyFill="1" applyAlignment="1">
      <alignment horizontal="center" vertical="center" wrapText="1"/>
    </xf>
    <xf numFmtId="0" fontId="25"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5" fontId="13" fillId="10" borderId="19" xfId="0" applyNumberFormat="1" applyFont="1" applyFill="1" applyBorder="1"/>
    <xf numFmtId="165" fontId="13" fillId="10" borderId="18" xfId="0" applyNumberFormat="1" applyFont="1" applyFill="1" applyBorder="1"/>
    <xf numFmtId="0" fontId="14" fillId="0" borderId="0" xfId="0" applyFont="1" applyAlignment="1">
      <alignment vertical="center"/>
    </xf>
    <xf numFmtId="0" fontId="37" fillId="3" borderId="24" xfId="0" applyFont="1" applyFill="1" applyBorder="1" applyAlignment="1">
      <alignment horizontal="left" vertical="center"/>
    </xf>
    <xf numFmtId="0" fontId="35" fillId="8" borderId="10" xfId="0" applyFont="1" applyFill="1" applyBorder="1" applyAlignment="1">
      <alignment horizontal="left" vertical="center"/>
    </xf>
    <xf numFmtId="0" fontId="36" fillId="8" borderId="10" xfId="0" applyFont="1" applyFill="1" applyBorder="1" applyAlignment="1">
      <alignment horizontal="left" vertical="center"/>
    </xf>
    <xf numFmtId="0" fontId="13" fillId="8" borderId="10" xfId="0" applyFont="1" applyFill="1" applyBorder="1" applyAlignment="1">
      <alignment horizontal="left" vertical="center"/>
    </xf>
    <xf numFmtId="168" fontId="13" fillId="8" borderId="10" xfId="1" applyNumberFormat="1" applyFont="1" applyFill="1" applyBorder="1" applyAlignment="1" applyProtection="1">
      <alignment horizontal="left" vertical="center"/>
    </xf>
    <xf numFmtId="0" fontId="11" fillId="7" borderId="4" xfId="0" applyFont="1" applyFill="1" applyBorder="1" applyAlignment="1">
      <alignment horizontal="left" vertical="center"/>
    </xf>
    <xf numFmtId="0" fontId="35" fillId="8" borderId="2" xfId="0" applyFont="1" applyFill="1" applyBorder="1" applyAlignment="1">
      <alignment horizontal="left" vertical="center"/>
    </xf>
    <xf numFmtId="0" fontId="36" fillId="8" borderId="2" xfId="0" applyFont="1" applyFill="1" applyBorder="1" applyAlignment="1">
      <alignment horizontal="left" vertical="center"/>
    </xf>
    <xf numFmtId="0" fontId="13" fillId="8" borderId="2" xfId="0" applyFont="1" applyFill="1" applyBorder="1" applyAlignment="1">
      <alignment horizontal="left" vertical="center"/>
    </xf>
    <xf numFmtId="168" fontId="13" fillId="0" borderId="0" xfId="1" applyNumberFormat="1" applyFont="1" applyFill="1" applyBorder="1" applyAlignment="1" applyProtection="1">
      <alignment horizontal="center" vertical="center"/>
    </xf>
    <xf numFmtId="168" fontId="13" fillId="0" borderId="0" xfId="1" applyNumberFormat="1" applyFont="1" applyFill="1" applyBorder="1" applyAlignment="1" applyProtection="1">
      <alignment horizontal="center"/>
    </xf>
    <xf numFmtId="40" fontId="34" fillId="0" borderId="3" xfId="0" applyNumberFormat="1" applyFont="1" applyBorder="1" applyAlignment="1">
      <alignment horizontal="right" wrapText="1"/>
    </xf>
    <xf numFmtId="40" fontId="34" fillId="0" borderId="17" xfId="0" applyNumberFormat="1" applyFont="1" applyBorder="1" applyAlignment="1">
      <alignment horizontal="right" wrapText="1"/>
    </xf>
    <xf numFmtId="0" fontId="27"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5"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7"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165" fontId="13" fillId="10" borderId="23" xfId="0" applyNumberFormat="1" applyFont="1" applyFill="1" applyBorder="1"/>
    <xf numFmtId="0" fontId="35" fillId="8" borderId="10" xfId="0" applyFont="1" applyFill="1" applyBorder="1" applyAlignment="1">
      <alignment horizontal="left"/>
    </xf>
    <xf numFmtId="0" fontId="13" fillId="8" borderId="10" xfId="0" applyFont="1" applyFill="1" applyBorder="1" applyAlignment="1">
      <alignment horizontal="left"/>
    </xf>
    <xf numFmtId="168"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7" fillId="3" borderId="24" xfId="0" applyFont="1" applyFill="1" applyBorder="1" applyAlignment="1">
      <alignment horizontal="center" vertical="center"/>
    </xf>
    <xf numFmtId="0" fontId="34" fillId="0" borderId="3" xfId="0" applyFont="1" applyBorder="1" applyAlignment="1">
      <alignment horizontal="right" wrapText="1"/>
    </xf>
    <xf numFmtId="166" fontId="34" fillId="0" borderId="3" xfId="0" applyNumberFormat="1" applyFont="1" applyBorder="1" applyAlignment="1">
      <alignment horizontal="right" wrapText="1"/>
    </xf>
    <xf numFmtId="166" fontId="34" fillId="0" borderId="27" xfId="0" applyNumberFormat="1" applyFont="1" applyBorder="1" applyAlignment="1">
      <alignment horizontal="right" wrapText="1"/>
    </xf>
    <xf numFmtId="166" fontId="34" fillId="0" borderId="28" xfId="0" applyNumberFormat="1" applyFont="1" applyBorder="1" applyAlignment="1">
      <alignment horizontal="right" wrapText="1"/>
    </xf>
    <xf numFmtId="4" fontId="42" fillId="8" borderId="4" xfId="1" applyNumberFormat="1" applyFont="1" applyFill="1" applyBorder="1" applyAlignment="1" applyProtection="1">
      <alignment horizontal="right" vertical="center"/>
    </xf>
    <xf numFmtId="4" fontId="42"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4" fillId="0" borderId="3" xfId="0" applyFont="1" applyBorder="1" applyAlignment="1">
      <alignment wrapText="1"/>
    </xf>
    <xf numFmtId="166" fontId="34" fillId="0" borderId="3" xfId="0" applyNumberFormat="1" applyFont="1" applyBorder="1" applyAlignment="1">
      <alignment wrapText="1"/>
    </xf>
    <xf numFmtId="170"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1"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7" fillId="0" borderId="0" xfId="0" applyFont="1" applyAlignment="1">
      <alignment vertical="center"/>
    </xf>
    <xf numFmtId="0" fontId="30" fillId="0" borderId="2" xfId="0" applyFont="1" applyBorder="1" applyAlignment="1">
      <alignment vertical="center"/>
    </xf>
    <xf numFmtId="10" fontId="38" fillId="0" borderId="0" xfId="2" applyNumberFormat="1" applyFont="1" applyAlignment="1" applyProtection="1">
      <alignment vertical="center"/>
    </xf>
    <xf numFmtId="10" fontId="38" fillId="0" borderId="0" xfId="0" applyNumberFormat="1" applyFont="1" applyAlignment="1">
      <alignment vertical="center"/>
    </xf>
    <xf numFmtId="0" fontId="38" fillId="0" borderId="0" xfId="0" applyFont="1" applyAlignment="1">
      <alignment vertical="center"/>
    </xf>
    <xf numFmtId="165" fontId="44" fillId="11" borderId="0" xfId="0" applyNumberFormat="1" applyFont="1" applyFill="1" applyAlignment="1">
      <alignment vertical="center"/>
    </xf>
    <xf numFmtId="0" fontId="21" fillId="0" borderId="0" xfId="0" applyFont="1"/>
    <xf numFmtId="40" fontId="21" fillId="0" borderId="0" xfId="0" applyNumberFormat="1" applyFont="1"/>
    <xf numFmtId="167" fontId="20" fillId="0" borderId="0" xfId="0" applyNumberFormat="1" applyFont="1"/>
    <xf numFmtId="0" fontId="20" fillId="0" borderId="0" xfId="0" applyFont="1"/>
    <xf numFmtId="0" fontId="13" fillId="3" borderId="0" xfId="0" applyFont="1" applyFill="1" applyAlignment="1">
      <alignment horizontal="left" vertical="top" wrapText="1"/>
    </xf>
    <xf numFmtId="0" fontId="40" fillId="0" borderId="0" xfId="0" applyFont="1" applyAlignment="1">
      <alignment horizontal="left" vertical="center" wrapText="1"/>
    </xf>
    <xf numFmtId="0" fontId="29"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8" fontId="51"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5"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6" fontId="34" fillId="0" borderId="3" xfId="0" applyNumberFormat="1" applyFont="1" applyBorder="1" applyAlignment="1" applyProtection="1">
      <alignment horizontal="right" wrapText="1"/>
      <protection locked="0"/>
    </xf>
    <xf numFmtId="164" fontId="42"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69"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0" fontId="30" fillId="0" borderId="33" xfId="0" applyFont="1" applyBorder="1" applyAlignment="1">
      <alignment horizontal="right" vertical="center"/>
    </xf>
    <xf numFmtId="40" fontId="30" fillId="0" borderId="33" xfId="0" applyNumberFormat="1" applyFont="1" applyBorder="1" applyAlignment="1">
      <alignment horizontal="center" wrapText="1"/>
    </xf>
    <xf numFmtId="40" fontId="30" fillId="0" borderId="33" xfId="0" applyNumberFormat="1" applyFont="1" applyBorder="1" applyAlignment="1">
      <alignment horizontal="right" wrapText="1"/>
    </xf>
    <xf numFmtId="0" fontId="30" fillId="0" borderId="33" xfId="0" applyFont="1" applyBorder="1" applyAlignment="1">
      <alignment horizontal="right" wrapText="1"/>
    </xf>
    <xf numFmtId="0" fontId="30" fillId="0" borderId="33" xfId="0" applyFont="1" applyBorder="1" applyAlignment="1">
      <alignment horizontal="center" wrapText="1"/>
    </xf>
    <xf numFmtId="40" fontId="10" fillId="7" borderId="35" xfId="0" applyNumberFormat="1" applyFont="1" applyFill="1" applyBorder="1" applyAlignment="1">
      <alignment horizontal="right" vertical="center"/>
    </xf>
    <xf numFmtId="10" fontId="11" fillId="7" borderId="35" xfId="0" applyNumberFormat="1" applyFont="1" applyFill="1" applyBorder="1" applyAlignment="1">
      <alignment horizontal="right" vertical="center"/>
    </xf>
    <xf numFmtId="10" fontId="38" fillId="0" borderId="36" xfId="2" applyNumberFormat="1" applyFont="1" applyBorder="1" applyAlignment="1" applyProtection="1">
      <alignment vertical="center"/>
    </xf>
    <xf numFmtId="10" fontId="38" fillId="0" borderId="36" xfId="0" applyNumberFormat="1" applyFont="1" applyBorder="1" applyAlignment="1">
      <alignment horizontal="right" vertical="center"/>
    </xf>
    <xf numFmtId="0" fontId="24" fillId="0" borderId="33" xfId="0" applyFont="1" applyBorder="1" applyAlignment="1">
      <alignment horizontal="right" vertical="center"/>
    </xf>
    <xf numFmtId="10" fontId="24" fillId="0" borderId="33" xfId="2" applyNumberFormat="1" applyFont="1" applyBorder="1" applyAlignment="1" applyProtection="1">
      <alignment vertical="center"/>
    </xf>
    <xf numFmtId="10" fontId="24" fillId="0" borderId="33" xfId="0" applyNumberFormat="1" applyFont="1" applyBorder="1" applyAlignment="1">
      <alignment horizontal="right" vertical="center"/>
    </xf>
    <xf numFmtId="0" fontId="10" fillId="7" borderId="33" xfId="0" applyFont="1" applyFill="1" applyBorder="1" applyAlignment="1">
      <alignment vertical="center"/>
    </xf>
    <xf numFmtId="0" fontId="13" fillId="7" borderId="33" xfId="0" applyFont="1" applyFill="1" applyBorder="1" applyAlignment="1">
      <alignment vertical="center"/>
    </xf>
    <xf numFmtId="0" fontId="13" fillId="7" borderId="33"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69"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69" fontId="13" fillId="0" borderId="0" xfId="0" applyNumberFormat="1" applyFont="1" applyAlignment="1" applyProtection="1">
      <alignment horizontal="left" vertical="center"/>
      <protection locked="0"/>
    </xf>
    <xf numFmtId="171" fontId="11" fillId="14"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4"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8" fillId="0" borderId="36" xfId="0" applyFont="1" applyBorder="1" applyAlignment="1">
      <alignment horizontal="right" vertical="center"/>
    </xf>
    <xf numFmtId="0" fontId="2" fillId="10" borderId="17" xfId="0" applyFont="1" applyFill="1" applyBorder="1"/>
    <xf numFmtId="0" fontId="2" fillId="10" borderId="22" xfId="0" applyFont="1" applyFill="1" applyBorder="1"/>
    <xf numFmtId="0" fontId="11" fillId="7" borderId="3" xfId="0" applyFont="1" applyFill="1" applyBorder="1" applyAlignment="1">
      <alignment vertical="center" wrapText="1"/>
    </xf>
    <xf numFmtId="0" fontId="43"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6" fontId="34"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0" fillId="0" borderId="3" xfId="0" applyFont="1" applyBorder="1" applyAlignment="1" applyProtection="1">
      <alignment horizontal="left" wrapText="1"/>
      <protection locked="0"/>
    </xf>
    <xf numFmtId="40" fontId="30" fillId="0" borderId="3" xfId="0" applyNumberFormat="1" applyFont="1" applyBorder="1" applyAlignment="1" applyProtection="1">
      <alignment horizontal="left" wrapText="1"/>
      <protection locked="0"/>
    </xf>
    <xf numFmtId="40" fontId="30" fillId="0" borderId="3" xfId="0" applyNumberFormat="1" applyFont="1" applyBorder="1" applyAlignment="1" applyProtection="1">
      <alignment horizontal="right" wrapText="1"/>
      <protection locked="0"/>
    </xf>
    <xf numFmtId="0" fontId="30" fillId="0" borderId="3" xfId="0" applyFont="1" applyBorder="1" applyAlignment="1" applyProtection="1">
      <alignment horizontal="right" wrapText="1"/>
      <protection locked="0"/>
    </xf>
    <xf numFmtId="0" fontId="2" fillId="0" borderId="0" xfId="0" applyFont="1" applyProtection="1">
      <protection locked="0"/>
    </xf>
    <xf numFmtId="0" fontId="10" fillId="7" borderId="33" xfId="0" applyFont="1" applyFill="1" applyBorder="1" applyAlignment="1" applyProtection="1">
      <alignment vertical="center"/>
      <protection locked="0"/>
    </xf>
    <xf numFmtId="0" fontId="13" fillId="7" borderId="33" xfId="0" applyFont="1" applyFill="1" applyBorder="1" applyAlignment="1" applyProtection="1">
      <alignment vertical="center"/>
      <protection locked="0"/>
    </xf>
    <xf numFmtId="0" fontId="13" fillId="7" borderId="33"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6" xfId="0" applyFont="1" applyBorder="1" applyAlignment="1" applyProtection="1">
      <alignment vertical="center"/>
      <protection locked="0"/>
    </xf>
    <xf numFmtId="0" fontId="2" fillId="0" borderId="0" xfId="0" applyFont="1" applyAlignment="1" applyProtection="1">
      <alignment vertical="center"/>
      <protection locked="0"/>
    </xf>
    <xf numFmtId="0" fontId="32" fillId="8" borderId="25" xfId="0" applyFont="1" applyFill="1" applyBorder="1" applyAlignment="1" applyProtection="1">
      <alignment vertical="center"/>
      <protection locked="0"/>
    </xf>
    <xf numFmtId="40" fontId="39" fillId="8" borderId="25" xfId="0" applyNumberFormat="1" applyFont="1" applyFill="1" applyBorder="1" applyAlignment="1" applyProtection="1">
      <alignment horizontal="center" vertical="center"/>
      <protection locked="0"/>
    </xf>
    <xf numFmtId="165" fontId="44"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43" fillId="11" borderId="0" xfId="0" applyFont="1" applyFill="1" applyAlignment="1">
      <alignment horizontal="center" vertical="center"/>
    </xf>
    <xf numFmtId="0" fontId="43" fillId="11" borderId="0" xfId="0" applyFont="1" applyFill="1" applyAlignment="1">
      <alignment horizontal="left" vertical="center"/>
    </xf>
    <xf numFmtId="0" fontId="10" fillId="7" borderId="9" xfId="0" applyFont="1" applyFill="1" applyBorder="1" applyAlignment="1">
      <alignment horizontal="left" vertical="center"/>
    </xf>
    <xf numFmtId="0" fontId="41"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9"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30" xfId="0" applyFont="1" applyFill="1" applyBorder="1" applyAlignment="1" applyProtection="1">
      <alignment horizontal="left" vertical="top" wrapText="1"/>
      <protection locked="0"/>
    </xf>
    <xf numFmtId="0" fontId="38" fillId="0" borderId="0" xfId="0" applyFont="1" applyAlignment="1">
      <alignment horizontal="right" vertical="center"/>
    </xf>
    <xf numFmtId="0" fontId="10" fillId="7" borderId="34"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10" fillId="7" borderId="35" xfId="0" applyFont="1" applyFill="1" applyBorder="1" applyAlignment="1">
      <alignment horizontal="left" vertical="center" wrapText="1"/>
    </xf>
    <xf numFmtId="0" fontId="38" fillId="0" borderId="36" xfId="0" applyFont="1" applyBorder="1" applyAlignment="1">
      <alignment horizontal="right"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8"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32" fillId="7" borderId="14" xfId="0" applyFont="1" applyFill="1" applyBorder="1" applyAlignment="1">
      <alignment horizontal="center" vertical="center" wrapText="1"/>
    </xf>
    <xf numFmtId="0" fontId="52"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3" fillId="11" borderId="0" xfId="0" applyFont="1" applyFill="1" applyAlignment="1" applyProtection="1">
      <alignment horizontal="center" vertical="center"/>
      <protection locked="0"/>
    </xf>
    <xf numFmtId="0" fontId="11" fillId="8" borderId="2" xfId="0" applyFont="1" applyFill="1" applyBorder="1" applyAlignment="1">
      <alignment horizontal="left" vertical="center" wrapText="1"/>
    </xf>
    <xf numFmtId="0" fontId="13" fillId="3" borderId="29" xfId="0" applyFont="1" applyFill="1" applyBorder="1" applyAlignment="1">
      <alignment horizontal="left" vertical="top" wrapText="1"/>
    </xf>
    <xf numFmtId="0" fontId="13" fillId="3" borderId="1" xfId="0" applyFont="1" applyFill="1" applyBorder="1" applyAlignment="1">
      <alignment horizontal="left" vertical="top" wrapText="1"/>
    </xf>
    <xf numFmtId="0" fontId="11" fillId="3" borderId="4" xfId="0" applyFont="1" applyFill="1" applyBorder="1" applyAlignment="1" applyProtection="1">
      <alignment horizontal="left" vertical="center"/>
      <protection locked="0"/>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wrapText="1"/>
    </xf>
    <xf numFmtId="0" fontId="11" fillId="7" borderId="3" xfId="0" applyFont="1" applyFill="1" applyBorder="1" applyAlignment="1">
      <alignment horizontal="left" vertical="center"/>
    </xf>
    <xf numFmtId="0" fontId="43" fillId="11" borderId="0" xfId="0" applyFont="1" applyFill="1" applyAlignment="1">
      <alignment horizontal="center" vertical="center"/>
    </xf>
    <xf numFmtId="0" fontId="28"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430">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rgb="FFFFFF97"/>
      </font>
      <fill>
        <patternFill>
          <fgColor theme="0"/>
        </patternFill>
      </fill>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03C000"/>
      </font>
    </dxf>
    <dxf>
      <font>
        <color rgb="FF248188"/>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03C000"/>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03C000"/>
      </font>
    </dxf>
    <dxf>
      <font>
        <color rgb="FFFF670A"/>
      </font>
    </dxf>
    <dxf>
      <font>
        <color rgb="FF248188"/>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03C000"/>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FF670A"/>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03C000"/>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dxf>
    <dxf>
      <font>
        <color rgb="FF03C000"/>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theme="0"/>
      </font>
      <fill>
        <patternFill>
          <bgColor theme="0"/>
        </patternFill>
      </fill>
    </dxf>
    <dxf>
      <font>
        <color theme="0"/>
      </font>
      <fill>
        <patternFill>
          <bgColor theme="0"/>
        </patternFill>
      </fill>
    </dxf>
    <dxf>
      <font>
        <color rgb="FF03C000"/>
      </font>
    </dxf>
    <dxf>
      <font>
        <color rgb="FF248188"/>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b/>
        <i val="0"/>
        <color rgb="FFFF0000"/>
      </font>
    </dxf>
    <dxf>
      <font>
        <b/>
        <i val="0"/>
        <color rgb="FFFF0000"/>
      </font>
    </dxf>
    <dxf>
      <font>
        <color rgb="FF248188"/>
      </font>
    </dxf>
    <dxf>
      <font>
        <color rgb="FF03C000"/>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b/>
        <i val="0"/>
        <u val="none"/>
        <color rgb="FFFF0000"/>
      </font>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03C000"/>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03C000"/>
      <color rgb="FFFFFF97"/>
      <color rgb="FFFFCBAB"/>
      <color rgb="FFFF670A"/>
      <color rgb="FF248188"/>
      <color rgb="FFD2E6E6"/>
      <color rgb="FF69A8AF"/>
      <color rgb="FFEAEAEA"/>
      <color rgb="FFCDF9CC"/>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6</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79"/>
  <sheetViews>
    <sheetView showGridLines="0" topLeftCell="A30" zoomScale="85" zoomScaleNormal="85" workbookViewId="0">
      <selection activeCell="B34" sqref="B34"/>
    </sheetView>
  </sheetViews>
  <sheetFormatPr baseColWidth="10" defaultColWidth="9.1796875" defaultRowHeight="13.5" x14ac:dyDescent="0.3"/>
  <cols>
    <col min="1" max="1" width="4.26953125" style="28" customWidth="1"/>
    <col min="2" max="2" width="32.54296875" style="28" customWidth="1"/>
    <col min="3" max="3" width="23.81640625" style="28" customWidth="1"/>
    <col min="4" max="4" width="52" style="28" customWidth="1"/>
    <col min="5" max="5" width="17.7265625" style="28" customWidth="1"/>
    <col min="6" max="6" width="15.1796875" style="28" customWidth="1"/>
    <col min="7" max="7" width="37.453125" style="28" customWidth="1"/>
    <col min="8" max="16384" width="9.1796875" style="28"/>
  </cols>
  <sheetData>
    <row r="2" spans="2:16" ht="33" customHeight="1" x14ac:dyDescent="0.45">
      <c r="B2" s="63"/>
      <c r="C2" s="64"/>
    </row>
    <row r="3" spans="2:16" ht="24" customHeight="1" x14ac:dyDescent="0.3">
      <c r="B3" s="300" t="s">
        <v>0</v>
      </c>
      <c r="C3" s="300"/>
      <c r="D3" s="300"/>
    </row>
    <row r="4" spans="2:16" ht="21" customHeight="1" thickBot="1" x14ac:dyDescent="0.35">
      <c r="B4" s="65"/>
      <c r="C4" s="66"/>
      <c r="D4" s="67"/>
      <c r="E4" s="67"/>
      <c r="F4" s="74"/>
      <c r="G4" s="69"/>
    </row>
    <row r="5" spans="2:16" ht="21" customHeight="1" thickBot="1" x14ac:dyDescent="0.35">
      <c r="B5" s="68" t="s">
        <v>1</v>
      </c>
      <c r="C5" s="61">
        <v>46154</v>
      </c>
      <c r="D5" s="69"/>
      <c r="E5" s="67"/>
      <c r="F5" s="74"/>
      <c r="G5" s="69"/>
    </row>
    <row r="6" spans="2:16" ht="18" customHeight="1" x14ac:dyDescent="0.3">
      <c r="B6" s="73" t="s">
        <v>2</v>
      </c>
      <c r="C6" s="193">
        <v>45961</v>
      </c>
      <c r="D6" s="70">
        <v>45961</v>
      </c>
      <c r="E6" s="67"/>
      <c r="F6" s="74"/>
      <c r="G6" s="69"/>
      <c r="H6" s="31"/>
      <c r="I6" s="31"/>
      <c r="J6" s="31"/>
      <c r="K6" s="31"/>
      <c r="L6" s="31"/>
      <c r="M6" s="31"/>
      <c r="N6" s="31"/>
      <c r="O6" s="31"/>
      <c r="P6" s="31"/>
    </row>
    <row r="7" spans="2:16" ht="13.5" customHeight="1" x14ac:dyDescent="0.3">
      <c r="B7" s="71"/>
      <c r="C7" s="72"/>
      <c r="D7" s="69"/>
      <c r="E7" s="67"/>
      <c r="F7" s="74"/>
      <c r="G7" s="69"/>
      <c r="H7" s="31"/>
      <c r="I7" s="31"/>
      <c r="J7" s="31"/>
      <c r="K7" s="31"/>
      <c r="L7" s="31"/>
      <c r="M7" s="31"/>
      <c r="N7" s="31"/>
      <c r="O7" s="31"/>
      <c r="P7" s="31"/>
    </row>
    <row r="8" spans="2:16" ht="18" customHeight="1" x14ac:dyDescent="0.3">
      <c r="B8" s="73" t="s">
        <v>3</v>
      </c>
      <c r="C8" s="3">
        <v>45962</v>
      </c>
      <c r="D8" s="67"/>
      <c r="E8" s="67"/>
      <c r="F8" s="74"/>
      <c r="G8" s="69"/>
      <c r="H8" s="31"/>
      <c r="I8" s="31"/>
      <c r="J8" s="31"/>
      <c r="K8" s="31"/>
      <c r="L8" s="31"/>
      <c r="M8" s="31"/>
      <c r="N8" s="31"/>
      <c r="O8" s="31"/>
      <c r="P8" s="31"/>
    </row>
    <row r="9" spans="2:16" ht="18" customHeight="1" x14ac:dyDescent="0.3">
      <c r="B9" s="73" t="s">
        <v>4</v>
      </c>
      <c r="C9" s="3">
        <v>46326</v>
      </c>
      <c r="D9" s="192"/>
      <c r="E9" s="74"/>
      <c r="F9" s="74"/>
      <c r="G9" s="69"/>
      <c r="H9" s="31"/>
      <c r="I9" s="31"/>
      <c r="J9" s="31"/>
      <c r="K9" s="31"/>
      <c r="L9" s="31"/>
      <c r="M9" s="31"/>
      <c r="N9" s="31"/>
      <c r="O9" s="31"/>
      <c r="P9" s="31"/>
    </row>
    <row r="10" spans="2:16" ht="18" customHeight="1" x14ac:dyDescent="0.3">
      <c r="B10" s="73" t="s">
        <v>5</v>
      </c>
      <c r="C10" s="236" t="s">
        <v>271</v>
      </c>
      <c r="D10" s="237"/>
      <c r="H10" s="31"/>
      <c r="I10" s="31"/>
      <c r="J10" s="31"/>
      <c r="K10" s="31"/>
      <c r="L10" s="31"/>
      <c r="M10" s="31"/>
      <c r="N10" s="31"/>
      <c r="O10" s="31"/>
      <c r="P10" s="31"/>
    </row>
    <row r="11" spans="2:16" ht="18" customHeight="1" x14ac:dyDescent="0.3">
      <c r="B11" s="73" t="s">
        <v>6</v>
      </c>
      <c r="C11" s="304" t="s">
        <v>272</v>
      </c>
      <c r="D11" s="304"/>
      <c r="E11" s="304"/>
      <c r="F11" s="304"/>
      <c r="G11" s="304"/>
      <c r="H11" s="31"/>
      <c r="I11" s="31"/>
      <c r="J11" s="31"/>
      <c r="K11" s="31"/>
      <c r="L11" s="31"/>
      <c r="M11" s="31"/>
      <c r="N11" s="31"/>
      <c r="O11" s="31"/>
      <c r="P11" s="31"/>
    </row>
    <row r="12" spans="2:16" ht="18" customHeight="1" x14ac:dyDescent="0.3">
      <c r="B12" s="73" t="s">
        <v>7</v>
      </c>
      <c r="C12" s="301" t="s">
        <v>47</v>
      </c>
      <c r="D12" s="301"/>
      <c r="H12" s="31"/>
      <c r="I12" s="31"/>
      <c r="J12" s="31"/>
      <c r="K12" s="31"/>
      <c r="L12" s="31"/>
      <c r="M12" s="31"/>
      <c r="N12" s="31"/>
      <c r="O12" s="31"/>
      <c r="P12" s="31"/>
    </row>
    <row r="13" spans="2:16" ht="18" customHeight="1" x14ac:dyDescent="0.3">
      <c r="B13" s="73" t="s">
        <v>8</v>
      </c>
      <c r="C13" s="302" t="s">
        <v>273</v>
      </c>
      <c r="D13" s="303"/>
      <c r="H13" s="31"/>
      <c r="I13" s="31"/>
      <c r="J13" s="31"/>
      <c r="K13" s="31"/>
      <c r="L13" s="31"/>
      <c r="M13" s="31"/>
      <c r="N13" s="31"/>
      <c r="O13" s="31"/>
      <c r="P13" s="31"/>
    </row>
    <row r="14" spans="2:16" ht="9" customHeight="1" x14ac:dyDescent="0.3">
      <c r="B14" s="71"/>
      <c r="C14" s="72"/>
      <c r="D14" s="72"/>
      <c r="H14" s="31"/>
      <c r="I14" s="31"/>
      <c r="J14" s="31"/>
      <c r="K14" s="31"/>
      <c r="L14" s="31"/>
      <c r="M14" s="31"/>
      <c r="N14" s="31"/>
      <c r="O14" s="31"/>
      <c r="P14" s="31"/>
    </row>
    <row r="15" spans="2:16" ht="18" customHeight="1" x14ac:dyDescent="0.3">
      <c r="B15" s="75"/>
      <c r="C15" s="76" t="s">
        <v>9</v>
      </c>
      <c r="D15" s="76" t="s">
        <v>10</v>
      </c>
      <c r="E15" s="31"/>
      <c r="F15" s="31"/>
      <c r="G15" s="31"/>
      <c r="H15" s="31"/>
      <c r="I15" s="31"/>
      <c r="J15" s="31"/>
      <c r="K15" s="31"/>
      <c r="L15" s="31"/>
      <c r="M15" s="31"/>
      <c r="N15" s="31"/>
      <c r="O15" s="31"/>
      <c r="P15" s="31"/>
    </row>
    <row r="16" spans="2:16" ht="18" customHeight="1" x14ac:dyDescent="0.3">
      <c r="B16" s="73" t="s">
        <v>11</v>
      </c>
      <c r="C16" s="17">
        <v>461530</v>
      </c>
      <c r="D16" s="18" t="s">
        <v>274</v>
      </c>
      <c r="E16" s="31"/>
      <c r="F16" s="31"/>
      <c r="G16" s="31"/>
      <c r="H16" s="31"/>
      <c r="I16" s="31"/>
      <c r="J16" s="31"/>
      <c r="K16" s="31"/>
      <c r="L16" s="31"/>
      <c r="M16" s="31"/>
      <c r="N16" s="31"/>
      <c r="O16" s="31"/>
      <c r="P16" s="31"/>
    </row>
    <row r="17" spans="2:16" ht="4.5" customHeight="1" x14ac:dyDescent="0.3">
      <c r="B17" s="71"/>
      <c r="C17" s="72"/>
      <c r="D17" s="69"/>
      <c r="E17" s="67"/>
      <c r="F17" s="74"/>
      <c r="G17" s="69"/>
      <c r="H17" s="31"/>
      <c r="I17" s="31"/>
      <c r="J17" s="31"/>
      <c r="K17" s="31"/>
      <c r="L17" s="31"/>
      <c r="M17" s="31"/>
      <c r="N17" s="31"/>
      <c r="O17" s="31"/>
      <c r="P17" s="31"/>
    </row>
    <row r="18" spans="2:16" ht="18" customHeight="1" x14ac:dyDescent="0.3">
      <c r="B18" s="73" t="s">
        <v>12</v>
      </c>
      <c r="C18" s="17" t="s">
        <v>275</v>
      </c>
      <c r="D18" s="18"/>
      <c r="E18" s="31"/>
      <c r="F18" s="31"/>
      <c r="G18" s="31"/>
      <c r="H18" s="31"/>
      <c r="I18" s="31"/>
      <c r="J18" s="31"/>
      <c r="K18" s="31"/>
      <c r="L18" s="31"/>
      <c r="M18" s="31"/>
      <c r="N18" s="31"/>
      <c r="O18" s="31"/>
      <c r="P18" s="31"/>
    </row>
    <row r="19" spans="2:16" ht="18" customHeight="1" x14ac:dyDescent="0.3">
      <c r="B19" s="73" t="s">
        <v>13</v>
      </c>
      <c r="C19" s="185">
        <v>714603126</v>
      </c>
      <c r="D19" s="72"/>
      <c r="E19" s="77"/>
      <c r="F19" s="189"/>
      <c r="G19" s="189"/>
      <c r="H19" s="31"/>
      <c r="I19" s="31"/>
      <c r="J19" s="31"/>
      <c r="K19" s="31"/>
      <c r="L19" s="31"/>
      <c r="M19" s="31"/>
      <c r="N19" s="31"/>
      <c r="O19" s="31"/>
      <c r="P19" s="31"/>
    </row>
    <row r="20" spans="2:16" ht="9" customHeight="1" x14ac:dyDescent="0.3">
      <c r="B20" s="71"/>
      <c r="C20" s="72"/>
      <c r="D20" s="72"/>
      <c r="E20" s="77"/>
      <c r="F20" s="189"/>
      <c r="G20" s="189"/>
      <c r="H20" s="31"/>
      <c r="I20" s="31"/>
      <c r="J20" s="31"/>
      <c r="K20" s="31"/>
      <c r="L20" s="31"/>
      <c r="M20" s="31"/>
      <c r="N20" s="31"/>
      <c r="O20" s="31"/>
      <c r="P20" s="31"/>
    </row>
    <row r="21" spans="2:16" ht="20.149999999999999" customHeight="1" x14ac:dyDescent="0.3">
      <c r="B21" s="78"/>
      <c r="C21" s="79" t="s">
        <v>14</v>
      </c>
      <c r="D21" s="79" t="s">
        <v>15</v>
      </c>
      <c r="E21" s="77"/>
      <c r="F21" s="189"/>
      <c r="G21" s="189"/>
      <c r="H21" s="31"/>
      <c r="I21" s="31"/>
      <c r="J21" s="31"/>
      <c r="K21" s="31"/>
      <c r="L21" s="31"/>
      <c r="M21" s="31"/>
      <c r="N21" s="31"/>
      <c r="O21" s="31"/>
      <c r="P21" s="31"/>
    </row>
    <row r="22" spans="2:16" ht="18" customHeight="1" x14ac:dyDescent="0.3">
      <c r="B22" s="73" t="s">
        <v>16</v>
      </c>
      <c r="C22" s="18">
        <v>3900331</v>
      </c>
      <c r="D22" s="18" t="s">
        <v>276</v>
      </c>
      <c r="E22" s="77"/>
      <c r="F22" s="189"/>
      <c r="G22" s="189"/>
      <c r="H22" s="31"/>
      <c r="I22" s="31"/>
      <c r="J22" s="31"/>
      <c r="K22" s="31"/>
      <c r="L22" s="31"/>
      <c r="M22" s="31"/>
      <c r="N22" s="31"/>
      <c r="O22" s="31"/>
      <c r="P22" s="31"/>
    </row>
    <row r="23" spans="2:16" ht="18" customHeight="1" x14ac:dyDescent="0.3">
      <c r="B23" s="73" t="s">
        <v>17</v>
      </c>
      <c r="C23" s="18">
        <v>3659518</v>
      </c>
      <c r="D23" s="19" t="s">
        <v>277</v>
      </c>
      <c r="E23" s="77"/>
      <c r="F23" s="189"/>
      <c r="G23" s="189"/>
      <c r="H23" s="31"/>
      <c r="I23" s="31"/>
      <c r="J23" s="31"/>
      <c r="K23" s="31"/>
      <c r="L23" s="31"/>
      <c r="M23" s="31"/>
      <c r="N23" s="31"/>
      <c r="O23" s="31"/>
      <c r="P23" s="31"/>
    </row>
    <row r="24" spans="2:16" ht="18" customHeight="1" x14ac:dyDescent="0.3">
      <c r="B24" s="73" t="s">
        <v>18</v>
      </c>
      <c r="C24" s="19">
        <v>458354</v>
      </c>
      <c r="D24" s="186" t="s">
        <v>278</v>
      </c>
      <c r="E24" s="77"/>
      <c r="F24" s="189"/>
      <c r="G24" s="189"/>
      <c r="H24" s="31"/>
      <c r="I24" s="31"/>
      <c r="J24" s="31"/>
      <c r="K24" s="31"/>
      <c r="L24" s="31"/>
      <c r="M24" s="31"/>
      <c r="N24" s="31"/>
      <c r="O24" s="31"/>
      <c r="P24" s="31"/>
    </row>
    <row r="25" spans="2:16" ht="15" customHeight="1" x14ac:dyDescent="0.3">
      <c r="C25" s="80"/>
      <c r="D25" s="80"/>
      <c r="E25" s="77"/>
      <c r="F25" s="189"/>
      <c r="G25" s="189"/>
      <c r="H25" s="31"/>
      <c r="I25" s="31"/>
      <c r="J25" s="31"/>
      <c r="K25" s="31"/>
      <c r="L25" s="31"/>
      <c r="M25" s="31"/>
      <c r="N25" s="31"/>
      <c r="O25" s="31"/>
      <c r="P25" s="31"/>
    </row>
    <row r="26" spans="2:16" ht="20.25" customHeight="1" x14ac:dyDescent="0.3">
      <c r="B26" s="81" t="s">
        <v>19</v>
      </c>
      <c r="C26" s="82"/>
      <c r="D26" s="31"/>
      <c r="E26" s="31"/>
      <c r="F26" s="31"/>
      <c r="G26" s="31"/>
      <c r="H26" s="31"/>
      <c r="I26" s="31"/>
      <c r="J26" s="31"/>
      <c r="K26" s="31"/>
      <c r="L26" s="31"/>
      <c r="M26" s="31"/>
      <c r="N26" s="31"/>
      <c r="O26" s="31"/>
      <c r="P26" s="31"/>
    </row>
    <row r="27" spans="2:16" ht="7.5" customHeight="1" x14ac:dyDescent="0.3">
      <c r="B27" s="83"/>
      <c r="C27" s="83"/>
      <c r="D27" s="31"/>
      <c r="E27" s="31"/>
      <c r="F27" s="31"/>
      <c r="G27" s="31"/>
      <c r="H27" s="31"/>
      <c r="I27" s="31"/>
      <c r="J27" s="31"/>
      <c r="K27" s="31"/>
      <c r="L27" s="31"/>
      <c r="M27" s="31"/>
      <c r="N27" s="31"/>
      <c r="O27" s="31"/>
      <c r="P27" s="31"/>
    </row>
    <row r="28" spans="2:16" ht="16" customHeight="1" x14ac:dyDescent="0.3">
      <c r="B28" s="73" t="s">
        <v>20</v>
      </c>
      <c r="C28" s="20">
        <v>583896.55000000005</v>
      </c>
      <c r="D28" s="31"/>
      <c r="E28" s="31"/>
      <c r="F28" s="31"/>
      <c r="G28" s="31"/>
      <c r="H28" s="31"/>
      <c r="I28" s="31"/>
      <c r="J28" s="31"/>
      <c r="K28" s="31"/>
      <c r="L28" s="31"/>
      <c r="M28" s="31"/>
      <c r="N28" s="31"/>
      <c r="O28" s="31"/>
      <c r="P28" s="31"/>
    </row>
    <row r="29" spans="2:16" ht="16" customHeight="1" x14ac:dyDescent="0.3">
      <c r="B29" s="73" t="s">
        <v>21</v>
      </c>
      <c r="C29" s="21">
        <v>13570</v>
      </c>
      <c r="D29" s="31"/>
      <c r="E29" s="31"/>
      <c r="F29" s="31"/>
      <c r="G29" s="31"/>
      <c r="H29" s="31"/>
      <c r="I29" s="31"/>
      <c r="J29" s="31"/>
      <c r="K29" s="31"/>
      <c r="L29" s="31"/>
      <c r="M29" s="31"/>
      <c r="N29" s="31"/>
      <c r="O29" s="31"/>
      <c r="P29" s="31"/>
    </row>
    <row r="30" spans="2:16" ht="16" customHeight="1" x14ac:dyDescent="0.3">
      <c r="B30" s="73" t="s">
        <v>22</v>
      </c>
      <c r="C30" s="22">
        <v>367515.14</v>
      </c>
      <c r="D30" s="31"/>
      <c r="E30" s="31"/>
      <c r="F30" s="31"/>
      <c r="G30" s="31"/>
      <c r="H30" s="31"/>
      <c r="I30" s="31"/>
      <c r="J30" s="31"/>
      <c r="K30" s="31"/>
      <c r="L30" s="31"/>
      <c r="M30" s="31"/>
      <c r="N30" s="31"/>
      <c r="O30" s="31"/>
      <c r="P30" s="31"/>
    </row>
    <row r="31" spans="2:16" ht="16" customHeight="1" x14ac:dyDescent="0.3">
      <c r="B31" s="73" t="s">
        <v>23</v>
      </c>
      <c r="C31" s="22">
        <v>18375.759999999998</v>
      </c>
      <c r="D31" s="31"/>
      <c r="E31" s="31"/>
      <c r="F31" s="31"/>
      <c r="G31" s="31"/>
      <c r="H31" s="31"/>
      <c r="I31" s="31"/>
      <c r="J31" s="31"/>
      <c r="K31" s="31"/>
      <c r="L31" s="31"/>
      <c r="M31" s="31"/>
      <c r="N31" s="31"/>
      <c r="O31" s="31"/>
      <c r="P31" s="31"/>
    </row>
    <row r="32" spans="2:16" ht="16" customHeight="1" x14ac:dyDescent="0.3">
      <c r="B32" s="73" t="s">
        <v>24</v>
      </c>
      <c r="C32" s="22">
        <v>0</v>
      </c>
      <c r="D32" s="31"/>
      <c r="E32" s="31"/>
      <c r="F32" s="31"/>
      <c r="G32" s="31"/>
      <c r="H32" s="31"/>
      <c r="I32" s="31"/>
      <c r="J32" s="31"/>
      <c r="K32" s="31"/>
      <c r="L32" s="31"/>
      <c r="M32" s="31"/>
      <c r="N32" s="31"/>
      <c r="O32" s="31"/>
      <c r="P32" s="31"/>
    </row>
    <row r="33" spans="2:16" ht="16" customHeight="1" x14ac:dyDescent="0.3">
      <c r="B33" s="73" t="s">
        <v>25</v>
      </c>
      <c r="C33" s="22">
        <v>7400</v>
      </c>
      <c r="D33" s="31"/>
      <c r="E33" s="31"/>
      <c r="F33" s="31"/>
      <c r="G33" s="31"/>
      <c r="H33" s="31"/>
      <c r="I33" s="31"/>
      <c r="J33" s="31"/>
      <c r="K33" s="31"/>
      <c r="L33" s="31"/>
      <c r="M33" s="31"/>
      <c r="N33" s="31"/>
      <c r="O33" s="31"/>
      <c r="P33" s="31"/>
    </row>
    <row r="34" spans="2:16" ht="16" customHeight="1" x14ac:dyDescent="0.3">
      <c r="B34" s="73" t="s">
        <v>26</v>
      </c>
      <c r="C34" s="22">
        <v>40000</v>
      </c>
      <c r="D34" s="31"/>
      <c r="E34" s="31"/>
      <c r="F34" s="31"/>
      <c r="G34" s="31"/>
      <c r="H34" s="31"/>
      <c r="I34" s="31"/>
      <c r="J34" s="31"/>
      <c r="K34" s="31"/>
      <c r="L34" s="31"/>
      <c r="M34" s="31"/>
      <c r="N34" s="31"/>
      <c r="O34" s="31"/>
      <c r="P34" s="31"/>
    </row>
    <row r="35" spans="2:16" ht="16" customHeight="1" x14ac:dyDescent="0.3">
      <c r="B35" s="84" t="s">
        <v>27</v>
      </c>
      <c r="C35" s="85">
        <f>SUM(C30:C34)</f>
        <v>433290.9</v>
      </c>
      <c r="D35" s="31"/>
      <c r="E35" s="31"/>
      <c r="F35" s="31"/>
      <c r="G35" s="31"/>
      <c r="H35" s="31"/>
      <c r="I35" s="31"/>
      <c r="J35" s="31"/>
      <c r="K35" s="31"/>
      <c r="L35" s="31"/>
      <c r="M35" s="31"/>
      <c r="N35" s="31"/>
      <c r="O35" s="31"/>
      <c r="P35" s="31"/>
    </row>
    <row r="36" spans="2:16" ht="7.5" customHeight="1" x14ac:dyDescent="0.3">
      <c r="B36" s="86"/>
      <c r="C36" s="87"/>
      <c r="D36" s="31"/>
      <c r="E36" s="31"/>
      <c r="F36" s="31"/>
      <c r="G36" s="31"/>
      <c r="H36" s="31"/>
      <c r="I36" s="31"/>
      <c r="J36" s="31"/>
      <c r="K36" s="31"/>
      <c r="L36" s="31"/>
      <c r="M36" s="31"/>
      <c r="N36" s="31"/>
      <c r="O36" s="31"/>
      <c r="P36" s="31"/>
    </row>
    <row r="37" spans="2:16" ht="18" customHeight="1" x14ac:dyDescent="0.3">
      <c r="B37" s="88" t="s">
        <v>28</v>
      </c>
      <c r="C37" s="89">
        <f>IF(C28=0,0,(C28-C35)/C28)</f>
        <v>0.25793207718045263</v>
      </c>
      <c r="D37" s="31"/>
      <c r="E37" s="31"/>
      <c r="F37" s="31"/>
      <c r="G37" s="31"/>
      <c r="H37" s="31"/>
      <c r="I37" s="31"/>
      <c r="J37" s="31"/>
      <c r="K37" s="31"/>
      <c r="L37" s="31"/>
      <c r="M37" s="31"/>
      <c r="N37" s="31"/>
      <c r="O37" s="31"/>
      <c r="P37" s="31"/>
    </row>
    <row r="38" spans="2:16" ht="18" customHeight="1" x14ac:dyDescent="0.3">
      <c r="B38" s="73" t="s">
        <v>29</v>
      </c>
      <c r="C38" s="90">
        <f>IF(C28=0,0,(C28-(SUM(C30,C31,C32)/UTILIZACION)-SUM(C34,C33))/C28)</f>
        <v>0.20818773186294187</v>
      </c>
      <c r="D38" s="31"/>
      <c r="E38" s="31"/>
      <c r="F38" s="31"/>
      <c r="G38" s="31"/>
      <c r="H38" s="31"/>
      <c r="I38" s="31"/>
      <c r="J38" s="31"/>
      <c r="K38" s="31"/>
      <c r="L38" s="31"/>
      <c r="M38" s="31"/>
      <c r="N38" s="31"/>
      <c r="O38" s="31"/>
      <c r="P38" s="31"/>
    </row>
    <row r="39" spans="2:16" ht="13.5" customHeight="1" x14ac:dyDescent="0.3">
      <c r="B39" s="31"/>
      <c r="C39" s="31"/>
      <c r="D39" s="31"/>
      <c r="E39" s="31"/>
      <c r="F39" s="31"/>
      <c r="G39" s="31"/>
      <c r="H39" s="31"/>
      <c r="I39" s="31"/>
      <c r="J39" s="31"/>
      <c r="K39" s="31"/>
      <c r="L39" s="31"/>
      <c r="M39" s="31"/>
      <c r="N39" s="31"/>
      <c r="O39" s="31"/>
      <c r="P39" s="31"/>
    </row>
    <row r="40" spans="2:16" ht="20.149999999999999" customHeight="1" x14ac:dyDescent="0.3">
      <c r="B40" s="72" t="s">
        <v>30</v>
      </c>
      <c r="C40" s="72"/>
      <c r="D40" s="72"/>
      <c r="E40" s="31"/>
      <c r="F40" s="31"/>
      <c r="G40" s="31"/>
      <c r="H40" s="31"/>
      <c r="I40" s="31"/>
      <c r="J40" s="31"/>
      <c r="K40" s="31"/>
      <c r="L40" s="31"/>
      <c r="M40" s="31"/>
      <c r="N40" s="31"/>
      <c r="O40" s="31"/>
      <c r="P40" s="31"/>
    </row>
    <row r="41" spans="2:16" ht="103.5" customHeight="1" x14ac:dyDescent="0.3">
      <c r="B41" s="297"/>
      <c r="C41" s="298"/>
      <c r="D41" s="299"/>
      <c r="E41" s="91"/>
      <c r="F41" s="31"/>
      <c r="G41" s="31"/>
      <c r="H41" s="31"/>
      <c r="I41" s="31"/>
      <c r="J41" s="31"/>
      <c r="K41" s="31"/>
      <c r="L41" s="31"/>
      <c r="M41" s="31"/>
      <c r="N41" s="31"/>
      <c r="O41" s="31"/>
      <c r="P41" s="31"/>
    </row>
    <row r="42" spans="2:16" ht="20.149999999999999" customHeight="1" x14ac:dyDescent="0.3">
      <c r="B42" s="31"/>
      <c r="C42" s="31"/>
      <c r="D42" s="31"/>
      <c r="E42" s="31"/>
      <c r="F42" s="31"/>
      <c r="G42" s="31"/>
      <c r="H42" s="31"/>
      <c r="I42" s="31"/>
      <c r="J42" s="31"/>
      <c r="K42" s="31"/>
      <c r="L42" s="31"/>
      <c r="M42" s="31"/>
      <c r="N42" s="31"/>
      <c r="O42" s="31"/>
      <c r="P42" s="31"/>
    </row>
    <row r="43" spans="2:16" ht="20.25" customHeight="1" x14ac:dyDescent="0.3">
      <c r="B43" s="81" t="s">
        <v>31</v>
      </c>
      <c r="C43" s="82"/>
      <c r="D43" s="31"/>
      <c r="E43" s="31"/>
      <c r="F43" s="31"/>
      <c r="G43" s="31"/>
      <c r="H43" s="31"/>
      <c r="I43" s="31"/>
      <c r="J43" s="31"/>
      <c r="K43" s="31"/>
      <c r="L43" s="31"/>
      <c r="M43" s="31"/>
      <c r="N43" s="31"/>
      <c r="O43" s="31"/>
      <c r="P43" s="31"/>
    </row>
    <row r="44" spans="2:16" ht="7.5" customHeight="1" x14ac:dyDescent="0.3">
      <c r="B44" s="83"/>
      <c r="C44" s="83"/>
      <c r="D44" s="31"/>
      <c r="E44" s="31"/>
      <c r="F44" s="31"/>
      <c r="G44" s="31"/>
      <c r="H44" s="31"/>
      <c r="I44" s="31"/>
      <c r="J44" s="31"/>
      <c r="K44" s="31"/>
      <c r="L44" s="31"/>
      <c r="M44" s="31"/>
      <c r="N44" s="31"/>
      <c r="O44" s="31"/>
      <c r="P44" s="31"/>
    </row>
    <row r="45" spans="2:16" ht="16" customHeight="1" x14ac:dyDescent="0.3">
      <c r="B45" s="73" t="s">
        <v>32</v>
      </c>
      <c r="C45" s="20"/>
      <c r="D45" s="31"/>
      <c r="E45" s="31"/>
      <c r="F45" s="31"/>
      <c r="G45" s="31"/>
      <c r="H45" s="31"/>
      <c r="I45" s="31"/>
      <c r="J45" s="31"/>
      <c r="K45" s="31"/>
      <c r="L45" s="31"/>
      <c r="M45" s="31"/>
      <c r="N45" s="31"/>
      <c r="O45" s="31"/>
      <c r="P45" s="31"/>
    </row>
    <row r="46" spans="2:16" ht="16" customHeight="1" x14ac:dyDescent="0.3">
      <c r="B46" s="73" t="s">
        <v>33</v>
      </c>
      <c r="C46" s="21"/>
      <c r="D46" s="31"/>
      <c r="E46" s="31"/>
      <c r="F46" s="31"/>
      <c r="G46" s="31"/>
      <c r="H46" s="31"/>
      <c r="I46" s="31"/>
      <c r="J46" s="31"/>
      <c r="K46" s="31"/>
      <c r="L46" s="31"/>
      <c r="M46" s="31"/>
      <c r="N46" s="31"/>
      <c r="O46" s="31"/>
      <c r="P46" s="31"/>
    </row>
    <row r="47" spans="2:16" ht="16" customHeight="1" x14ac:dyDescent="0.3">
      <c r="B47" s="73" t="s">
        <v>34</v>
      </c>
      <c r="C47" s="22"/>
      <c r="D47" s="31"/>
      <c r="E47" s="31"/>
      <c r="F47" s="31"/>
      <c r="G47" s="31"/>
      <c r="H47" s="31"/>
      <c r="I47" s="31"/>
      <c r="J47" s="31"/>
      <c r="K47" s="31"/>
      <c r="L47" s="31"/>
      <c r="M47" s="31"/>
      <c r="N47" s="31"/>
      <c r="O47" s="31"/>
      <c r="P47" s="31"/>
    </row>
    <row r="48" spans="2:16" ht="16" customHeight="1" x14ac:dyDescent="0.3">
      <c r="B48" s="73" t="s">
        <v>35</v>
      </c>
      <c r="C48" s="22"/>
      <c r="D48" s="31"/>
      <c r="E48" s="31"/>
      <c r="F48" s="31"/>
      <c r="G48" s="31"/>
      <c r="H48" s="31"/>
      <c r="I48" s="31"/>
      <c r="J48" s="31"/>
      <c r="K48" s="31"/>
      <c r="L48" s="31"/>
      <c r="M48" s="31"/>
      <c r="N48" s="31"/>
      <c r="O48" s="31"/>
      <c r="P48" s="31"/>
    </row>
    <row r="49" spans="2:16" ht="16" customHeight="1" x14ac:dyDescent="0.3">
      <c r="B49" s="73" t="s">
        <v>36</v>
      </c>
      <c r="C49" s="22"/>
      <c r="D49" s="31"/>
      <c r="E49" s="31"/>
      <c r="F49" s="31"/>
      <c r="G49" s="31"/>
      <c r="H49" s="31"/>
      <c r="I49" s="31"/>
      <c r="J49" s="31"/>
      <c r="K49" s="31"/>
      <c r="L49" s="31"/>
      <c r="M49" s="31"/>
      <c r="N49" s="31"/>
      <c r="O49" s="31"/>
      <c r="P49" s="31"/>
    </row>
    <row r="50" spans="2:16" ht="16" customHeight="1" x14ac:dyDescent="0.3">
      <c r="B50" s="84" t="s">
        <v>27</v>
      </c>
      <c r="C50" s="85">
        <f>SUM(C47:C49)</f>
        <v>0</v>
      </c>
      <c r="D50" s="31"/>
      <c r="E50" s="31"/>
      <c r="F50" s="31"/>
      <c r="G50" s="31"/>
      <c r="H50" s="31"/>
      <c r="I50" s="31"/>
      <c r="J50" s="31"/>
      <c r="K50" s="31"/>
      <c r="L50" s="31"/>
      <c r="M50" s="31"/>
      <c r="N50" s="31"/>
      <c r="O50" s="31"/>
      <c r="P50" s="31"/>
    </row>
    <row r="51" spans="2:16" ht="7.5" customHeight="1" x14ac:dyDescent="0.3">
      <c r="B51" s="86"/>
      <c r="C51" s="87"/>
      <c r="D51" s="31"/>
      <c r="E51" s="31"/>
      <c r="F51" s="31"/>
      <c r="G51" s="31"/>
      <c r="H51" s="31"/>
      <c r="I51" s="31"/>
      <c r="J51" s="31"/>
      <c r="K51" s="31"/>
      <c r="L51" s="31"/>
      <c r="M51" s="31"/>
      <c r="N51" s="31"/>
      <c r="O51" s="31"/>
      <c r="P51" s="31"/>
    </row>
    <row r="52" spans="2:16" ht="18" customHeight="1" x14ac:dyDescent="0.3">
      <c r="B52" s="73" t="s">
        <v>37</v>
      </c>
      <c r="C52" s="89">
        <f>IF(C45=0,0,(C45-C50)/C45)</f>
        <v>0</v>
      </c>
      <c r="D52" s="31"/>
      <c r="E52" s="31"/>
      <c r="F52" s="31"/>
      <c r="G52" s="31"/>
      <c r="H52" s="31"/>
      <c r="I52" s="31"/>
      <c r="J52" s="31"/>
      <c r="K52" s="31"/>
      <c r="L52" s="31"/>
      <c r="M52" s="31"/>
      <c r="N52" s="31"/>
      <c r="O52" s="31"/>
      <c r="P52" s="31"/>
    </row>
    <row r="53" spans="2:16" ht="7.5" customHeight="1" x14ac:dyDescent="0.3">
      <c r="B53" s="194"/>
      <c r="C53" s="195"/>
      <c r="D53" s="31"/>
      <c r="E53" s="31"/>
      <c r="F53" s="31"/>
      <c r="G53" s="31"/>
      <c r="H53" s="31"/>
      <c r="I53" s="31"/>
      <c r="J53" s="31"/>
      <c r="K53" s="31"/>
      <c r="L53" s="31"/>
      <c r="M53" s="31"/>
      <c r="N53" s="31"/>
      <c r="O53" s="31"/>
      <c r="P53" s="31"/>
    </row>
    <row r="54" spans="2:16" ht="16" customHeight="1" x14ac:dyDescent="0.3">
      <c r="B54" s="73" t="s">
        <v>38</v>
      </c>
      <c r="C54" s="20"/>
      <c r="D54" s="31"/>
      <c r="E54" s="31"/>
      <c r="F54" s="31"/>
      <c r="G54" s="31"/>
      <c r="H54" s="31"/>
      <c r="I54" s="31"/>
      <c r="J54" s="31"/>
      <c r="K54" s="31"/>
      <c r="L54" s="31"/>
      <c r="M54" s="31"/>
      <c r="N54" s="31"/>
      <c r="O54" s="31"/>
      <c r="P54" s="31"/>
    </row>
    <row r="55" spans="2:16" ht="13.5" customHeight="1" x14ac:dyDescent="0.3">
      <c r="B55" s="31"/>
      <c r="C55" s="31"/>
      <c r="D55" s="31"/>
      <c r="E55" s="31"/>
      <c r="F55" s="31"/>
      <c r="G55" s="31"/>
      <c r="H55" s="31"/>
      <c r="I55" s="31"/>
      <c r="J55" s="31"/>
      <c r="K55" s="31"/>
      <c r="L55" s="31"/>
      <c r="M55" s="31"/>
      <c r="N55" s="31"/>
      <c r="O55" s="31"/>
      <c r="P55" s="31"/>
    </row>
    <row r="56" spans="2:16" ht="20.149999999999999" customHeight="1" x14ac:dyDescent="0.3">
      <c r="B56" s="72" t="s">
        <v>39</v>
      </c>
      <c r="C56" s="72"/>
      <c r="D56" s="72"/>
      <c r="E56" s="31"/>
      <c r="F56" s="31"/>
      <c r="G56" s="31"/>
      <c r="H56" s="31"/>
      <c r="I56" s="31"/>
      <c r="J56" s="31"/>
      <c r="K56" s="31"/>
      <c r="L56" s="31"/>
      <c r="M56" s="31"/>
      <c r="N56" s="31"/>
      <c r="O56" s="31"/>
      <c r="P56" s="31"/>
    </row>
    <row r="57" spans="2:16" ht="103.5" customHeight="1" x14ac:dyDescent="0.3">
      <c r="B57" s="297"/>
      <c r="C57" s="298"/>
      <c r="D57" s="299"/>
      <c r="E57" s="91"/>
      <c r="F57" s="31"/>
      <c r="G57" s="31"/>
      <c r="H57" s="31"/>
      <c r="I57" s="31"/>
      <c r="J57" s="31"/>
      <c r="K57" s="31"/>
      <c r="L57" s="31"/>
      <c r="M57" s="31"/>
      <c r="N57" s="31"/>
      <c r="O57" s="31"/>
      <c r="P57" s="31"/>
    </row>
    <row r="58" spans="2:16" ht="20.149999999999999" customHeight="1" x14ac:dyDescent="0.3">
      <c r="B58" s="31"/>
      <c r="C58" s="31"/>
      <c r="D58" s="31"/>
      <c r="E58" s="31"/>
      <c r="F58" s="31"/>
      <c r="G58" s="31"/>
      <c r="H58" s="31"/>
      <c r="I58" s="31"/>
      <c r="J58" s="31"/>
      <c r="K58" s="31"/>
      <c r="L58" s="31"/>
      <c r="M58" s="31"/>
      <c r="N58" s="31"/>
      <c r="O58" s="31"/>
      <c r="P58" s="31"/>
    </row>
    <row r="59" spans="2:16" ht="20.149999999999999" customHeight="1" x14ac:dyDescent="0.35">
      <c r="B59"/>
      <c r="C59" s="31"/>
      <c r="D59" s="31"/>
      <c r="E59" s="31"/>
      <c r="F59" s="31"/>
      <c r="G59" s="31"/>
      <c r="H59" s="31"/>
      <c r="I59" s="31"/>
      <c r="J59" s="31"/>
      <c r="K59" s="31"/>
      <c r="L59" s="31"/>
      <c r="M59" s="31"/>
      <c r="N59" s="31"/>
      <c r="O59" s="31"/>
      <c r="P59" s="31"/>
    </row>
    <row r="60" spans="2:16" ht="20.149999999999999" hidden="1" customHeight="1" x14ac:dyDescent="0.3">
      <c r="B60" s="149" t="s">
        <v>40</v>
      </c>
      <c r="C60" s="31"/>
      <c r="D60" s="31"/>
      <c r="E60" s="31"/>
      <c r="F60" s="31"/>
      <c r="G60" s="31"/>
      <c r="H60" s="31"/>
      <c r="I60" s="31"/>
      <c r="J60" s="31"/>
      <c r="K60" s="31"/>
      <c r="L60" s="31"/>
      <c r="M60" s="31"/>
      <c r="N60" s="31"/>
      <c r="O60" s="31"/>
      <c r="P60" s="31"/>
    </row>
    <row r="61" spans="2:16" ht="12.75" hidden="1" customHeight="1" x14ac:dyDescent="0.3">
      <c r="B61" s="28" t="s">
        <v>267</v>
      </c>
      <c r="C61" s="31"/>
      <c r="D61" s="31"/>
      <c r="E61" s="31"/>
      <c r="F61" s="31"/>
      <c r="G61" s="31"/>
      <c r="H61" s="31"/>
      <c r="I61" s="31"/>
      <c r="J61" s="31"/>
      <c r="K61" s="31"/>
      <c r="L61" s="31"/>
      <c r="M61" s="31"/>
      <c r="N61" s="31"/>
      <c r="O61" s="31"/>
      <c r="P61" s="31"/>
    </row>
    <row r="62" spans="2:16" ht="12.75" hidden="1" customHeight="1" x14ac:dyDescent="0.3">
      <c r="B62" s="28" t="s">
        <v>264</v>
      </c>
      <c r="C62" s="31"/>
      <c r="D62" s="31"/>
      <c r="E62" s="31"/>
      <c r="F62" s="31"/>
      <c r="G62" s="31"/>
      <c r="H62" s="31"/>
      <c r="I62" s="31"/>
      <c r="J62" s="31"/>
      <c r="K62" s="31"/>
      <c r="L62" s="31"/>
      <c r="M62" s="31"/>
      <c r="N62" s="31"/>
      <c r="O62" s="31"/>
      <c r="P62" s="31"/>
    </row>
    <row r="63" spans="2:16" hidden="1" x14ac:dyDescent="0.3">
      <c r="B63" s="28" t="s">
        <v>266</v>
      </c>
    </row>
    <row r="64" spans="2:16" ht="12.75" hidden="1" customHeight="1" x14ac:dyDescent="0.3">
      <c r="B64" s="28" t="s">
        <v>265</v>
      </c>
      <c r="C64" s="31"/>
      <c r="D64" s="31"/>
      <c r="E64" s="31"/>
      <c r="F64" s="31"/>
      <c r="G64" s="31"/>
      <c r="H64" s="31"/>
      <c r="I64" s="31"/>
      <c r="J64" s="31"/>
      <c r="K64" s="31"/>
      <c r="L64" s="31"/>
      <c r="M64" s="31"/>
      <c r="N64" s="31"/>
      <c r="O64" s="31"/>
      <c r="P64" s="31"/>
    </row>
    <row r="65" spans="2:16" hidden="1" x14ac:dyDescent="0.3">
      <c r="B65" s="28" t="s">
        <v>41</v>
      </c>
    </row>
    <row r="66" spans="2:16" ht="12.75" hidden="1" customHeight="1" x14ac:dyDescent="0.3">
      <c r="B66" s="28" t="s">
        <v>270</v>
      </c>
    </row>
    <row r="67" spans="2:16" ht="12.75" hidden="1" customHeight="1" x14ac:dyDescent="0.3">
      <c r="B67" s="28" t="s">
        <v>42</v>
      </c>
      <c r="C67" s="31"/>
      <c r="D67" s="31"/>
      <c r="E67" s="31"/>
      <c r="F67" s="31"/>
      <c r="G67" s="31"/>
      <c r="H67" s="31"/>
      <c r="I67" s="31"/>
      <c r="J67" s="31"/>
      <c r="K67" s="31"/>
      <c r="L67" s="31"/>
      <c r="M67" s="31"/>
      <c r="N67" s="31"/>
      <c r="O67" s="31"/>
      <c r="P67" s="31"/>
    </row>
    <row r="68" spans="2:16" ht="12.75" hidden="1" customHeight="1" x14ac:dyDescent="0.3">
      <c r="B68" s="28" t="s">
        <v>43</v>
      </c>
    </row>
    <row r="69" spans="2:16" ht="12.75" hidden="1" customHeight="1" x14ac:dyDescent="0.3">
      <c r="B69" s="28" t="s">
        <v>44</v>
      </c>
    </row>
    <row r="70" spans="2:16" hidden="1" x14ac:dyDescent="0.3">
      <c r="B70" s="28" t="s">
        <v>269</v>
      </c>
    </row>
    <row r="71" spans="2:16" ht="12.75" hidden="1" customHeight="1" x14ac:dyDescent="0.3">
      <c r="B71" s="28" t="s">
        <v>45</v>
      </c>
    </row>
    <row r="72" spans="2:16" ht="12.75" hidden="1" customHeight="1" x14ac:dyDescent="0.3">
      <c r="B72" s="28" t="s">
        <v>46</v>
      </c>
      <c r="C72" s="31"/>
      <c r="D72" s="31"/>
      <c r="E72" s="31"/>
      <c r="F72" s="31"/>
      <c r="G72" s="31"/>
      <c r="H72" s="31"/>
      <c r="I72" s="31"/>
      <c r="J72" s="31"/>
      <c r="K72" s="31"/>
      <c r="L72" s="31"/>
      <c r="M72" s="31"/>
      <c r="N72" s="31"/>
      <c r="O72" s="31"/>
      <c r="P72" s="31"/>
    </row>
    <row r="73" spans="2:16" ht="12.75" hidden="1" customHeight="1" x14ac:dyDescent="0.3">
      <c r="B73" s="28" t="s">
        <v>47</v>
      </c>
    </row>
    <row r="74" spans="2:16" ht="12.75" hidden="1" customHeight="1" x14ac:dyDescent="0.3">
      <c r="B74" s="28" t="s">
        <v>48</v>
      </c>
      <c r="C74" s="31"/>
      <c r="D74" s="31"/>
      <c r="E74" s="31"/>
      <c r="F74" s="31"/>
      <c r="G74" s="31"/>
      <c r="H74" s="31"/>
      <c r="I74" s="31"/>
      <c r="J74" s="31"/>
      <c r="K74" s="31"/>
      <c r="L74" s="31"/>
      <c r="M74" s="31"/>
      <c r="N74" s="31"/>
      <c r="O74" s="31"/>
      <c r="P74" s="31"/>
    </row>
    <row r="75" spans="2:16" ht="12.75" hidden="1" customHeight="1" x14ac:dyDescent="0.3">
      <c r="B75" s="28" t="s">
        <v>268</v>
      </c>
      <c r="C75" s="31"/>
      <c r="D75" s="31"/>
      <c r="E75" s="31"/>
      <c r="F75" s="31"/>
      <c r="G75" s="31"/>
      <c r="H75" s="31"/>
      <c r="I75" s="31"/>
      <c r="J75" s="31"/>
      <c r="K75" s="31"/>
      <c r="L75" s="31"/>
      <c r="M75" s="31"/>
      <c r="N75" s="31"/>
      <c r="O75" s="31"/>
      <c r="P75" s="31"/>
    </row>
    <row r="76" spans="2:16" ht="12.75" hidden="1" customHeight="1" x14ac:dyDescent="0.3">
      <c r="B76" s="28" t="s">
        <v>49</v>
      </c>
    </row>
    <row r="77" spans="2:16" ht="12.75" hidden="1" customHeight="1" x14ac:dyDescent="0.3">
      <c r="C77" s="31"/>
      <c r="D77" s="31"/>
      <c r="E77" s="31"/>
      <c r="F77" s="31"/>
      <c r="G77" s="31"/>
      <c r="H77" s="31"/>
      <c r="I77" s="31"/>
      <c r="J77" s="31"/>
      <c r="K77" s="31"/>
      <c r="L77" s="31"/>
      <c r="M77" s="31"/>
      <c r="N77" s="31"/>
      <c r="O77" s="31"/>
      <c r="P77" s="31"/>
    </row>
    <row r="78" spans="2:16" hidden="1" x14ac:dyDescent="0.3"/>
    <row r="79" spans="2:16" hidden="1" x14ac:dyDescent="0.3"/>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$B$61:$B$77</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70" zoomScaleNormal="70" workbookViewId="0">
      <selection activeCell="K18" sqref="K18:K33"/>
    </sheetView>
  </sheetViews>
  <sheetFormatPr baseColWidth="10" defaultColWidth="9.1796875" defaultRowHeight="13.5" x14ac:dyDescent="0.3"/>
  <cols>
    <col min="1" max="1" width="2.1796875" style="28" customWidth="1"/>
    <col min="2" max="2" width="20.453125" style="28" customWidth="1"/>
    <col min="3" max="3" width="22.1796875" style="28" customWidth="1"/>
    <col min="4" max="4" width="20.81640625" style="28" customWidth="1"/>
    <col min="5" max="5" width="65.453125" style="28" customWidth="1"/>
    <col min="6" max="13" width="26.7265625" style="28" customWidth="1"/>
    <col min="14" max="14" width="11.453125" style="28" bestFit="1" customWidth="1"/>
    <col min="15" max="15" width="12.26953125" style="28" bestFit="1" customWidth="1"/>
    <col min="16" max="16" width="23.1796875" style="28" customWidth="1"/>
    <col min="17" max="17" width="5.26953125" style="28" customWidth="1"/>
    <col min="18" max="18" width="41.7265625" style="28" customWidth="1"/>
    <col min="19" max="19" width="9.1796875" style="28"/>
    <col min="20" max="20" width="9.1796875" style="28" hidden="1" customWidth="1"/>
    <col min="21" max="21" width="13" style="28" hidden="1" customWidth="1"/>
    <col min="22" max="22" width="9.1796875" style="28" hidden="1" customWidth="1"/>
    <col min="23" max="23" width="14.26953125" style="28" hidden="1" customWidth="1"/>
    <col min="24" max="24" width="10.7265625" style="28" hidden="1" customWidth="1"/>
    <col min="25" max="26" width="9.1796875" style="28" hidden="1" customWidth="1"/>
    <col min="27" max="27" width="22.453125" style="28" hidden="1" customWidth="1"/>
    <col min="28" max="28" width="0" style="28" hidden="1" customWidth="1"/>
    <col min="29" max="16384" width="9.1796875" style="28"/>
  </cols>
  <sheetData>
    <row r="2" spans="2:27" ht="21" customHeight="1" x14ac:dyDescent="0.3">
      <c r="B2" s="26" t="s">
        <v>5</v>
      </c>
      <c r="C2" s="27" t="str">
        <f>'Project Infor'!C10</f>
        <v>ZEV-PCE0012-1001</v>
      </c>
      <c r="D2" s="26" t="str">
        <f>'Project Infor'!C11</f>
        <v>Smart Airport en la nueva terminal de Puerto Vallarta</v>
      </c>
      <c r="E2" s="27"/>
      <c r="F2" s="27"/>
      <c r="G2" s="27"/>
      <c r="H2" s="27"/>
    </row>
    <row r="3" spans="2:27" ht="9" customHeight="1" x14ac:dyDescent="0.3">
      <c r="C3" s="29"/>
      <c r="D3" s="29"/>
      <c r="E3" s="29"/>
      <c r="F3" s="29"/>
    </row>
    <row r="4" spans="2:27" ht="15" customHeight="1" x14ac:dyDescent="0.3">
      <c r="C4" s="30"/>
      <c r="D4" s="31"/>
      <c r="E4" s="31"/>
      <c r="F4" s="31"/>
      <c r="G4" s="31"/>
      <c r="H4" s="31"/>
      <c r="I4" s="31"/>
      <c r="J4" s="31"/>
      <c r="K4" s="31"/>
      <c r="L4" s="31"/>
      <c r="M4" s="31"/>
      <c r="N4" s="31"/>
      <c r="O4" s="31"/>
      <c r="P4" s="31"/>
      <c r="Q4" s="31"/>
      <c r="R4" s="31"/>
      <c r="S4" s="31"/>
    </row>
    <row r="5" spans="2:27" ht="20.149999999999999" customHeight="1" x14ac:dyDescent="0.3">
      <c r="B5" s="306" t="s">
        <v>50</v>
      </c>
      <c r="C5" s="306"/>
      <c r="D5" s="306"/>
      <c r="E5" s="306"/>
      <c r="F5" s="306"/>
      <c r="G5" s="306"/>
      <c r="H5" s="306"/>
      <c r="I5" s="306"/>
      <c r="J5" s="306"/>
      <c r="K5" s="306"/>
      <c r="L5" s="306"/>
      <c r="M5" s="306"/>
      <c r="N5" s="306"/>
      <c r="O5" s="306"/>
      <c r="P5" s="92"/>
      <c r="Q5" s="31"/>
      <c r="R5" s="92"/>
      <c r="S5" s="31"/>
      <c r="U5" s="177" t="s">
        <v>51</v>
      </c>
      <c r="V5" s="177" t="s">
        <v>52</v>
      </c>
      <c r="W5" s="177" t="s">
        <v>53</v>
      </c>
      <c r="X5" s="177" t="s">
        <v>54</v>
      </c>
      <c r="Y5" s="177" t="s">
        <v>55</v>
      </c>
      <c r="Z5" s="177" t="s">
        <v>56</v>
      </c>
      <c r="AA5" s="177" t="s">
        <v>57</v>
      </c>
    </row>
    <row r="6" spans="2:27" s="93" customFormat="1" ht="37" customHeight="1" x14ac:dyDescent="0.3">
      <c r="B6" s="32"/>
      <c r="C6" s="196"/>
      <c r="D6" s="196"/>
      <c r="E6" s="196"/>
      <c r="F6" s="33" t="s">
        <v>58</v>
      </c>
      <c r="G6" s="33" t="s">
        <v>59</v>
      </c>
      <c r="H6" s="34" t="s">
        <v>60</v>
      </c>
      <c r="I6" s="33" t="s">
        <v>61</v>
      </c>
      <c r="J6" s="33" t="s">
        <v>62</v>
      </c>
      <c r="K6" s="33" t="s">
        <v>63</v>
      </c>
      <c r="L6" s="33" t="s">
        <v>64</v>
      </c>
      <c r="M6" s="33" t="s">
        <v>65</v>
      </c>
      <c r="N6" s="34" t="s">
        <v>66</v>
      </c>
      <c r="O6" s="34" t="s">
        <v>67</v>
      </c>
      <c r="P6" s="94"/>
      <c r="Q6" s="95"/>
      <c r="R6" s="94"/>
      <c r="S6" s="95"/>
      <c r="U6" s="177"/>
    </row>
    <row r="7" spans="2:27" s="96" customFormat="1" ht="31.5" customHeight="1" thickBot="1" x14ac:dyDescent="0.35">
      <c r="B7" s="307" t="s">
        <v>68</v>
      </c>
      <c r="C7" s="308"/>
      <c r="D7" s="308"/>
      <c r="E7" s="308"/>
      <c r="F7" s="35">
        <f t="shared" ref="F7" si="0">SUM(F12,F36)</f>
        <v>583896.55000000005</v>
      </c>
      <c r="G7" s="36">
        <f t="shared" ref="G7:L7" si="1">SUM(G12,G36)</f>
        <v>367515.14</v>
      </c>
      <c r="H7" s="37">
        <f t="shared" si="1"/>
        <v>13570</v>
      </c>
      <c r="I7" s="38">
        <f t="shared" si="1"/>
        <v>18375.759999999998</v>
      </c>
      <c r="J7" s="38">
        <f t="shared" si="1"/>
        <v>0</v>
      </c>
      <c r="K7" s="38">
        <f t="shared" si="1"/>
        <v>7400</v>
      </c>
      <c r="L7" s="38">
        <f t="shared" si="1"/>
        <v>40000</v>
      </c>
      <c r="M7" s="35">
        <f>SUM(G7,I7,J7,K7,L7)</f>
        <v>433290.9</v>
      </c>
      <c r="N7" s="39">
        <f>IF(F7=0,0,(F7-G7-J7-K7-I7-L7)/F7)</f>
        <v>0.25793207718045263</v>
      </c>
      <c r="O7" s="39">
        <f>IF(F7=0,0,(F7-G7/UTILIZACION-I7/UTILIZACION-J7/UTILIZACION-K7-L7)/F7)</f>
        <v>0.20818773186294187</v>
      </c>
      <c r="P7" s="92"/>
      <c r="Q7" s="29"/>
      <c r="R7" s="92"/>
      <c r="S7" s="29"/>
    </row>
    <row r="8" spans="2:27" s="96" customFormat="1" ht="36.75" customHeight="1" thickBot="1" x14ac:dyDescent="0.35">
      <c r="B8" s="309" t="s">
        <v>69</v>
      </c>
      <c r="C8" s="309"/>
      <c r="D8" s="309"/>
      <c r="E8" s="309"/>
      <c r="F8" s="40">
        <f>F7</f>
        <v>583896.55000000005</v>
      </c>
      <c r="G8" s="41">
        <f>G7+G37</f>
        <v>367515.14</v>
      </c>
      <c r="H8" s="40">
        <f t="shared" ref="H8:L8" si="2">H7+H37</f>
        <v>13570</v>
      </c>
      <c r="I8" s="42">
        <f t="shared" si="2"/>
        <v>18375.759999999998</v>
      </c>
      <c r="J8" s="42">
        <f t="shared" si="2"/>
        <v>0</v>
      </c>
      <c r="K8" s="40">
        <f t="shared" si="2"/>
        <v>7400</v>
      </c>
      <c r="L8" s="42">
        <f t="shared" si="2"/>
        <v>40000</v>
      </c>
      <c r="M8" s="42">
        <f>M7+M37</f>
        <v>433290.9</v>
      </c>
      <c r="N8" s="43">
        <f>IF(F8=0,0,(F8-G8-J8-K8-I8-L8)/F8)</f>
        <v>0.25793207718045263</v>
      </c>
      <c r="O8" s="44">
        <f>IF(F8=0,0,(F8-G8/UTILIZACION-I8/UTILIZACION-J8/UTILIZACION-K8-L8)/F8)</f>
        <v>0.20818773186294187</v>
      </c>
      <c r="P8" s="97" cm="1">
        <f t="array" ref="P8">margendirectobaselineactual</f>
        <v>150605.65000000002</v>
      </c>
      <c r="Q8" s="29"/>
      <c r="R8" s="97"/>
      <c r="S8" s="29"/>
    </row>
    <row r="9" spans="2:27" s="96" customFormat="1" ht="22.5" customHeight="1" x14ac:dyDescent="0.3">
      <c r="B9" s="30"/>
      <c r="C9" s="30"/>
      <c r="D9" s="31"/>
      <c r="E9" s="31"/>
      <c r="F9" s="45"/>
      <c r="G9" s="46"/>
      <c r="H9" s="45"/>
      <c r="I9" s="46"/>
      <c r="J9" s="46"/>
      <c r="K9" s="45"/>
      <c r="L9" s="46"/>
      <c r="M9" s="47"/>
      <c r="N9" s="48"/>
      <c r="O9" s="48"/>
      <c r="P9" s="92"/>
      <c r="Q9" s="29"/>
      <c r="R9" s="92"/>
      <c r="S9" s="29"/>
    </row>
    <row r="10" spans="2:27" ht="20.149999999999999" customHeight="1" x14ac:dyDescent="0.3">
      <c r="B10" s="306" t="s">
        <v>70</v>
      </c>
      <c r="C10" s="306"/>
      <c r="D10" s="306"/>
      <c r="E10" s="306"/>
      <c r="F10" s="306"/>
      <c r="G10" s="306"/>
      <c r="H10" s="306"/>
      <c r="I10" s="306"/>
      <c r="J10" s="306"/>
      <c r="K10" s="306"/>
      <c r="L10" s="306"/>
      <c r="M10" s="306"/>
      <c r="N10" s="306"/>
      <c r="O10" s="306"/>
      <c r="P10" s="92"/>
      <c r="Q10" s="31"/>
      <c r="R10" s="92"/>
      <c r="S10" s="31"/>
      <c r="U10" s="177" t="s">
        <v>51</v>
      </c>
      <c r="V10" s="177" t="s">
        <v>52</v>
      </c>
      <c r="W10" s="177" t="s">
        <v>53</v>
      </c>
      <c r="X10" s="177" t="s">
        <v>54</v>
      </c>
      <c r="Y10" s="177" t="s">
        <v>55</v>
      </c>
      <c r="Z10" s="177" t="s">
        <v>56</v>
      </c>
      <c r="AA10" s="177" t="s">
        <v>57</v>
      </c>
    </row>
    <row r="11" spans="2:27" s="93" customFormat="1" ht="31.5" customHeight="1" x14ac:dyDescent="0.3">
      <c r="B11" s="49"/>
      <c r="C11" s="49" t="s">
        <v>71</v>
      </c>
      <c r="D11" s="50" t="s">
        <v>72</v>
      </c>
      <c r="E11" s="49" t="s">
        <v>10</v>
      </c>
      <c r="F11" s="33" t="s">
        <v>73</v>
      </c>
      <c r="G11" s="33" t="s">
        <v>59</v>
      </c>
      <c r="H11" s="34" t="s">
        <v>60</v>
      </c>
      <c r="I11" s="33" t="s">
        <v>61</v>
      </c>
      <c r="J11" s="33" t="s">
        <v>62</v>
      </c>
      <c r="K11" s="33" t="s">
        <v>63</v>
      </c>
      <c r="L11" s="33" t="s">
        <v>64</v>
      </c>
      <c r="M11" s="33" t="s">
        <v>65</v>
      </c>
      <c r="N11" s="34" t="s">
        <v>74</v>
      </c>
      <c r="O11" s="34" t="s">
        <v>67</v>
      </c>
      <c r="P11" s="95"/>
      <c r="Q11" s="95"/>
      <c r="R11" s="95"/>
      <c r="S11" s="95"/>
    </row>
    <row r="12" spans="2:27" ht="20.149999999999999" customHeight="1" x14ac:dyDescent="0.3">
      <c r="B12" s="51"/>
      <c r="C12" s="191"/>
      <c r="D12" s="52">
        <v>10</v>
      </c>
      <c r="E12" s="52" t="s">
        <v>75</v>
      </c>
      <c r="F12" s="53">
        <f>'Project Infor'!C28</f>
        <v>583896.55000000005</v>
      </c>
      <c r="G12" s="53">
        <f>'Project Infor'!C30</f>
        <v>367515.14</v>
      </c>
      <c r="H12" s="53">
        <f>'Project Infor'!C29</f>
        <v>13570</v>
      </c>
      <c r="I12" s="53">
        <f>'Project Infor'!C31</f>
        <v>18375.759999999998</v>
      </c>
      <c r="J12" s="53">
        <f>'Project Infor'!C32</f>
        <v>0</v>
      </c>
      <c r="K12" s="53">
        <f>'Project Infor'!C33</f>
        <v>7400</v>
      </c>
      <c r="L12" s="53">
        <f>'Project Infor'!C34</f>
        <v>40000</v>
      </c>
      <c r="M12" s="53">
        <f>SUM(G12,I12,J12,K12,L12)</f>
        <v>433290.9</v>
      </c>
      <c r="N12" s="54">
        <f>IF(F12=0,0,(F12-G12-J12-K12-I12-L12)/F12)</f>
        <v>0.25793207718045263</v>
      </c>
      <c r="O12" s="55">
        <f>IF(F12=0,0,(F12-G12/UTILIZACION-I12/UTILIZACION-J12/UTILIZACION-K12-L12)/F12)</f>
        <v>0.20818773186294187</v>
      </c>
      <c r="P12" s="31"/>
      <c r="Q12" s="31"/>
      <c r="R12" s="31"/>
      <c r="S12" s="31"/>
      <c r="T12" s="28" t="s">
        <v>76</v>
      </c>
    </row>
    <row r="13" spans="2:27" ht="20.149999999999999" customHeight="1" x14ac:dyDescent="0.3">
      <c r="C13" s="30"/>
      <c r="D13" s="31"/>
      <c r="E13" s="31"/>
      <c r="F13" s="31"/>
      <c r="G13" s="31"/>
      <c r="H13" s="31"/>
      <c r="I13" s="31"/>
      <c r="J13" s="31"/>
      <c r="K13" s="31"/>
      <c r="L13" s="31"/>
      <c r="M13" s="31"/>
      <c r="N13" s="31"/>
      <c r="O13" s="31"/>
      <c r="P13" s="31"/>
      <c r="Q13" s="31"/>
      <c r="R13" s="31"/>
      <c r="S13" s="31"/>
    </row>
    <row r="14" spans="2:27" ht="20.149999999999999" customHeight="1" x14ac:dyDescent="0.3">
      <c r="B14" s="306" t="s">
        <v>77</v>
      </c>
      <c r="C14" s="306"/>
      <c r="D14" s="306"/>
      <c r="E14" s="306"/>
      <c r="F14" s="306"/>
      <c r="G14" s="306"/>
      <c r="H14" s="306"/>
      <c r="I14" s="306"/>
      <c r="J14" s="306"/>
      <c r="K14" s="306"/>
      <c r="L14" s="306"/>
      <c r="M14" s="306"/>
      <c r="N14" s="306"/>
      <c r="O14" s="306"/>
      <c r="P14" s="31"/>
      <c r="Q14" s="31"/>
      <c r="R14" s="31"/>
      <c r="S14" s="31"/>
      <c r="U14" s="177" t="s">
        <v>51</v>
      </c>
      <c r="V14" s="177" t="s">
        <v>52</v>
      </c>
      <c r="W14" s="177" t="s">
        <v>53</v>
      </c>
      <c r="X14" s="177" t="s">
        <v>54</v>
      </c>
      <c r="Y14" s="177" t="s">
        <v>55</v>
      </c>
      <c r="Z14" s="177" t="s">
        <v>56</v>
      </c>
      <c r="AA14" s="177" t="s">
        <v>57</v>
      </c>
    </row>
    <row r="15" spans="2:27" s="93" customFormat="1" ht="31.5" customHeight="1" x14ac:dyDescent="0.3">
      <c r="B15" s="252" t="s">
        <v>78</v>
      </c>
      <c r="C15" s="252" t="s">
        <v>71</v>
      </c>
      <c r="D15" s="253" t="s">
        <v>72</v>
      </c>
      <c r="E15" s="252" t="s">
        <v>10</v>
      </c>
      <c r="F15" s="254" t="s">
        <v>58</v>
      </c>
      <c r="G15" s="254" t="s">
        <v>59</v>
      </c>
      <c r="H15" s="255" t="s">
        <v>60</v>
      </c>
      <c r="I15" s="254" t="s">
        <v>61</v>
      </c>
      <c r="J15" s="254" t="s">
        <v>62</v>
      </c>
      <c r="K15" s="254" t="s">
        <v>63</v>
      </c>
      <c r="L15" s="254" t="s">
        <v>64</v>
      </c>
      <c r="M15" s="33" t="s">
        <v>65</v>
      </c>
      <c r="N15" s="56" t="s">
        <v>74</v>
      </c>
      <c r="O15" s="56" t="s">
        <v>67</v>
      </c>
      <c r="P15" s="56" t="s">
        <v>79</v>
      </c>
      <c r="Q15" s="31"/>
      <c r="R15" s="50" t="s">
        <v>80</v>
      </c>
      <c r="S15" s="31"/>
      <c r="W15" s="178"/>
    </row>
    <row r="16" spans="2:27" s="74" customFormat="1" ht="20.149999999999999" customHeight="1" x14ac:dyDescent="0.3">
      <c r="B16" s="197" t="s">
        <v>81</v>
      </c>
      <c r="C16" s="3"/>
      <c r="D16" s="1"/>
      <c r="E16" s="4"/>
      <c r="F16" s="98"/>
      <c r="G16" s="98"/>
      <c r="H16" s="98"/>
      <c r="I16" s="98"/>
      <c r="J16" s="98"/>
      <c r="K16" s="98"/>
      <c r="L16" s="98"/>
      <c r="M16" s="24">
        <f>SUM(G16,I16,J16,K16,L16)</f>
        <v>0</v>
      </c>
      <c r="N16" s="25">
        <f>IF(F16=0,0,(F16-G16-J16-K16-I16-L16)/F16)</f>
        <v>0</v>
      </c>
      <c r="O16" s="25">
        <f t="shared" ref="O16:O35" si="3">IF(F16=0,0,(F16-G16/UTILIZACION-I16/UTILIZACION-J16/UTILIZACION-K16-L16)/F16)</f>
        <v>0</v>
      </c>
      <c r="P16" s="23"/>
      <c r="Q16" s="31"/>
      <c r="R16" s="23" t="s">
        <v>82</v>
      </c>
      <c r="S16" s="31"/>
      <c r="T16" s="179" t="str">
        <f t="shared" ref="T16:T35" si="4">IF(C16&lt;&gt;"",IF((YEAR(C16)&amp;MONTH(C16))&lt;(YEAR(Inicio)&amp;MONTH(Inicio)),YEAR(Inicio)&amp;MONTH(Inicio),YEAR(C16)&amp;MONTH(C16)),YEAR(C16)&amp;MONTH(C16))</f>
        <v>19001</v>
      </c>
      <c r="U16" s="178">
        <f t="shared" ref="U16:U35" si="5">AA16-Y16-X16-W16</f>
        <v>190605.65000000002</v>
      </c>
      <c r="V16" s="178"/>
      <c r="W16" s="178">
        <f>$G$12+SUM($G$16:G16)</f>
        <v>367515.14</v>
      </c>
      <c r="X16" s="178">
        <f>$I$12+SUM($I$16:I16)+$J$12+SUM($J$16:J16)</f>
        <v>18375.759999999998</v>
      </c>
      <c r="Y16" s="178">
        <f>$K$12+SUM($K$16:K16)</f>
        <v>7400</v>
      </c>
      <c r="Z16" s="178">
        <f>$L$12+SUM($L$16:L16)</f>
        <v>40000</v>
      </c>
      <c r="AA16" s="178">
        <f>$F$12+SUM($F$16:F16)</f>
        <v>583896.55000000005</v>
      </c>
    </row>
    <row r="17" spans="2:27" s="74" customFormat="1" ht="20.149999999999999" customHeight="1" x14ac:dyDescent="0.35">
      <c r="B17" s="197" t="s">
        <v>83</v>
      </c>
      <c r="C17" s="3"/>
      <c r="D17" s="1"/>
      <c r="E17" s="99"/>
      <c r="F17" s="98"/>
      <c r="G17"/>
      <c r="H17" s="98"/>
      <c r="I17"/>
      <c r="J17" s="98"/>
      <c r="K17" s="98"/>
      <c r="L17" s="198"/>
      <c r="M17" s="24">
        <f>SUM(G17,I17,J17,K17,L17)</f>
        <v>0</v>
      </c>
      <c r="N17" s="25">
        <f t="shared" ref="N17:N34" si="6">IF(F17=0,0,(F17-G17-J17-K17-I17-L17)/F17)</f>
        <v>0</v>
      </c>
      <c r="O17" s="25">
        <f t="shared" si="3"/>
        <v>0</v>
      </c>
      <c r="P17" s="23"/>
      <c r="Q17" s="31"/>
      <c r="R17" s="23"/>
      <c r="S17" s="31"/>
      <c r="T17" s="179" t="str">
        <f t="shared" si="4"/>
        <v>19001</v>
      </c>
      <c r="U17" s="178">
        <f t="shared" si="5"/>
        <v>190605.65000000002</v>
      </c>
      <c r="V17" s="178"/>
      <c r="W17" s="178">
        <f>$G$12+SUM($G$16:G17)</f>
        <v>367515.14</v>
      </c>
      <c r="X17" s="178">
        <f>$I$12+SUM($I$16:I17)+$J$12+SUM($J$16:J17)</f>
        <v>18375.759999999998</v>
      </c>
      <c r="Y17" s="178">
        <f>$K$12+SUM($K$16:K17)</f>
        <v>7400</v>
      </c>
      <c r="Z17" s="178">
        <f>$L$12+SUM($L$16:L17)</f>
        <v>40000</v>
      </c>
      <c r="AA17" s="178">
        <f>$F$12+SUM($F$16:F17)</f>
        <v>583896.55000000005</v>
      </c>
    </row>
    <row r="18" spans="2:27" s="74" customFormat="1" ht="20.149999999999999" customHeight="1" x14ac:dyDescent="0.3">
      <c r="B18" s="197" t="s">
        <v>81</v>
      </c>
      <c r="C18" s="3"/>
      <c r="D18" s="1"/>
      <c r="E18" s="4"/>
      <c r="F18" s="98"/>
      <c r="G18" s="98"/>
      <c r="H18" s="98"/>
      <c r="I18" s="98"/>
      <c r="J18" s="98"/>
      <c r="K18" s="98"/>
      <c r="L18" s="98"/>
      <c r="M18" s="24">
        <f t="shared" ref="M18:M36" si="7">SUM(G18,I18,J18,K18,L18)</f>
        <v>0</v>
      </c>
      <c r="N18" s="25">
        <f t="shared" si="6"/>
        <v>0</v>
      </c>
      <c r="O18" s="25">
        <f t="shared" si="3"/>
        <v>0</v>
      </c>
      <c r="P18" s="23"/>
      <c r="Q18" s="31"/>
      <c r="R18" s="23"/>
      <c r="S18" s="31"/>
      <c r="T18" s="179" t="str">
        <f t="shared" si="4"/>
        <v>19001</v>
      </c>
      <c r="U18" s="178">
        <f t="shared" si="5"/>
        <v>190605.65000000002</v>
      </c>
      <c r="V18" s="178"/>
      <c r="W18" s="178">
        <f>$G$12+SUM($G$16:G18)</f>
        <v>367515.14</v>
      </c>
      <c r="X18" s="178">
        <f>$I$12+SUM($I$16:I18)+$J$12+SUM($J$16:J18)</f>
        <v>18375.759999999998</v>
      </c>
      <c r="Y18" s="178">
        <f>$K$12+SUM($K$16:K18)</f>
        <v>7400</v>
      </c>
      <c r="Z18" s="178">
        <f>$L$12+SUM($L$16:L18)</f>
        <v>40000</v>
      </c>
      <c r="AA18" s="178">
        <f>$F$12+SUM($F$16:F18)</f>
        <v>583896.55000000005</v>
      </c>
    </row>
    <row r="19" spans="2:27" s="74" customFormat="1" ht="20.149999999999999" customHeight="1" x14ac:dyDescent="0.3">
      <c r="B19" s="197"/>
      <c r="C19" s="3"/>
      <c r="D19" s="1"/>
      <c r="E19" s="4"/>
      <c r="F19" s="98"/>
      <c r="G19" s="98"/>
      <c r="H19" s="98"/>
      <c r="I19" s="98"/>
      <c r="J19" s="98"/>
      <c r="K19" s="98"/>
      <c r="L19" s="98"/>
      <c r="M19" s="24">
        <f t="shared" si="7"/>
        <v>0</v>
      </c>
      <c r="N19" s="25">
        <f t="shared" si="6"/>
        <v>0</v>
      </c>
      <c r="O19" s="25">
        <f t="shared" si="3"/>
        <v>0</v>
      </c>
      <c r="P19" s="23"/>
      <c r="Q19" s="31"/>
      <c r="R19" s="23"/>
      <c r="S19" s="31"/>
      <c r="T19" s="179" t="str">
        <f t="shared" si="4"/>
        <v>19001</v>
      </c>
      <c r="U19" s="178">
        <f t="shared" si="5"/>
        <v>190605.65000000002</v>
      </c>
      <c r="V19" s="178"/>
      <c r="W19" s="178">
        <f>$G$12+SUM($G$16:G19)</f>
        <v>367515.14</v>
      </c>
      <c r="X19" s="178">
        <f>$I$12+SUM($I$16:I19)+$J$12+SUM($J$16:J19)</f>
        <v>18375.759999999998</v>
      </c>
      <c r="Y19" s="178">
        <f>$K$12+SUM($K$16:K19)</f>
        <v>7400</v>
      </c>
      <c r="Z19" s="178">
        <f>$L$12+SUM($L$16:L19)</f>
        <v>40000</v>
      </c>
      <c r="AA19" s="178">
        <f>$F$12+SUM($F$16:F19)</f>
        <v>583896.55000000005</v>
      </c>
    </row>
    <row r="20" spans="2:27" s="74" customFormat="1" ht="20.149999999999999" customHeight="1" x14ac:dyDescent="0.3">
      <c r="B20" s="197"/>
      <c r="C20" s="3"/>
      <c r="D20" s="1"/>
      <c r="E20" s="4"/>
      <c r="F20" s="98"/>
      <c r="G20" s="98"/>
      <c r="H20" s="98"/>
      <c r="I20" s="98"/>
      <c r="J20" s="98"/>
      <c r="K20" s="98"/>
      <c r="L20" s="98"/>
      <c r="M20" s="24">
        <f t="shared" ref="M20:M25" si="8">SUM(G20,I20,J20,K20,L20)</f>
        <v>0</v>
      </c>
      <c r="N20" s="25">
        <f t="shared" si="6"/>
        <v>0</v>
      </c>
      <c r="O20" s="25">
        <f t="shared" si="3"/>
        <v>0</v>
      </c>
      <c r="P20" s="23"/>
      <c r="Q20" s="31"/>
      <c r="R20" s="23"/>
      <c r="S20" s="31"/>
      <c r="T20" s="179" t="str">
        <f t="shared" si="4"/>
        <v>19001</v>
      </c>
      <c r="U20" s="178">
        <f t="shared" si="5"/>
        <v>190605.65000000002</v>
      </c>
      <c r="V20" s="178"/>
      <c r="W20" s="178">
        <f>$G$12+SUM($G$16:G20)</f>
        <v>367515.14</v>
      </c>
      <c r="X20" s="178">
        <f>$I$12+SUM($I$16:I20)+$J$12+SUM($J$16:J20)</f>
        <v>18375.759999999998</v>
      </c>
      <c r="Y20" s="178">
        <f>$K$12+SUM($K$16:K20)</f>
        <v>7400</v>
      </c>
      <c r="Z20" s="178">
        <f>$L$12+SUM($L$16:L20)</f>
        <v>40000</v>
      </c>
      <c r="AA20" s="178">
        <f>$F$12+SUM($F$16:F20)</f>
        <v>583896.55000000005</v>
      </c>
    </row>
    <row r="21" spans="2:27" s="74" customFormat="1" ht="20.149999999999999" customHeight="1" x14ac:dyDescent="0.3">
      <c r="B21" s="197"/>
      <c r="C21" s="3"/>
      <c r="D21" s="1"/>
      <c r="E21" s="4"/>
      <c r="F21" s="98"/>
      <c r="G21" s="98"/>
      <c r="H21" s="98"/>
      <c r="I21" s="98"/>
      <c r="J21" s="98"/>
      <c r="K21" s="98"/>
      <c r="L21" s="98"/>
      <c r="M21" s="24">
        <f t="shared" si="8"/>
        <v>0</v>
      </c>
      <c r="N21" s="25">
        <f t="shared" si="6"/>
        <v>0</v>
      </c>
      <c r="O21" s="25">
        <f t="shared" si="3"/>
        <v>0</v>
      </c>
      <c r="P21" s="23"/>
      <c r="Q21" s="31"/>
      <c r="R21" s="23"/>
      <c r="S21" s="31"/>
      <c r="T21" s="179" t="str">
        <f t="shared" si="4"/>
        <v>19001</v>
      </c>
      <c r="U21" s="178">
        <f t="shared" si="5"/>
        <v>190605.65000000002</v>
      </c>
      <c r="V21" s="178"/>
      <c r="W21" s="178">
        <f>$G$12+SUM($G$16:G21)</f>
        <v>367515.14</v>
      </c>
      <c r="X21" s="178">
        <f>$I$12+SUM($I$16:I21)+$J$12+SUM($J$16:J21)</f>
        <v>18375.759999999998</v>
      </c>
      <c r="Y21" s="178">
        <f>$K$12+SUM($K$16:K21)</f>
        <v>7400</v>
      </c>
      <c r="Z21" s="178">
        <f>$L$12+SUM($L$16:L21)</f>
        <v>40000</v>
      </c>
      <c r="AA21" s="178">
        <f>$F$12+SUM($F$16:F21)</f>
        <v>583896.55000000005</v>
      </c>
    </row>
    <row r="22" spans="2:27" s="74" customFormat="1" ht="20.149999999999999" customHeight="1" x14ac:dyDescent="0.3">
      <c r="B22" s="197"/>
      <c r="C22" s="3"/>
      <c r="D22" s="1"/>
      <c r="E22" s="4"/>
      <c r="F22" s="98"/>
      <c r="G22" s="98"/>
      <c r="H22" s="98"/>
      <c r="I22" s="98"/>
      <c r="J22" s="98"/>
      <c r="K22" s="98"/>
      <c r="L22" s="98"/>
      <c r="M22" s="24">
        <f t="shared" si="8"/>
        <v>0</v>
      </c>
      <c r="N22" s="25">
        <f t="shared" si="6"/>
        <v>0</v>
      </c>
      <c r="O22" s="25">
        <f t="shared" si="3"/>
        <v>0</v>
      </c>
      <c r="P22" s="23"/>
      <c r="Q22" s="31"/>
      <c r="R22" s="23"/>
      <c r="S22" s="31"/>
      <c r="T22" s="179" t="str">
        <f t="shared" si="4"/>
        <v>19001</v>
      </c>
      <c r="U22" s="178">
        <f t="shared" si="5"/>
        <v>190605.65000000002</v>
      </c>
      <c r="V22" s="178"/>
      <c r="W22" s="178">
        <f>$G$12+SUM($G$16:G22)</f>
        <v>367515.14</v>
      </c>
      <c r="X22" s="178">
        <f>$I$12+SUM($I$16:I22)+$J$12+SUM($J$16:J22)</f>
        <v>18375.759999999998</v>
      </c>
      <c r="Y22" s="178">
        <f>$K$12+SUM($K$16:K22)</f>
        <v>7400</v>
      </c>
      <c r="Z22" s="178">
        <f>$L$12+SUM($L$16:L22)</f>
        <v>40000</v>
      </c>
      <c r="AA22" s="178">
        <f>$F$12+SUM($F$16:F22)</f>
        <v>583896.55000000005</v>
      </c>
    </row>
    <row r="23" spans="2:27" s="74" customFormat="1" ht="20.149999999999999" customHeight="1" x14ac:dyDescent="0.3">
      <c r="B23" s="197"/>
      <c r="C23" s="3"/>
      <c r="D23" s="1"/>
      <c r="E23" s="4"/>
      <c r="F23" s="98"/>
      <c r="G23" s="98"/>
      <c r="H23" s="98"/>
      <c r="I23" s="98"/>
      <c r="J23" s="98"/>
      <c r="K23" s="98"/>
      <c r="L23" s="98"/>
      <c r="M23" s="24">
        <f t="shared" si="8"/>
        <v>0</v>
      </c>
      <c r="N23" s="25">
        <f t="shared" si="6"/>
        <v>0</v>
      </c>
      <c r="O23" s="25">
        <f t="shared" si="3"/>
        <v>0</v>
      </c>
      <c r="P23" s="23"/>
      <c r="Q23" s="31"/>
      <c r="R23" s="23"/>
      <c r="S23" s="31"/>
      <c r="T23" s="179" t="str">
        <f t="shared" si="4"/>
        <v>19001</v>
      </c>
      <c r="U23" s="178">
        <f t="shared" si="5"/>
        <v>190605.65000000002</v>
      </c>
      <c r="V23" s="178"/>
      <c r="W23" s="178">
        <f>$G$12+SUM($G$16:G23)</f>
        <v>367515.14</v>
      </c>
      <c r="X23" s="178">
        <f>$I$12+SUM($I$16:I23)+$J$12+SUM($J$16:J23)</f>
        <v>18375.759999999998</v>
      </c>
      <c r="Y23" s="178">
        <f>$K$12+SUM($K$16:K23)</f>
        <v>7400</v>
      </c>
      <c r="Z23" s="178">
        <f>$L$12+SUM($L$16:L23)</f>
        <v>40000</v>
      </c>
      <c r="AA23" s="178">
        <f>$F$12+SUM($F$16:F23)</f>
        <v>583896.55000000005</v>
      </c>
    </row>
    <row r="24" spans="2:27" s="74" customFormat="1" ht="20.149999999999999" customHeight="1" x14ac:dyDescent="0.3">
      <c r="B24" s="197"/>
      <c r="C24" s="3"/>
      <c r="D24" s="1"/>
      <c r="E24" s="4"/>
      <c r="F24" s="98"/>
      <c r="G24" s="98"/>
      <c r="H24" s="98"/>
      <c r="I24" s="98"/>
      <c r="J24" s="98"/>
      <c r="K24" s="98"/>
      <c r="L24" s="98"/>
      <c r="M24" s="24">
        <f t="shared" si="8"/>
        <v>0</v>
      </c>
      <c r="N24" s="25">
        <f t="shared" si="6"/>
        <v>0</v>
      </c>
      <c r="O24" s="25">
        <f t="shared" si="3"/>
        <v>0</v>
      </c>
      <c r="P24" s="23"/>
      <c r="Q24" s="31"/>
      <c r="R24" s="23"/>
      <c r="S24" s="31"/>
      <c r="T24" s="179" t="str">
        <f t="shared" si="4"/>
        <v>19001</v>
      </c>
      <c r="U24" s="178">
        <f t="shared" si="5"/>
        <v>190605.65000000002</v>
      </c>
      <c r="V24" s="178"/>
      <c r="W24" s="178">
        <f>$G$12+SUM($G$16:G24)</f>
        <v>367515.14</v>
      </c>
      <c r="X24" s="178">
        <f>$I$12+SUM($I$16:I24)+$J$12+SUM($J$16:J24)</f>
        <v>18375.759999999998</v>
      </c>
      <c r="Y24" s="178">
        <f>$K$12+SUM($K$16:K24)</f>
        <v>7400</v>
      </c>
      <c r="Z24" s="178">
        <f>$L$12+SUM($L$16:L24)</f>
        <v>40000</v>
      </c>
      <c r="AA24" s="178">
        <f>$F$12+SUM($F$16:F24)</f>
        <v>583896.55000000005</v>
      </c>
    </row>
    <row r="25" spans="2:27" s="74" customFormat="1" ht="20.149999999999999" customHeight="1" x14ac:dyDescent="0.3">
      <c r="B25" s="197"/>
      <c r="C25" s="3"/>
      <c r="D25" s="1"/>
      <c r="E25" s="4"/>
      <c r="F25" s="98"/>
      <c r="G25" s="98"/>
      <c r="H25" s="98"/>
      <c r="I25" s="98"/>
      <c r="J25" s="98"/>
      <c r="K25" s="98"/>
      <c r="L25" s="98"/>
      <c r="M25" s="24">
        <f t="shared" si="8"/>
        <v>0</v>
      </c>
      <c r="N25" s="25">
        <f t="shared" si="6"/>
        <v>0</v>
      </c>
      <c r="O25" s="25">
        <f t="shared" si="3"/>
        <v>0</v>
      </c>
      <c r="P25" s="23"/>
      <c r="Q25" s="31"/>
      <c r="R25" s="23"/>
      <c r="S25" s="31"/>
      <c r="T25" s="179" t="str">
        <f t="shared" si="4"/>
        <v>19001</v>
      </c>
      <c r="U25" s="178">
        <f t="shared" si="5"/>
        <v>190605.65000000002</v>
      </c>
      <c r="V25" s="178"/>
      <c r="W25" s="178">
        <f>$G$12+SUM($G$16:G25)</f>
        <v>367515.14</v>
      </c>
      <c r="X25" s="178">
        <f>$I$12+SUM($I$16:I25)+$J$12+SUM($J$16:J25)</f>
        <v>18375.759999999998</v>
      </c>
      <c r="Y25" s="178">
        <f>$K$12+SUM($K$16:K25)</f>
        <v>7400</v>
      </c>
      <c r="Z25" s="178">
        <f>$L$12+SUM($L$16:L25)</f>
        <v>40000</v>
      </c>
      <c r="AA25" s="178">
        <f>$F$12+SUM($F$16:F25)</f>
        <v>583896.55000000005</v>
      </c>
    </row>
    <row r="26" spans="2:27" s="74" customFormat="1" ht="20.149999999999999" customHeight="1" x14ac:dyDescent="0.3">
      <c r="B26" s="197"/>
      <c r="C26" s="3"/>
      <c r="D26" s="1"/>
      <c r="E26" s="4"/>
      <c r="F26" s="98"/>
      <c r="G26" s="98"/>
      <c r="H26" s="98"/>
      <c r="I26" s="98"/>
      <c r="J26" s="98"/>
      <c r="K26" s="98"/>
      <c r="L26" s="98"/>
      <c r="M26" s="24">
        <f t="shared" si="7"/>
        <v>0</v>
      </c>
      <c r="N26" s="25">
        <f t="shared" si="6"/>
        <v>0</v>
      </c>
      <c r="O26" s="25">
        <f t="shared" si="3"/>
        <v>0</v>
      </c>
      <c r="P26" s="23"/>
      <c r="Q26" s="31"/>
      <c r="R26" s="23"/>
      <c r="S26" s="31"/>
      <c r="T26" s="179" t="str">
        <f t="shared" si="4"/>
        <v>19001</v>
      </c>
      <c r="U26" s="178">
        <f t="shared" si="5"/>
        <v>190605.65000000002</v>
      </c>
      <c r="V26" s="178"/>
      <c r="W26" s="178">
        <f>$G$12+SUM($G$16:G26)</f>
        <v>367515.14</v>
      </c>
      <c r="X26" s="178">
        <f>$I$12+SUM($I$16:I26)+$J$12+SUM($J$16:J26)</f>
        <v>18375.759999999998</v>
      </c>
      <c r="Y26" s="178">
        <f>$K$12+SUM($K$16:K26)</f>
        <v>7400</v>
      </c>
      <c r="Z26" s="178">
        <f>$L$12+SUM($L$16:L26)</f>
        <v>40000</v>
      </c>
      <c r="AA26" s="178">
        <f>$F$12+SUM($F$16:F26)</f>
        <v>583896.55000000005</v>
      </c>
    </row>
    <row r="27" spans="2:27" s="74" customFormat="1" ht="20.149999999999999" customHeight="1" x14ac:dyDescent="0.3">
      <c r="B27" s="197"/>
      <c r="C27" s="3"/>
      <c r="D27" s="1"/>
      <c r="E27" s="4"/>
      <c r="F27" s="98"/>
      <c r="G27" s="98"/>
      <c r="H27" s="98"/>
      <c r="I27" s="98"/>
      <c r="J27" s="98"/>
      <c r="K27" s="98"/>
      <c r="L27" s="98"/>
      <c r="M27" s="24">
        <f t="shared" si="7"/>
        <v>0</v>
      </c>
      <c r="N27" s="25">
        <f t="shared" si="6"/>
        <v>0</v>
      </c>
      <c r="O27" s="25">
        <f t="shared" si="3"/>
        <v>0</v>
      </c>
      <c r="P27" s="23"/>
      <c r="Q27" s="31"/>
      <c r="R27" s="23"/>
      <c r="S27" s="31"/>
      <c r="T27" s="179" t="str">
        <f t="shared" si="4"/>
        <v>19001</v>
      </c>
      <c r="U27" s="178">
        <f t="shared" si="5"/>
        <v>190605.65000000002</v>
      </c>
      <c r="V27" s="178"/>
      <c r="W27" s="178">
        <f>$G$12+SUM($G$16:G27)</f>
        <v>367515.14</v>
      </c>
      <c r="X27" s="178">
        <f>$I$12+SUM($I$16:I27)+$J$12+SUM($J$16:J27)</f>
        <v>18375.759999999998</v>
      </c>
      <c r="Y27" s="178">
        <f>$K$12+SUM($K$16:K27)</f>
        <v>7400</v>
      </c>
      <c r="Z27" s="178">
        <f>$L$12+SUM($L$16:L27)</f>
        <v>40000</v>
      </c>
      <c r="AA27" s="178">
        <f>$F$12+SUM($F$16:F27)</f>
        <v>583896.55000000005</v>
      </c>
    </row>
    <row r="28" spans="2:27" s="74" customFormat="1" ht="20.149999999999999" customHeight="1" x14ac:dyDescent="0.3">
      <c r="B28" s="197"/>
      <c r="C28" s="3"/>
      <c r="D28" s="1"/>
      <c r="E28" s="4"/>
      <c r="F28" s="98"/>
      <c r="G28" s="98"/>
      <c r="H28" s="98"/>
      <c r="I28" s="98"/>
      <c r="J28" s="98"/>
      <c r="K28" s="98"/>
      <c r="L28" s="98"/>
      <c r="M28" s="24">
        <f t="shared" ref="M28:M30" si="9">SUM(G28,I28,J28,K28,L28)</f>
        <v>0</v>
      </c>
      <c r="N28" s="25">
        <f t="shared" si="6"/>
        <v>0</v>
      </c>
      <c r="O28" s="25">
        <f t="shared" si="3"/>
        <v>0</v>
      </c>
      <c r="P28" s="23"/>
      <c r="Q28" s="31"/>
      <c r="R28" s="23"/>
      <c r="S28" s="31"/>
      <c r="T28" s="179" t="str">
        <f t="shared" si="4"/>
        <v>19001</v>
      </c>
      <c r="U28" s="178">
        <f t="shared" si="5"/>
        <v>190605.65000000002</v>
      </c>
      <c r="V28" s="178"/>
      <c r="W28" s="178">
        <f>$G$12+SUM($G$16:G28)</f>
        <v>367515.14</v>
      </c>
      <c r="X28" s="178">
        <f>$I$12+SUM($I$16:I28)+$J$12+SUM($J$16:J28)</f>
        <v>18375.759999999998</v>
      </c>
      <c r="Y28" s="178">
        <f>$K$12+SUM($K$16:K28)</f>
        <v>7400</v>
      </c>
      <c r="Z28" s="178">
        <f>$L$12+SUM($L$16:L28)</f>
        <v>40000</v>
      </c>
      <c r="AA28" s="178">
        <f>$F$12+SUM($F$16:F28)</f>
        <v>583896.55000000005</v>
      </c>
    </row>
    <row r="29" spans="2:27" s="74" customFormat="1" ht="20.149999999999999" customHeight="1" x14ac:dyDescent="0.3">
      <c r="B29" s="197"/>
      <c r="C29" s="3"/>
      <c r="D29" s="1"/>
      <c r="E29" s="4"/>
      <c r="F29" s="98"/>
      <c r="G29" s="98"/>
      <c r="H29" s="98"/>
      <c r="I29" s="98"/>
      <c r="J29" s="98"/>
      <c r="K29" s="98"/>
      <c r="L29" s="98"/>
      <c r="M29" s="24">
        <f t="shared" si="9"/>
        <v>0</v>
      </c>
      <c r="N29" s="25">
        <f t="shared" si="6"/>
        <v>0</v>
      </c>
      <c r="O29" s="25">
        <f t="shared" si="3"/>
        <v>0</v>
      </c>
      <c r="P29" s="23"/>
      <c r="Q29" s="31"/>
      <c r="R29" s="23"/>
      <c r="S29" s="31"/>
      <c r="T29" s="179" t="str">
        <f t="shared" si="4"/>
        <v>19001</v>
      </c>
      <c r="U29" s="178">
        <f t="shared" si="5"/>
        <v>190605.65000000002</v>
      </c>
      <c r="V29" s="178"/>
      <c r="W29" s="178">
        <f>$G$12+SUM($G$16:G29)</f>
        <v>367515.14</v>
      </c>
      <c r="X29" s="178">
        <f>$I$12+SUM($I$16:I29)+$J$12+SUM($J$16:J29)</f>
        <v>18375.759999999998</v>
      </c>
      <c r="Y29" s="178">
        <f>$K$12+SUM($K$16:K29)</f>
        <v>7400</v>
      </c>
      <c r="Z29" s="178">
        <f>$L$12+SUM($L$16:L29)</f>
        <v>40000</v>
      </c>
      <c r="AA29" s="178">
        <f>$F$12+SUM($F$16:F29)</f>
        <v>583896.55000000005</v>
      </c>
    </row>
    <row r="30" spans="2:27" s="74" customFormat="1" ht="20.149999999999999" customHeight="1" x14ac:dyDescent="0.3">
      <c r="B30" s="197"/>
      <c r="C30" s="3"/>
      <c r="D30" s="1"/>
      <c r="E30" s="4"/>
      <c r="F30" s="98"/>
      <c r="G30" s="98"/>
      <c r="H30" s="98"/>
      <c r="I30" s="98"/>
      <c r="J30" s="98"/>
      <c r="K30" s="98"/>
      <c r="L30" s="98"/>
      <c r="M30" s="24">
        <f t="shared" si="9"/>
        <v>0</v>
      </c>
      <c r="N30" s="25">
        <f t="shared" si="6"/>
        <v>0</v>
      </c>
      <c r="O30" s="25">
        <f t="shared" si="3"/>
        <v>0</v>
      </c>
      <c r="P30" s="23"/>
      <c r="Q30" s="31"/>
      <c r="R30" s="23"/>
      <c r="S30" s="31"/>
      <c r="T30" s="179" t="str">
        <f t="shared" si="4"/>
        <v>19001</v>
      </c>
      <c r="U30" s="178">
        <f t="shared" si="5"/>
        <v>190605.65000000002</v>
      </c>
      <c r="V30" s="178"/>
      <c r="W30" s="178">
        <f>$G$12+SUM($G$16:G30)</f>
        <v>367515.14</v>
      </c>
      <c r="X30" s="178">
        <f>$I$12+SUM($I$16:I30)+$J$12+SUM($J$16:J30)</f>
        <v>18375.759999999998</v>
      </c>
      <c r="Y30" s="178">
        <f>$K$12+SUM($K$16:K30)</f>
        <v>7400</v>
      </c>
      <c r="Z30" s="178">
        <f>$L$12+SUM($L$16:L30)</f>
        <v>40000</v>
      </c>
      <c r="AA30" s="178">
        <f>$F$12+SUM($F$16:F30)</f>
        <v>583896.55000000005</v>
      </c>
    </row>
    <row r="31" spans="2:27" s="74" customFormat="1" ht="20.149999999999999" customHeight="1" x14ac:dyDescent="0.3">
      <c r="B31" s="197"/>
      <c r="C31" s="3"/>
      <c r="D31" s="1"/>
      <c r="E31" s="4"/>
      <c r="F31" s="98"/>
      <c r="G31" s="98"/>
      <c r="H31" s="98"/>
      <c r="I31" s="98"/>
      <c r="J31" s="98"/>
      <c r="K31" s="98"/>
      <c r="L31" s="98"/>
      <c r="M31" s="24">
        <f t="shared" si="7"/>
        <v>0</v>
      </c>
      <c r="N31" s="25">
        <f t="shared" si="6"/>
        <v>0</v>
      </c>
      <c r="O31" s="25">
        <f t="shared" si="3"/>
        <v>0</v>
      </c>
      <c r="P31" s="23"/>
      <c r="Q31" s="31"/>
      <c r="R31" s="23"/>
      <c r="S31" s="31"/>
      <c r="T31" s="179" t="str">
        <f t="shared" si="4"/>
        <v>19001</v>
      </c>
      <c r="U31" s="178">
        <f t="shared" si="5"/>
        <v>190605.65000000002</v>
      </c>
      <c r="V31" s="178"/>
      <c r="W31" s="178">
        <f>$G$12+SUM($G$16:G31)</f>
        <v>367515.14</v>
      </c>
      <c r="X31" s="178">
        <f>$I$12+SUM($I$16:I31)+$J$12+SUM($J$16:J31)</f>
        <v>18375.759999999998</v>
      </c>
      <c r="Y31" s="178">
        <f>$K$12+SUM($K$16:K31)</f>
        <v>7400</v>
      </c>
      <c r="Z31" s="178">
        <f>$L$12+SUM($L$16:L31)</f>
        <v>40000</v>
      </c>
      <c r="AA31" s="178">
        <f>$F$12+SUM($F$16:F31)</f>
        <v>583896.55000000005</v>
      </c>
    </row>
    <row r="32" spans="2:27" s="74" customFormat="1" ht="20.149999999999999" customHeight="1" x14ac:dyDescent="0.3">
      <c r="B32" s="197"/>
      <c r="C32" s="3"/>
      <c r="D32" s="1"/>
      <c r="E32" s="4"/>
      <c r="F32" s="98"/>
      <c r="G32" s="98"/>
      <c r="H32" s="98"/>
      <c r="I32" s="98"/>
      <c r="J32" s="98"/>
      <c r="K32" s="98"/>
      <c r="L32" s="98"/>
      <c r="M32" s="24">
        <f t="shared" ref="M32" si="10">SUM(G32,I32,J32,K32,L32)</f>
        <v>0</v>
      </c>
      <c r="N32" s="25">
        <f t="shared" si="6"/>
        <v>0</v>
      </c>
      <c r="O32" s="25">
        <f t="shared" si="3"/>
        <v>0</v>
      </c>
      <c r="P32" s="23"/>
      <c r="Q32" s="31"/>
      <c r="R32" s="23"/>
      <c r="S32" s="31"/>
      <c r="T32" s="179" t="str">
        <f t="shared" si="4"/>
        <v>19001</v>
      </c>
      <c r="U32" s="178">
        <f t="shared" si="5"/>
        <v>190605.65000000002</v>
      </c>
      <c r="V32" s="178"/>
      <c r="W32" s="178">
        <f>$G$12+SUM($G$16:G32)</f>
        <v>367515.14</v>
      </c>
      <c r="X32" s="178">
        <f>$I$12+SUM($I$16:I32)+$J$12+SUM($J$16:J32)</f>
        <v>18375.759999999998</v>
      </c>
      <c r="Y32" s="178">
        <f>$K$12+SUM($K$16:K32)</f>
        <v>7400</v>
      </c>
      <c r="Z32" s="178">
        <f>$L$12+SUM($L$16:L32)</f>
        <v>40000</v>
      </c>
      <c r="AA32" s="178">
        <f>$F$12+SUM($F$16:F32)</f>
        <v>583896.55000000005</v>
      </c>
    </row>
    <row r="33" spans="2:27" s="74" customFormat="1" ht="20.149999999999999" customHeight="1" x14ac:dyDescent="0.3">
      <c r="B33" s="197"/>
      <c r="C33" s="3"/>
      <c r="D33" s="1"/>
      <c r="E33" s="4"/>
      <c r="F33" s="98"/>
      <c r="G33" s="98"/>
      <c r="H33" s="98"/>
      <c r="I33" s="98"/>
      <c r="J33" s="98"/>
      <c r="K33" s="98"/>
      <c r="L33" s="98"/>
      <c r="M33" s="24">
        <f t="shared" si="7"/>
        <v>0</v>
      </c>
      <c r="N33" s="25">
        <f t="shared" si="6"/>
        <v>0</v>
      </c>
      <c r="O33" s="25">
        <f t="shared" si="3"/>
        <v>0</v>
      </c>
      <c r="P33" s="23"/>
      <c r="Q33" s="31"/>
      <c r="R33" s="23"/>
      <c r="S33" s="31"/>
      <c r="T33" s="179" t="str">
        <f t="shared" si="4"/>
        <v>19001</v>
      </c>
      <c r="U33" s="178">
        <f t="shared" si="5"/>
        <v>190605.65000000002</v>
      </c>
      <c r="V33" s="178"/>
      <c r="W33" s="178">
        <f>$G$12+SUM($G$16:G33)</f>
        <v>367515.14</v>
      </c>
      <c r="X33" s="178">
        <f>$I$12+SUM($I$16:I33)+$J$12+SUM($J$16:J33)</f>
        <v>18375.759999999998</v>
      </c>
      <c r="Y33" s="178">
        <f>$K$12+SUM($K$16:K33)</f>
        <v>7400</v>
      </c>
      <c r="Z33" s="178">
        <f>$L$12+SUM($L$16:L33)</f>
        <v>40000</v>
      </c>
      <c r="AA33" s="178">
        <f>$F$12+SUM($F$16:F33)</f>
        <v>583896.55000000005</v>
      </c>
    </row>
    <row r="34" spans="2:27" s="74" customFormat="1" ht="20.149999999999999" customHeight="1" x14ac:dyDescent="0.3">
      <c r="B34" s="197"/>
      <c r="C34" s="3"/>
      <c r="D34" s="1"/>
      <c r="E34" s="4"/>
      <c r="F34" s="98"/>
      <c r="G34" s="98"/>
      <c r="H34" s="98"/>
      <c r="I34" s="98"/>
      <c r="J34" s="98"/>
      <c r="K34" s="98"/>
      <c r="L34" s="98"/>
      <c r="M34" s="24">
        <f t="shared" si="7"/>
        <v>0</v>
      </c>
      <c r="N34" s="25">
        <f t="shared" si="6"/>
        <v>0</v>
      </c>
      <c r="O34" s="25">
        <f t="shared" si="3"/>
        <v>0</v>
      </c>
      <c r="P34" s="23"/>
      <c r="Q34" s="31"/>
      <c r="R34" s="23"/>
      <c r="S34" s="31"/>
      <c r="T34" s="179" t="str">
        <f t="shared" si="4"/>
        <v>19001</v>
      </c>
      <c r="U34" s="178">
        <f t="shared" si="5"/>
        <v>190605.65000000002</v>
      </c>
      <c r="V34" s="178"/>
      <c r="W34" s="178">
        <f>$G$12+SUM($G$16:G34)</f>
        <v>367515.14</v>
      </c>
      <c r="X34" s="178">
        <f>$I$12+SUM($I$16:I34)+$J$12+SUM($J$16:J34)</f>
        <v>18375.759999999998</v>
      </c>
      <c r="Y34" s="178">
        <f>$K$12+SUM($K$16:K34)</f>
        <v>7400</v>
      </c>
      <c r="Z34" s="178">
        <f>$L$12+SUM($L$16:L34)</f>
        <v>40000</v>
      </c>
      <c r="AA34" s="178">
        <f>$F$12+SUM($F$16:F34)</f>
        <v>583896.55000000005</v>
      </c>
    </row>
    <row r="35" spans="2:27" s="74" customFormat="1" ht="20.149999999999999" customHeight="1" x14ac:dyDescent="0.3">
      <c r="B35" s="197"/>
      <c r="C35" s="3"/>
      <c r="D35" s="1"/>
      <c r="E35" s="4"/>
      <c r="F35" s="98"/>
      <c r="G35" s="98"/>
      <c r="H35" s="98"/>
      <c r="I35" s="98"/>
      <c r="J35" s="98"/>
      <c r="K35" s="98"/>
      <c r="L35" s="98"/>
      <c r="M35" s="24">
        <f t="shared" si="7"/>
        <v>0</v>
      </c>
      <c r="N35" s="25">
        <f>IF(F35=0,0,(F35-G35-J35-K35-I35-L35)/F35)</f>
        <v>0</v>
      </c>
      <c r="O35" s="25">
        <f t="shared" si="3"/>
        <v>0</v>
      </c>
      <c r="P35" s="23"/>
      <c r="Q35" s="31"/>
      <c r="R35" s="23"/>
      <c r="S35" s="31"/>
      <c r="T35" s="179" t="str">
        <f t="shared" si="4"/>
        <v>19001</v>
      </c>
      <c r="U35" s="178">
        <f t="shared" si="5"/>
        <v>190605.65000000002</v>
      </c>
      <c r="V35" s="178"/>
      <c r="W35" s="178">
        <f>$G$12+SUM($G$16:G35)</f>
        <v>367515.14</v>
      </c>
      <c r="X35" s="178">
        <f>$I$12+SUM($I$16:I35)+$J$12+SUM($J$16:J35)</f>
        <v>18375.759999999998</v>
      </c>
      <c r="Y35" s="178">
        <f>$K$12+SUM($K$16:K35)</f>
        <v>7400</v>
      </c>
      <c r="Z35" s="178">
        <f>$L$12+SUM($L$16:L35)</f>
        <v>40000</v>
      </c>
      <c r="AA35" s="178">
        <f>$F$12+SUM($F$16:F35)</f>
        <v>583896.55000000005</v>
      </c>
    </row>
    <row r="36" spans="2:27" s="96" customFormat="1" ht="20.149999999999999" customHeight="1" x14ac:dyDescent="0.3">
      <c r="B36" s="305" t="s">
        <v>84</v>
      </c>
      <c r="C36" s="305"/>
      <c r="D36" s="305"/>
      <c r="E36" s="305"/>
      <c r="F36" s="57">
        <f>SUMIF(B16:B35,"AMPLIACION",F16:F35)</f>
        <v>0</v>
      </c>
      <c r="G36" s="57">
        <f>SUMIF(B16:B35,"AMPLIACION",G16:G35)</f>
        <v>0</v>
      </c>
      <c r="H36" s="57">
        <f>SUMIF(B16:B35,"AMPLIACION",H16:H35)</f>
        <v>0</v>
      </c>
      <c r="I36" s="57">
        <f>SUMIF(B16:B35,"AMPLIACION",I16:I35)</f>
        <v>0</v>
      </c>
      <c r="J36" s="57">
        <f>SUMIF(B16:B35,"AMPLIACION",J16:J35)</f>
        <v>0</v>
      </c>
      <c r="K36" s="57">
        <f>SUMIF(B16:B35,"AMPLIACION",K16:K35)</f>
        <v>0</v>
      </c>
      <c r="L36" s="57">
        <f>SUMIF(B16:B35,"AMPLIACION",L16:L35)</f>
        <v>0</v>
      </c>
      <c r="M36" s="57">
        <f t="shared" si="7"/>
        <v>0</v>
      </c>
      <c r="N36" s="58">
        <f>IF(F36=0,0,(F36-G36-J36-K36-I36-L36)/F36)</f>
        <v>0</v>
      </c>
      <c r="O36" s="58">
        <f t="shared" ref="O36" si="11">IF(F36=0,0,(F36-G36/0.93-I36/0.93-J36/0.93-K36-L36)/F36)</f>
        <v>0</v>
      </c>
      <c r="P36" s="31"/>
      <c r="Q36" s="31"/>
      <c r="R36" s="31"/>
      <c r="S36" s="31"/>
      <c r="T36" s="180"/>
      <c r="U36" s="178"/>
      <c r="V36" s="178"/>
      <c r="W36" s="178"/>
      <c r="X36" s="178"/>
      <c r="Y36" s="178"/>
      <c r="Z36" s="178"/>
      <c r="AA36" s="178"/>
    </row>
    <row r="37" spans="2:27" s="96" customFormat="1" ht="20.149999999999999" customHeight="1" x14ac:dyDescent="0.3">
      <c r="B37" s="305" t="s">
        <v>85</v>
      </c>
      <c r="C37" s="305"/>
      <c r="D37" s="305"/>
      <c r="E37" s="305"/>
      <c r="F37" s="57">
        <f>SUMIF(B16:B35,"REESTIMACION",F16:F35)</f>
        <v>0</v>
      </c>
      <c r="G37" s="57">
        <f>SUMIF(B16:B35,"REESTIMACION",G16:G35)</f>
        <v>0</v>
      </c>
      <c r="H37" s="57">
        <f>SUMIF(B16:B35,"REESTIMACION",H16:H35)</f>
        <v>0</v>
      </c>
      <c r="I37" s="57">
        <f>SUMIF(B16:B35,"REESTIMACION",I16:I35)</f>
        <v>0</v>
      </c>
      <c r="J37" s="57">
        <f>SUMIF(B16:B35,"REESTIMACION",J16:J35)</f>
        <v>0</v>
      </c>
      <c r="K37" s="57">
        <f>SUMIF(B16:B35,"REESTIMACION",K16:K35)</f>
        <v>0</v>
      </c>
      <c r="L37" s="57">
        <f>SUMIF(B16:B35,"REESTIMACION",L16:L35)</f>
        <v>0</v>
      </c>
      <c r="M37" s="57">
        <f t="shared" ref="M37" si="12">SUM(G37,I37,J37,K37,L37)</f>
        <v>0</v>
      </c>
      <c r="N37" s="58">
        <f>IF(F37=0,0,(F37-G37-J37-K37-I37-L37)/F37)</f>
        <v>0</v>
      </c>
      <c r="O37" s="58">
        <f t="shared" ref="O37" si="13">IF(F37=0,0,(F37-G37/0.93-I37/0.93-J37/0.93-K37-L37)/F37)</f>
        <v>0</v>
      </c>
      <c r="P37" s="31"/>
      <c r="Q37" s="29"/>
      <c r="R37" s="31"/>
      <c r="S37" s="29"/>
      <c r="T37" s="180"/>
      <c r="U37" s="178"/>
      <c r="V37" s="178"/>
      <c r="W37" s="178"/>
      <c r="X37" s="178"/>
      <c r="Y37" s="178"/>
      <c r="Z37" s="178"/>
      <c r="AA37" s="178"/>
    </row>
    <row r="38" spans="2:27" ht="20.149999999999999" customHeight="1" x14ac:dyDescent="0.3">
      <c r="C38" s="30"/>
      <c r="D38" s="31"/>
      <c r="E38" s="31"/>
      <c r="F38" s="31"/>
      <c r="G38" s="31"/>
      <c r="H38" s="31"/>
      <c r="I38" s="31"/>
      <c r="J38" s="31"/>
      <c r="K38" s="31"/>
      <c r="L38" s="31"/>
      <c r="M38" s="31"/>
      <c r="N38" s="31"/>
      <c r="O38" s="31"/>
      <c r="P38" s="31"/>
      <c r="Q38" s="31"/>
      <c r="R38" s="31"/>
      <c r="S38" s="31"/>
      <c r="T38" s="180"/>
      <c r="U38" s="178"/>
      <c r="V38" s="178"/>
      <c r="W38" s="178"/>
      <c r="X38" s="178"/>
      <c r="Y38" s="178"/>
      <c r="Z38" s="178"/>
      <c r="AA38" s="178"/>
    </row>
    <row r="39" spans="2:27" s="59" customFormat="1" ht="20.149999999999999" customHeight="1" x14ac:dyDescent="0.35">
      <c r="C39" s="60"/>
      <c r="D39" s="60"/>
      <c r="E39" s="60"/>
      <c r="F39" s="60"/>
      <c r="G39" s="60"/>
      <c r="H39" s="60"/>
      <c r="I39" s="60"/>
      <c r="J39" s="60"/>
      <c r="K39" s="60"/>
      <c r="L39" s="60"/>
      <c r="M39" s="60"/>
      <c r="N39" s="60"/>
      <c r="O39" s="60"/>
      <c r="P39" s="60"/>
      <c r="Q39" s="60"/>
      <c r="R39" s="60"/>
      <c r="S39" s="60"/>
    </row>
    <row r="40" spans="2:27" s="59" customFormat="1" ht="20.149999999999999" customHeight="1" x14ac:dyDescent="0.35">
      <c r="C40" s="60"/>
      <c r="D40" s="60"/>
      <c r="E40" s="60"/>
      <c r="F40" s="60"/>
      <c r="G40" s="60"/>
      <c r="H40" s="60"/>
      <c r="I40" s="60"/>
      <c r="J40" s="60"/>
      <c r="K40" s="60"/>
      <c r="L40" s="60"/>
      <c r="M40" s="60"/>
      <c r="N40" s="60"/>
      <c r="O40" s="60"/>
      <c r="P40" s="60"/>
      <c r="Q40" s="60"/>
      <c r="R40" s="60"/>
      <c r="S40" s="60"/>
    </row>
    <row r="41" spans="2:27" s="59" customFormat="1" ht="20.149999999999999" customHeight="1" x14ac:dyDescent="0.35">
      <c r="C41" s="60"/>
      <c r="D41" s="60"/>
      <c r="E41" s="60"/>
      <c r="F41" s="60"/>
      <c r="G41" s="60"/>
      <c r="H41" s="60"/>
      <c r="I41" s="60"/>
      <c r="J41" s="60"/>
      <c r="K41" s="60"/>
      <c r="L41" s="60"/>
      <c r="M41" s="60"/>
      <c r="N41" s="60"/>
      <c r="O41" s="60"/>
      <c r="P41" s="60"/>
      <c r="Q41" s="60"/>
      <c r="R41" s="60"/>
      <c r="S41" s="60"/>
    </row>
    <row r="42" spans="2:27" ht="20.149999999999999" customHeight="1" x14ac:dyDescent="0.3">
      <c r="C42" s="31"/>
      <c r="D42" s="31"/>
      <c r="E42" s="31"/>
      <c r="F42" s="31"/>
      <c r="G42" s="31"/>
      <c r="H42" s="31"/>
      <c r="I42" s="31"/>
      <c r="J42" s="31"/>
      <c r="K42" s="31"/>
      <c r="L42" s="31"/>
      <c r="M42" s="31"/>
      <c r="N42" s="31"/>
      <c r="O42" s="31"/>
      <c r="P42" s="31"/>
      <c r="Q42" s="31"/>
      <c r="R42" s="31"/>
      <c r="S42" s="31"/>
    </row>
    <row r="43" spans="2:27" ht="20.149999999999999" customHeight="1" x14ac:dyDescent="0.3"/>
    <row r="48" spans="2:27" ht="20.149999999999999" customHeight="1" x14ac:dyDescent="0.3">
      <c r="B48" s="72" t="s">
        <v>86</v>
      </c>
      <c r="C48" s="72"/>
      <c r="D48" s="72"/>
      <c r="E48" s="31"/>
      <c r="F48" s="31"/>
      <c r="G48" s="31"/>
      <c r="H48" s="31"/>
      <c r="I48" s="31"/>
      <c r="J48" s="31"/>
      <c r="K48" s="31"/>
      <c r="L48" s="31"/>
      <c r="M48" s="31"/>
      <c r="N48" s="31"/>
      <c r="O48" s="31"/>
      <c r="P48" s="31"/>
      <c r="R48" s="31"/>
    </row>
    <row r="49" spans="2:18" ht="285.75" customHeight="1" x14ac:dyDescent="0.3">
      <c r="B49" s="289" t="s">
        <v>87</v>
      </c>
      <c r="C49" s="290"/>
      <c r="D49" s="290"/>
      <c r="E49" s="290"/>
      <c r="F49" s="290"/>
      <c r="G49" s="290"/>
      <c r="H49" s="290"/>
      <c r="I49" s="290"/>
      <c r="J49" s="291"/>
      <c r="K49" s="31"/>
      <c r="L49" s="31"/>
      <c r="M49" s="31"/>
      <c r="N49" s="31"/>
      <c r="O49" s="31"/>
      <c r="P49" s="31"/>
      <c r="R49" s="31"/>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BZ69"/>
  <sheetViews>
    <sheetView showGridLines="0" topLeftCell="T1" zoomScale="55" zoomScaleNormal="55" workbookViewId="0">
      <selection activeCell="AD1" sqref="AD1:BL1048576"/>
    </sheetView>
  </sheetViews>
  <sheetFormatPr baseColWidth="10" defaultColWidth="9.1796875" defaultRowHeight="13.5" x14ac:dyDescent="0.25"/>
  <cols>
    <col min="1" max="1" width="2.1796875" style="100" customWidth="1"/>
    <col min="2" max="2" width="25.7265625" style="100" customWidth="1"/>
    <col min="3" max="3" width="31" style="100" customWidth="1"/>
    <col min="4" max="4" width="15.7265625" style="100" customWidth="1"/>
    <col min="5" max="5" width="25.7265625" style="101" customWidth="1"/>
    <col min="6" max="65" width="14.7265625" style="100" customWidth="1"/>
    <col min="66" max="66" width="11.26953125" style="100" customWidth="1"/>
    <col min="67" max="16384" width="9.1796875" style="100"/>
  </cols>
  <sheetData>
    <row r="2" spans="2:78" ht="21" customHeight="1" x14ac:dyDescent="0.25">
      <c r="B2" s="26" t="s">
        <v>5</v>
      </c>
      <c r="C2" s="27" t="str">
        <f>'Project Infor'!C10</f>
        <v>ZEV-PCE0012-1001</v>
      </c>
      <c r="D2" s="102" t="str">
        <f>'Project Infor'!C11</f>
        <v>Smart Airport en la nueva terminal de Puerto Vallarta</v>
      </c>
      <c r="E2" s="103"/>
      <c r="F2" s="103"/>
      <c r="G2" s="103"/>
      <c r="H2" s="103"/>
      <c r="I2" s="103"/>
    </row>
    <row r="3" spans="2:78" ht="9" customHeight="1" x14ac:dyDescent="0.25">
      <c r="B3" s="71"/>
      <c r="C3" s="71"/>
      <c r="D3" s="104"/>
      <c r="E3" s="104"/>
      <c r="F3" s="71"/>
      <c r="G3" s="71"/>
    </row>
    <row r="4" spans="2:78" ht="15" customHeight="1" x14ac:dyDescent="0.25">
      <c r="B4" s="105"/>
      <c r="C4" s="106"/>
      <c r="D4" s="106"/>
      <c r="E4" s="106"/>
      <c r="F4" s="106"/>
      <c r="G4" s="106"/>
      <c r="H4" s="106"/>
      <c r="I4" s="106"/>
      <c r="J4" s="106"/>
      <c r="K4" s="106"/>
      <c r="L4" s="106"/>
      <c r="M4" s="106"/>
      <c r="N4" s="106"/>
      <c r="O4" s="106"/>
    </row>
    <row r="5" spans="2:78" ht="20.149999999999999" customHeight="1" x14ac:dyDescent="0.25">
      <c r="B5" s="81" t="s">
        <v>88</v>
      </c>
      <c r="C5" s="107"/>
      <c r="D5" s="106"/>
      <c r="E5" s="281" t="s">
        <v>89</v>
      </c>
      <c r="F5" s="281"/>
      <c r="G5" s="281"/>
      <c r="H5" s="281"/>
      <c r="I5" s="176"/>
      <c r="J5" s="106"/>
      <c r="K5" s="106"/>
      <c r="L5" s="106"/>
      <c r="M5" s="106"/>
      <c r="N5" s="106"/>
      <c r="O5" s="106"/>
      <c r="P5" s="106"/>
      <c r="Q5" s="106"/>
      <c r="R5" s="106"/>
      <c r="S5" s="106"/>
      <c r="T5" s="106"/>
    </row>
    <row r="6" spans="2:78" s="110" customFormat="1" ht="35.15" customHeight="1" x14ac:dyDescent="0.25">
      <c r="B6" s="239" t="s">
        <v>14</v>
      </c>
      <c r="C6" s="108" t="s">
        <v>90</v>
      </c>
      <c r="D6" s="108" t="s">
        <v>91</v>
      </c>
      <c r="E6" s="108" t="s">
        <v>92</v>
      </c>
      <c r="F6" s="109">
        <v>45962</v>
      </c>
      <c r="G6" s="109">
        <v>45992</v>
      </c>
      <c r="H6" s="109">
        <v>46023</v>
      </c>
      <c r="I6" s="109">
        <v>46054</v>
      </c>
      <c r="J6" s="109">
        <v>46082</v>
      </c>
      <c r="K6" s="109">
        <v>46113</v>
      </c>
      <c r="L6" s="109">
        <v>46143</v>
      </c>
      <c r="M6" s="109">
        <v>46174</v>
      </c>
      <c r="N6" s="109">
        <v>46204</v>
      </c>
      <c r="O6" s="109">
        <v>46235</v>
      </c>
      <c r="P6" s="109">
        <v>46266</v>
      </c>
      <c r="Q6" s="109">
        <v>46296</v>
      </c>
      <c r="R6" s="109">
        <f t="shared" ref="R6" si="0">EOMONTH(Q6,1)</f>
        <v>46356</v>
      </c>
      <c r="S6" s="109">
        <f t="shared" ref="S6" si="1">EOMONTH(R6,1)</f>
        <v>46387</v>
      </c>
      <c r="T6" s="109">
        <f t="shared" ref="T6" si="2">EOMONTH(S6,1)</f>
        <v>46418</v>
      </c>
      <c r="U6" s="109">
        <f t="shared" ref="U6" si="3">EOMONTH(T6,1)</f>
        <v>46446</v>
      </c>
      <c r="V6" s="109">
        <f t="shared" ref="V6" si="4">EOMONTH(U6,1)</f>
        <v>46477</v>
      </c>
      <c r="W6" s="109">
        <f t="shared" ref="W6" si="5">EOMONTH(V6,1)</f>
        <v>46507</v>
      </c>
      <c r="X6" s="109">
        <f t="shared" ref="X6" si="6">EOMONTH(W6,1)</f>
        <v>46538</v>
      </c>
      <c r="Y6" s="109">
        <f t="shared" ref="Y6" si="7">EOMONTH(X6,1)</f>
        <v>46568</v>
      </c>
      <c r="Z6" s="109">
        <f t="shared" ref="Z6" si="8">EOMONTH(Y6,1)</f>
        <v>46599</v>
      </c>
      <c r="AA6" s="109">
        <f t="shared" ref="AA6" si="9">EOMONTH(Z6,1)</f>
        <v>46630</v>
      </c>
      <c r="AB6" s="109">
        <f t="shared" ref="AB6" si="10">EOMONTH(AA6,1)</f>
        <v>46660</v>
      </c>
      <c r="AC6" s="109">
        <f t="shared" ref="AC6" si="11">EOMONTH(AB6,1)</f>
        <v>46691</v>
      </c>
      <c r="AD6" s="109">
        <f t="shared" ref="AD6" si="12">EOMONTH(AC6,1)</f>
        <v>46721</v>
      </c>
      <c r="AE6" s="109">
        <f t="shared" ref="AE6" si="13">EOMONTH(AD6,1)</f>
        <v>46752</v>
      </c>
      <c r="AF6" s="109">
        <f t="shared" ref="AF6" si="14">EOMONTH(AE6,1)</f>
        <v>46783</v>
      </c>
      <c r="AG6" s="109">
        <f t="shared" ref="AG6" si="15">EOMONTH(AF6,1)</f>
        <v>46812</v>
      </c>
      <c r="AH6" s="109">
        <f t="shared" ref="AH6" si="16">EOMONTH(AG6,1)</f>
        <v>46843</v>
      </c>
      <c r="AI6" s="109">
        <f t="shared" ref="AI6" si="17">EOMONTH(AH6,1)</f>
        <v>46873</v>
      </c>
      <c r="AJ6" s="109">
        <f t="shared" ref="AJ6" si="18">EOMONTH(AI6,1)</f>
        <v>46904</v>
      </c>
      <c r="AK6" s="109">
        <f t="shared" ref="AK6" si="19">EOMONTH(AJ6,1)</f>
        <v>46934</v>
      </c>
      <c r="AL6" s="109">
        <f t="shared" ref="AL6" si="20">EOMONTH(AK6,1)</f>
        <v>46965</v>
      </c>
      <c r="AM6" s="109">
        <f t="shared" ref="AM6" si="21">EOMONTH(AL6,1)</f>
        <v>46996</v>
      </c>
      <c r="AN6" s="109">
        <f t="shared" ref="AN6" si="22">EOMONTH(AM6,1)</f>
        <v>47026</v>
      </c>
      <c r="AO6" s="109">
        <f t="shared" ref="AO6" si="23">EOMONTH(AN6,1)</f>
        <v>47057</v>
      </c>
      <c r="AP6" s="109">
        <f t="shared" ref="AP6" si="24">EOMONTH(AO6,1)</f>
        <v>47087</v>
      </c>
      <c r="AQ6" s="109">
        <f t="shared" ref="AQ6" si="25">EOMONTH(AP6,1)</f>
        <v>47118</v>
      </c>
      <c r="AR6" s="109">
        <f t="shared" ref="AR6" si="26">EOMONTH(AQ6,1)</f>
        <v>47149</v>
      </c>
      <c r="AS6" s="109">
        <f t="shared" ref="AS6" si="27">EOMONTH(AR6,1)</f>
        <v>47177</v>
      </c>
      <c r="AT6" s="109">
        <f t="shared" ref="AT6" si="28">EOMONTH(AS6,1)</f>
        <v>47208</v>
      </c>
      <c r="AU6" s="109">
        <f t="shared" ref="AU6" si="29">EOMONTH(AT6,1)</f>
        <v>47238</v>
      </c>
      <c r="AV6" s="109">
        <f t="shared" ref="AV6" si="30">EOMONTH(AU6,1)</f>
        <v>47269</v>
      </c>
      <c r="AW6" s="109">
        <f t="shared" ref="AW6" si="31">EOMONTH(AV6,1)</f>
        <v>47299</v>
      </c>
      <c r="AX6" s="109">
        <f t="shared" ref="AX6" si="32">EOMONTH(AW6,1)</f>
        <v>47330</v>
      </c>
      <c r="AY6" s="109">
        <f t="shared" ref="AY6" si="33">EOMONTH(AX6,1)</f>
        <v>47361</v>
      </c>
      <c r="AZ6" s="109">
        <f t="shared" ref="AZ6" si="34">EOMONTH(AY6,1)</f>
        <v>47391</v>
      </c>
      <c r="BA6" s="109">
        <f t="shared" ref="BA6" si="35">EOMONTH(AZ6,1)</f>
        <v>47422</v>
      </c>
      <c r="BB6" s="109">
        <f t="shared" ref="BB6" si="36">EOMONTH(BA6,1)</f>
        <v>47452</v>
      </c>
      <c r="BC6" s="109">
        <f t="shared" ref="BC6" si="37">EOMONTH(BB6,1)</f>
        <v>47483</v>
      </c>
      <c r="BD6" s="109">
        <f t="shared" ref="BD6" si="38">EOMONTH(BC6,1)</f>
        <v>47514</v>
      </c>
      <c r="BE6" s="109">
        <f t="shared" ref="BE6" si="39">EOMONTH(BD6,1)</f>
        <v>47542</v>
      </c>
      <c r="BF6" s="109">
        <f t="shared" ref="BF6" si="40">EOMONTH(BE6,1)</f>
        <v>47573</v>
      </c>
      <c r="BG6" s="109">
        <f t="shared" ref="BG6" si="41">EOMONTH(BF6,1)</f>
        <v>47603</v>
      </c>
      <c r="BH6" s="109">
        <f t="shared" ref="BH6" si="42">EOMONTH(BG6,1)</f>
        <v>47634</v>
      </c>
      <c r="BI6" s="109">
        <f t="shared" ref="BI6" si="43">EOMONTH(BH6,1)</f>
        <v>47664</v>
      </c>
      <c r="BJ6" s="109">
        <f t="shared" ref="BJ6" si="44">EOMONTH(BI6,1)</f>
        <v>47695</v>
      </c>
      <c r="BK6" s="109">
        <f t="shared" ref="BK6" si="45">EOMONTH(BJ6,1)</f>
        <v>47726</v>
      </c>
      <c r="BL6" s="109">
        <f t="shared" ref="BL6" si="46">EOMONTH(BK6,1)</f>
        <v>47756</v>
      </c>
      <c r="BM6" s="109">
        <f t="shared" ref="BM6" si="47">EOMONTH(BL6,1)</f>
        <v>47787</v>
      </c>
      <c r="BO6" s="100"/>
      <c r="BP6" s="100"/>
      <c r="BQ6" s="100"/>
      <c r="BR6" s="100"/>
      <c r="BS6" s="100"/>
      <c r="BT6" s="100"/>
      <c r="BU6" s="100"/>
      <c r="BV6" s="100"/>
      <c r="BW6" s="100"/>
      <c r="BX6" s="100"/>
      <c r="BY6" s="100"/>
      <c r="BZ6" s="100"/>
    </row>
    <row r="7" spans="2:78" s="111" customFormat="1" ht="20.149999999999999" customHeight="1" x14ac:dyDescent="0.35">
      <c r="B7" t="s">
        <v>279</v>
      </c>
      <c r="C7" t="s">
        <v>280</v>
      </c>
      <c r="D7" t="s">
        <v>93</v>
      </c>
      <c r="E7" t="s">
        <v>281</v>
      </c>
      <c r="F7">
        <v>40</v>
      </c>
      <c r="G7">
        <v>40</v>
      </c>
      <c r="H7">
        <v>41.2</v>
      </c>
      <c r="I7">
        <v>41.2</v>
      </c>
      <c r="J7">
        <v>41.2</v>
      </c>
      <c r="K7">
        <v>41.2</v>
      </c>
      <c r="L7">
        <v>41.2</v>
      </c>
      <c r="M7">
        <v>41.2</v>
      </c>
      <c r="N7">
        <v>41.2</v>
      </c>
      <c r="O7">
        <v>41.2</v>
      </c>
      <c r="P7">
        <v>41.2</v>
      </c>
      <c r="Q7">
        <v>41.2</v>
      </c>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O7" s="100"/>
      <c r="BP7" s="100"/>
      <c r="BQ7" s="100"/>
      <c r="BR7" s="100"/>
      <c r="BS7" s="100"/>
      <c r="BT7" s="100"/>
      <c r="BU7" s="100"/>
      <c r="BV7" s="100"/>
      <c r="BW7" s="100"/>
      <c r="BX7" s="100"/>
      <c r="BY7" s="100"/>
      <c r="BZ7" s="100"/>
    </row>
    <row r="8" spans="2:78" s="111" customFormat="1" ht="20.149999999999999" customHeight="1" x14ac:dyDescent="0.35">
      <c r="B8" t="s">
        <v>282</v>
      </c>
      <c r="C8" t="s">
        <v>283</v>
      </c>
      <c r="D8" t="s">
        <v>91</v>
      </c>
      <c r="E8" t="s">
        <v>284</v>
      </c>
      <c r="F8">
        <v>26</v>
      </c>
      <c r="G8">
        <v>26</v>
      </c>
      <c r="H8">
        <v>26.780000000000005</v>
      </c>
      <c r="I8">
        <v>26.780000000000005</v>
      </c>
      <c r="J8">
        <v>26.780000000000005</v>
      </c>
      <c r="K8">
        <v>26.780000000000005</v>
      </c>
      <c r="L8">
        <v>26.780000000000005</v>
      </c>
      <c r="M8">
        <v>26.780000000000005</v>
      </c>
      <c r="N8">
        <v>26.780000000000005</v>
      </c>
      <c r="O8">
        <v>26.780000000000005</v>
      </c>
      <c r="P8">
        <v>26.780000000000005</v>
      </c>
      <c r="Q8">
        <v>26.780000000000005</v>
      </c>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O8" s="100"/>
      <c r="BP8" s="100"/>
      <c r="BQ8" s="100"/>
      <c r="BR8" s="100"/>
      <c r="BS8" s="100"/>
      <c r="BT8" s="100"/>
      <c r="BU8" s="100"/>
      <c r="BV8" s="100"/>
      <c r="BW8" s="100"/>
      <c r="BX8" s="100"/>
      <c r="BY8" s="100"/>
      <c r="BZ8" s="100"/>
    </row>
    <row r="9" spans="2:78" s="111" customFormat="1" ht="20.149999999999999" customHeight="1" x14ac:dyDescent="0.35">
      <c r="B9" t="s">
        <v>285</v>
      </c>
      <c r="C9" t="s">
        <v>286</v>
      </c>
      <c r="D9" t="s">
        <v>91</v>
      </c>
      <c r="E9" t="s">
        <v>287</v>
      </c>
      <c r="F9">
        <v>16</v>
      </c>
      <c r="G9">
        <v>16</v>
      </c>
      <c r="H9">
        <v>16.48</v>
      </c>
      <c r="I9">
        <v>16.48</v>
      </c>
      <c r="J9">
        <v>16.48</v>
      </c>
      <c r="K9">
        <v>16.48</v>
      </c>
      <c r="L9">
        <v>16.48</v>
      </c>
      <c r="M9">
        <v>16.48</v>
      </c>
      <c r="N9">
        <v>16.48</v>
      </c>
      <c r="O9">
        <v>16.48</v>
      </c>
      <c r="P9">
        <v>16.48</v>
      </c>
      <c r="Q9">
        <v>16.48</v>
      </c>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O9" s="100"/>
      <c r="BP9" s="100"/>
      <c r="BQ9" s="100"/>
      <c r="BR9" s="100"/>
      <c r="BS9" s="100"/>
      <c r="BT9" s="100"/>
      <c r="BU9" s="100"/>
      <c r="BV9" s="100"/>
      <c r="BW9" s="100"/>
      <c r="BX9" s="100"/>
      <c r="BY9" s="100"/>
      <c r="BZ9" s="100"/>
    </row>
    <row r="10" spans="2:78" s="111" customFormat="1" ht="20.149999999999999" customHeight="1" x14ac:dyDescent="0.35">
      <c r="B10" t="s">
        <v>288</v>
      </c>
      <c r="C10" t="s">
        <v>289</v>
      </c>
      <c r="D10" t="s">
        <v>91</v>
      </c>
      <c r="E10" t="s">
        <v>109</v>
      </c>
      <c r="F10">
        <v>38.75</v>
      </c>
      <c r="G10">
        <v>38.75</v>
      </c>
      <c r="H10">
        <v>39.912500000000001</v>
      </c>
      <c r="I10">
        <v>39.912500000000001</v>
      </c>
      <c r="J10">
        <v>39.912500000000001</v>
      </c>
      <c r="K10">
        <v>39.912500000000001</v>
      </c>
      <c r="L10">
        <v>39.912500000000001</v>
      </c>
      <c r="M10">
        <v>39.912500000000001</v>
      </c>
      <c r="N10">
        <v>39.912500000000001</v>
      </c>
      <c r="O10">
        <v>39.912500000000001</v>
      </c>
      <c r="P10">
        <v>39.912500000000001</v>
      </c>
      <c r="Q10">
        <v>39.912500000000001</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O10" s="100"/>
      <c r="BP10" s="100"/>
      <c r="BQ10" s="100"/>
      <c r="BR10" s="100"/>
      <c r="BS10" s="100"/>
      <c r="BT10" s="100"/>
      <c r="BU10" s="100"/>
      <c r="BV10" s="100"/>
      <c r="BW10" s="100"/>
      <c r="BX10" s="100"/>
      <c r="BY10" s="100"/>
      <c r="BZ10" s="100"/>
    </row>
    <row r="11" spans="2:78" s="111" customFormat="1" ht="20.149999999999999" customHeight="1" x14ac:dyDescent="0.35">
      <c r="B11" t="s">
        <v>290</v>
      </c>
      <c r="C11" t="s">
        <v>291</v>
      </c>
      <c r="D11" t="s">
        <v>91</v>
      </c>
      <c r="E11" t="s">
        <v>292</v>
      </c>
      <c r="F11">
        <v>27</v>
      </c>
      <c r="G11">
        <v>27</v>
      </c>
      <c r="H11">
        <v>27.81</v>
      </c>
      <c r="I11">
        <v>27.81</v>
      </c>
      <c r="J11">
        <v>27.81</v>
      </c>
      <c r="K11">
        <v>27.81</v>
      </c>
      <c r="L11">
        <v>27.81</v>
      </c>
      <c r="M11">
        <v>27.81</v>
      </c>
      <c r="N11">
        <v>27.81</v>
      </c>
      <c r="O11">
        <v>27.81</v>
      </c>
      <c r="P11">
        <v>27.81</v>
      </c>
      <c r="Q11">
        <v>27.81</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O11" s="100"/>
      <c r="BP11" s="100"/>
      <c r="BQ11" s="100"/>
      <c r="BR11" s="100"/>
      <c r="BS11" s="100"/>
      <c r="BT11" s="100"/>
      <c r="BU11" s="100"/>
      <c r="BV11" s="100"/>
      <c r="BW11" s="100"/>
      <c r="BX11" s="100"/>
      <c r="BY11" s="100"/>
      <c r="BZ11" s="100"/>
    </row>
    <row r="12" spans="2:78" s="111" customFormat="1" ht="20.149999999999999" customHeight="1" x14ac:dyDescent="0.35">
      <c r="B12" t="s">
        <v>293</v>
      </c>
      <c r="C12" t="s">
        <v>294</v>
      </c>
      <c r="D12" t="s">
        <v>91</v>
      </c>
      <c r="E12" t="s">
        <v>295</v>
      </c>
      <c r="F12">
        <v>20</v>
      </c>
      <c r="G12">
        <v>20</v>
      </c>
      <c r="H12">
        <v>20.6</v>
      </c>
      <c r="I12">
        <v>20.6</v>
      </c>
      <c r="J12">
        <v>20.6</v>
      </c>
      <c r="K12">
        <v>20.6</v>
      </c>
      <c r="L12">
        <v>20.6</v>
      </c>
      <c r="M12">
        <v>20.6</v>
      </c>
      <c r="N12">
        <v>20.6</v>
      </c>
      <c r="O12">
        <v>20.6</v>
      </c>
      <c r="P12">
        <v>20.6</v>
      </c>
      <c r="Q12">
        <v>20.6</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row>
    <row r="13" spans="2:78" s="111" customFormat="1" ht="20.149999999999999" customHeight="1" x14ac:dyDescent="0.35">
      <c r="B13" t="s">
        <v>296</v>
      </c>
      <c r="C13" t="s">
        <v>123</v>
      </c>
      <c r="D13" t="s">
        <v>91</v>
      </c>
      <c r="E13" t="s">
        <v>297</v>
      </c>
      <c r="F13">
        <v>25</v>
      </c>
      <c r="G13">
        <v>25</v>
      </c>
      <c r="H13">
        <v>25.75</v>
      </c>
      <c r="I13">
        <v>25.75</v>
      </c>
      <c r="J13">
        <v>25.75</v>
      </c>
      <c r="K13">
        <v>25.75</v>
      </c>
      <c r="L13">
        <v>25.75</v>
      </c>
      <c r="M13">
        <v>25.75</v>
      </c>
      <c r="N13">
        <v>25.75</v>
      </c>
      <c r="O13">
        <v>25.75</v>
      </c>
      <c r="P13">
        <v>25.75</v>
      </c>
      <c r="Q13">
        <v>25.75</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row>
    <row r="14" spans="2:78" s="111" customFormat="1" ht="20.149999999999999" customHeight="1" x14ac:dyDescent="0.35">
      <c r="B14"/>
      <c r="C14"/>
      <c r="D14"/>
      <c r="E14"/>
      <c r="F14"/>
      <c r="G14"/>
      <c r="H14"/>
      <c r="I14"/>
      <c r="J14"/>
      <c r="K14"/>
      <c r="L14"/>
      <c r="M14"/>
      <c r="N14"/>
      <c r="O14"/>
      <c r="P14"/>
      <c r="Q14"/>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row>
    <row r="15" spans="2:78" s="111" customFormat="1" ht="20.149999999999999" customHeight="1" x14ac:dyDescent="0.35">
      <c r="B15"/>
      <c r="C15"/>
      <c r="D15"/>
      <c r="E15"/>
      <c r="F15"/>
      <c r="G15"/>
      <c r="H15"/>
      <c r="I15"/>
      <c r="J15"/>
      <c r="K15"/>
      <c r="L15"/>
      <c r="M15"/>
      <c r="N15"/>
      <c r="O15"/>
      <c r="P15"/>
      <c r="Q1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row>
    <row r="16" spans="2:78" s="111" customFormat="1" ht="20.149999999999999" customHeight="1" x14ac:dyDescent="0.35">
      <c r="B16"/>
      <c r="C16"/>
      <c r="D16"/>
      <c r="E16"/>
      <c r="F16"/>
      <c r="G16"/>
      <c r="H16"/>
      <c r="I16"/>
      <c r="J16"/>
      <c r="K16"/>
      <c r="L16"/>
      <c r="M16"/>
      <c r="N16"/>
      <c r="O16"/>
      <c r="P16"/>
      <c r="Q16"/>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row>
    <row r="17" spans="2:78" s="111" customFormat="1" ht="20.149999999999999" customHeight="1" x14ac:dyDescent="0.35">
      <c r="B17"/>
      <c r="C17"/>
      <c r="D17"/>
      <c r="E17"/>
      <c r="F17"/>
      <c r="G17"/>
      <c r="H17"/>
      <c r="I17"/>
      <c r="J17"/>
      <c r="K17"/>
      <c r="L17"/>
      <c r="M17"/>
      <c r="N17"/>
      <c r="O17"/>
      <c r="P17"/>
      <c r="Q17"/>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O17" s="100"/>
      <c r="BP17" s="100"/>
      <c r="BQ17" s="100"/>
      <c r="BR17" s="100"/>
      <c r="BS17" s="100"/>
      <c r="BT17" s="100"/>
      <c r="BU17" s="100"/>
      <c r="BV17" s="100"/>
      <c r="BW17" s="100"/>
      <c r="BX17" s="100"/>
      <c r="BY17" s="100"/>
      <c r="BZ17" s="100"/>
    </row>
    <row r="18" spans="2:78" s="111" customFormat="1" ht="20.149999999999999" customHeight="1" x14ac:dyDescent="0.35">
      <c r="B18"/>
      <c r="C18"/>
      <c r="D18"/>
      <c r="E18"/>
      <c r="F18"/>
      <c r="G18"/>
      <c r="H18"/>
      <c r="I18"/>
      <c r="J18"/>
      <c r="K18"/>
      <c r="L18"/>
      <c r="M18"/>
      <c r="N18"/>
      <c r="O18"/>
      <c r="P18"/>
      <c r="Q18"/>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O18" s="100"/>
      <c r="BP18" s="100"/>
      <c r="BQ18" s="100"/>
      <c r="BR18" s="100"/>
      <c r="BS18" s="100"/>
      <c r="BT18" s="100"/>
      <c r="BU18" s="100"/>
      <c r="BV18" s="100"/>
      <c r="BW18" s="100"/>
      <c r="BX18" s="100"/>
      <c r="BY18" s="100"/>
      <c r="BZ18" s="100"/>
    </row>
    <row r="19" spans="2:78" s="111" customFormat="1" ht="20.149999999999999" customHeight="1" x14ac:dyDescent="0.35">
      <c r="B19"/>
      <c r="C19"/>
      <c r="D19"/>
      <c r="E19"/>
      <c r="F19"/>
      <c r="G19"/>
      <c r="H19"/>
      <c r="I19"/>
      <c r="J19"/>
      <c r="K19"/>
      <c r="L19"/>
      <c r="M19"/>
      <c r="N19"/>
      <c r="O19"/>
      <c r="P19"/>
      <c r="Q1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O19" s="100"/>
      <c r="BP19" s="100"/>
      <c r="BQ19" s="100"/>
      <c r="BR19" s="100"/>
      <c r="BS19" s="100"/>
      <c r="BT19" s="100"/>
      <c r="BU19" s="100"/>
      <c r="BV19" s="100"/>
      <c r="BW19" s="100"/>
      <c r="BX19" s="100"/>
      <c r="BY19" s="100"/>
      <c r="BZ19" s="100"/>
    </row>
    <row r="20" spans="2:78" s="111" customFormat="1" ht="20.149999999999999" customHeight="1" x14ac:dyDescent="0.35">
      <c r="B20"/>
      <c r="C20"/>
      <c r="D20"/>
      <c r="E20"/>
      <c r="F20"/>
      <c r="G20"/>
      <c r="H20"/>
      <c r="I20"/>
      <c r="J20"/>
      <c r="K20"/>
      <c r="L20"/>
      <c r="M20"/>
      <c r="N20"/>
      <c r="O20"/>
      <c r="P20"/>
      <c r="Q20"/>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O20" s="100"/>
      <c r="BP20" s="100"/>
      <c r="BQ20" s="100"/>
      <c r="BR20" s="100"/>
      <c r="BS20" s="100"/>
      <c r="BT20" s="100"/>
      <c r="BU20" s="100"/>
      <c r="BV20" s="100"/>
      <c r="BW20" s="100"/>
      <c r="BX20" s="100"/>
      <c r="BY20" s="100"/>
      <c r="BZ20" s="100"/>
    </row>
    <row r="21" spans="2:78" s="111" customFormat="1" ht="20.149999999999999" customHeight="1" x14ac:dyDescent="0.35">
      <c r="B21"/>
      <c r="C21"/>
      <c r="D21"/>
      <c r="E21"/>
      <c r="F21"/>
      <c r="G21"/>
      <c r="H21"/>
      <c r="I21"/>
      <c r="J21"/>
      <c r="K21"/>
      <c r="L21"/>
      <c r="M21"/>
      <c r="N21"/>
      <c r="O21"/>
      <c r="P21"/>
      <c r="Q2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O21" s="100"/>
      <c r="BP21" s="100"/>
      <c r="BQ21" s="100"/>
      <c r="BR21" s="100"/>
      <c r="BS21" s="100"/>
      <c r="BT21" s="100"/>
      <c r="BU21" s="100"/>
      <c r="BV21" s="100"/>
      <c r="BW21" s="100"/>
      <c r="BX21" s="100"/>
      <c r="BY21" s="100"/>
      <c r="BZ21" s="100"/>
    </row>
    <row r="22" spans="2:78" s="111" customFormat="1" ht="20.149999999999999" customHeight="1" x14ac:dyDescent="0.35">
      <c r="B22"/>
      <c r="C22"/>
      <c r="D22"/>
      <c r="E22"/>
      <c r="F22"/>
      <c r="G22"/>
      <c r="H22"/>
      <c r="I22"/>
      <c r="J22"/>
      <c r="K22"/>
      <c r="L22"/>
      <c r="M22"/>
      <c r="N22"/>
      <c r="O22"/>
      <c r="P22"/>
      <c r="Q22"/>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row>
    <row r="23" spans="2:78" s="111" customFormat="1" ht="20.149999999999999" customHeight="1" x14ac:dyDescent="0.35">
      <c r="B23"/>
      <c r="C23"/>
      <c r="D23"/>
      <c r="E23"/>
      <c r="F23"/>
      <c r="G23"/>
      <c r="H23"/>
      <c r="I23"/>
      <c r="J23"/>
      <c r="K23"/>
      <c r="L23"/>
      <c r="M23"/>
      <c r="N23"/>
      <c r="O23"/>
      <c r="P23"/>
      <c r="Q23"/>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row>
    <row r="24" spans="2:78" s="111" customFormat="1" ht="20.149999999999999" customHeight="1" x14ac:dyDescent="0.35">
      <c r="B24"/>
      <c r="C24"/>
      <c r="D24"/>
      <c r="E24"/>
      <c r="F24"/>
      <c r="G24"/>
      <c r="H24"/>
      <c r="I24"/>
      <c r="J24"/>
      <c r="K24"/>
      <c r="L24"/>
      <c r="M24"/>
      <c r="N24"/>
      <c r="O24"/>
      <c r="P24"/>
      <c r="Q24"/>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row>
    <row r="25" spans="2:78" s="111" customFormat="1" ht="20.149999999999999" customHeight="1" x14ac:dyDescent="0.35">
      <c r="B25"/>
      <c r="C25"/>
      <c r="D25"/>
      <c r="E25"/>
      <c r="F25"/>
      <c r="G25"/>
      <c r="H25"/>
      <c r="I25"/>
      <c r="J25"/>
      <c r="K25"/>
      <c r="L25"/>
      <c r="M25"/>
      <c r="N25"/>
      <c r="O25"/>
      <c r="P25"/>
      <c r="Q2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row>
    <row r="26" spans="2:78" s="111" customFormat="1" ht="20.149999999999999" customHeight="1" x14ac:dyDescent="0.35">
      <c r="B26"/>
      <c r="C26"/>
      <c r="D26"/>
      <c r="E26"/>
      <c r="F26"/>
      <c r="G26"/>
      <c r="H26"/>
      <c r="I26"/>
      <c r="J26"/>
      <c r="K26"/>
      <c r="L26"/>
      <c r="M26"/>
      <c r="N26"/>
      <c r="O26"/>
      <c r="P26"/>
      <c r="Q26"/>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row>
    <row r="27" spans="2:78" s="111" customFormat="1" ht="20.149999999999999" customHeight="1" x14ac:dyDescent="0.35">
      <c r="B27"/>
      <c r="C27"/>
      <c r="D27"/>
      <c r="E27"/>
      <c r="F27"/>
      <c r="G27"/>
      <c r="H27"/>
      <c r="I27"/>
      <c r="J27"/>
      <c r="K27"/>
      <c r="L27"/>
      <c r="M27"/>
      <c r="N27"/>
      <c r="O27"/>
      <c r="P27"/>
      <c r="Q27"/>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O27" s="100"/>
      <c r="BP27" s="100"/>
      <c r="BQ27" s="100"/>
      <c r="BR27" s="100"/>
      <c r="BS27" s="100"/>
      <c r="BT27" s="100"/>
      <c r="BU27" s="100"/>
      <c r="BV27" s="100"/>
      <c r="BW27" s="100"/>
      <c r="BX27" s="100"/>
      <c r="BY27" s="100"/>
      <c r="BZ27" s="100"/>
    </row>
    <row r="28" spans="2:78" s="111" customFormat="1" ht="20.149999999999999" customHeight="1" x14ac:dyDescent="0.35">
      <c r="B28"/>
      <c r="C28"/>
      <c r="D28"/>
      <c r="E28"/>
      <c r="F28"/>
      <c r="G28"/>
      <c r="H28"/>
      <c r="I28"/>
      <c r="J28"/>
      <c r="K28"/>
      <c r="L28"/>
      <c r="M28"/>
      <c r="N28"/>
      <c r="O28"/>
      <c r="P28"/>
      <c r="Q28"/>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O28" s="100"/>
      <c r="BP28" s="100"/>
      <c r="BQ28" s="100"/>
      <c r="BR28" s="100"/>
      <c r="BS28" s="100"/>
      <c r="BT28" s="100"/>
      <c r="BU28" s="100"/>
      <c r="BV28" s="100"/>
      <c r="BW28" s="100"/>
      <c r="BX28" s="100"/>
      <c r="BY28" s="100"/>
      <c r="BZ28" s="100"/>
    </row>
    <row r="29" spans="2:78" s="111" customFormat="1" ht="20.149999999999999" customHeight="1" x14ac:dyDescent="0.35">
      <c r="B29"/>
      <c r="C29"/>
      <c r="D29"/>
      <c r="E29"/>
      <c r="F29"/>
      <c r="G29"/>
      <c r="H29"/>
      <c r="I29"/>
      <c r="J29"/>
      <c r="K29"/>
      <c r="L29"/>
      <c r="M29"/>
      <c r="N29"/>
      <c r="O29"/>
      <c r="P29"/>
      <c r="Q2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O29" s="100"/>
      <c r="BP29" s="100"/>
      <c r="BQ29" s="100"/>
      <c r="BR29" s="100"/>
      <c r="BS29" s="100"/>
      <c r="BT29" s="100"/>
      <c r="BU29" s="100"/>
      <c r="BV29" s="100"/>
      <c r="BW29" s="100"/>
      <c r="BX29" s="100"/>
      <c r="BY29" s="100"/>
      <c r="BZ29" s="100"/>
    </row>
    <row r="30" spans="2:78" s="111" customFormat="1" ht="20.149999999999999" customHeight="1" x14ac:dyDescent="0.35">
      <c r="B30"/>
      <c r="C30"/>
      <c r="D30"/>
      <c r="E30"/>
      <c r="F30"/>
      <c r="G30"/>
      <c r="H30"/>
      <c r="I30"/>
      <c r="J30"/>
      <c r="K30"/>
      <c r="L30"/>
      <c r="M30"/>
      <c r="N30"/>
      <c r="O30"/>
      <c r="P30"/>
      <c r="Q30"/>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O30" s="100"/>
      <c r="BP30" s="100"/>
      <c r="BQ30" s="100"/>
      <c r="BR30" s="100"/>
      <c r="BS30" s="100"/>
      <c r="BT30" s="100"/>
      <c r="BU30" s="100"/>
      <c r="BV30" s="100"/>
      <c r="BW30" s="100"/>
      <c r="BX30" s="100"/>
      <c r="BY30" s="100"/>
      <c r="BZ30" s="100"/>
    </row>
    <row r="31" spans="2:78" s="111" customFormat="1" ht="20.149999999999999" customHeight="1" x14ac:dyDescent="0.35">
      <c r="B31"/>
      <c r="C31"/>
      <c r="D31"/>
      <c r="E31"/>
      <c r="F31"/>
      <c r="G31"/>
      <c r="H31"/>
      <c r="I31"/>
      <c r="J31"/>
      <c r="K31"/>
      <c r="L31"/>
      <c r="M31"/>
      <c r="N31"/>
      <c r="O31"/>
      <c r="P31"/>
      <c r="Q3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O31" s="100"/>
      <c r="BP31" s="100"/>
      <c r="BQ31" s="100"/>
      <c r="BR31" s="100"/>
      <c r="BS31" s="100"/>
      <c r="BT31" s="100"/>
      <c r="BU31" s="100"/>
      <c r="BV31" s="100"/>
      <c r="BW31" s="100"/>
      <c r="BX31" s="100"/>
      <c r="BY31" s="100"/>
      <c r="BZ31" s="100"/>
    </row>
    <row r="32" spans="2:78" s="111" customFormat="1" ht="20.149999999999999" customHeight="1" x14ac:dyDescent="0.35">
      <c r="B32"/>
      <c r="C32"/>
      <c r="D32"/>
      <c r="E32"/>
      <c r="F32"/>
      <c r="G32"/>
      <c r="H32"/>
      <c r="I32"/>
      <c r="J32"/>
      <c r="K32"/>
      <c r="L32"/>
      <c r="M32"/>
      <c r="N32"/>
      <c r="O32"/>
      <c r="P32"/>
      <c r="Q32"/>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row>
    <row r="33" spans="2:78" s="111" customFormat="1" ht="20.149999999999999" customHeight="1" x14ac:dyDescent="0.35">
      <c r="B33"/>
      <c r="C33"/>
      <c r="D33"/>
      <c r="E33"/>
      <c r="F33"/>
      <c r="G33"/>
      <c r="H33"/>
      <c r="I33"/>
      <c r="J33"/>
      <c r="K33"/>
      <c r="L33"/>
      <c r="M33"/>
      <c r="N33"/>
      <c r="O33"/>
      <c r="P33"/>
      <c r="Q33"/>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row>
    <row r="34" spans="2:78" s="111" customFormat="1" ht="20.149999999999999" customHeight="1" x14ac:dyDescent="0.35">
      <c r="B34"/>
      <c r="C34"/>
      <c r="D34"/>
      <c r="E34"/>
      <c r="F34"/>
      <c r="G34"/>
      <c r="H34"/>
      <c r="I34"/>
      <c r="J34"/>
      <c r="K34"/>
      <c r="L34"/>
      <c r="M34"/>
      <c r="N34"/>
      <c r="O34"/>
      <c r="P34"/>
      <c r="Q34"/>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row>
    <row r="35" spans="2:78" s="111" customFormat="1" ht="20.149999999999999" customHeight="1" x14ac:dyDescent="0.35">
      <c r="B35"/>
      <c r="C35"/>
      <c r="D35"/>
      <c r="E35"/>
      <c r="F35"/>
      <c r="G35"/>
      <c r="H35"/>
      <c r="I35"/>
      <c r="J35"/>
      <c r="K35"/>
      <c r="L35"/>
      <c r="M35"/>
      <c r="N35"/>
      <c r="O35"/>
      <c r="P35"/>
      <c r="Q3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row>
    <row r="36" spans="2:78" s="111" customFormat="1" ht="20.149999999999999" customHeight="1" x14ac:dyDescent="0.35">
      <c r="B36"/>
      <c r="C36"/>
      <c r="D36"/>
      <c r="E36"/>
      <c r="F36"/>
      <c r="G36"/>
      <c r="H36"/>
      <c r="I36"/>
      <c r="J36"/>
      <c r="K36"/>
      <c r="L36"/>
      <c r="M36"/>
      <c r="N36"/>
      <c r="O36"/>
      <c r="P36"/>
      <c r="Q36"/>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row>
    <row r="37" spans="2:78" s="111" customFormat="1" ht="20.149999999999999" customHeight="1" x14ac:dyDescent="0.35">
      <c r="B37"/>
      <c r="C37"/>
      <c r="D37"/>
      <c r="E37"/>
      <c r="F37"/>
      <c r="G37"/>
      <c r="H37"/>
      <c r="I37"/>
      <c r="J37"/>
      <c r="K37"/>
      <c r="L37"/>
      <c r="M37"/>
      <c r="N37"/>
      <c r="O37"/>
      <c r="P37"/>
      <c r="Q37"/>
      <c r="R37" s="190"/>
      <c r="S37" s="190"/>
      <c r="T37" s="190"/>
      <c r="U37" s="190"/>
      <c r="V37" s="190"/>
      <c r="W37" s="190"/>
      <c r="X37" s="190"/>
      <c r="Y37" s="190"/>
      <c r="Z37" s="190"/>
      <c r="AA37" s="190"/>
      <c r="AB37" s="190"/>
      <c r="AC37" s="190"/>
      <c r="AD37" s="190"/>
      <c r="AE37" s="190"/>
      <c r="AF37" s="190"/>
      <c r="AG37" s="190"/>
      <c r="AH37" s="190"/>
      <c r="AI37" s="190"/>
      <c r="AJ37" s="190"/>
      <c r="AK37" s="190"/>
      <c r="AL37" s="190"/>
      <c r="AM37" s="190"/>
      <c r="AN37" s="190"/>
      <c r="AO37" s="190"/>
      <c r="AP37" s="190"/>
      <c r="AQ37" s="190"/>
      <c r="AR37" s="190"/>
      <c r="AS37" s="190"/>
      <c r="AT37" s="190"/>
      <c r="AU37" s="190"/>
      <c r="AV37" s="190"/>
      <c r="AW37" s="190"/>
      <c r="AX37" s="190"/>
      <c r="AY37" s="190"/>
      <c r="AZ37" s="190"/>
      <c r="BA37" s="190"/>
      <c r="BB37" s="190"/>
      <c r="BC37" s="190"/>
      <c r="BD37" s="190"/>
      <c r="BE37" s="190"/>
      <c r="BF37" s="190"/>
      <c r="BG37" s="190"/>
      <c r="BH37" s="190"/>
      <c r="BI37" s="190"/>
      <c r="BJ37" s="190"/>
      <c r="BK37" s="190"/>
      <c r="BL37" s="190"/>
      <c r="BM37" s="190"/>
    </row>
    <row r="38" spans="2:78" ht="14.5" x14ac:dyDescent="0.35">
      <c r="B38"/>
      <c r="C38"/>
      <c r="D38"/>
      <c r="E38"/>
      <c r="F38"/>
      <c r="G38"/>
      <c r="H38"/>
      <c r="I38"/>
      <c r="J38"/>
      <c r="K38"/>
      <c r="L38"/>
      <c r="M38"/>
      <c r="N38"/>
      <c r="O38"/>
      <c r="P38"/>
      <c r="Q38"/>
    </row>
    <row r="39" spans="2:78" ht="14.5" x14ac:dyDescent="0.35">
      <c r="B39"/>
      <c r="C39"/>
      <c r="D39"/>
      <c r="E39"/>
      <c r="F39"/>
      <c r="G39"/>
      <c r="H39"/>
      <c r="I39"/>
      <c r="J39"/>
      <c r="K39"/>
      <c r="L39"/>
      <c r="M39"/>
      <c r="N39"/>
      <c r="O39"/>
      <c r="P39"/>
      <c r="Q39"/>
    </row>
    <row r="40" spans="2:78" ht="14.5" x14ac:dyDescent="0.35">
      <c r="B40"/>
      <c r="C40"/>
      <c r="D40"/>
      <c r="E40"/>
      <c r="F40"/>
      <c r="G40"/>
      <c r="H40"/>
      <c r="I40"/>
      <c r="J40"/>
      <c r="K40"/>
      <c r="L40"/>
      <c r="M40"/>
      <c r="N40"/>
      <c r="O40"/>
      <c r="P40"/>
      <c r="Q40"/>
    </row>
    <row r="41" spans="2:78" ht="14.5" x14ac:dyDescent="0.35">
      <c r="B41"/>
      <c r="C41"/>
      <c r="D41"/>
      <c r="E41"/>
      <c r="F41"/>
      <c r="G41"/>
      <c r="H41"/>
      <c r="I41"/>
      <c r="J41"/>
      <c r="K41"/>
      <c r="L41"/>
      <c r="M41"/>
      <c r="N41"/>
      <c r="O41"/>
      <c r="P41"/>
      <c r="Q41"/>
    </row>
    <row r="42" spans="2:78" ht="14.5" x14ac:dyDescent="0.35">
      <c r="B42"/>
      <c r="C42"/>
      <c r="D42"/>
      <c r="E42"/>
      <c r="F42"/>
      <c r="G42"/>
      <c r="H42"/>
      <c r="I42"/>
      <c r="J42"/>
      <c r="K42"/>
      <c r="L42"/>
      <c r="M42"/>
      <c r="N42"/>
      <c r="O42"/>
      <c r="P42"/>
      <c r="Q42"/>
    </row>
    <row r="43" spans="2:78" ht="14.5" x14ac:dyDescent="0.35">
      <c r="B43"/>
      <c r="C43"/>
      <c r="D43"/>
      <c r="E43"/>
      <c r="F43"/>
      <c r="G43"/>
      <c r="H43"/>
      <c r="I43"/>
      <c r="J43"/>
      <c r="K43"/>
      <c r="L43"/>
      <c r="M43"/>
      <c r="N43"/>
      <c r="O43"/>
      <c r="P43"/>
      <c r="Q43"/>
    </row>
    <row r="44" spans="2:78" ht="20.149999999999999" customHeight="1" x14ac:dyDescent="0.25">
      <c r="B44" s="106"/>
      <c r="C44" s="106"/>
      <c r="D44" s="106"/>
      <c r="E44" s="113"/>
      <c r="F44" s="106"/>
      <c r="G44" s="106"/>
      <c r="H44" s="106"/>
      <c r="I44" s="106"/>
      <c r="J44" s="106"/>
      <c r="K44" s="106"/>
      <c r="L44" s="106"/>
      <c r="M44" s="106"/>
      <c r="N44" s="106"/>
      <c r="O44" s="106"/>
      <c r="P44" s="106"/>
    </row>
    <row r="45" spans="2:78" ht="20.149999999999999" customHeight="1" x14ac:dyDescent="0.25">
      <c r="B45" s="81" t="s">
        <v>94</v>
      </c>
      <c r="C45" s="114"/>
      <c r="D45" s="106"/>
      <c r="E45" s="113"/>
      <c r="F45" s="106"/>
      <c r="G45" s="106"/>
      <c r="H45" s="106"/>
      <c r="I45" s="106"/>
      <c r="J45" s="106"/>
      <c r="K45" s="106"/>
      <c r="L45" s="106"/>
      <c r="M45" s="106"/>
      <c r="N45" s="106"/>
      <c r="O45" s="106"/>
      <c r="P45" s="106"/>
      <c r="Q45" s="106"/>
    </row>
    <row r="46" spans="2:78" s="110" customFormat="1" ht="31.5" customHeight="1" x14ac:dyDescent="0.25">
      <c r="B46" s="239" t="s">
        <v>95</v>
      </c>
      <c r="C46" s="108" t="s">
        <v>96</v>
      </c>
      <c r="D46" s="106"/>
      <c r="E46" s="113"/>
      <c r="F46" s="106"/>
      <c r="G46" s="106"/>
      <c r="H46" s="106"/>
      <c r="I46" s="106"/>
      <c r="J46" s="106"/>
      <c r="K46" s="106"/>
      <c r="L46" s="106"/>
      <c r="M46" s="106"/>
      <c r="N46" s="106"/>
      <c r="O46" s="106"/>
      <c r="P46" s="100"/>
      <c r="Q46" s="100"/>
      <c r="R46" s="100"/>
      <c r="S46" s="100"/>
      <c r="T46" s="100"/>
      <c r="U46" s="100"/>
      <c r="V46" s="100"/>
      <c r="W46" s="100"/>
      <c r="X46" s="100"/>
      <c r="Y46" s="100"/>
      <c r="Z46" s="100"/>
      <c r="AA46" s="100"/>
      <c r="AB46" s="100"/>
      <c r="AC46" s="100"/>
      <c r="AD46" s="100"/>
      <c r="AE46" s="100"/>
      <c r="AF46" s="100"/>
      <c r="AG46" s="100"/>
      <c r="AH46" s="100"/>
      <c r="AI46" s="100"/>
      <c r="AJ46" s="100"/>
      <c r="AK46" s="100"/>
      <c r="AL46" s="100"/>
      <c r="AM46" s="100"/>
      <c r="AN46" s="100"/>
      <c r="AO46" s="100"/>
      <c r="AP46" s="100"/>
      <c r="AQ46" s="100"/>
      <c r="AR46" s="100"/>
      <c r="AS46" s="100"/>
      <c r="AT46" s="100"/>
      <c r="AU46" s="100"/>
      <c r="AV46" s="100"/>
      <c r="AW46" s="100"/>
      <c r="AX46" s="100"/>
      <c r="AY46" s="100"/>
      <c r="AZ46" s="100"/>
      <c r="BA46" s="100"/>
      <c r="BB46" s="100"/>
      <c r="BC46" s="100"/>
      <c r="BD46" s="100"/>
      <c r="BE46" s="100"/>
      <c r="BF46" s="100"/>
      <c r="BG46" s="100"/>
      <c r="BH46" s="100"/>
      <c r="BI46" s="100"/>
      <c r="BJ46" s="100"/>
      <c r="BK46" s="100"/>
      <c r="BL46" s="100"/>
      <c r="BM46" s="100"/>
      <c r="BN46" s="100"/>
      <c r="BO46" s="100"/>
      <c r="BP46" s="100"/>
      <c r="BQ46" s="100"/>
      <c r="BR46" s="100"/>
      <c r="BS46" s="100"/>
      <c r="BT46" s="100"/>
      <c r="BU46" s="100"/>
      <c r="BV46" s="100"/>
      <c r="BW46" s="100"/>
      <c r="BX46" s="100"/>
      <c r="BY46" s="100"/>
      <c r="BZ46" s="100"/>
    </row>
    <row r="47" spans="2:78" s="111" customFormat="1" ht="20.149999999999999" customHeight="1" x14ac:dyDescent="0.25">
      <c r="B47" s="1" t="s">
        <v>97</v>
      </c>
      <c r="C47" s="4" t="s">
        <v>16</v>
      </c>
      <c r="E47" s="113"/>
      <c r="F47" s="106"/>
      <c r="G47" s="106"/>
      <c r="H47" s="106"/>
      <c r="I47" s="106"/>
      <c r="J47" s="106"/>
      <c r="K47" s="106"/>
      <c r="L47" s="106"/>
      <c r="M47" s="106"/>
      <c r="N47" s="106"/>
      <c r="O47" s="106"/>
      <c r="P47" s="100"/>
      <c r="Q47" s="100"/>
      <c r="R47" s="100"/>
      <c r="S47" s="100"/>
      <c r="T47" s="100"/>
      <c r="U47" s="100"/>
      <c r="V47" s="100"/>
      <c r="W47" s="100"/>
      <c r="X47" s="100"/>
      <c r="Y47" s="100"/>
      <c r="Z47" s="100"/>
      <c r="AA47" s="100"/>
      <c r="AB47" s="100"/>
      <c r="AC47" s="100"/>
      <c r="AD47" s="100"/>
      <c r="AE47" s="100"/>
      <c r="AF47" s="100"/>
      <c r="AG47" s="100"/>
      <c r="AH47" s="100"/>
      <c r="AI47" s="100"/>
      <c r="AJ47" s="100"/>
      <c r="AK47" s="100"/>
      <c r="AL47" s="100"/>
      <c r="AM47" s="100"/>
      <c r="AN47" s="100"/>
      <c r="AO47" s="100"/>
      <c r="AP47" s="100"/>
      <c r="AQ47" s="100"/>
      <c r="AR47" s="100"/>
      <c r="AS47" s="100"/>
      <c r="AT47" s="100"/>
      <c r="AU47" s="100"/>
      <c r="AV47" s="100"/>
      <c r="AW47" s="100"/>
      <c r="AX47" s="100"/>
      <c r="AY47" s="100"/>
      <c r="AZ47" s="100"/>
      <c r="BA47" s="100"/>
      <c r="BB47" s="100"/>
      <c r="BC47" s="100"/>
      <c r="BD47" s="100"/>
      <c r="BE47" s="100"/>
      <c r="BF47" s="100"/>
      <c r="BG47" s="100"/>
      <c r="BH47" s="100"/>
      <c r="BI47" s="100"/>
      <c r="BJ47" s="100"/>
      <c r="BK47" s="100"/>
      <c r="BL47" s="100"/>
      <c r="BM47" s="100"/>
      <c r="BN47" s="100"/>
      <c r="BO47" s="100"/>
      <c r="BP47" s="100"/>
      <c r="BQ47" s="100"/>
      <c r="BR47" s="100"/>
      <c r="BS47" s="100"/>
      <c r="BT47" s="100"/>
      <c r="BU47" s="100"/>
      <c r="BV47" s="100"/>
      <c r="BW47" s="100"/>
      <c r="BX47" s="100"/>
      <c r="BY47" s="100"/>
      <c r="BZ47" s="100"/>
    </row>
    <row r="48" spans="2:78" s="111" customFormat="1" ht="20.149999999999999" customHeight="1" x14ac:dyDescent="0.25">
      <c r="B48" s="1" t="s">
        <v>98</v>
      </c>
      <c r="C48" s="4" t="s">
        <v>99</v>
      </c>
      <c r="E48" s="113"/>
      <c r="F48" s="106"/>
      <c r="G48" s="106"/>
      <c r="H48" s="106"/>
      <c r="I48" s="106"/>
      <c r="J48" s="106"/>
      <c r="K48" s="106"/>
      <c r="L48" s="106"/>
      <c r="M48" s="106"/>
      <c r="N48" s="106"/>
      <c r="O48" s="106"/>
      <c r="P48" s="100"/>
      <c r="Q48" s="100"/>
      <c r="R48" s="100"/>
      <c r="S48" s="100"/>
      <c r="T48" s="100"/>
      <c r="U48" s="100"/>
      <c r="V48" s="100"/>
      <c r="W48" s="100"/>
      <c r="X48" s="100"/>
      <c r="Y48" s="100"/>
      <c r="Z48" s="100"/>
      <c r="AA48" s="100"/>
      <c r="AB48" s="100"/>
      <c r="AC48" s="100"/>
      <c r="AD48" s="100"/>
      <c r="AE48" s="100"/>
      <c r="AF48" s="100"/>
      <c r="AG48" s="100"/>
      <c r="AH48" s="100"/>
      <c r="AI48" s="100"/>
      <c r="AJ48" s="100"/>
      <c r="AK48" s="100"/>
      <c r="AL48" s="100"/>
      <c r="AM48" s="100"/>
      <c r="AN48" s="100"/>
      <c r="AO48" s="100"/>
      <c r="AP48" s="100"/>
      <c r="AQ48" s="100"/>
      <c r="AR48" s="100"/>
      <c r="AS48" s="100"/>
      <c r="AT48" s="100"/>
      <c r="AU48" s="100"/>
      <c r="AV48" s="100"/>
      <c r="AW48" s="100"/>
      <c r="AX48" s="100"/>
      <c r="AY48" s="100"/>
      <c r="AZ48" s="100"/>
      <c r="BA48" s="100"/>
      <c r="BB48" s="100"/>
      <c r="BC48" s="100"/>
      <c r="BD48" s="100"/>
      <c r="BE48" s="100"/>
      <c r="BF48" s="100"/>
      <c r="BG48" s="100"/>
      <c r="BH48" s="100"/>
      <c r="BI48" s="100"/>
      <c r="BJ48" s="100"/>
      <c r="BK48" s="100"/>
      <c r="BL48" s="100"/>
      <c r="BM48" s="100"/>
      <c r="BN48" s="100"/>
      <c r="BO48" s="100"/>
      <c r="BP48" s="100"/>
      <c r="BQ48" s="100"/>
      <c r="BR48" s="100"/>
      <c r="BS48" s="100"/>
      <c r="BT48" s="100"/>
      <c r="BU48" s="100"/>
      <c r="BV48" s="100"/>
      <c r="BW48" s="100"/>
      <c r="BX48" s="100"/>
      <c r="BY48" s="100"/>
      <c r="BZ48" s="100"/>
    </row>
    <row r="49" spans="2:78" s="111" customFormat="1" ht="20.149999999999999" customHeight="1" x14ac:dyDescent="0.25">
      <c r="B49" s="1" t="s">
        <v>100</v>
      </c>
      <c r="C49" s="4" t="s">
        <v>101</v>
      </c>
      <c r="E49" s="113"/>
      <c r="F49" s="106"/>
      <c r="G49" s="106"/>
      <c r="H49" s="106"/>
      <c r="I49" s="106"/>
      <c r="J49" s="106"/>
      <c r="K49" s="106"/>
      <c r="L49" s="106"/>
      <c r="M49" s="106"/>
      <c r="N49" s="106"/>
      <c r="O49" s="106"/>
      <c r="P49" s="100"/>
      <c r="Q49" s="100"/>
      <c r="R49" s="100"/>
      <c r="S49" s="100"/>
      <c r="T49" s="100"/>
      <c r="U49" s="100"/>
      <c r="V49" s="100"/>
      <c r="W49" s="100"/>
      <c r="X49" s="100"/>
      <c r="Y49" s="100"/>
      <c r="Z49" s="100"/>
      <c r="AA49" s="100"/>
      <c r="AB49" s="100"/>
      <c r="AC49" s="100"/>
      <c r="AD49" s="100"/>
      <c r="AE49" s="100"/>
      <c r="AF49" s="100"/>
      <c r="AG49" s="100"/>
      <c r="AH49" s="100"/>
      <c r="AI49" s="100"/>
      <c r="AJ49" s="100"/>
      <c r="AK49" s="100"/>
      <c r="AL49" s="100"/>
      <c r="AM49" s="100"/>
      <c r="AN49" s="100"/>
      <c r="AO49" s="100"/>
      <c r="AP49" s="100"/>
      <c r="AQ49" s="100"/>
      <c r="AR49" s="100"/>
      <c r="AS49" s="100"/>
      <c r="AT49" s="100"/>
      <c r="AU49" s="100"/>
      <c r="AV49" s="100"/>
      <c r="AW49" s="100"/>
      <c r="AX49" s="100"/>
      <c r="AY49" s="100"/>
      <c r="AZ49" s="100"/>
      <c r="BA49" s="100"/>
      <c r="BB49" s="100"/>
      <c r="BC49" s="100"/>
      <c r="BD49" s="100"/>
      <c r="BE49" s="100"/>
      <c r="BF49" s="100"/>
      <c r="BG49" s="100"/>
      <c r="BH49" s="100"/>
      <c r="BI49" s="100"/>
      <c r="BJ49" s="100"/>
      <c r="BK49" s="100"/>
      <c r="BL49" s="100"/>
      <c r="BM49" s="100"/>
      <c r="BN49" s="100"/>
      <c r="BO49" s="100"/>
      <c r="BP49" s="100"/>
      <c r="BQ49" s="100"/>
      <c r="BR49" s="100"/>
      <c r="BS49" s="100"/>
      <c r="BT49" s="100"/>
      <c r="BU49" s="100"/>
      <c r="BV49" s="100"/>
      <c r="BW49" s="100"/>
      <c r="BX49" s="100"/>
      <c r="BY49" s="100"/>
      <c r="BZ49" s="100"/>
    </row>
    <row r="50" spans="2:78" s="111" customFormat="1" ht="20.149999999999999" customHeight="1" x14ac:dyDescent="0.25">
      <c r="B50" s="1" t="s">
        <v>102</v>
      </c>
      <c r="C50" s="4" t="s">
        <v>103</v>
      </c>
      <c r="E50" s="113"/>
      <c r="F50" s="106"/>
      <c r="G50" s="106"/>
      <c r="H50" s="106"/>
      <c r="I50" s="106"/>
      <c r="J50" s="106"/>
      <c r="K50" s="106"/>
      <c r="L50" s="106"/>
      <c r="M50" s="106"/>
      <c r="N50" s="106"/>
      <c r="O50" s="106"/>
      <c r="P50" s="100"/>
      <c r="Q50" s="100"/>
      <c r="R50" s="100"/>
      <c r="S50" s="100"/>
      <c r="T50" s="100"/>
      <c r="U50" s="100"/>
      <c r="V50" s="100"/>
      <c r="W50" s="100"/>
      <c r="X50" s="100"/>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c r="BF50" s="100"/>
      <c r="BG50" s="100"/>
      <c r="BH50" s="100"/>
      <c r="BI50" s="100"/>
      <c r="BJ50" s="100"/>
      <c r="BK50" s="100"/>
      <c r="BL50" s="100"/>
      <c r="BM50" s="100"/>
      <c r="BN50" s="100"/>
      <c r="BO50" s="100"/>
      <c r="BP50" s="100"/>
      <c r="BQ50" s="100"/>
      <c r="BR50" s="100"/>
      <c r="BS50" s="100"/>
      <c r="BT50" s="100"/>
      <c r="BU50" s="100"/>
      <c r="BV50" s="100"/>
      <c r="BW50" s="100"/>
      <c r="BX50" s="100"/>
      <c r="BY50" s="100"/>
      <c r="BZ50" s="100"/>
    </row>
    <row r="51" spans="2:78" s="111" customFormat="1" ht="20.149999999999999" customHeight="1" x14ac:dyDescent="0.25">
      <c r="B51" s="1" t="s">
        <v>104</v>
      </c>
      <c r="C51" s="4" t="s">
        <v>105</v>
      </c>
      <c r="E51" s="101"/>
      <c r="F51" s="106"/>
      <c r="G51" s="106"/>
      <c r="H51" s="106"/>
      <c r="I51" s="106"/>
      <c r="J51" s="106"/>
      <c r="K51" s="106"/>
      <c r="L51" s="106"/>
      <c r="M51" s="106"/>
      <c r="N51" s="106"/>
      <c r="O51" s="106"/>
      <c r="P51" s="100"/>
      <c r="Q51" s="100"/>
      <c r="R51" s="100"/>
      <c r="S51" s="100"/>
      <c r="T51" s="100"/>
      <c r="U51" s="100"/>
      <c r="V51" s="100"/>
      <c r="W51" s="100"/>
      <c r="X51" s="100"/>
      <c r="Y51" s="100"/>
      <c r="Z51" s="100"/>
      <c r="AA51" s="100"/>
      <c r="AB51" s="100"/>
      <c r="AC51" s="100"/>
      <c r="AD51" s="100"/>
      <c r="AE51" s="100"/>
      <c r="AF51" s="100"/>
      <c r="AG51" s="100"/>
      <c r="AH51" s="100"/>
      <c r="AI51" s="100"/>
      <c r="AJ51" s="100"/>
      <c r="AK51" s="100"/>
      <c r="AL51" s="100"/>
      <c r="AM51" s="100"/>
      <c r="AN51" s="100"/>
      <c r="AO51" s="100"/>
      <c r="AP51" s="100"/>
      <c r="AQ51" s="100"/>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0"/>
      <c r="BW51" s="100"/>
      <c r="BX51" s="100"/>
      <c r="BY51" s="100"/>
      <c r="BZ51" s="100"/>
    </row>
    <row r="52" spans="2:78" s="111" customFormat="1" ht="20.149999999999999" customHeight="1" x14ac:dyDescent="0.25">
      <c r="B52" s="1" t="s">
        <v>106</v>
      </c>
      <c r="C52" s="4" t="s">
        <v>107</v>
      </c>
      <c r="E52" s="101"/>
      <c r="F52" s="106"/>
      <c r="G52" s="106"/>
      <c r="H52" s="106"/>
      <c r="I52" s="106"/>
      <c r="J52" s="106"/>
      <c r="K52" s="106"/>
      <c r="L52" s="106"/>
      <c r="M52" s="106"/>
      <c r="N52" s="106"/>
      <c r="O52" s="106"/>
      <c r="P52" s="100"/>
      <c r="Q52" s="100"/>
      <c r="R52" s="100"/>
      <c r="S52" s="100"/>
      <c r="T52" s="100"/>
      <c r="U52" s="100"/>
      <c r="V52" s="100"/>
      <c r="W52" s="100"/>
      <c r="X52" s="100"/>
      <c r="Y52" s="100"/>
      <c r="Z52" s="100"/>
      <c r="AA52" s="100"/>
      <c r="AB52" s="100"/>
      <c r="AC52" s="100"/>
      <c r="AD52" s="100"/>
      <c r="AE52" s="100"/>
      <c r="AF52" s="100"/>
      <c r="AG52" s="100"/>
      <c r="AH52" s="100"/>
      <c r="AI52" s="100"/>
      <c r="AJ52" s="100"/>
      <c r="AK52" s="100"/>
      <c r="AL52" s="100"/>
      <c r="AM52" s="100"/>
      <c r="AN52" s="100"/>
      <c r="AO52" s="100"/>
      <c r="AP52" s="100"/>
      <c r="AQ52" s="100"/>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row>
    <row r="53" spans="2:78" s="111" customFormat="1" ht="20.149999999999999" customHeight="1" x14ac:dyDescent="0.25">
      <c r="B53" s="1" t="s">
        <v>108</v>
      </c>
      <c r="C53" s="4" t="s">
        <v>109</v>
      </c>
      <c r="E53" s="101"/>
      <c r="F53" s="106"/>
      <c r="G53" s="106"/>
      <c r="H53" s="106"/>
      <c r="I53" s="106"/>
      <c r="J53" s="106"/>
      <c r="K53" s="106"/>
      <c r="L53" s="106"/>
      <c r="M53" s="106"/>
      <c r="N53" s="106"/>
      <c r="O53" s="106"/>
      <c r="P53" s="100"/>
      <c r="Q53" s="100"/>
      <c r="R53" s="100"/>
      <c r="S53" s="100"/>
      <c r="T53" s="100"/>
      <c r="U53" s="100"/>
      <c r="V53" s="100"/>
      <c r="W53" s="100"/>
      <c r="X53" s="100"/>
      <c r="Y53" s="100"/>
      <c r="Z53" s="100"/>
      <c r="AA53" s="100"/>
      <c r="AB53" s="100"/>
      <c r="AC53" s="100"/>
      <c r="AD53" s="100"/>
      <c r="AE53" s="100"/>
      <c r="AF53" s="100"/>
      <c r="AG53" s="100"/>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100"/>
      <c r="BH53" s="100"/>
      <c r="BI53" s="100"/>
      <c r="BJ53" s="100"/>
      <c r="BK53" s="100"/>
      <c r="BL53" s="100"/>
      <c r="BM53" s="100"/>
      <c r="BN53" s="100"/>
      <c r="BO53" s="100"/>
    </row>
    <row r="54" spans="2:78" s="111" customFormat="1" ht="20.149999999999999" customHeight="1" x14ac:dyDescent="0.25">
      <c r="B54" s="1" t="s">
        <v>110</v>
      </c>
      <c r="C54" s="4" t="s">
        <v>111</v>
      </c>
      <c r="E54" s="101"/>
      <c r="F54" s="106"/>
      <c r="G54" s="106"/>
      <c r="H54" s="106"/>
      <c r="I54" s="106"/>
      <c r="J54" s="106"/>
      <c r="K54" s="106"/>
      <c r="L54" s="106"/>
      <c r="M54" s="106"/>
      <c r="N54" s="106"/>
      <c r="O54" s="106"/>
      <c r="P54" s="100"/>
      <c r="Q54" s="100"/>
      <c r="R54" s="100"/>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c r="AR54" s="100"/>
      <c r="AS54" s="100"/>
      <c r="AT54" s="100"/>
      <c r="AU54" s="100"/>
      <c r="AV54" s="100"/>
      <c r="AW54" s="100"/>
      <c r="AX54" s="100"/>
      <c r="AY54" s="100"/>
      <c r="AZ54" s="100"/>
      <c r="BA54" s="100"/>
      <c r="BB54" s="100"/>
      <c r="BC54" s="100"/>
      <c r="BD54" s="100"/>
      <c r="BE54" s="100"/>
      <c r="BF54" s="100"/>
      <c r="BG54" s="100"/>
      <c r="BH54" s="100"/>
      <c r="BI54" s="100"/>
      <c r="BJ54" s="100"/>
      <c r="BK54" s="100"/>
      <c r="BL54" s="100"/>
      <c r="BM54" s="100"/>
      <c r="BN54" s="100"/>
      <c r="BO54" s="100"/>
    </row>
    <row r="55" spans="2:78" s="111" customFormat="1" ht="20.149999999999999" customHeight="1" x14ac:dyDescent="0.25">
      <c r="B55" s="1" t="s">
        <v>112</v>
      </c>
      <c r="C55" s="4" t="s">
        <v>113</v>
      </c>
      <c r="E55" s="101"/>
      <c r="F55" s="106"/>
      <c r="G55" s="106"/>
      <c r="H55" s="106"/>
      <c r="I55" s="106"/>
      <c r="J55" s="106"/>
      <c r="K55" s="106"/>
      <c r="L55" s="106"/>
      <c r="M55" s="106"/>
      <c r="N55" s="106"/>
      <c r="O55" s="106"/>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c r="AR55" s="100"/>
      <c r="AS55" s="100"/>
      <c r="AT55" s="100"/>
      <c r="AU55" s="100"/>
      <c r="AV55" s="100"/>
      <c r="AW55" s="100"/>
      <c r="AX55" s="100"/>
      <c r="AY55" s="100"/>
      <c r="AZ55" s="100"/>
      <c r="BA55" s="100"/>
      <c r="BB55" s="100"/>
      <c r="BC55" s="100"/>
      <c r="BD55" s="100"/>
      <c r="BE55" s="100"/>
      <c r="BF55" s="100"/>
      <c r="BG55" s="100"/>
      <c r="BH55" s="100"/>
      <c r="BI55" s="100"/>
      <c r="BJ55" s="100"/>
      <c r="BK55" s="100"/>
      <c r="BL55" s="100"/>
      <c r="BM55" s="100"/>
      <c r="BN55" s="100"/>
      <c r="BO55" s="100"/>
    </row>
    <row r="56" spans="2:78" s="111" customFormat="1" ht="20.149999999999999" customHeight="1" x14ac:dyDescent="0.25">
      <c r="B56" s="1" t="s">
        <v>114</v>
      </c>
      <c r="C56" s="4" t="s">
        <v>115</v>
      </c>
      <c r="E56" s="101"/>
      <c r="F56" s="106"/>
      <c r="G56" s="106"/>
      <c r="H56" s="106"/>
      <c r="I56" s="106"/>
      <c r="J56" s="106"/>
      <c r="K56" s="106"/>
      <c r="L56" s="106"/>
      <c r="M56" s="106"/>
      <c r="N56" s="106"/>
      <c r="O56" s="106"/>
      <c r="P56" s="100"/>
      <c r="Q56" s="100"/>
      <c r="R56" s="100"/>
      <c r="S56" s="100"/>
      <c r="T56" s="100"/>
      <c r="U56" s="100"/>
      <c r="V56" s="100"/>
      <c r="W56" s="100"/>
      <c r="X56" s="100"/>
      <c r="Y56" s="100"/>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row>
    <row r="57" spans="2:78" s="111" customFormat="1" ht="20.149999999999999" customHeight="1" x14ac:dyDescent="0.25">
      <c r="B57" s="1" t="s">
        <v>41</v>
      </c>
      <c r="C57" s="4" t="s">
        <v>116</v>
      </c>
      <c r="E57" s="101"/>
      <c r="F57" s="106"/>
      <c r="G57" s="106"/>
      <c r="H57" s="106"/>
      <c r="I57" s="106"/>
      <c r="J57" s="106"/>
      <c r="K57" s="106"/>
      <c r="L57" s="106"/>
      <c r="M57" s="106"/>
      <c r="N57" s="106"/>
      <c r="O57" s="106"/>
      <c r="P57" s="100"/>
      <c r="Q57" s="100"/>
      <c r="R57" s="100"/>
      <c r="S57" s="100"/>
      <c r="T57" s="100"/>
      <c r="U57" s="100"/>
      <c r="V57" s="100"/>
      <c r="W57" s="100"/>
      <c r="X57" s="100"/>
      <c r="Y57" s="100"/>
      <c r="Z57" s="100"/>
      <c r="AA57" s="100"/>
      <c r="AB57" s="100"/>
      <c r="AC57" s="100"/>
      <c r="AD57" s="100"/>
      <c r="AE57" s="100"/>
      <c r="AF57" s="100"/>
      <c r="AG57" s="100"/>
      <c r="AH57" s="100"/>
      <c r="AI57" s="100"/>
      <c r="AJ57" s="100"/>
      <c r="AK57" s="100"/>
      <c r="AL57" s="100"/>
      <c r="AM57" s="100"/>
      <c r="AN57" s="100"/>
      <c r="AO57" s="100"/>
      <c r="AP57" s="100"/>
      <c r="AQ57" s="100"/>
      <c r="AR57" s="100"/>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row>
    <row r="58" spans="2:78" s="111" customFormat="1" ht="20.149999999999999" customHeight="1" x14ac:dyDescent="0.25">
      <c r="B58" s="1" t="s">
        <v>117</v>
      </c>
      <c r="C58" s="4" t="s">
        <v>118</v>
      </c>
      <c r="E58" s="101"/>
      <c r="F58" s="106"/>
      <c r="G58" s="106"/>
      <c r="H58" s="106"/>
      <c r="I58" s="106"/>
      <c r="J58" s="106"/>
      <c r="K58" s="106"/>
      <c r="L58" s="106"/>
      <c r="M58" s="106"/>
      <c r="N58" s="106"/>
      <c r="O58" s="106"/>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100"/>
      <c r="BH58" s="100"/>
      <c r="BI58" s="100"/>
      <c r="BJ58" s="100"/>
      <c r="BK58" s="100"/>
      <c r="BL58" s="100"/>
      <c r="BM58" s="100"/>
      <c r="BN58" s="100"/>
      <c r="BO58" s="100"/>
    </row>
    <row r="59" spans="2:78" s="111" customFormat="1" ht="20.149999999999999" customHeight="1" x14ac:dyDescent="0.25">
      <c r="B59" s="1" t="s">
        <v>119</v>
      </c>
      <c r="C59" s="4" t="s">
        <v>120</v>
      </c>
      <c r="E59" s="101"/>
      <c r="F59" s="106"/>
      <c r="G59" s="106"/>
      <c r="H59" s="106"/>
      <c r="I59" s="106"/>
      <c r="J59" s="106"/>
      <c r="K59" s="106"/>
      <c r="L59" s="106"/>
      <c r="M59" s="106"/>
      <c r="N59" s="106"/>
      <c r="O59" s="106"/>
      <c r="P59" s="100"/>
      <c r="Q59" s="100"/>
      <c r="R59" s="100"/>
      <c r="S59" s="100"/>
      <c r="T59" s="100"/>
      <c r="U59" s="100"/>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100"/>
      <c r="BH59" s="100"/>
      <c r="BI59" s="100"/>
      <c r="BJ59" s="100"/>
      <c r="BK59" s="100"/>
      <c r="BL59" s="100"/>
      <c r="BM59" s="100"/>
      <c r="BN59" s="100"/>
      <c r="BO59" s="100"/>
    </row>
    <row r="60" spans="2:78" s="111" customFormat="1" ht="20.149999999999999" customHeight="1" x14ac:dyDescent="0.25">
      <c r="B60" s="1" t="s">
        <v>121</v>
      </c>
      <c r="C60" s="4" t="s">
        <v>122</v>
      </c>
      <c r="E60" s="101"/>
      <c r="F60" s="106"/>
      <c r="G60" s="106"/>
      <c r="H60" s="106"/>
      <c r="I60" s="106"/>
      <c r="J60" s="106"/>
      <c r="K60" s="106"/>
      <c r="L60" s="106"/>
      <c r="M60" s="106"/>
      <c r="N60" s="106"/>
      <c r="O60" s="106"/>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00"/>
      <c r="BD60" s="100"/>
      <c r="BE60" s="100"/>
      <c r="BF60" s="100"/>
      <c r="BG60" s="100"/>
      <c r="BH60" s="100"/>
      <c r="BI60" s="100"/>
      <c r="BJ60" s="100"/>
      <c r="BK60" s="100"/>
      <c r="BL60" s="100"/>
      <c r="BM60" s="100"/>
      <c r="BN60" s="100"/>
      <c r="BO60" s="100"/>
    </row>
    <row r="61" spans="2:78" s="111" customFormat="1" ht="20.149999999999999" customHeight="1" x14ac:dyDescent="0.25">
      <c r="B61" s="1" t="s">
        <v>123</v>
      </c>
      <c r="C61" s="4" t="s">
        <v>124</v>
      </c>
      <c r="E61" s="101"/>
      <c r="F61" s="106"/>
      <c r="G61" s="106"/>
      <c r="H61" s="106"/>
      <c r="I61" s="106"/>
      <c r="J61" s="106"/>
      <c r="K61" s="106"/>
      <c r="L61" s="106"/>
      <c r="M61" s="106"/>
      <c r="N61" s="106"/>
      <c r="O61" s="106"/>
      <c r="P61" s="100"/>
      <c r="Q61" s="100"/>
      <c r="R61" s="100"/>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0"/>
      <c r="BD61" s="100"/>
      <c r="BE61" s="100"/>
      <c r="BF61" s="100"/>
      <c r="BG61" s="100"/>
      <c r="BH61" s="100"/>
      <c r="BI61" s="100"/>
      <c r="BJ61" s="100"/>
      <c r="BK61" s="100"/>
      <c r="BL61" s="100"/>
      <c r="BM61" s="100"/>
      <c r="BN61" s="100"/>
      <c r="BO61" s="100"/>
    </row>
    <row r="62" spans="2:78" s="111" customFormat="1" ht="20.149999999999999" customHeight="1" x14ac:dyDescent="0.25">
      <c r="B62" s="1"/>
      <c r="C62" s="4"/>
      <c r="E62" s="101"/>
      <c r="F62" s="106"/>
      <c r="G62" s="106"/>
      <c r="H62" s="106"/>
      <c r="I62" s="106"/>
      <c r="J62" s="106"/>
      <c r="K62" s="106"/>
      <c r="L62" s="106"/>
      <c r="M62" s="106"/>
      <c r="N62" s="106"/>
      <c r="O62" s="106"/>
      <c r="P62" s="100"/>
      <c r="Q62" s="100"/>
      <c r="R62" s="100"/>
      <c r="S62" s="100"/>
      <c r="T62" s="100"/>
      <c r="U62" s="100"/>
      <c r="V62" s="100"/>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100"/>
      <c r="BH62" s="100"/>
      <c r="BI62" s="100"/>
      <c r="BJ62" s="100"/>
      <c r="BK62" s="100"/>
      <c r="BL62" s="100"/>
      <c r="BM62" s="100"/>
      <c r="BN62" s="100"/>
      <c r="BO62" s="100"/>
    </row>
    <row r="63" spans="2:78" s="111" customFormat="1" ht="20.149999999999999" customHeight="1" x14ac:dyDescent="0.25">
      <c r="B63" s="1"/>
      <c r="C63" s="4"/>
      <c r="E63" s="101"/>
      <c r="F63" s="106"/>
      <c r="G63" s="106"/>
      <c r="H63" s="106"/>
      <c r="I63" s="106"/>
      <c r="J63" s="106"/>
      <c r="K63" s="106"/>
      <c r="L63" s="106"/>
      <c r="M63" s="106"/>
      <c r="N63" s="106"/>
      <c r="O63" s="106"/>
      <c r="P63" s="100"/>
      <c r="Q63" s="100"/>
      <c r="R63" s="100"/>
      <c r="S63" s="100"/>
      <c r="T63" s="100"/>
      <c r="U63" s="100"/>
      <c r="V63" s="100"/>
      <c r="W63" s="100"/>
      <c r="X63" s="100"/>
      <c r="Y63" s="100"/>
      <c r="Z63" s="100"/>
      <c r="AA63" s="100"/>
      <c r="AB63" s="100"/>
      <c r="AC63" s="100"/>
      <c r="AD63" s="100"/>
      <c r="AE63" s="100"/>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row>
    <row r="64" spans="2:78" s="111" customFormat="1" ht="20.149999999999999" customHeight="1" x14ac:dyDescent="0.25">
      <c r="B64" s="1"/>
      <c r="C64" s="4"/>
      <c r="E64" s="101"/>
      <c r="F64" s="106"/>
      <c r="G64" s="106"/>
      <c r="H64" s="106"/>
      <c r="I64" s="106"/>
      <c r="J64" s="106"/>
      <c r="K64" s="106"/>
      <c r="L64" s="106"/>
      <c r="M64" s="106"/>
      <c r="N64" s="106"/>
      <c r="O64" s="106"/>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row>
    <row r="65" spans="2:67" s="111" customFormat="1" ht="20.149999999999999" customHeight="1" x14ac:dyDescent="0.25">
      <c r="B65" s="1"/>
      <c r="C65" s="4"/>
      <c r="E65" s="101"/>
      <c r="F65" s="106"/>
      <c r="G65" s="106"/>
      <c r="H65" s="106"/>
      <c r="I65" s="106"/>
      <c r="J65" s="106"/>
      <c r="K65" s="106"/>
      <c r="L65" s="106"/>
      <c r="M65" s="106"/>
      <c r="N65" s="106"/>
      <c r="O65" s="106"/>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row>
    <row r="66" spans="2:67" x14ac:dyDescent="0.25">
      <c r="F66" s="106"/>
      <c r="G66" s="106"/>
      <c r="H66" s="106"/>
      <c r="I66" s="106"/>
      <c r="J66" s="106"/>
      <c r="K66" s="106"/>
      <c r="L66" s="106"/>
      <c r="M66" s="106"/>
      <c r="N66" s="106"/>
      <c r="O66" s="106"/>
    </row>
    <row r="67" spans="2:67" x14ac:dyDescent="0.25">
      <c r="F67" s="106"/>
      <c r="G67" s="106"/>
      <c r="H67" s="106"/>
      <c r="I67" s="106"/>
      <c r="J67" s="106"/>
      <c r="K67" s="106"/>
      <c r="L67" s="106"/>
      <c r="M67" s="106"/>
      <c r="N67" s="106"/>
      <c r="O67" s="106"/>
    </row>
    <row r="68" spans="2:67" x14ac:dyDescent="0.25">
      <c r="F68" s="106"/>
      <c r="G68" s="106"/>
      <c r="H68" s="106"/>
      <c r="I68" s="106"/>
      <c r="J68" s="106"/>
      <c r="K68" s="106"/>
      <c r="L68" s="106"/>
      <c r="M68" s="106"/>
      <c r="N68" s="106"/>
      <c r="O68" s="106"/>
    </row>
    <row r="69" spans="2:67" x14ac:dyDescent="0.25">
      <c r="F69" s="106"/>
      <c r="G69" s="106"/>
      <c r="H69" s="106"/>
      <c r="I69" s="106"/>
      <c r="J69" s="106"/>
      <c r="K69" s="106"/>
      <c r="L69" s="106"/>
      <c r="M69" s="106"/>
      <c r="N69" s="106"/>
      <c r="O69" s="106"/>
    </row>
  </sheetData>
  <phoneticPr fontId="3" type="noConversion"/>
  <conditionalFormatting sqref="E5:F5 I5">
    <cfRule type="expression" dxfId="429" priority="1">
      <formula>$E$5=$F$41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A96"/>
  <sheetViews>
    <sheetView showGridLines="0" zoomScale="55" zoomScaleNormal="55" workbookViewId="0">
      <pane xSplit="5" ySplit="8" topLeftCell="Z9" activePane="bottomRight" state="frozen"/>
      <selection pane="topRight" activeCell="F1" sqref="F1"/>
      <selection pane="bottomLeft" activeCell="A9" sqref="A9"/>
      <selection pane="bottomRight" activeCell="AE1" sqref="AE1:BM1048576"/>
    </sheetView>
  </sheetViews>
  <sheetFormatPr baseColWidth="10" defaultColWidth="9.1796875" defaultRowHeight="13.5" x14ac:dyDescent="0.25"/>
  <cols>
    <col min="1" max="1" width="2.1796875" style="100" customWidth="1"/>
    <col min="2" max="2" width="30.7265625" style="100" customWidth="1"/>
    <col min="3" max="3" width="55.1796875" style="100" customWidth="1"/>
    <col min="4" max="4" width="20.81640625" style="100" customWidth="1"/>
    <col min="5" max="6" width="25.7265625" style="101" customWidth="1"/>
    <col min="7" max="7" width="14.7265625" style="100" customWidth="1"/>
    <col min="8" max="8" width="15.26953125" style="100" customWidth="1"/>
    <col min="9" max="9" width="15.7265625" style="100" customWidth="1"/>
    <col min="10" max="66" width="14.7265625" style="100" customWidth="1"/>
    <col min="67" max="67" width="11.26953125" style="100" customWidth="1"/>
    <col min="68" max="16384" width="9.1796875" style="100"/>
  </cols>
  <sheetData>
    <row r="1" spans="2:79" ht="14.5" x14ac:dyDescent="0.35">
      <c r="G1"/>
    </row>
    <row r="2" spans="2:79" ht="21" customHeight="1" x14ac:dyDescent="0.25">
      <c r="B2" s="26" t="s">
        <v>5</v>
      </c>
      <c r="C2" s="27" t="str">
        <f>'Project Infor'!C10</f>
        <v>ZEV-PCE0012-1001</v>
      </c>
      <c r="D2" s="102" t="str">
        <f>'Project Infor'!C11</f>
        <v>Smart Airport en la nueva terminal de Puerto Vallarta</v>
      </c>
      <c r="E2" s="103"/>
      <c r="F2" s="103"/>
      <c r="G2" s="103"/>
      <c r="H2" s="103"/>
      <c r="I2" s="103"/>
    </row>
    <row r="3" spans="2:79" ht="9" customHeight="1" x14ac:dyDescent="0.35">
      <c r="B3" s="71"/>
      <c r="C3" s="71"/>
      <c r="G3"/>
    </row>
    <row r="4" spans="2:79" ht="15" customHeight="1" thickBot="1" x14ac:dyDescent="0.3">
      <c r="B4" s="105"/>
      <c r="C4" s="106"/>
      <c r="D4" s="115"/>
      <c r="E4" s="106"/>
      <c r="F4" s="106"/>
      <c r="G4" s="116"/>
      <c r="H4" s="116"/>
      <c r="I4" s="116"/>
      <c r="J4" s="106"/>
      <c r="K4" s="106"/>
      <c r="L4" s="106"/>
      <c r="M4" s="106"/>
      <c r="N4" s="106"/>
      <c r="O4" s="106"/>
      <c r="P4" s="106"/>
    </row>
    <row r="5" spans="2:79" ht="20.149999999999999" customHeight="1" thickBot="1" x14ac:dyDescent="0.35">
      <c r="B5" s="81" t="s">
        <v>125</v>
      </c>
      <c r="C5" s="106"/>
      <c r="D5" s="117" t="s">
        <v>126</v>
      </c>
      <c r="E5" s="117"/>
      <c r="F5" s="118">
        <f>costerecursosbaselineactual</f>
        <v>367515.14</v>
      </c>
      <c r="G5" s="242" t="s">
        <v>127</v>
      </c>
      <c r="H5" s="119"/>
      <c r="I5" s="120">
        <f>ROUND(F5-SUM(F40:BN41),2)</f>
        <v>43420.09</v>
      </c>
      <c r="J5" s="106"/>
      <c r="K5" s="282" t="str">
        <f>IF(I5&lt;-0.005,"(!) El coste de RECURSOS planificado es mayor que el de la BASELINE","")</f>
        <v/>
      </c>
      <c r="L5" s="282"/>
      <c r="M5" s="282"/>
      <c r="N5" s="282"/>
      <c r="O5" s="282"/>
      <c r="P5" s="282"/>
      <c r="R5" s="106"/>
    </row>
    <row r="6" spans="2:79" ht="12" customHeight="1" x14ac:dyDescent="0.25">
      <c r="B6" s="105"/>
      <c r="C6" s="106"/>
      <c r="D6" s="115"/>
      <c r="E6" s="115"/>
      <c r="F6" s="115"/>
      <c r="G6" s="106"/>
      <c r="H6" s="106"/>
      <c r="I6" s="106"/>
      <c r="J6" s="106"/>
      <c r="K6" s="121"/>
      <c r="L6" s="106"/>
      <c r="M6" s="106"/>
      <c r="N6" s="106"/>
      <c r="O6" s="106"/>
      <c r="P6" s="106"/>
    </row>
    <row r="7" spans="2:79" ht="20.149999999999999" customHeight="1" x14ac:dyDescent="0.25">
      <c r="B7" s="106"/>
      <c r="C7" s="106"/>
      <c r="D7" s="106"/>
      <c r="E7" s="115"/>
      <c r="F7" s="115"/>
      <c r="G7" s="122" t="str">
        <f>IF(G8&gt;EOMONTH(FIN,0),"Fin",IF(G8&gt;FECHA,"Prev","Real"))</f>
        <v>Prev</v>
      </c>
      <c r="H7" s="122" t="str">
        <f t="shared" ref="H7:BN7" si="0">IF(H8&gt;EOMONTH(FIN,0),"Fin",IF(H8&gt;FECHA,"Prev","Real"))</f>
        <v>Prev</v>
      </c>
      <c r="I7" s="122" t="str">
        <f t="shared" si="0"/>
        <v>Prev</v>
      </c>
      <c r="J7" s="122" t="str">
        <f t="shared" si="0"/>
        <v>Prev</v>
      </c>
      <c r="K7" s="122" t="str">
        <f t="shared" si="0"/>
        <v>Prev</v>
      </c>
      <c r="L7" s="122" t="str">
        <f t="shared" si="0"/>
        <v>Prev</v>
      </c>
      <c r="M7" s="122" t="str">
        <f t="shared" si="0"/>
        <v>Prev</v>
      </c>
      <c r="N7" s="122" t="str">
        <f t="shared" si="0"/>
        <v>Prev</v>
      </c>
      <c r="O7" s="122" t="str">
        <f t="shared" si="0"/>
        <v>Prev</v>
      </c>
      <c r="P7" s="122" t="str">
        <f t="shared" si="0"/>
        <v>Prev</v>
      </c>
      <c r="Q7" s="122" t="str">
        <f t="shared" si="0"/>
        <v>Prev</v>
      </c>
      <c r="R7" s="122" t="str">
        <f t="shared" si="0"/>
        <v>Prev</v>
      </c>
      <c r="S7" s="122" t="str">
        <f t="shared" si="0"/>
        <v>Fin</v>
      </c>
      <c r="T7" s="122" t="str">
        <f t="shared" si="0"/>
        <v>Fin</v>
      </c>
      <c r="U7" s="122" t="str">
        <f t="shared" si="0"/>
        <v>Fin</v>
      </c>
      <c r="V7" s="122" t="str">
        <f t="shared" si="0"/>
        <v>Fin</v>
      </c>
      <c r="W7" s="122" t="str">
        <f t="shared" si="0"/>
        <v>Fin</v>
      </c>
      <c r="X7" s="122" t="str">
        <f t="shared" si="0"/>
        <v>Fin</v>
      </c>
      <c r="Y7" s="122" t="str">
        <f t="shared" si="0"/>
        <v>Fin</v>
      </c>
      <c r="Z7" s="122" t="str">
        <f t="shared" si="0"/>
        <v>Fin</v>
      </c>
      <c r="AA7" s="122" t="str">
        <f t="shared" si="0"/>
        <v>Fin</v>
      </c>
      <c r="AB7" s="122" t="str">
        <f t="shared" si="0"/>
        <v>Fin</v>
      </c>
      <c r="AC7" s="122" t="str">
        <f t="shared" si="0"/>
        <v>Fin</v>
      </c>
      <c r="AD7" s="122" t="str">
        <f t="shared" si="0"/>
        <v>Fin</v>
      </c>
      <c r="AE7" s="122" t="str">
        <f t="shared" si="0"/>
        <v>Fin</v>
      </c>
      <c r="AF7" s="122" t="str">
        <f t="shared" si="0"/>
        <v>Fin</v>
      </c>
      <c r="AG7" s="122" t="str">
        <f t="shared" si="0"/>
        <v>Fin</v>
      </c>
      <c r="AH7" s="122" t="str">
        <f t="shared" si="0"/>
        <v>Fin</v>
      </c>
      <c r="AI7" s="122" t="str">
        <f t="shared" si="0"/>
        <v>Fin</v>
      </c>
      <c r="AJ7" s="122" t="str">
        <f t="shared" si="0"/>
        <v>Fin</v>
      </c>
      <c r="AK7" s="122" t="str">
        <f t="shared" si="0"/>
        <v>Fin</v>
      </c>
      <c r="AL7" s="122" t="str">
        <f t="shared" si="0"/>
        <v>Fin</v>
      </c>
      <c r="AM7" s="122" t="str">
        <f t="shared" si="0"/>
        <v>Fin</v>
      </c>
      <c r="AN7" s="122" t="str">
        <f t="shared" si="0"/>
        <v>Fin</v>
      </c>
      <c r="AO7" s="122" t="str">
        <f t="shared" si="0"/>
        <v>Fin</v>
      </c>
      <c r="AP7" s="122" t="str">
        <f t="shared" si="0"/>
        <v>Fin</v>
      </c>
      <c r="AQ7" s="122" t="str">
        <f t="shared" si="0"/>
        <v>Fin</v>
      </c>
      <c r="AR7" s="122" t="str">
        <f t="shared" si="0"/>
        <v>Fin</v>
      </c>
      <c r="AS7" s="122" t="str">
        <f t="shared" si="0"/>
        <v>Fin</v>
      </c>
      <c r="AT7" s="122" t="str">
        <f t="shared" si="0"/>
        <v>Fin</v>
      </c>
      <c r="AU7" s="122" t="str">
        <f t="shared" si="0"/>
        <v>Fin</v>
      </c>
      <c r="AV7" s="122" t="str">
        <f t="shared" si="0"/>
        <v>Fin</v>
      </c>
      <c r="AW7" s="122" t="str">
        <f t="shared" si="0"/>
        <v>Fin</v>
      </c>
      <c r="AX7" s="122" t="str">
        <f t="shared" si="0"/>
        <v>Fin</v>
      </c>
      <c r="AY7" s="122" t="str">
        <f t="shared" si="0"/>
        <v>Fin</v>
      </c>
      <c r="AZ7" s="122" t="str">
        <f t="shared" si="0"/>
        <v>Fin</v>
      </c>
      <c r="BA7" s="122" t="str">
        <f t="shared" si="0"/>
        <v>Fin</v>
      </c>
      <c r="BB7" s="122" t="str">
        <f t="shared" si="0"/>
        <v>Fin</v>
      </c>
      <c r="BC7" s="122" t="str">
        <f t="shared" si="0"/>
        <v>Fin</v>
      </c>
      <c r="BD7" s="122" t="str">
        <f t="shared" si="0"/>
        <v>Fin</v>
      </c>
      <c r="BE7" s="122" t="str">
        <f t="shared" si="0"/>
        <v>Fin</v>
      </c>
      <c r="BF7" s="122" t="str">
        <f t="shared" si="0"/>
        <v>Fin</v>
      </c>
      <c r="BG7" s="122" t="str">
        <f t="shared" si="0"/>
        <v>Fin</v>
      </c>
      <c r="BH7" s="122" t="str">
        <f t="shared" si="0"/>
        <v>Fin</v>
      </c>
      <c r="BI7" s="122" t="str">
        <f t="shared" si="0"/>
        <v>Fin</v>
      </c>
      <c r="BJ7" s="122" t="str">
        <f t="shared" si="0"/>
        <v>Fin</v>
      </c>
      <c r="BK7" s="122" t="str">
        <f t="shared" si="0"/>
        <v>Fin</v>
      </c>
      <c r="BL7" s="122" t="str">
        <f t="shared" si="0"/>
        <v>Fin</v>
      </c>
      <c r="BM7" s="122" t="str">
        <f t="shared" si="0"/>
        <v>Fin</v>
      </c>
      <c r="BN7" s="122" t="str">
        <f t="shared" si="0"/>
        <v>Fin</v>
      </c>
    </row>
    <row r="8" spans="2:79" s="110" customFormat="1" ht="35.15" customHeight="1" x14ac:dyDescent="0.25">
      <c r="B8" s="239" t="s">
        <v>14</v>
      </c>
      <c r="C8" s="108" t="s">
        <v>90</v>
      </c>
      <c r="D8" s="108" t="s">
        <v>91</v>
      </c>
      <c r="E8" s="108" t="s">
        <v>92</v>
      </c>
      <c r="F8" s="108" t="s">
        <v>128</v>
      </c>
      <c r="G8" s="109">
        <v>45962</v>
      </c>
      <c r="H8" s="109">
        <v>45992</v>
      </c>
      <c r="I8" s="109">
        <v>46023</v>
      </c>
      <c r="J8" s="109">
        <v>46054</v>
      </c>
      <c r="K8" s="109">
        <v>46082</v>
      </c>
      <c r="L8" s="109">
        <v>46113</v>
      </c>
      <c r="M8" s="109">
        <v>46143</v>
      </c>
      <c r="N8" s="109">
        <v>46174</v>
      </c>
      <c r="O8" s="109">
        <v>46204</v>
      </c>
      <c r="P8" s="109">
        <v>46235</v>
      </c>
      <c r="Q8" s="109">
        <v>46266</v>
      </c>
      <c r="R8" s="109">
        <v>46296</v>
      </c>
      <c r="S8" s="109">
        <f t="shared" ref="S8:AC8" si="1">EOMONTH(R8,1)</f>
        <v>46356</v>
      </c>
      <c r="T8" s="109">
        <f t="shared" si="1"/>
        <v>46387</v>
      </c>
      <c r="U8" s="109">
        <f t="shared" si="1"/>
        <v>46418</v>
      </c>
      <c r="V8" s="109">
        <f t="shared" si="1"/>
        <v>46446</v>
      </c>
      <c r="W8" s="109">
        <f t="shared" si="1"/>
        <v>46477</v>
      </c>
      <c r="X8" s="109">
        <f t="shared" si="1"/>
        <v>46507</v>
      </c>
      <c r="Y8" s="109">
        <f t="shared" si="1"/>
        <v>46538</v>
      </c>
      <c r="Z8" s="109">
        <f t="shared" si="1"/>
        <v>46568</v>
      </c>
      <c r="AA8" s="109">
        <f t="shared" si="1"/>
        <v>46599</v>
      </c>
      <c r="AB8" s="109">
        <f t="shared" si="1"/>
        <v>46630</v>
      </c>
      <c r="AC8" s="109">
        <f t="shared" si="1"/>
        <v>46660</v>
      </c>
      <c r="AD8" s="109">
        <f t="shared" ref="AD8" si="2">EOMONTH(AC8,1)</f>
        <v>46691</v>
      </c>
      <c r="AE8" s="109">
        <f t="shared" ref="AE8" si="3">EOMONTH(AD8,1)</f>
        <v>46721</v>
      </c>
      <c r="AF8" s="109">
        <f t="shared" ref="AF8" si="4">EOMONTH(AE8,1)</f>
        <v>46752</v>
      </c>
      <c r="AG8" s="109">
        <f t="shared" ref="AG8" si="5">EOMONTH(AF8,1)</f>
        <v>46783</v>
      </c>
      <c r="AH8" s="109">
        <f t="shared" ref="AH8" si="6">EOMONTH(AG8,1)</f>
        <v>46812</v>
      </c>
      <c r="AI8" s="109">
        <f t="shared" ref="AI8" si="7">EOMONTH(AH8,1)</f>
        <v>46843</v>
      </c>
      <c r="AJ8" s="109">
        <f t="shared" ref="AJ8" si="8">EOMONTH(AI8,1)</f>
        <v>46873</v>
      </c>
      <c r="AK8" s="109">
        <f t="shared" ref="AK8" si="9">EOMONTH(AJ8,1)</f>
        <v>46904</v>
      </c>
      <c r="AL8" s="109">
        <f t="shared" ref="AL8" si="10">EOMONTH(AK8,1)</f>
        <v>46934</v>
      </c>
      <c r="AM8" s="109">
        <f t="shared" ref="AM8" si="11">EOMONTH(AL8,1)</f>
        <v>46965</v>
      </c>
      <c r="AN8" s="109">
        <f t="shared" ref="AN8" si="12">EOMONTH(AM8,1)</f>
        <v>46996</v>
      </c>
      <c r="AO8" s="109">
        <f t="shared" ref="AO8" si="13">EOMONTH(AN8,1)</f>
        <v>47026</v>
      </c>
      <c r="AP8" s="109">
        <f t="shared" ref="AP8" si="14">EOMONTH(AO8,1)</f>
        <v>47057</v>
      </c>
      <c r="AQ8" s="109">
        <f t="shared" ref="AQ8" si="15">EOMONTH(AP8,1)</f>
        <v>47087</v>
      </c>
      <c r="AR8" s="109">
        <f t="shared" ref="AR8" si="16">EOMONTH(AQ8,1)</f>
        <v>47118</v>
      </c>
      <c r="AS8" s="109">
        <f t="shared" ref="AS8" si="17">EOMONTH(AR8,1)</f>
        <v>47149</v>
      </c>
      <c r="AT8" s="109">
        <f t="shared" ref="AT8" si="18">EOMONTH(AS8,1)</f>
        <v>47177</v>
      </c>
      <c r="AU8" s="109">
        <f t="shared" ref="AU8" si="19">EOMONTH(AT8,1)</f>
        <v>47208</v>
      </c>
      <c r="AV8" s="109">
        <f t="shared" ref="AV8" si="20">EOMONTH(AU8,1)</f>
        <v>47238</v>
      </c>
      <c r="AW8" s="109">
        <f t="shared" ref="AW8" si="21">EOMONTH(AV8,1)</f>
        <v>47269</v>
      </c>
      <c r="AX8" s="109">
        <f t="shared" ref="AX8" si="22">EOMONTH(AW8,1)</f>
        <v>47299</v>
      </c>
      <c r="AY8" s="109">
        <f t="shared" ref="AY8" si="23">EOMONTH(AX8,1)</f>
        <v>47330</v>
      </c>
      <c r="AZ8" s="109">
        <f t="shared" ref="AZ8" si="24">EOMONTH(AY8,1)</f>
        <v>47361</v>
      </c>
      <c r="BA8" s="109">
        <f t="shared" ref="BA8" si="25">EOMONTH(AZ8,1)</f>
        <v>47391</v>
      </c>
      <c r="BB8" s="109">
        <f t="shared" ref="BB8" si="26">EOMONTH(BA8,1)</f>
        <v>47422</v>
      </c>
      <c r="BC8" s="109">
        <f t="shared" ref="BC8" si="27">EOMONTH(BB8,1)</f>
        <v>47452</v>
      </c>
      <c r="BD8" s="109">
        <f t="shared" ref="BD8" si="28">EOMONTH(BC8,1)</f>
        <v>47483</v>
      </c>
      <c r="BE8" s="109">
        <f t="shared" ref="BE8" si="29">EOMONTH(BD8,1)</f>
        <v>47514</v>
      </c>
      <c r="BF8" s="109">
        <f t="shared" ref="BF8" si="30">EOMONTH(BE8,1)</f>
        <v>47542</v>
      </c>
      <c r="BG8" s="109">
        <f t="shared" ref="BG8" si="31">EOMONTH(BF8,1)</f>
        <v>47573</v>
      </c>
      <c r="BH8" s="109">
        <f t="shared" ref="BH8" si="32">EOMONTH(BG8,1)</f>
        <v>47603</v>
      </c>
      <c r="BI8" s="109">
        <f t="shared" ref="BI8" si="33">EOMONTH(BH8,1)</f>
        <v>47634</v>
      </c>
      <c r="BJ8" s="109">
        <f t="shared" ref="BJ8" si="34">EOMONTH(BI8,1)</f>
        <v>47664</v>
      </c>
      <c r="BK8" s="109">
        <f t="shared" ref="BK8" si="35">EOMONTH(BJ8,1)</f>
        <v>47695</v>
      </c>
      <c r="BL8" s="109">
        <f t="shared" ref="BL8" si="36">EOMONTH(BK8,1)</f>
        <v>47726</v>
      </c>
      <c r="BM8" s="109">
        <f t="shared" ref="BM8" si="37">EOMONTH(BL8,1)</f>
        <v>47756</v>
      </c>
      <c r="BN8" s="109">
        <f t="shared" ref="BN8" si="38">EOMONTH(BM8,1)</f>
        <v>47787</v>
      </c>
      <c r="BO8" s="100"/>
      <c r="BP8" s="100"/>
      <c r="BQ8" s="100"/>
      <c r="BR8" s="100"/>
      <c r="BS8" s="100"/>
      <c r="BT8" s="100"/>
      <c r="BU8" s="100"/>
      <c r="BV8" s="100"/>
      <c r="BW8" s="100"/>
      <c r="BX8" s="100"/>
      <c r="BY8" s="100"/>
      <c r="BZ8" s="100"/>
      <c r="CA8" s="100"/>
    </row>
    <row r="9" spans="2:79" ht="20.149999999999999" customHeight="1" x14ac:dyDescent="0.25">
      <c r="B9" s="123" t="s">
        <v>129</v>
      </c>
      <c r="C9" s="124"/>
      <c r="D9" s="125"/>
      <c r="E9" s="125"/>
      <c r="F9" s="188">
        <f>'Project Infor'!C46</f>
        <v>0</v>
      </c>
      <c r="G9" s="126">
        <f>SUM(G10:G39)</f>
        <v>610</v>
      </c>
      <c r="H9" s="126">
        <f t="shared" ref="H9:AC9" si="39">SUM(H10:H39)</f>
        <v>610</v>
      </c>
      <c r="I9" s="126">
        <f t="shared" si="39"/>
        <v>1063</v>
      </c>
      <c r="J9" s="126">
        <f t="shared" si="39"/>
        <v>1063</v>
      </c>
      <c r="K9" s="126">
        <f t="shared" si="39"/>
        <v>1063</v>
      </c>
      <c r="L9" s="126">
        <f t="shared" si="39"/>
        <v>1063</v>
      </c>
      <c r="M9" s="126">
        <f t="shared" si="39"/>
        <v>1063</v>
      </c>
      <c r="N9" s="126">
        <f t="shared" si="39"/>
        <v>1063</v>
      </c>
      <c r="O9" s="126">
        <f t="shared" si="39"/>
        <v>1063</v>
      </c>
      <c r="P9" s="126">
        <f t="shared" si="39"/>
        <v>1063</v>
      </c>
      <c r="Q9" s="126">
        <f t="shared" si="39"/>
        <v>1063</v>
      </c>
      <c r="R9" s="126">
        <f t="shared" si="39"/>
        <v>1063</v>
      </c>
      <c r="S9" s="126">
        <f t="shared" si="39"/>
        <v>0</v>
      </c>
      <c r="T9" s="126">
        <f t="shared" si="39"/>
        <v>0</v>
      </c>
      <c r="U9" s="126">
        <f t="shared" si="39"/>
        <v>0</v>
      </c>
      <c r="V9" s="126">
        <f t="shared" si="39"/>
        <v>0</v>
      </c>
      <c r="W9" s="126">
        <f t="shared" si="39"/>
        <v>0</v>
      </c>
      <c r="X9" s="126">
        <f t="shared" si="39"/>
        <v>0</v>
      </c>
      <c r="Y9" s="126">
        <f t="shared" si="39"/>
        <v>0</v>
      </c>
      <c r="Z9" s="126">
        <f t="shared" si="39"/>
        <v>0</v>
      </c>
      <c r="AA9" s="126">
        <f t="shared" si="39"/>
        <v>0</v>
      </c>
      <c r="AB9" s="126">
        <f t="shared" si="39"/>
        <v>0</v>
      </c>
      <c r="AC9" s="126">
        <f t="shared" si="39"/>
        <v>0</v>
      </c>
      <c r="AD9" s="126">
        <f t="shared" ref="AD9" si="40">SUM(AD10:AD39)</f>
        <v>0</v>
      </c>
      <c r="AE9" s="126">
        <f t="shared" ref="AE9:BN9" si="41">SUM(AE10:AE39)</f>
        <v>0</v>
      </c>
      <c r="AF9" s="126">
        <f t="shared" si="41"/>
        <v>0</v>
      </c>
      <c r="AG9" s="126">
        <f t="shared" si="41"/>
        <v>0</v>
      </c>
      <c r="AH9" s="126">
        <f t="shared" si="41"/>
        <v>0</v>
      </c>
      <c r="AI9" s="126">
        <f t="shared" si="41"/>
        <v>0</v>
      </c>
      <c r="AJ9" s="126">
        <f t="shared" si="41"/>
        <v>0</v>
      </c>
      <c r="AK9" s="126">
        <f t="shared" si="41"/>
        <v>0</v>
      </c>
      <c r="AL9" s="126">
        <f t="shared" si="41"/>
        <v>0</v>
      </c>
      <c r="AM9" s="126">
        <f t="shared" si="41"/>
        <v>0</v>
      </c>
      <c r="AN9" s="126">
        <f t="shared" si="41"/>
        <v>0</v>
      </c>
      <c r="AO9" s="126">
        <f t="shared" si="41"/>
        <v>0</v>
      </c>
      <c r="AP9" s="126">
        <f t="shared" si="41"/>
        <v>0</v>
      </c>
      <c r="AQ9" s="126">
        <f t="shared" si="41"/>
        <v>0</v>
      </c>
      <c r="AR9" s="126">
        <f t="shared" si="41"/>
        <v>0</v>
      </c>
      <c r="AS9" s="126">
        <f t="shared" si="41"/>
        <v>0</v>
      </c>
      <c r="AT9" s="126">
        <f t="shared" si="41"/>
        <v>0</v>
      </c>
      <c r="AU9" s="126">
        <f t="shared" si="41"/>
        <v>0</v>
      </c>
      <c r="AV9" s="126">
        <f t="shared" si="41"/>
        <v>0</v>
      </c>
      <c r="AW9" s="126">
        <f t="shared" si="41"/>
        <v>0</v>
      </c>
      <c r="AX9" s="126">
        <f t="shared" si="41"/>
        <v>0</v>
      </c>
      <c r="AY9" s="126">
        <f t="shared" si="41"/>
        <v>0</v>
      </c>
      <c r="AZ9" s="126">
        <f t="shared" si="41"/>
        <v>0</v>
      </c>
      <c r="BA9" s="126">
        <f t="shared" si="41"/>
        <v>0</v>
      </c>
      <c r="BB9" s="126">
        <f t="shared" si="41"/>
        <v>0</v>
      </c>
      <c r="BC9" s="126">
        <f t="shared" si="41"/>
        <v>0</v>
      </c>
      <c r="BD9" s="126">
        <f t="shared" si="41"/>
        <v>0</v>
      </c>
      <c r="BE9" s="126">
        <f t="shared" si="41"/>
        <v>0</v>
      </c>
      <c r="BF9" s="126">
        <f t="shared" si="41"/>
        <v>0</v>
      </c>
      <c r="BG9" s="126">
        <f t="shared" si="41"/>
        <v>0</v>
      </c>
      <c r="BH9" s="126">
        <f t="shared" si="41"/>
        <v>0</v>
      </c>
      <c r="BI9" s="126">
        <f t="shared" si="41"/>
        <v>0</v>
      </c>
      <c r="BJ9" s="126">
        <f t="shared" si="41"/>
        <v>0</v>
      </c>
      <c r="BK9" s="126">
        <f t="shared" si="41"/>
        <v>0</v>
      </c>
      <c r="BL9" s="126">
        <f t="shared" si="41"/>
        <v>0</v>
      </c>
      <c r="BM9" s="126">
        <f t="shared" si="41"/>
        <v>0</v>
      </c>
      <c r="BN9" s="126">
        <f t="shared" si="41"/>
        <v>0</v>
      </c>
    </row>
    <row r="10" spans="2:79" s="111" customFormat="1" ht="19.5" customHeight="1" x14ac:dyDescent="0.25">
      <c r="B10" s="127" t="str">
        <f>IF(Resources!B7="","",Resources!B7)</f>
        <v>E91010</v>
      </c>
      <c r="C10" s="127" t="str">
        <f>IF(Resources!C7="","",Resources!C7)</f>
        <v>JP</v>
      </c>
      <c r="D10" s="127" t="str">
        <f>IF(Resources!D7="","",Resources!D7)</f>
        <v>NO</v>
      </c>
      <c r="E10" s="127" t="str">
        <f>IF(Resources!E7="","",Resources!E7)</f>
        <v>Jefe Proyecto</v>
      </c>
      <c r="F10" s="238"/>
      <c r="G10" s="14">
        <v>10</v>
      </c>
      <c r="H10" s="14">
        <v>10</v>
      </c>
      <c r="I10" s="14">
        <v>46</v>
      </c>
      <c r="J10" s="14">
        <v>46</v>
      </c>
      <c r="K10" s="14">
        <v>46</v>
      </c>
      <c r="L10" s="14">
        <v>46</v>
      </c>
      <c r="M10" s="14">
        <v>46</v>
      </c>
      <c r="N10" s="14">
        <v>46</v>
      </c>
      <c r="O10" s="14">
        <v>46</v>
      </c>
      <c r="P10" s="14">
        <v>46</v>
      </c>
      <c r="Q10" s="14">
        <v>46</v>
      </c>
      <c r="R10" s="14">
        <v>46</v>
      </c>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c r="AY10" s="14"/>
      <c r="AZ10" s="14"/>
      <c r="BA10" s="14"/>
      <c r="BB10" s="14"/>
      <c r="BC10" s="14"/>
      <c r="BD10" s="14"/>
      <c r="BE10" s="14"/>
      <c r="BF10" s="14"/>
      <c r="BG10" s="14"/>
      <c r="BH10" s="14"/>
      <c r="BI10" s="14"/>
      <c r="BJ10" s="14"/>
      <c r="BK10" s="14"/>
      <c r="BL10" s="14"/>
      <c r="BM10" s="14"/>
      <c r="BN10" s="14"/>
      <c r="BP10" s="100"/>
      <c r="BQ10" s="100"/>
      <c r="BR10" s="100"/>
      <c r="BS10" s="100"/>
      <c r="BT10" s="100"/>
      <c r="BU10" s="100"/>
      <c r="BV10" s="100"/>
      <c r="BW10" s="100"/>
      <c r="BX10" s="100"/>
      <c r="BY10" s="100"/>
      <c r="BZ10" s="100"/>
      <c r="CA10" s="100"/>
    </row>
    <row r="11" spans="2:79" s="111" customFormat="1" ht="20.149999999999999" customHeight="1" x14ac:dyDescent="0.25">
      <c r="B11" s="127" t="str">
        <f>IF(Resources!B8="","",Resources!B8)</f>
        <v>E91011</v>
      </c>
      <c r="C11" s="127" t="str">
        <f>IF(Resources!C8="","",Resources!C8)</f>
        <v>CSS</v>
      </c>
      <c r="D11" s="127" t="str">
        <f>IF(Resources!D8="","",Resources!D8)</f>
        <v>INTERCO</v>
      </c>
      <c r="E11" s="127" t="str">
        <f>IF(Resources!E8="","",Resources!E8)</f>
        <v>Consultor Smart Spaces</v>
      </c>
      <c r="F11" s="238"/>
      <c r="G11" s="14">
        <v>150</v>
      </c>
      <c r="H11" s="14">
        <v>150</v>
      </c>
      <c r="I11" s="14">
        <v>144</v>
      </c>
      <c r="J11" s="14">
        <v>144</v>
      </c>
      <c r="K11" s="14">
        <v>144</v>
      </c>
      <c r="L11" s="14">
        <v>144</v>
      </c>
      <c r="M11" s="14">
        <v>144</v>
      </c>
      <c r="N11" s="14">
        <v>144</v>
      </c>
      <c r="O11" s="14">
        <v>144</v>
      </c>
      <c r="P11" s="14">
        <v>144</v>
      </c>
      <c r="Q11" s="14">
        <v>144</v>
      </c>
      <c r="R11" s="14">
        <v>144</v>
      </c>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P11" s="100"/>
      <c r="BQ11" s="100"/>
      <c r="BR11" s="100"/>
      <c r="BS11" s="100"/>
      <c r="BT11" s="100"/>
      <c r="BU11" s="100"/>
      <c r="BV11" s="100"/>
      <c r="BW11" s="100"/>
      <c r="BX11" s="100"/>
      <c r="BY11" s="100"/>
      <c r="BZ11" s="100"/>
      <c r="CA11" s="100"/>
    </row>
    <row r="12" spans="2:79" s="111" customFormat="1" ht="20.149999999999999" customHeight="1" x14ac:dyDescent="0.25">
      <c r="B12" s="127" t="str">
        <f>IF(Resources!B9="","",Resources!B9)</f>
        <v>E91012</v>
      </c>
      <c r="C12" s="127" t="str">
        <f>IF(Resources!C9="","",Resources!C9)</f>
        <v>CJSS</v>
      </c>
      <c r="D12" s="127" t="str">
        <f>IF(Resources!D9="","",Resources!D9)</f>
        <v>INTERCO</v>
      </c>
      <c r="E12" s="127" t="str">
        <f>IF(Resources!E9="","",Resources!E9)</f>
        <v>Consultor Junior Smart Spaces</v>
      </c>
      <c r="F12" s="238"/>
      <c r="G12" s="14">
        <v>60</v>
      </c>
      <c r="H12" s="14">
        <v>60</v>
      </c>
      <c r="I12" s="14">
        <v>147</v>
      </c>
      <c r="J12" s="14">
        <v>147</v>
      </c>
      <c r="K12" s="14">
        <v>147</v>
      </c>
      <c r="L12" s="14">
        <v>147</v>
      </c>
      <c r="M12" s="14">
        <v>147</v>
      </c>
      <c r="N12" s="14">
        <v>147</v>
      </c>
      <c r="O12" s="14">
        <v>147</v>
      </c>
      <c r="P12" s="14">
        <v>147</v>
      </c>
      <c r="Q12" s="14">
        <v>147</v>
      </c>
      <c r="R12" s="14">
        <v>147</v>
      </c>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P12" s="100"/>
      <c r="BQ12" s="100"/>
      <c r="BR12" s="100"/>
      <c r="BS12" s="100"/>
      <c r="BT12" s="100"/>
      <c r="BU12" s="100"/>
      <c r="BV12" s="100"/>
      <c r="BW12" s="100"/>
      <c r="BX12" s="100"/>
      <c r="BY12" s="100"/>
      <c r="BZ12" s="100"/>
      <c r="CA12" s="100"/>
    </row>
    <row r="13" spans="2:79" s="111" customFormat="1" ht="20.149999999999999" customHeight="1" x14ac:dyDescent="0.25">
      <c r="B13" s="127" t="str">
        <f>IF(Resources!B10="","",Resources!B10)</f>
        <v>E91013</v>
      </c>
      <c r="C13" s="127" t="str">
        <f>IF(Resources!C10="","",Resources!C10)</f>
        <v>A</v>
      </c>
      <c r="D13" s="127" t="str">
        <f>IF(Resources!D10="","",Resources!D10)</f>
        <v>INTERCO</v>
      </c>
      <c r="E13" s="127" t="str">
        <f>IF(Resources!E10="","",Resources!E10)</f>
        <v>Arquitecto</v>
      </c>
      <c r="F13" s="238"/>
      <c r="G13" s="14">
        <v>210</v>
      </c>
      <c r="H13" s="14">
        <v>210</v>
      </c>
      <c r="I13" s="14">
        <v>154</v>
      </c>
      <c r="J13" s="14">
        <v>154</v>
      </c>
      <c r="K13" s="14">
        <v>154</v>
      </c>
      <c r="L13" s="14">
        <v>154</v>
      </c>
      <c r="M13" s="14">
        <v>154</v>
      </c>
      <c r="N13" s="14">
        <v>154</v>
      </c>
      <c r="O13" s="14">
        <v>154</v>
      </c>
      <c r="P13" s="14">
        <v>154</v>
      </c>
      <c r="Q13" s="14">
        <v>154</v>
      </c>
      <c r="R13" s="14">
        <v>154</v>
      </c>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P13" s="100"/>
      <c r="BQ13" s="100"/>
      <c r="BR13" s="100"/>
      <c r="BS13" s="100"/>
      <c r="BT13" s="100"/>
      <c r="BU13" s="100"/>
      <c r="BV13" s="100"/>
      <c r="BW13" s="100"/>
      <c r="BX13" s="100"/>
      <c r="BY13" s="100"/>
      <c r="BZ13" s="100"/>
      <c r="CA13" s="100"/>
    </row>
    <row r="14" spans="2:79" s="111" customFormat="1" ht="20.149999999999999" customHeight="1" x14ac:dyDescent="0.25">
      <c r="B14" s="127" t="str">
        <f>IF(Resources!B11="","",Resources!B11)</f>
        <v>E91014</v>
      </c>
      <c r="C14" s="127" t="str">
        <f>IF(Resources!C11="","",Resources!C11)</f>
        <v>II</v>
      </c>
      <c r="D14" s="127" t="str">
        <f>IF(Resources!D11="","",Resources!D11)</f>
        <v>INTERCO</v>
      </c>
      <c r="E14" s="127" t="str">
        <f>IF(Resources!E11="","",Resources!E11)</f>
        <v>Ingeniero Integración</v>
      </c>
      <c r="F14" s="238"/>
      <c r="G14" s="14">
        <v>60</v>
      </c>
      <c r="H14" s="14">
        <v>60</v>
      </c>
      <c r="I14" s="14">
        <v>380</v>
      </c>
      <c r="J14" s="14">
        <v>380</v>
      </c>
      <c r="K14" s="14">
        <v>380</v>
      </c>
      <c r="L14" s="14">
        <v>380</v>
      </c>
      <c r="M14" s="14">
        <v>380</v>
      </c>
      <c r="N14" s="14">
        <v>380</v>
      </c>
      <c r="O14" s="14">
        <v>380</v>
      </c>
      <c r="P14" s="14">
        <v>380</v>
      </c>
      <c r="Q14" s="14">
        <v>380</v>
      </c>
      <c r="R14" s="14">
        <v>380</v>
      </c>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c r="AY14" s="14"/>
      <c r="AZ14" s="14"/>
      <c r="BA14" s="14"/>
      <c r="BB14" s="14"/>
      <c r="BC14" s="14"/>
      <c r="BD14" s="14"/>
      <c r="BE14" s="14"/>
      <c r="BF14" s="14"/>
      <c r="BG14" s="14"/>
      <c r="BH14" s="14"/>
      <c r="BI14" s="14"/>
      <c r="BJ14" s="14"/>
      <c r="BK14" s="14"/>
      <c r="BL14" s="14"/>
      <c r="BM14" s="14"/>
      <c r="BN14" s="14"/>
      <c r="BP14" s="100"/>
      <c r="BQ14" s="100"/>
      <c r="BR14" s="100"/>
      <c r="BS14" s="100"/>
      <c r="BT14" s="100"/>
      <c r="BU14" s="100"/>
      <c r="BV14" s="100"/>
      <c r="BW14" s="100"/>
      <c r="BX14" s="100"/>
      <c r="BY14" s="100"/>
      <c r="BZ14" s="100"/>
      <c r="CA14" s="100"/>
    </row>
    <row r="15" spans="2:79" s="111" customFormat="1" ht="20.149999999999999" customHeight="1" x14ac:dyDescent="0.25">
      <c r="B15" s="127" t="str">
        <f>IF(Resources!B12="","",Resources!B12)</f>
        <v>E91015</v>
      </c>
      <c r="C15" s="127" t="str">
        <f>IF(Resources!C12="","",Resources!C12)</f>
        <v>P</v>
      </c>
      <c r="D15" s="127" t="str">
        <f>IF(Resources!D12="","",Resources!D12)</f>
        <v>INTERCO</v>
      </c>
      <c r="E15" s="127" t="str">
        <f>IF(Resources!E12="","",Resources!E12)</f>
        <v>Configuración Portal</v>
      </c>
      <c r="F15" s="238"/>
      <c r="G15" s="8">
        <v>120</v>
      </c>
      <c r="H15" s="8">
        <v>120</v>
      </c>
      <c r="I15" s="8">
        <v>176</v>
      </c>
      <c r="J15" s="8">
        <v>176</v>
      </c>
      <c r="K15" s="8">
        <v>176</v>
      </c>
      <c r="L15" s="8">
        <v>176</v>
      </c>
      <c r="M15" s="8">
        <v>176</v>
      </c>
      <c r="N15" s="8">
        <v>176</v>
      </c>
      <c r="O15" s="8">
        <v>176</v>
      </c>
      <c r="P15" s="8">
        <v>176</v>
      </c>
      <c r="Q15" s="8">
        <v>176</v>
      </c>
      <c r="R15" s="8">
        <v>176</v>
      </c>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row>
    <row r="16" spans="2:79" s="111" customFormat="1" ht="20.149999999999999" customHeight="1" x14ac:dyDescent="0.25">
      <c r="B16" s="127" t="str">
        <f>IF(Resources!B13="","",Resources!B13)</f>
        <v>E91016</v>
      </c>
      <c r="C16" s="127" t="str">
        <f>IF(Resources!C13="","",Resources!C13)</f>
        <v>DG</v>
      </c>
      <c r="D16" s="127" t="str">
        <f>IF(Resources!D13="","",Resources!D13)</f>
        <v>INTERCO</v>
      </c>
      <c r="E16" s="127" t="str">
        <f>IF(Resources!E13="","",Resources!E13)</f>
        <v>Diseñador gráfico</v>
      </c>
      <c r="F16" s="238"/>
      <c r="G16" s="8"/>
      <c r="H16" s="8"/>
      <c r="I16" s="8">
        <v>16</v>
      </c>
      <c r="J16" s="8">
        <v>16</v>
      </c>
      <c r="K16" s="8">
        <v>16</v>
      </c>
      <c r="L16" s="8">
        <v>16</v>
      </c>
      <c r="M16" s="8">
        <v>16</v>
      </c>
      <c r="N16" s="8">
        <v>16</v>
      </c>
      <c r="O16" s="8">
        <v>16</v>
      </c>
      <c r="P16" s="8">
        <v>16</v>
      </c>
      <c r="Q16" s="8">
        <v>16</v>
      </c>
      <c r="R16" s="8">
        <v>16</v>
      </c>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row>
    <row r="17" spans="2:79" s="111" customFormat="1" ht="20.149999999999999" customHeight="1" x14ac:dyDescent="0.25">
      <c r="B17" s="127" t="str">
        <f>IF(Resources!B14="","",Resources!B14)</f>
        <v/>
      </c>
      <c r="C17" s="127" t="str">
        <f>IF(Resources!C14="","",Resources!C14)</f>
        <v/>
      </c>
      <c r="D17" s="127" t="str">
        <f>IF(Resources!D14="","",Resources!D14)</f>
        <v/>
      </c>
      <c r="E17" s="127" t="str">
        <f>IF(Resources!E14="","",Resources!E14)</f>
        <v/>
      </c>
      <c r="F17" s="23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row>
    <row r="18" spans="2:79" s="111" customFormat="1" ht="19.5" customHeight="1" x14ac:dyDescent="0.25">
      <c r="B18" s="127" t="str">
        <f>IF(Resources!B15="","",Resources!B15)</f>
        <v/>
      </c>
      <c r="C18" s="127" t="str">
        <f>IF(Resources!C15="","",Resources!C15)</f>
        <v/>
      </c>
      <c r="D18" s="127" t="str">
        <f>IF(Resources!D15="","",Resources!D15)</f>
        <v/>
      </c>
      <c r="E18" s="127" t="str">
        <f>IF(Resources!E15="","",Resources!E15)</f>
        <v/>
      </c>
      <c r="F18" s="23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row>
    <row r="19" spans="2:79" s="111" customFormat="1" ht="20.149999999999999" customHeight="1" x14ac:dyDescent="0.25">
      <c r="B19" s="127" t="str">
        <f>IF(Resources!B16="","",Resources!B16)</f>
        <v/>
      </c>
      <c r="C19" s="127" t="str">
        <f>IF(Resources!C16="","",Resources!C16)</f>
        <v/>
      </c>
      <c r="D19" s="127" t="str">
        <f>IF(Resources!D16="","",Resources!D16)</f>
        <v/>
      </c>
      <c r="E19" s="127" t="str">
        <f>IF(Resources!E16="","",Resources!E16)</f>
        <v/>
      </c>
      <c r="F19" s="23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row>
    <row r="20" spans="2:79" s="111" customFormat="1" ht="19.5" customHeight="1" x14ac:dyDescent="0.25">
      <c r="B20" s="127" t="str">
        <f>IF(Resources!B17="","",Resources!B17)</f>
        <v/>
      </c>
      <c r="C20" s="127" t="str">
        <f>IF(Resources!C17="","",Resources!C17)</f>
        <v/>
      </c>
      <c r="D20" s="127" t="str">
        <f>IF(Resources!D17="","",Resources!D17)</f>
        <v/>
      </c>
      <c r="E20" s="127" t="str">
        <f>IF(Resources!E17="","",Resources!E17)</f>
        <v/>
      </c>
      <c r="F20" s="23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P20" s="100"/>
      <c r="BQ20" s="100"/>
      <c r="BR20" s="100"/>
      <c r="BS20" s="100"/>
      <c r="BT20" s="100"/>
      <c r="BU20" s="100"/>
      <c r="BV20" s="100"/>
      <c r="BW20" s="100"/>
      <c r="BX20" s="100"/>
      <c r="BY20" s="100"/>
      <c r="BZ20" s="100"/>
      <c r="CA20" s="100"/>
    </row>
    <row r="21" spans="2:79" s="111" customFormat="1" ht="20.149999999999999" customHeight="1" x14ac:dyDescent="0.25">
      <c r="B21" s="127" t="str">
        <f>IF(Resources!B18="","",Resources!B18)</f>
        <v/>
      </c>
      <c r="C21" s="127" t="str">
        <f>IF(Resources!C18="","",Resources!C18)</f>
        <v/>
      </c>
      <c r="D21" s="127" t="str">
        <f>IF(Resources!D18="","",Resources!D18)</f>
        <v/>
      </c>
      <c r="E21" s="127" t="str">
        <f>IF(Resources!E18="","",Resources!E18)</f>
        <v/>
      </c>
      <c r="F21" s="23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P21" s="100"/>
      <c r="BQ21" s="100"/>
      <c r="BR21" s="100"/>
      <c r="BS21" s="100"/>
      <c r="BT21" s="100"/>
      <c r="BU21" s="100"/>
      <c r="BV21" s="100"/>
      <c r="BW21" s="100"/>
      <c r="BX21" s="100"/>
      <c r="BY21" s="100"/>
      <c r="BZ21" s="100"/>
      <c r="CA21" s="100"/>
    </row>
    <row r="22" spans="2:79" s="111" customFormat="1" ht="20.149999999999999" customHeight="1" x14ac:dyDescent="0.25">
      <c r="B22" s="127" t="str">
        <f>IF(Resources!B19="","",Resources!B19)</f>
        <v/>
      </c>
      <c r="C22" s="127" t="str">
        <f>IF(Resources!C19="","",Resources!C19)</f>
        <v/>
      </c>
      <c r="D22" s="127" t="str">
        <f>IF(Resources!D19="","",Resources!D19)</f>
        <v/>
      </c>
      <c r="E22" s="127" t="str">
        <f>IF(Resources!E19="","",Resources!E19)</f>
        <v/>
      </c>
      <c r="F22" s="23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P22" s="100"/>
      <c r="BQ22" s="100"/>
      <c r="BR22" s="100"/>
      <c r="BS22" s="100"/>
      <c r="BT22" s="100"/>
      <c r="BU22" s="100"/>
      <c r="BV22" s="100"/>
      <c r="BW22" s="100"/>
      <c r="BX22" s="100"/>
      <c r="BY22" s="100"/>
      <c r="BZ22" s="100"/>
      <c r="CA22" s="100"/>
    </row>
    <row r="23" spans="2:79" s="111" customFormat="1" ht="20.149999999999999" customHeight="1" x14ac:dyDescent="0.25">
      <c r="B23" s="127" t="str">
        <f>IF(Resources!B20="","",Resources!B20)</f>
        <v/>
      </c>
      <c r="C23" s="127" t="str">
        <f>IF(Resources!C20="","",Resources!C20)</f>
        <v/>
      </c>
      <c r="D23" s="127" t="str">
        <f>IF(Resources!D20="","",Resources!D20)</f>
        <v/>
      </c>
      <c r="E23" s="127" t="str">
        <f>IF(Resources!E20="","",Resources!E20)</f>
        <v/>
      </c>
      <c r="F23" s="23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P23" s="100"/>
      <c r="BQ23" s="100"/>
      <c r="BR23" s="100"/>
      <c r="BS23" s="100"/>
      <c r="BT23" s="100"/>
      <c r="BU23" s="100"/>
      <c r="BV23" s="100"/>
      <c r="BW23" s="100"/>
      <c r="BX23" s="100"/>
      <c r="BY23" s="100"/>
      <c r="BZ23" s="100"/>
      <c r="CA23" s="100"/>
    </row>
    <row r="24" spans="2:79" s="111" customFormat="1" ht="20.149999999999999" customHeight="1" x14ac:dyDescent="0.25">
      <c r="B24" s="127" t="str">
        <f>IF(Resources!B21="","",Resources!B21)</f>
        <v/>
      </c>
      <c r="C24" s="127" t="str">
        <f>IF(Resources!C21="","",Resources!C21)</f>
        <v/>
      </c>
      <c r="D24" s="127" t="str">
        <f>IF(Resources!D21="","",Resources!D21)</f>
        <v/>
      </c>
      <c r="E24" s="127" t="str">
        <f>IF(Resources!E21="","",Resources!E21)</f>
        <v/>
      </c>
      <c r="F24" s="23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P24" s="100"/>
      <c r="BQ24" s="100"/>
      <c r="BR24" s="100"/>
      <c r="BS24" s="100"/>
      <c r="BT24" s="100"/>
      <c r="BU24" s="100"/>
      <c r="BV24" s="100"/>
      <c r="BW24" s="100"/>
      <c r="BX24" s="100"/>
      <c r="BY24" s="100"/>
      <c r="BZ24" s="100"/>
      <c r="CA24" s="100"/>
    </row>
    <row r="25" spans="2:79" s="111" customFormat="1" ht="20.149999999999999" customHeight="1" x14ac:dyDescent="0.25">
      <c r="B25" s="127" t="str">
        <f>IF(Resources!B22="","",Resources!B22)</f>
        <v/>
      </c>
      <c r="C25" s="127" t="str">
        <f>IF(Resources!C22="","",Resources!C22)</f>
        <v/>
      </c>
      <c r="D25" s="127" t="str">
        <f>IF(Resources!D22="","",Resources!D22)</f>
        <v/>
      </c>
      <c r="E25" s="127" t="str">
        <f>IF(Resources!E22="","",Resources!E22)</f>
        <v/>
      </c>
      <c r="F25" s="23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row>
    <row r="26" spans="2:79" s="111" customFormat="1" ht="20.149999999999999" customHeight="1" x14ac:dyDescent="0.25">
      <c r="B26" s="127" t="str">
        <f>IF(Resources!B23="","",Resources!B23)</f>
        <v/>
      </c>
      <c r="C26" s="127" t="str">
        <f>IF(Resources!C23="","",Resources!C23)</f>
        <v/>
      </c>
      <c r="D26" s="127" t="str">
        <f>IF(Resources!D23="","",Resources!D23)</f>
        <v/>
      </c>
      <c r="E26" s="127" t="str">
        <f>IF(Resources!E23="","",Resources!E23)</f>
        <v/>
      </c>
      <c r="F26" s="23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row>
    <row r="27" spans="2:79" s="111" customFormat="1" ht="20.149999999999999" customHeight="1" x14ac:dyDescent="0.25">
      <c r="B27" s="127" t="str">
        <f>IF(Resources!B24="","",Resources!B24)</f>
        <v/>
      </c>
      <c r="C27" s="127" t="str">
        <f>IF(Resources!C24="","",Resources!C24)</f>
        <v/>
      </c>
      <c r="D27" s="127" t="str">
        <f>IF(Resources!D24="","",Resources!D24)</f>
        <v/>
      </c>
      <c r="E27" s="127" t="str">
        <f>IF(Resources!E24="","",Resources!E24)</f>
        <v/>
      </c>
      <c r="F27" s="23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row>
    <row r="28" spans="2:79" s="111" customFormat="1" ht="19.5" customHeight="1" x14ac:dyDescent="0.25">
      <c r="B28" s="127" t="str">
        <f>IF(Resources!B25="","",Resources!B25)</f>
        <v/>
      </c>
      <c r="C28" s="127" t="str">
        <f>IF(Resources!C25="","",Resources!C25)</f>
        <v/>
      </c>
      <c r="D28" s="127" t="str">
        <f>IF(Resources!D25="","",Resources!D25)</f>
        <v/>
      </c>
      <c r="E28" s="127" t="str">
        <f>IF(Resources!E25="","",Resources!E25)</f>
        <v/>
      </c>
      <c r="F28" s="23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row>
    <row r="29" spans="2:79" s="111" customFormat="1" ht="20.149999999999999" customHeight="1" x14ac:dyDescent="0.25">
      <c r="B29" s="127" t="str">
        <f>IF(Resources!B26="","",Resources!B26)</f>
        <v/>
      </c>
      <c r="C29" s="127" t="str">
        <f>IF(Resources!C26="","",Resources!C26)</f>
        <v/>
      </c>
      <c r="D29" s="127" t="str">
        <f>IF(Resources!D26="","",Resources!D26)</f>
        <v/>
      </c>
      <c r="E29" s="127" t="str">
        <f>IF(Resources!E26="","",Resources!E26)</f>
        <v/>
      </c>
      <c r="F29" s="23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row>
    <row r="30" spans="2:79" s="111" customFormat="1" ht="19.5" customHeight="1" x14ac:dyDescent="0.25">
      <c r="B30" s="127" t="str">
        <f>IF(Resources!B27="","",Resources!B27)</f>
        <v/>
      </c>
      <c r="C30" s="127" t="str">
        <f>IF(Resources!C27="","",Resources!C27)</f>
        <v/>
      </c>
      <c r="D30" s="127" t="str">
        <f>IF(Resources!D27="","",Resources!D27)</f>
        <v/>
      </c>
      <c r="E30" s="127" t="str">
        <f>IF(Resources!E27="","",Resources!E27)</f>
        <v/>
      </c>
      <c r="F30" s="238"/>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P30" s="100"/>
      <c r="BQ30" s="100"/>
      <c r="BR30" s="100"/>
      <c r="BS30" s="100"/>
      <c r="BT30" s="100"/>
      <c r="BU30" s="100"/>
      <c r="BV30" s="100"/>
      <c r="BW30" s="100"/>
      <c r="BX30" s="100"/>
      <c r="BY30" s="100"/>
      <c r="BZ30" s="100"/>
      <c r="CA30" s="100"/>
    </row>
    <row r="31" spans="2:79" s="111" customFormat="1" ht="20.149999999999999" customHeight="1" x14ac:dyDescent="0.25">
      <c r="B31" s="127" t="str">
        <f>IF(Resources!B28="","",Resources!B28)</f>
        <v/>
      </c>
      <c r="C31" s="127" t="str">
        <f>IF(Resources!C28="","",Resources!C28)</f>
        <v/>
      </c>
      <c r="D31" s="127" t="str">
        <f>IF(Resources!D28="","",Resources!D28)</f>
        <v/>
      </c>
      <c r="E31" s="127" t="str">
        <f>IF(Resources!E28="","",Resources!E28)</f>
        <v/>
      </c>
      <c r="F31" s="23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P31" s="100"/>
      <c r="BQ31" s="100"/>
      <c r="BR31" s="100"/>
      <c r="BS31" s="100"/>
      <c r="BT31" s="100"/>
      <c r="BU31" s="100"/>
      <c r="BV31" s="100"/>
      <c r="BW31" s="100"/>
      <c r="BX31" s="100"/>
      <c r="BY31" s="100"/>
      <c r="BZ31" s="100"/>
      <c r="CA31" s="100"/>
    </row>
    <row r="32" spans="2:79" s="111" customFormat="1" ht="20.149999999999999" customHeight="1" x14ac:dyDescent="0.25">
      <c r="B32" s="127" t="str">
        <f>IF(Resources!B29="","",Resources!B29)</f>
        <v/>
      </c>
      <c r="C32" s="127" t="str">
        <f>IF(Resources!C29="","",Resources!C29)</f>
        <v/>
      </c>
      <c r="D32" s="127" t="str">
        <f>IF(Resources!D29="","",Resources!D29)</f>
        <v/>
      </c>
      <c r="E32" s="127" t="str">
        <f>IF(Resources!E29="","",Resources!E29)</f>
        <v/>
      </c>
      <c r="F32" s="238"/>
      <c r="G32" s="12"/>
      <c r="H32" s="12"/>
      <c r="I32" s="12"/>
      <c r="J32" s="12"/>
      <c r="K32" s="12"/>
      <c r="L32" s="12"/>
      <c r="M32" s="12"/>
      <c r="N32" s="12"/>
      <c r="O32" s="12"/>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c r="BN32" s="12"/>
      <c r="BP32" s="100"/>
      <c r="BQ32" s="100"/>
      <c r="BR32" s="100"/>
      <c r="BS32" s="100"/>
      <c r="BT32" s="100"/>
      <c r="BU32" s="100"/>
      <c r="BV32" s="100"/>
      <c r="BW32" s="100"/>
      <c r="BX32" s="100"/>
      <c r="BY32" s="100"/>
      <c r="BZ32" s="100"/>
      <c r="CA32" s="100"/>
    </row>
    <row r="33" spans="2:79" s="111" customFormat="1" ht="20.149999999999999" customHeight="1" x14ac:dyDescent="0.25">
      <c r="B33" s="127" t="str">
        <f>IF(Resources!B30="","",Resources!B30)</f>
        <v/>
      </c>
      <c r="C33" s="127" t="str">
        <f>IF(Resources!C30="","",Resources!C30)</f>
        <v/>
      </c>
      <c r="D33" s="127" t="str">
        <f>IF(Resources!D30="","",Resources!D30)</f>
        <v/>
      </c>
      <c r="E33" s="127" t="str">
        <f>IF(Resources!E30="","",Resources!E30)</f>
        <v/>
      </c>
      <c r="F33" s="23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P33" s="100"/>
      <c r="BQ33" s="100"/>
      <c r="BR33" s="100"/>
      <c r="BS33" s="100"/>
      <c r="BT33" s="100"/>
      <c r="BU33" s="100"/>
      <c r="BV33" s="100"/>
      <c r="BW33" s="100"/>
      <c r="BX33" s="100"/>
      <c r="BY33" s="100"/>
      <c r="BZ33" s="100"/>
      <c r="CA33" s="100"/>
    </row>
    <row r="34" spans="2:79" s="111" customFormat="1" ht="20.149999999999999" customHeight="1" x14ac:dyDescent="0.25">
      <c r="B34" s="127" t="str">
        <f>IF(Resources!B31="","",Resources!B31)</f>
        <v/>
      </c>
      <c r="C34" s="127" t="str">
        <f>IF(Resources!C31="","",Resources!C31)</f>
        <v/>
      </c>
      <c r="D34" s="127" t="str">
        <f>IF(Resources!D31="","",Resources!D31)</f>
        <v/>
      </c>
      <c r="E34" s="127" t="str">
        <f>IF(Resources!E31="","",Resources!E31)</f>
        <v/>
      </c>
      <c r="F34" s="23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P34" s="100"/>
      <c r="BQ34" s="100"/>
      <c r="BR34" s="100"/>
      <c r="BS34" s="100"/>
      <c r="BT34" s="100"/>
      <c r="BU34" s="100"/>
      <c r="BV34" s="100"/>
      <c r="BW34" s="100"/>
      <c r="BX34" s="100"/>
      <c r="BY34" s="100"/>
      <c r="BZ34" s="100"/>
      <c r="CA34" s="100"/>
    </row>
    <row r="35" spans="2:79" s="111" customFormat="1" ht="20.149999999999999" customHeight="1" x14ac:dyDescent="0.25">
      <c r="B35" s="127" t="str">
        <f>IF(Resources!B32="","",Resources!B32)</f>
        <v/>
      </c>
      <c r="C35" s="127" t="str">
        <f>IF(Resources!C32="","",Resources!C32)</f>
        <v/>
      </c>
      <c r="D35" s="127" t="str">
        <f>IF(Resources!D32="","",Resources!D32)</f>
        <v/>
      </c>
      <c r="E35" s="127" t="str">
        <f>IF(Resources!E32="","",Resources!E32)</f>
        <v/>
      </c>
      <c r="F35" s="23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row>
    <row r="36" spans="2:79" s="111" customFormat="1" ht="20.149999999999999" customHeight="1" x14ac:dyDescent="0.25">
      <c r="B36" s="127" t="str">
        <f>IF(Resources!B33="","",Resources!B33)</f>
        <v/>
      </c>
      <c r="C36" s="127" t="str">
        <f>IF(Resources!C33="","",Resources!C33)</f>
        <v/>
      </c>
      <c r="D36" s="127" t="str">
        <f>IF(Resources!D33="","",Resources!D33)</f>
        <v/>
      </c>
      <c r="E36" s="127" t="str">
        <f>IF(Resources!E33="","",Resources!E33)</f>
        <v/>
      </c>
      <c r="F36" s="23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row>
    <row r="37" spans="2:79" s="111" customFormat="1" ht="20.149999999999999" customHeight="1" x14ac:dyDescent="0.25">
      <c r="B37" s="127" t="str">
        <f>IF(Resources!B34="","",Resources!B34)</f>
        <v/>
      </c>
      <c r="C37" s="127" t="str">
        <f>IF(Resources!C34="","",Resources!C34)</f>
        <v/>
      </c>
      <c r="D37" s="127" t="str">
        <f>IF(Resources!D34="","",Resources!D34)</f>
        <v/>
      </c>
      <c r="E37" s="127" t="str">
        <f>IF(Resources!E34="","",Resources!E34)</f>
        <v/>
      </c>
      <c r="F37" s="23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row>
    <row r="38" spans="2:79" s="111" customFormat="1" ht="19.5" customHeight="1" x14ac:dyDescent="0.25">
      <c r="B38" s="127" t="str">
        <f>IF(Resources!B35="","",Resources!B35)</f>
        <v/>
      </c>
      <c r="C38" s="127" t="str">
        <f>IF(Resources!C35="","",Resources!C35)</f>
        <v/>
      </c>
      <c r="D38" s="127" t="str">
        <f>IF(Resources!D35="","",Resources!D35)</f>
        <v/>
      </c>
      <c r="E38" s="127" t="str">
        <f>IF(Resources!E35="","",Resources!E35)</f>
        <v/>
      </c>
      <c r="F38" s="238"/>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row>
    <row r="39" spans="2:79" s="111" customFormat="1" ht="19.5" customHeight="1" x14ac:dyDescent="0.25">
      <c r="B39" s="127" t="str">
        <f>IF(Resources!B36="","",Resources!B36)</f>
        <v/>
      </c>
      <c r="C39" s="127" t="str">
        <f>IF(Resources!C36="","",Resources!C36)</f>
        <v/>
      </c>
      <c r="D39" s="127" t="str">
        <f>IF(Resources!D36="","",Resources!D36)</f>
        <v/>
      </c>
      <c r="E39" s="127" t="str">
        <f>IF(Resources!E36="","",Resources!E36)</f>
        <v/>
      </c>
      <c r="F39" s="238"/>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row>
    <row r="40" spans="2:79" ht="20.149999999999999" customHeight="1" x14ac:dyDescent="0.25">
      <c r="B40" s="123" t="s">
        <v>130</v>
      </c>
      <c r="C40" s="124"/>
      <c r="D40" s="125"/>
      <c r="E40" s="125"/>
      <c r="F40" s="188">
        <f>'Project Infor'!C47</f>
        <v>0</v>
      </c>
      <c r="G40" s="126" cm="1">
        <f t="array" ref="G40">SUMPRODUCT(($D$10:$D$39="NO")*1,G$10:G$39,Resources!F7:F36)+G42</f>
        <v>400</v>
      </c>
      <c r="H40" s="126" cm="1">
        <f t="array" ref="H40">SUMPRODUCT(($D$10:$D$39="NO")*1,H$10:H$39,Resources!G7:G36)+H42</f>
        <v>400</v>
      </c>
      <c r="I40" s="126" cm="1">
        <f t="array" ref="I40">SUMPRODUCT(($D$10:$D$39="NO")*1,I$10:I$39,Resources!H7:H36)+I42</f>
        <v>1895.2</v>
      </c>
      <c r="J40" s="126" cm="1">
        <f t="array" ref="J40">SUMPRODUCT(($D$10:$D$39="NO")*1,J$10:J$39,Resources!I7:I36)+J42</f>
        <v>1895.2</v>
      </c>
      <c r="K40" s="126" cm="1">
        <f t="array" ref="K40">SUMPRODUCT(($D$10:$D$39="NO")*1,K$10:K$39,Resources!J7:J36)+K42</f>
        <v>1895.2</v>
      </c>
      <c r="L40" s="126" cm="1">
        <f t="array" ref="L40">SUMPRODUCT(($D$10:$D$39="NO")*1,L$10:L$39,Resources!K7:K36)+L42</f>
        <v>1895.2</v>
      </c>
      <c r="M40" s="126" cm="1">
        <f t="array" ref="M40">SUMPRODUCT(($D$10:$D$39="NO")*1,M$10:M$39,Resources!L7:L36)+M42</f>
        <v>1895.2</v>
      </c>
      <c r="N40" s="126" cm="1">
        <f t="array" ref="N40">SUMPRODUCT(($D$10:$D$39="NO")*1,N$10:N$39,Resources!M7:M36)+N42</f>
        <v>1895.2</v>
      </c>
      <c r="O40" s="126" cm="1">
        <f t="array" ref="O40">SUMPRODUCT(($D$10:$D$39="NO")*1,O$10:O$39,Resources!N7:N36)+O42</f>
        <v>1895.2</v>
      </c>
      <c r="P40" s="126" cm="1">
        <f t="array" ref="P40">SUMPRODUCT(($D$10:$D$39="NO")*1,P$10:P$39,Resources!O7:O36)+P42</f>
        <v>1895.2</v>
      </c>
      <c r="Q40" s="126" cm="1">
        <f t="array" ref="Q40">SUMPRODUCT(($D$10:$D$39="NO")*1,Q$10:Q$39,Resources!P7:P36)+Q42</f>
        <v>1895.2</v>
      </c>
      <c r="R40" s="126" cm="1">
        <f t="array" ref="R40">SUMPRODUCT(($D$10:$D$39="NO")*1,R$10:R$39,Resources!Q7:Q36)+R42</f>
        <v>1895.2</v>
      </c>
      <c r="S40" s="126" cm="1">
        <f t="array" ref="S40">SUMPRODUCT(($D$10:$D$39="NO")*1,S$10:S$39,Resources!R7:R36)+S42</f>
        <v>0</v>
      </c>
      <c r="T40" s="126" cm="1">
        <f t="array" ref="T40">SUMPRODUCT(($D$10:$D$39="NO")*1,T$10:T$39,Resources!S7:S36)+T42</f>
        <v>0</v>
      </c>
      <c r="U40" s="126" cm="1">
        <f t="array" ref="U40">SUMPRODUCT(($D$10:$D$39="NO")*1,U$10:U$39,Resources!T7:T36)+U42</f>
        <v>0</v>
      </c>
      <c r="V40" s="126" cm="1">
        <f t="array" ref="V40">SUMPRODUCT(($D$10:$D$39="NO")*1,V$10:V$39,Resources!U7:U36)+V42</f>
        <v>0</v>
      </c>
      <c r="W40" s="126" cm="1">
        <f t="array" ref="W40">SUMPRODUCT(($D$10:$D$39="NO")*1,W$10:W$39,Resources!V7:V36)+W42</f>
        <v>0</v>
      </c>
      <c r="X40" s="126" cm="1">
        <f t="array" ref="X40">SUMPRODUCT(($D$10:$D$39="NO")*1,X$10:X$39,Resources!W7:W36)+X42</f>
        <v>0</v>
      </c>
      <c r="Y40" s="126" cm="1">
        <f t="array" ref="Y40">SUMPRODUCT(($D$10:$D$39="NO")*1,Y$10:Y$39,Resources!X7:X36)+Y42</f>
        <v>0</v>
      </c>
      <c r="Z40" s="126" cm="1">
        <f t="array" ref="Z40">SUMPRODUCT(($D$10:$D$39="NO")*1,Z$10:Z$39,Resources!Y7:Y36)+Z42</f>
        <v>0</v>
      </c>
      <c r="AA40" s="126" cm="1">
        <f t="array" ref="AA40">SUMPRODUCT(($D$10:$D$39="NO")*1,AA$10:AA$39,Resources!Z7:Z36)+AA42</f>
        <v>0</v>
      </c>
      <c r="AB40" s="126" cm="1">
        <f t="array" ref="AB40">SUMPRODUCT(($D$10:$D$39="NO")*1,AB$10:AB$39,Resources!AA7:AA36)+AB42</f>
        <v>0</v>
      </c>
      <c r="AC40" s="126" cm="1">
        <f t="array" ref="AC40">SUMPRODUCT(($D$10:$D$39="NO")*1,AC$10:AC$39,Resources!AB7:AB36)+AC42</f>
        <v>0</v>
      </c>
      <c r="AD40" s="126" cm="1">
        <f t="array" ref="AD40">SUMPRODUCT(($D$10:$D$39="NO")*1,AD$10:AD$39,Resources!AC7:AC36)+AD42</f>
        <v>0</v>
      </c>
      <c r="AE40" s="126" cm="1">
        <f t="array" ref="AE40">SUMPRODUCT(($D$10:$D$39="NO")*1,AE$10:AE$39,Resources!AD7:AD36)+AE42</f>
        <v>0</v>
      </c>
      <c r="AF40" s="126" cm="1">
        <f t="array" ref="AF40">SUMPRODUCT(($D$10:$D$39="NO")*1,AF$10:AF$39,Resources!AE7:AE36)+AF42</f>
        <v>0</v>
      </c>
      <c r="AG40" s="126" cm="1">
        <f t="array" ref="AG40">SUMPRODUCT(($D$10:$D$39="NO")*1,AG$10:AG$39,Resources!AF7:AF36)+AG42</f>
        <v>0</v>
      </c>
      <c r="AH40" s="126" cm="1">
        <f t="array" ref="AH40">SUMPRODUCT(($D$10:$D$39="NO")*1,AH$10:AH$39,Resources!AG7:AG36)+AH42</f>
        <v>0</v>
      </c>
      <c r="AI40" s="126" cm="1">
        <f t="array" ref="AI40">SUMPRODUCT(($D$10:$D$39="NO")*1,AI$10:AI$39,Resources!AH7:AH36)+AI42</f>
        <v>0</v>
      </c>
      <c r="AJ40" s="126" cm="1">
        <f t="array" ref="AJ40">SUMPRODUCT(($D$10:$D$39="NO")*1,AJ$10:AJ$39,Resources!AI7:AI36)+AJ42</f>
        <v>0</v>
      </c>
      <c r="AK40" s="126" cm="1">
        <f t="array" ref="AK40">SUMPRODUCT(($D$10:$D$39="NO")*1,AK$10:AK$39,Resources!AJ7:AJ36)+AK42</f>
        <v>0</v>
      </c>
      <c r="AL40" s="126" cm="1">
        <f t="array" ref="AL40">SUMPRODUCT(($D$10:$D$39="NO")*1,AL$10:AL$39,Resources!AK7:AK36)+AL42</f>
        <v>0</v>
      </c>
      <c r="AM40" s="126" cm="1">
        <f t="array" ref="AM40">SUMPRODUCT(($D$10:$D$39="NO")*1,AM$10:AM$39,Resources!AL7:AL36)+AM42</f>
        <v>0</v>
      </c>
      <c r="AN40" s="126" cm="1">
        <f t="array" ref="AN40">SUMPRODUCT(($D$10:$D$39="NO")*1,AN$10:AN$39,Resources!AM7:AM36)+AN42</f>
        <v>0</v>
      </c>
      <c r="AO40" s="126" cm="1">
        <f t="array" ref="AO40">SUMPRODUCT(($D$10:$D$39="NO")*1,AO$10:AO$39,Resources!AN7:AN36)+AO42</f>
        <v>0</v>
      </c>
      <c r="AP40" s="126" cm="1">
        <f t="array" ref="AP40">SUMPRODUCT(($D$10:$D$39="NO")*1,AP$10:AP$39,Resources!AO7:AO36)+AP42</f>
        <v>0</v>
      </c>
      <c r="AQ40" s="126" cm="1">
        <f t="array" ref="AQ40">SUMPRODUCT(($D$10:$D$39="NO")*1,AQ$10:AQ$39,Resources!AP7:AP36)+AQ42</f>
        <v>0</v>
      </c>
      <c r="AR40" s="126" cm="1">
        <f t="array" ref="AR40">SUMPRODUCT(($D$10:$D$39="NO")*1,AR$10:AR$39,Resources!AQ7:AQ36)+AR42</f>
        <v>0</v>
      </c>
      <c r="AS40" s="126" cm="1">
        <f t="array" ref="AS40">SUMPRODUCT(($D$10:$D$39="NO")*1,AS$10:AS$39,Resources!AR7:AR36)+AS42</f>
        <v>0</v>
      </c>
      <c r="AT40" s="126" cm="1">
        <f t="array" ref="AT40">SUMPRODUCT(($D$10:$D$39="NO")*1,AT$10:AT$39,Resources!AS7:AS36)+AT42</f>
        <v>0</v>
      </c>
      <c r="AU40" s="126" cm="1">
        <f t="array" ref="AU40">SUMPRODUCT(($D$10:$D$39="NO")*1,AU$10:AU$39,Resources!AT7:AT36)+AU42</f>
        <v>0</v>
      </c>
      <c r="AV40" s="126" cm="1">
        <f t="array" ref="AV40">SUMPRODUCT(($D$10:$D$39="NO")*1,AV$10:AV$39,Resources!AU7:AU36)+AV42</f>
        <v>0</v>
      </c>
      <c r="AW40" s="126" cm="1">
        <f t="array" ref="AW40">SUMPRODUCT(($D$10:$D$39="NO")*1,AW$10:AW$39,Resources!AV7:AV36)+AW42</f>
        <v>0</v>
      </c>
      <c r="AX40" s="126" cm="1">
        <f t="array" ref="AX40">SUMPRODUCT(($D$10:$D$39="NO")*1,AX$10:AX$39,Resources!AW7:AW36)+AX42</f>
        <v>0</v>
      </c>
      <c r="AY40" s="126" cm="1">
        <f t="array" ref="AY40">SUMPRODUCT(($D$10:$D$39="NO")*1,AY$10:AY$39,Resources!AX7:AX36)+AY42</f>
        <v>0</v>
      </c>
      <c r="AZ40" s="126" cm="1">
        <f t="array" ref="AZ40">SUMPRODUCT(($D$10:$D$39="NO")*1,AZ$10:AZ$39,Resources!AY7:AY36)+AZ42</f>
        <v>0</v>
      </c>
      <c r="BA40" s="126" cm="1">
        <f t="array" ref="BA40">SUMPRODUCT(($D$10:$D$39="NO")*1,BA$10:BA$39,Resources!AZ7:AZ36)+BA42</f>
        <v>0</v>
      </c>
      <c r="BB40" s="126" cm="1">
        <f t="array" ref="BB40">SUMPRODUCT(($D$10:$D$39="NO")*1,BB$10:BB$39,Resources!BA7:BA36)+BB42</f>
        <v>0</v>
      </c>
      <c r="BC40" s="126" cm="1">
        <f t="array" ref="BC40">SUMPRODUCT(($D$10:$D$39="NO")*1,BC$10:BC$39,Resources!BB7:BB36)+BC42</f>
        <v>0</v>
      </c>
      <c r="BD40" s="126" cm="1">
        <f t="array" ref="BD40">SUMPRODUCT(($D$10:$D$39="NO")*1,BD$10:BD$39,Resources!BC7:BC36)+BD42</f>
        <v>0</v>
      </c>
      <c r="BE40" s="126" cm="1">
        <f t="array" ref="BE40">SUMPRODUCT(($D$10:$D$39="NO")*1,BE$10:BE$39,Resources!BD7:BD36)+BE42</f>
        <v>0</v>
      </c>
      <c r="BF40" s="126" cm="1">
        <f t="array" ref="BF40">SUMPRODUCT(($D$10:$D$39="NO")*1,BF$10:BF$39,Resources!BE7:BE36)+BF42</f>
        <v>0</v>
      </c>
      <c r="BG40" s="126" cm="1">
        <f t="array" ref="BG40">SUMPRODUCT(($D$10:$D$39="NO")*1,BG$10:BG$39,Resources!BF7:BF36)+BG42</f>
        <v>0</v>
      </c>
      <c r="BH40" s="126" cm="1">
        <f t="array" ref="BH40">SUMPRODUCT(($D$10:$D$39="NO")*1,BH$10:BH$39,Resources!BG7:BG36)+BH42</f>
        <v>0</v>
      </c>
      <c r="BI40" s="126" cm="1">
        <f t="array" ref="BI40">SUMPRODUCT(($D$10:$D$39="NO")*1,BI$10:BI$39,Resources!BH7:BH36)+BI42</f>
        <v>0</v>
      </c>
      <c r="BJ40" s="126" cm="1">
        <f t="array" ref="BJ40">SUMPRODUCT(($D$10:$D$39="NO")*1,BJ$10:BJ$39,Resources!BI7:BI36)+BJ42</f>
        <v>0</v>
      </c>
      <c r="BK40" s="126" cm="1">
        <f t="array" ref="BK40">SUMPRODUCT(($D$10:$D$39="NO")*1,BK$10:BK$39,Resources!BJ7:BJ36)+BK42</f>
        <v>0</v>
      </c>
      <c r="BL40" s="126" cm="1">
        <f t="array" ref="BL40">SUMPRODUCT(($D$10:$D$39="NO")*1,BL$10:BL$39,Resources!BK7:BK36)+BL42</f>
        <v>0</v>
      </c>
      <c r="BM40" s="126" cm="1">
        <f t="array" ref="BM40">SUMPRODUCT(($D$10:$D$39="NO")*1,BM$10:BM$39,Resources!BL7:BL36)+BM42</f>
        <v>0</v>
      </c>
      <c r="BN40" s="126" cm="1">
        <f t="array" ref="BN40">SUMPRODUCT(($D$10:$D$39="NO")*1,BN$10:BN$39,Resources!BM7:BM36)+BN42</f>
        <v>0</v>
      </c>
    </row>
    <row r="41" spans="2:79" ht="20.149999999999999" customHeight="1" x14ac:dyDescent="0.25">
      <c r="B41" s="128" t="s">
        <v>131</v>
      </c>
      <c r="C41" s="129"/>
      <c r="D41" s="130"/>
      <c r="E41" s="130"/>
      <c r="F41" s="126"/>
      <c r="G41" s="126" cm="1">
        <f t="array" ref="G41">SUMPRODUCT(($D$10:$D$39="INTERCO")*1,G$10:G$39,Resources!F7:F36)+G43</f>
        <v>17017.5</v>
      </c>
      <c r="H41" s="126" cm="1">
        <f t="array" ref="H41">SUMPRODUCT(($D$10:$D$39="INTERCO")*1,H$10:H$39,Resources!G7:G36)+H43</f>
        <v>17017.5</v>
      </c>
      <c r="I41" s="126" cm="1">
        <f t="array" ref="I41">SUMPRODUCT(($D$10:$D$39="INTERCO")*1,I$10:I$39,Resources!H7:H36)+I43</f>
        <v>27030.805</v>
      </c>
      <c r="J41" s="126" cm="1">
        <f t="array" ref="J41">SUMPRODUCT(($D$10:$D$39="INTERCO")*1,J$10:J$39,Resources!I7:I36)+J43</f>
        <v>27030.805</v>
      </c>
      <c r="K41" s="126" cm="1">
        <f t="array" ref="K41">SUMPRODUCT(($D$10:$D$39="INTERCO")*1,K$10:K$39,Resources!J7:J36)+K43</f>
        <v>27030.805</v>
      </c>
      <c r="L41" s="126" cm="1">
        <f t="array" ref="L41">SUMPRODUCT(($D$10:$D$39="INTERCO")*1,L$10:L$39,Resources!K7:K36)+L43</f>
        <v>27030.805</v>
      </c>
      <c r="M41" s="126" cm="1">
        <f t="array" ref="M41">SUMPRODUCT(($D$10:$D$39="INTERCO")*1,M$10:M$39,Resources!L7:L36)+M43</f>
        <v>27030.805</v>
      </c>
      <c r="N41" s="126" cm="1">
        <f t="array" ref="N41">SUMPRODUCT(($D$10:$D$39="INTERCO")*1,N$10:N$39,Resources!M7:M36)+N43</f>
        <v>27030.805</v>
      </c>
      <c r="O41" s="126" cm="1">
        <f t="array" ref="O41">SUMPRODUCT(($D$10:$D$39="INTERCO")*1,O$10:O$39,Resources!N7:N36)+O43</f>
        <v>27030.805</v>
      </c>
      <c r="P41" s="126" cm="1">
        <f t="array" ref="P41">SUMPRODUCT(($D$10:$D$39="INTERCO")*1,P$10:P$39,Resources!O7:O36)+P43</f>
        <v>27030.805</v>
      </c>
      <c r="Q41" s="126" cm="1">
        <f t="array" ref="Q41">SUMPRODUCT(($D$10:$D$39="INTERCO")*1,Q$10:Q$39,Resources!P7:P36)+Q43</f>
        <v>27030.805</v>
      </c>
      <c r="R41" s="126" cm="1">
        <f t="array" ref="R41">SUMPRODUCT(($D$10:$D$39="INTERCO")*1,R$10:R$39,Resources!Q7:Q36)+R43</f>
        <v>27030.805</v>
      </c>
      <c r="S41" s="126" cm="1">
        <f t="array" ref="S41">SUMPRODUCT(($D$10:$D$39="INTERCO")*1,S$10:S$39,Resources!R7:R36)+S43</f>
        <v>0</v>
      </c>
      <c r="T41" s="126" cm="1">
        <f t="array" ref="T41">SUMPRODUCT(($D$10:$D$39="INTERCO")*1,T$10:T$39,Resources!S7:S36)+T43</f>
        <v>0</v>
      </c>
      <c r="U41" s="126" cm="1">
        <f t="array" ref="U41">SUMPRODUCT(($D$10:$D$39="INTERCO")*1,U$10:U$39,Resources!T7:T36)+U43</f>
        <v>0</v>
      </c>
      <c r="V41" s="126" cm="1">
        <f t="array" ref="V41">SUMPRODUCT(($D$10:$D$39="INTERCO")*1,V$10:V$39,Resources!U7:U36)+V43</f>
        <v>0</v>
      </c>
      <c r="W41" s="126" cm="1">
        <f t="array" ref="W41">SUMPRODUCT(($D$10:$D$39="INTERCO")*1,W$10:W$39,Resources!V7:V36)+W43</f>
        <v>0</v>
      </c>
      <c r="X41" s="126" cm="1">
        <f t="array" ref="X41">SUMPRODUCT(($D$10:$D$39="INTERCO")*1,X$10:X$39,Resources!W7:W36)+X43</f>
        <v>0</v>
      </c>
      <c r="Y41" s="126" cm="1">
        <f t="array" ref="Y41">SUMPRODUCT(($D$10:$D$39="INTERCO")*1,Y$10:Y$39,Resources!X7:X36)+Y43</f>
        <v>0</v>
      </c>
      <c r="Z41" s="126" cm="1">
        <f t="array" ref="Z41">SUMPRODUCT(($D$10:$D$39="INTERCO")*1,Z$10:Z$39,Resources!Y7:Y36)+Z43</f>
        <v>0</v>
      </c>
      <c r="AA41" s="126" cm="1">
        <f t="array" ref="AA41">SUMPRODUCT(($D$10:$D$39="INTERCO")*1,AA$10:AA$39,Resources!Z7:Z36)+AA43</f>
        <v>0</v>
      </c>
      <c r="AB41" s="126" cm="1">
        <f t="array" ref="AB41">SUMPRODUCT(($D$10:$D$39="INTERCO")*1,AB$10:AB$39,Resources!AA7:AA36)+AB43</f>
        <v>0</v>
      </c>
      <c r="AC41" s="126" cm="1">
        <f t="array" ref="AC41">SUMPRODUCT(($D$10:$D$39="INTERCO")*1,AC$10:AC$39,Resources!AB7:AB36)+AC43</f>
        <v>0</v>
      </c>
      <c r="AD41" s="126" cm="1">
        <f t="array" ref="AD41">SUMPRODUCT(($D$10:$D$39="INTERCO")*1,AD$10:AD$39,Resources!AC7:AC36)+AD43</f>
        <v>0</v>
      </c>
      <c r="AE41" s="126" cm="1">
        <f t="array" ref="AE41">SUMPRODUCT(($D$10:$D$39="INTERCO")*1,AE$10:AE$39,Resources!AD7:AD36)+AE43</f>
        <v>0</v>
      </c>
      <c r="AF41" s="126" cm="1">
        <f t="array" ref="AF41">SUMPRODUCT(($D$10:$D$39="INTERCO")*1,AF$10:AF$39,Resources!AE7:AE36)+AF43</f>
        <v>0</v>
      </c>
      <c r="AG41" s="126" cm="1">
        <f t="array" ref="AG41">SUMPRODUCT(($D$10:$D$39="INTERCO")*1,AG$10:AG$39,Resources!AF7:AF36)+AG43</f>
        <v>0</v>
      </c>
      <c r="AH41" s="126" cm="1">
        <f t="array" ref="AH41">SUMPRODUCT(($D$10:$D$39="INTERCO")*1,AH$10:AH$39,Resources!AG7:AG36)+AH43</f>
        <v>0</v>
      </c>
      <c r="AI41" s="126" cm="1">
        <f t="array" ref="AI41">SUMPRODUCT(($D$10:$D$39="INTERCO")*1,AI$10:AI$39,Resources!AH7:AH36)+AI43</f>
        <v>0</v>
      </c>
      <c r="AJ41" s="126" cm="1">
        <f t="array" ref="AJ41">SUMPRODUCT(($D$10:$D$39="INTERCO")*1,AJ$10:AJ$39,Resources!AI7:AI36)+AJ43</f>
        <v>0</v>
      </c>
      <c r="AK41" s="126" cm="1">
        <f t="array" ref="AK41">SUMPRODUCT(($D$10:$D$39="INTERCO")*1,AK$10:AK$39,Resources!AJ7:AJ36)+AK43</f>
        <v>0</v>
      </c>
      <c r="AL41" s="126" cm="1">
        <f t="array" ref="AL41">SUMPRODUCT(($D$10:$D$39="INTERCO")*1,AL$10:AL$39,Resources!AK7:AK36)+AL43</f>
        <v>0</v>
      </c>
      <c r="AM41" s="126" cm="1">
        <f t="array" ref="AM41">SUMPRODUCT(($D$10:$D$39="INTERCO")*1,AM$10:AM$39,Resources!AL7:AL36)+AM43</f>
        <v>0</v>
      </c>
      <c r="AN41" s="126" cm="1">
        <f t="array" ref="AN41">SUMPRODUCT(($D$10:$D$39="INTERCO")*1,AN$10:AN$39,Resources!AM7:AM36)+AN43</f>
        <v>0</v>
      </c>
      <c r="AO41" s="126" cm="1">
        <f t="array" ref="AO41">SUMPRODUCT(($D$10:$D$39="INTERCO")*1,AO$10:AO$39,Resources!AN7:AN36)+AO43</f>
        <v>0</v>
      </c>
      <c r="AP41" s="126" cm="1">
        <f t="array" ref="AP41">SUMPRODUCT(($D$10:$D$39="INTERCO")*1,AP$10:AP$39,Resources!AO7:AO36)+AP43</f>
        <v>0</v>
      </c>
      <c r="AQ41" s="126" cm="1">
        <f t="array" ref="AQ41">SUMPRODUCT(($D$10:$D$39="INTERCO")*1,AQ$10:AQ$39,Resources!AP7:AP36)+AQ43</f>
        <v>0</v>
      </c>
      <c r="AR41" s="126" cm="1">
        <f t="array" ref="AR41">SUMPRODUCT(($D$10:$D$39="INTERCO")*1,AR$10:AR$39,Resources!AQ7:AQ36)+AR43</f>
        <v>0</v>
      </c>
      <c r="AS41" s="126" cm="1">
        <f t="array" ref="AS41">SUMPRODUCT(($D$10:$D$39="INTERCO")*1,AS$10:AS$39,Resources!AR7:AR36)+AS43</f>
        <v>0</v>
      </c>
      <c r="AT41" s="126" cm="1">
        <f t="array" ref="AT41">SUMPRODUCT(($D$10:$D$39="INTERCO")*1,AT$10:AT$39,Resources!AS7:AS36)+AT43</f>
        <v>0</v>
      </c>
      <c r="AU41" s="126" cm="1">
        <f t="array" ref="AU41">SUMPRODUCT(($D$10:$D$39="INTERCO")*1,AU$10:AU$39,Resources!AT7:AT36)+AU43</f>
        <v>0</v>
      </c>
      <c r="AV41" s="126" cm="1">
        <f t="array" ref="AV41">SUMPRODUCT(($D$10:$D$39="INTERCO")*1,AV$10:AV$39,Resources!AU7:AU36)+AV43</f>
        <v>0</v>
      </c>
      <c r="AW41" s="126" cm="1">
        <f t="array" ref="AW41">SUMPRODUCT(($D$10:$D$39="INTERCO")*1,AW$10:AW$39,Resources!AV7:AV36)+AW43</f>
        <v>0</v>
      </c>
      <c r="AX41" s="126" cm="1">
        <f t="array" ref="AX41">SUMPRODUCT(($D$10:$D$39="INTERCO")*1,AX$10:AX$39,Resources!AW7:AW36)+AX43</f>
        <v>0</v>
      </c>
      <c r="AY41" s="126" cm="1">
        <f t="array" ref="AY41">SUMPRODUCT(($D$10:$D$39="INTERCO")*1,AY$10:AY$39,Resources!AX7:AX36)+AY43</f>
        <v>0</v>
      </c>
      <c r="AZ41" s="126" cm="1">
        <f t="array" ref="AZ41">SUMPRODUCT(($D$10:$D$39="INTERCO")*1,AZ$10:AZ$39,Resources!AY7:AY36)+AZ43</f>
        <v>0</v>
      </c>
      <c r="BA41" s="126" cm="1">
        <f t="array" ref="BA41">SUMPRODUCT(($D$10:$D$39="INTERCO")*1,BA$10:BA$39,Resources!AZ7:AZ36)+BA43</f>
        <v>0</v>
      </c>
      <c r="BB41" s="126" cm="1">
        <f t="array" ref="BB41">SUMPRODUCT(($D$10:$D$39="INTERCO")*1,BB$10:BB$39,Resources!BA7:BA36)+BB43</f>
        <v>0</v>
      </c>
      <c r="BC41" s="126" cm="1">
        <f t="array" ref="BC41">SUMPRODUCT(($D$10:$D$39="INTERCO")*1,BC$10:BC$39,Resources!BB7:BB36)+BC43</f>
        <v>0</v>
      </c>
      <c r="BD41" s="126" cm="1">
        <f t="array" ref="BD41">SUMPRODUCT(($D$10:$D$39="INTERCO")*1,BD$10:BD$39,Resources!BC7:BC36)+BD43</f>
        <v>0</v>
      </c>
      <c r="BE41" s="126" cm="1">
        <f t="array" ref="BE41">SUMPRODUCT(($D$10:$D$39="INTERCO")*1,BE$10:BE$39,Resources!BD7:BD36)+BE43</f>
        <v>0</v>
      </c>
      <c r="BF41" s="126" cm="1">
        <f t="array" ref="BF41">SUMPRODUCT(($D$10:$D$39="INTERCO")*1,BF$10:BF$39,Resources!BE7:BE36)+BF43</f>
        <v>0</v>
      </c>
      <c r="BG41" s="126" cm="1">
        <f t="array" ref="BG41">SUMPRODUCT(($D$10:$D$39="INTERCO")*1,BG$10:BG$39,Resources!BF7:BF36)+BG43</f>
        <v>0</v>
      </c>
      <c r="BH41" s="126" cm="1">
        <f t="array" ref="BH41">SUMPRODUCT(($D$10:$D$39="INTERCO")*1,BH$10:BH$39,Resources!BG7:BG36)+BH43</f>
        <v>0</v>
      </c>
      <c r="BI41" s="126" cm="1">
        <f t="array" ref="BI41">SUMPRODUCT(($D$10:$D$39="INTERCO")*1,BI$10:BI$39,Resources!BH7:BH36)+BI43</f>
        <v>0</v>
      </c>
      <c r="BJ41" s="126" cm="1">
        <f t="array" ref="BJ41">SUMPRODUCT(($D$10:$D$39="INTERCO")*1,BJ$10:BJ$39,Resources!BI7:BI36)+BJ43</f>
        <v>0</v>
      </c>
      <c r="BK41" s="126" cm="1">
        <f t="array" ref="BK41">SUMPRODUCT(($D$10:$D$39="INTERCO")*1,BK$10:BK$39,Resources!BJ7:BJ36)+BK43</f>
        <v>0</v>
      </c>
      <c r="BL41" s="126" cm="1">
        <f t="array" ref="BL41">SUMPRODUCT(($D$10:$D$39="INTERCO")*1,BL$10:BL$39,Resources!BK7:BK36)+BL43</f>
        <v>0</v>
      </c>
      <c r="BM41" s="126" cm="1">
        <f t="array" ref="BM41">SUMPRODUCT(($D$10:$D$39="INTERCO")*1,BM$10:BM$39,Resources!BL7:BL36)+BM43</f>
        <v>0</v>
      </c>
      <c r="BN41" s="126" cm="1">
        <f t="array" ref="BN41">SUMPRODUCT(($D$10:$D$39="INTERCO")*1,BN$10:BN$39,Resources!BM7:BM36)+BN43</f>
        <v>0</v>
      </c>
    </row>
    <row r="42" spans="2:79" s="111" customFormat="1" ht="19.5" customHeight="1" x14ac:dyDescent="0.25">
      <c r="B42" s="240"/>
      <c r="C42" s="283" t="s">
        <v>132</v>
      </c>
      <c r="D42" s="283"/>
      <c r="E42" s="283"/>
      <c r="F42" s="112"/>
      <c r="G42" s="235"/>
      <c r="H42" s="235"/>
      <c r="I42" s="235"/>
      <c r="J42" s="235"/>
      <c r="K42" s="235"/>
      <c r="L42" s="235"/>
      <c r="M42" s="235"/>
      <c r="N42" s="235"/>
      <c r="O42" s="235"/>
      <c r="P42" s="235"/>
      <c r="Q42" s="235"/>
      <c r="R42" s="235"/>
      <c r="S42" s="235"/>
      <c r="T42" s="235"/>
      <c r="U42" s="235"/>
      <c r="V42" s="235"/>
      <c r="W42" s="235"/>
      <c r="X42" s="235"/>
      <c r="Y42" s="235"/>
      <c r="Z42" s="235"/>
      <c r="AA42" s="235"/>
      <c r="AB42" s="235"/>
      <c r="AC42" s="235"/>
      <c r="AD42" s="235"/>
      <c r="AE42" s="235"/>
      <c r="AF42" s="235"/>
      <c r="AG42" s="235"/>
      <c r="AH42" s="235"/>
      <c r="AI42" s="235"/>
      <c r="AJ42" s="235"/>
      <c r="AK42" s="235"/>
      <c r="AL42" s="235"/>
      <c r="AM42" s="235"/>
      <c r="AN42" s="235"/>
      <c r="AO42" s="235"/>
      <c r="AP42" s="235"/>
      <c r="AQ42" s="235"/>
      <c r="AR42" s="235"/>
      <c r="AS42" s="235"/>
      <c r="AT42" s="235"/>
      <c r="AU42" s="235"/>
      <c r="AV42" s="235"/>
      <c r="AW42" s="235"/>
      <c r="AX42" s="235"/>
      <c r="AY42" s="235"/>
      <c r="AZ42" s="235"/>
      <c r="BA42" s="235"/>
      <c r="BB42" s="235"/>
      <c r="BC42" s="235"/>
      <c r="BD42" s="235"/>
      <c r="BE42" s="235"/>
      <c r="BF42" s="235"/>
      <c r="BG42" s="235"/>
      <c r="BH42" s="235"/>
      <c r="BI42" s="235"/>
      <c r="BJ42" s="235"/>
      <c r="BK42" s="235"/>
      <c r="BL42" s="235"/>
      <c r="BM42" s="235"/>
      <c r="BN42" s="235"/>
    </row>
    <row r="43" spans="2:79" s="111" customFormat="1" ht="19.5" customHeight="1" x14ac:dyDescent="0.25">
      <c r="B43" s="240"/>
      <c r="C43" s="240" t="s">
        <v>133</v>
      </c>
      <c r="D43" s="240"/>
      <c r="E43" s="240"/>
      <c r="F43" s="112"/>
      <c r="G43" s="235"/>
      <c r="H43" s="235"/>
      <c r="I43" s="235"/>
      <c r="J43" s="235"/>
      <c r="K43" s="235"/>
      <c r="L43" s="235"/>
      <c r="M43" s="235"/>
      <c r="N43" s="235"/>
      <c r="O43" s="235"/>
      <c r="P43" s="235"/>
      <c r="Q43" s="235"/>
      <c r="R43" s="235"/>
      <c r="S43" s="235"/>
      <c r="T43" s="235"/>
      <c r="U43" s="235"/>
      <c r="V43" s="235"/>
      <c r="W43" s="235"/>
      <c r="X43" s="235"/>
      <c r="Y43" s="235"/>
      <c r="Z43" s="235"/>
      <c r="AA43" s="235"/>
      <c r="AB43" s="235"/>
      <c r="AC43" s="235"/>
      <c r="AD43" s="235"/>
      <c r="AE43" s="235"/>
      <c r="AF43" s="235"/>
      <c r="AG43" s="235"/>
      <c r="AH43" s="235"/>
      <c r="AI43" s="235"/>
      <c r="AJ43" s="235"/>
      <c r="AK43" s="235"/>
      <c r="AL43" s="235"/>
      <c r="AM43" s="235"/>
      <c r="AN43" s="235"/>
      <c r="AO43" s="235"/>
      <c r="AP43" s="235"/>
      <c r="AQ43" s="235"/>
      <c r="AR43" s="235"/>
      <c r="AS43" s="235"/>
      <c r="AT43" s="235"/>
      <c r="AU43" s="235"/>
      <c r="AV43" s="235"/>
      <c r="AW43" s="235"/>
      <c r="AX43" s="235"/>
      <c r="AY43" s="235"/>
      <c r="AZ43" s="235"/>
      <c r="BA43" s="235"/>
      <c r="BB43" s="235"/>
      <c r="BC43" s="235"/>
      <c r="BD43" s="235"/>
      <c r="BE43" s="235"/>
      <c r="BF43" s="235"/>
      <c r="BG43" s="235"/>
      <c r="BH43" s="235"/>
      <c r="BI43" s="235"/>
      <c r="BJ43" s="235"/>
      <c r="BK43" s="235"/>
      <c r="BL43" s="235"/>
      <c r="BM43" s="235"/>
      <c r="BN43" s="235"/>
    </row>
    <row r="44" spans="2:79" ht="20.149999999999999" customHeight="1" x14ac:dyDescent="0.25">
      <c r="B44" s="105"/>
      <c r="C44" s="106"/>
      <c r="D44" s="106"/>
      <c r="E44" s="115"/>
      <c r="F44" s="131"/>
      <c r="G44" s="131"/>
      <c r="H44" s="131"/>
      <c r="I44" s="131"/>
      <c r="J44" s="131"/>
      <c r="K44" s="131"/>
      <c r="L44" s="131"/>
      <c r="M44" s="131"/>
      <c r="N44" s="131"/>
      <c r="O44" s="131"/>
      <c r="P44" s="131"/>
      <c r="Q44" s="131"/>
      <c r="R44" s="131"/>
      <c r="S44" s="131"/>
      <c r="T44" s="132"/>
      <c r="U44" s="132"/>
      <c r="V44" s="132"/>
      <c r="W44" s="132"/>
      <c r="X44" s="132"/>
      <c r="Y44" s="132"/>
      <c r="Z44" s="132"/>
      <c r="AA44" s="132"/>
      <c r="AB44" s="132"/>
      <c r="AC44" s="132"/>
      <c r="AD44" s="132"/>
      <c r="AE44" s="132"/>
      <c r="AF44" s="132"/>
      <c r="AG44" s="132"/>
      <c r="AH44" s="132"/>
      <c r="AI44" s="132"/>
      <c r="AJ44" s="132"/>
      <c r="AK44" s="132"/>
      <c r="AL44" s="132"/>
      <c r="AM44" s="132"/>
      <c r="AN44" s="132"/>
      <c r="AO44" s="132"/>
      <c r="AP44" s="132"/>
      <c r="AQ44" s="132"/>
      <c r="AR44" s="132"/>
      <c r="AS44" s="132"/>
      <c r="AT44" s="132"/>
      <c r="AU44" s="132"/>
      <c r="AV44" s="132"/>
      <c r="AW44" s="132"/>
      <c r="AX44" s="132"/>
      <c r="AY44" s="132"/>
      <c r="AZ44" s="132"/>
      <c r="BA44" s="132"/>
      <c r="BB44" s="132"/>
      <c r="BC44" s="132"/>
      <c r="BD44" s="132"/>
      <c r="BE44" s="132"/>
      <c r="BF44" s="132"/>
      <c r="BG44" s="132"/>
      <c r="BH44" s="132"/>
      <c r="BI44" s="132"/>
      <c r="BJ44" s="132"/>
      <c r="BK44" s="132"/>
      <c r="BL44" s="132"/>
      <c r="BM44" s="132"/>
      <c r="BN44" s="132"/>
    </row>
    <row r="45" spans="2:79" ht="12" customHeight="1" x14ac:dyDescent="0.25">
      <c r="B45" s="105"/>
      <c r="C45" s="106"/>
      <c r="D45" s="115"/>
      <c r="E45" s="115"/>
      <c r="F45" s="115"/>
      <c r="G45" s="106"/>
      <c r="H45" s="106"/>
      <c r="I45" s="106"/>
      <c r="J45" s="106"/>
      <c r="K45" s="106"/>
      <c r="L45" s="106"/>
      <c r="M45" s="106"/>
      <c r="N45" s="106"/>
      <c r="O45" s="106"/>
      <c r="P45" s="106"/>
    </row>
    <row r="46" spans="2:79" s="110" customFormat="1" ht="35.15" customHeight="1" thickBot="1" x14ac:dyDescent="0.3">
      <c r="B46" s="105"/>
      <c r="C46" s="133"/>
      <c r="D46" s="133" t="s">
        <v>134</v>
      </c>
      <c r="E46" s="134" t="s">
        <v>127</v>
      </c>
      <c r="F46" s="239"/>
      <c r="G46" s="109">
        <f>'Project Infor'!C8</f>
        <v>45962</v>
      </c>
      <c r="H46" s="109">
        <f t="shared" ref="H46" si="42">EOMONTH(G46,1)</f>
        <v>46022</v>
      </c>
      <c r="I46" s="109">
        <f t="shared" ref="I46" si="43">EOMONTH(H46,1)</f>
        <v>46053</v>
      </c>
      <c r="J46" s="109">
        <f t="shared" ref="J46" si="44">EOMONTH(I46,1)</f>
        <v>46081</v>
      </c>
      <c r="K46" s="109">
        <f t="shared" ref="K46" si="45">EOMONTH(J46,1)</f>
        <v>46112</v>
      </c>
      <c r="L46" s="109">
        <f t="shared" ref="L46" si="46">EOMONTH(K46,1)</f>
        <v>46142</v>
      </c>
      <c r="M46" s="109">
        <f t="shared" ref="M46" si="47">EOMONTH(L46,1)</f>
        <v>46173</v>
      </c>
      <c r="N46" s="109">
        <f t="shared" ref="N46" si="48">EOMONTH(M46,1)</f>
        <v>46203</v>
      </c>
      <c r="O46" s="109">
        <f t="shared" ref="O46" si="49">EOMONTH(N46,1)</f>
        <v>46234</v>
      </c>
      <c r="P46" s="109">
        <f t="shared" ref="P46" si="50">EOMONTH(O46,1)</f>
        <v>46265</v>
      </c>
      <c r="Q46" s="109">
        <f t="shared" ref="Q46" si="51">EOMONTH(P46,1)</f>
        <v>46295</v>
      </c>
      <c r="R46" s="109">
        <f t="shared" ref="R46" si="52">EOMONTH(Q46,1)</f>
        <v>46326</v>
      </c>
      <c r="S46" s="109">
        <f t="shared" ref="S46" si="53">EOMONTH(R46,1)</f>
        <v>46356</v>
      </c>
      <c r="T46" s="109">
        <f t="shared" ref="T46" si="54">EOMONTH(S46,1)</f>
        <v>46387</v>
      </c>
      <c r="U46" s="109">
        <f t="shared" ref="U46" si="55">EOMONTH(T46,1)</f>
        <v>46418</v>
      </c>
      <c r="V46" s="109">
        <f t="shared" ref="V46" si="56">EOMONTH(U46,1)</f>
        <v>46446</v>
      </c>
      <c r="W46" s="109">
        <f t="shared" ref="W46" si="57">EOMONTH(V46,1)</f>
        <v>46477</v>
      </c>
      <c r="X46" s="109">
        <f t="shared" ref="X46" si="58">EOMONTH(W46,1)</f>
        <v>46507</v>
      </c>
      <c r="Y46" s="109">
        <f t="shared" ref="Y46" si="59">EOMONTH(X46,1)</f>
        <v>46538</v>
      </c>
      <c r="Z46" s="109">
        <f t="shared" ref="Z46" si="60">EOMONTH(Y46,1)</f>
        <v>46568</v>
      </c>
      <c r="AA46" s="109">
        <f t="shared" ref="AA46" si="61">EOMONTH(Z46,1)</f>
        <v>46599</v>
      </c>
      <c r="AB46" s="109">
        <f t="shared" ref="AB46" si="62">EOMONTH(AA46,1)</f>
        <v>46630</v>
      </c>
      <c r="AC46" s="109">
        <f t="shared" ref="AC46" si="63">EOMONTH(AB46,1)</f>
        <v>46660</v>
      </c>
      <c r="AD46" s="109">
        <f t="shared" ref="AD46" si="64">EOMONTH(AC46,1)</f>
        <v>46691</v>
      </c>
      <c r="AE46" s="109">
        <f t="shared" ref="AE46" si="65">EOMONTH(AD46,1)</f>
        <v>46721</v>
      </c>
      <c r="AF46" s="109">
        <f t="shared" ref="AF46" si="66">EOMONTH(AE46,1)</f>
        <v>46752</v>
      </c>
      <c r="AG46" s="109">
        <f t="shared" ref="AG46" si="67">EOMONTH(AF46,1)</f>
        <v>46783</v>
      </c>
      <c r="AH46" s="109">
        <f t="shared" ref="AH46" si="68">EOMONTH(AG46,1)</f>
        <v>46812</v>
      </c>
      <c r="AI46" s="109">
        <f t="shared" ref="AI46" si="69">EOMONTH(AH46,1)</f>
        <v>46843</v>
      </c>
      <c r="AJ46" s="109">
        <f t="shared" ref="AJ46" si="70">EOMONTH(AI46,1)</f>
        <v>46873</v>
      </c>
      <c r="AK46" s="109">
        <f t="shared" ref="AK46" si="71">EOMONTH(AJ46,1)</f>
        <v>46904</v>
      </c>
      <c r="AL46" s="109">
        <f t="shared" ref="AL46" si="72">EOMONTH(AK46,1)</f>
        <v>46934</v>
      </c>
      <c r="AM46" s="109">
        <f t="shared" ref="AM46" si="73">EOMONTH(AL46,1)</f>
        <v>46965</v>
      </c>
      <c r="AN46" s="109">
        <f t="shared" ref="AN46" si="74">EOMONTH(AM46,1)</f>
        <v>46996</v>
      </c>
      <c r="AO46" s="109">
        <f t="shared" ref="AO46" si="75">EOMONTH(AN46,1)</f>
        <v>47026</v>
      </c>
      <c r="AP46" s="109">
        <f t="shared" ref="AP46" si="76">EOMONTH(AO46,1)</f>
        <v>47057</v>
      </c>
      <c r="AQ46" s="109">
        <f t="shared" ref="AQ46" si="77">EOMONTH(AP46,1)</f>
        <v>47087</v>
      </c>
      <c r="AR46" s="109">
        <f t="shared" ref="AR46" si="78">EOMONTH(AQ46,1)</f>
        <v>47118</v>
      </c>
      <c r="AS46" s="109">
        <f t="shared" ref="AS46" si="79">EOMONTH(AR46,1)</f>
        <v>47149</v>
      </c>
      <c r="AT46" s="109">
        <f t="shared" ref="AT46" si="80">EOMONTH(AS46,1)</f>
        <v>47177</v>
      </c>
      <c r="AU46" s="109">
        <f t="shared" ref="AU46" si="81">EOMONTH(AT46,1)</f>
        <v>47208</v>
      </c>
      <c r="AV46" s="109">
        <f t="shared" ref="AV46" si="82">EOMONTH(AU46,1)</f>
        <v>47238</v>
      </c>
      <c r="AW46" s="109">
        <f t="shared" ref="AW46" si="83">EOMONTH(AV46,1)</f>
        <v>47269</v>
      </c>
      <c r="AX46" s="109">
        <f t="shared" ref="AX46" si="84">EOMONTH(AW46,1)</f>
        <v>47299</v>
      </c>
      <c r="AY46" s="109">
        <f t="shared" ref="AY46" si="85">EOMONTH(AX46,1)</f>
        <v>47330</v>
      </c>
      <c r="AZ46" s="109">
        <f t="shared" ref="AZ46" si="86">EOMONTH(AY46,1)</f>
        <v>47361</v>
      </c>
      <c r="BA46" s="109">
        <f t="shared" ref="BA46" si="87">EOMONTH(AZ46,1)</f>
        <v>47391</v>
      </c>
      <c r="BB46" s="109">
        <f t="shared" ref="BB46" si="88">EOMONTH(BA46,1)</f>
        <v>47422</v>
      </c>
      <c r="BC46" s="109">
        <f t="shared" ref="BC46" si="89">EOMONTH(BB46,1)</f>
        <v>47452</v>
      </c>
      <c r="BD46" s="109">
        <f t="shared" ref="BD46" si="90">EOMONTH(BC46,1)</f>
        <v>47483</v>
      </c>
      <c r="BE46" s="109">
        <f t="shared" ref="BE46" si="91">EOMONTH(BD46,1)</f>
        <v>47514</v>
      </c>
      <c r="BF46" s="109">
        <f t="shared" ref="BF46" si="92">EOMONTH(BE46,1)</f>
        <v>47542</v>
      </c>
      <c r="BG46" s="109">
        <f t="shared" ref="BG46" si="93">EOMONTH(BF46,1)</f>
        <v>47573</v>
      </c>
      <c r="BH46" s="109">
        <f t="shared" ref="BH46" si="94">EOMONTH(BG46,1)</f>
        <v>47603</v>
      </c>
      <c r="BI46" s="109">
        <f t="shared" ref="BI46" si="95">EOMONTH(BH46,1)</f>
        <v>47634</v>
      </c>
      <c r="BJ46" s="109">
        <f t="shared" ref="BJ46" si="96">EOMONTH(BI46,1)</f>
        <v>47664</v>
      </c>
      <c r="BK46" s="109">
        <f t="shared" ref="BK46" si="97">EOMONTH(BJ46,1)</f>
        <v>47695</v>
      </c>
      <c r="BL46" s="109">
        <f t="shared" ref="BL46" si="98">EOMONTH(BK46,1)</f>
        <v>47726</v>
      </c>
      <c r="BM46" s="109">
        <f t="shared" ref="BM46" si="99">EOMONTH(BL46,1)</f>
        <v>47756</v>
      </c>
      <c r="BN46" s="109">
        <f t="shared" ref="BN46" si="100">EOMONTH(BM46,1)</f>
        <v>47787</v>
      </c>
      <c r="BO46" s="100"/>
      <c r="BP46" s="100"/>
      <c r="BQ46" s="100"/>
      <c r="BR46" s="100"/>
      <c r="BS46" s="100"/>
      <c r="BT46" s="100"/>
      <c r="BU46" s="100"/>
      <c r="BV46" s="100"/>
      <c r="BW46" s="100"/>
      <c r="BX46" s="100"/>
      <c r="BY46" s="100"/>
      <c r="BZ46" s="100"/>
      <c r="CA46" s="100"/>
    </row>
    <row r="47" spans="2:79" s="111" customFormat="1" ht="19.5" customHeight="1" thickBot="1" x14ac:dyDescent="0.3">
      <c r="B47" s="135" t="s">
        <v>61</v>
      </c>
      <c r="C47" s="136" t="s">
        <v>135</v>
      </c>
      <c r="D47" s="137">
        <f>'Cost Overview'!I8</f>
        <v>18375.759999999998</v>
      </c>
      <c r="E47" s="138">
        <f>D47-SUM(G47:BN47)</f>
        <v>0</v>
      </c>
      <c r="F47" s="139"/>
      <c r="G47" s="9"/>
      <c r="H47" s="9"/>
      <c r="I47" s="9"/>
      <c r="J47" s="9"/>
      <c r="K47" s="9"/>
      <c r="L47" s="9"/>
      <c r="M47" s="9"/>
      <c r="N47" s="9"/>
      <c r="O47" s="9"/>
      <c r="P47" s="5"/>
      <c r="Q47" s="5"/>
      <c r="R47" s="5">
        <v>18375.759999999998</v>
      </c>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P47" s="100"/>
      <c r="BQ47" s="100"/>
      <c r="BR47" s="100"/>
      <c r="BS47" s="100"/>
      <c r="BT47" s="100"/>
      <c r="BU47" s="100"/>
      <c r="BV47" s="100"/>
      <c r="BW47" s="100"/>
      <c r="BX47" s="100"/>
      <c r="BY47" s="100"/>
      <c r="BZ47" s="100"/>
      <c r="CA47" s="100"/>
    </row>
    <row r="48" spans="2:79" s="111" customFormat="1" ht="19.5" customHeight="1" thickBot="1" x14ac:dyDescent="0.3">
      <c r="B48" s="140" t="s">
        <v>136</v>
      </c>
      <c r="C48" s="141" t="s">
        <v>137</v>
      </c>
      <c r="D48" s="142">
        <f>'Cost Overview'!J8</f>
        <v>0</v>
      </c>
      <c r="E48" s="138">
        <f>D48-SUM(G48:BN48)</f>
        <v>0</v>
      </c>
      <c r="F48" s="143"/>
      <c r="G48" s="9"/>
      <c r="H48" s="9"/>
      <c r="I48" s="9"/>
      <c r="J48" s="9"/>
      <c r="K48" s="9"/>
      <c r="L48" s="9"/>
      <c r="M48" s="9"/>
      <c r="N48" s="9"/>
      <c r="O48" s="9"/>
      <c r="P48" s="5"/>
      <c r="Q48" s="5"/>
      <c r="R48" s="5">
        <v>0</v>
      </c>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P48" s="100"/>
      <c r="BQ48" s="100"/>
      <c r="BR48" s="100"/>
      <c r="BS48" s="100"/>
      <c r="BT48" s="100"/>
      <c r="BU48" s="100"/>
      <c r="BV48" s="100"/>
      <c r="BW48" s="100"/>
      <c r="BX48" s="100"/>
      <c r="BY48" s="100"/>
      <c r="BZ48" s="100"/>
      <c r="CA48" s="100"/>
    </row>
    <row r="49" spans="2:79" ht="25" customHeight="1" thickBot="1" x14ac:dyDescent="0.3">
      <c r="B49" s="105"/>
      <c r="C49" s="106"/>
      <c r="D49" s="115"/>
      <c r="E49" s="115"/>
      <c r="F49" s="115"/>
      <c r="G49" s="116"/>
      <c r="H49" s="116"/>
      <c r="I49" s="116"/>
      <c r="J49" s="106"/>
      <c r="K49" s="106"/>
      <c r="L49" s="106"/>
      <c r="M49" s="106"/>
      <c r="N49" s="106"/>
      <c r="O49" s="106"/>
      <c r="P49" s="106"/>
    </row>
    <row r="50" spans="2:79" ht="20.149999999999999" customHeight="1" thickBot="1" x14ac:dyDescent="0.35">
      <c r="B50" s="81" t="s">
        <v>63</v>
      </c>
      <c r="C50" s="106"/>
      <c r="D50" s="117" t="s">
        <v>138</v>
      </c>
      <c r="E50" s="117"/>
      <c r="F50" s="118">
        <f>'Cost Overview'!K8</f>
        <v>7400</v>
      </c>
      <c r="G50" s="242" t="s">
        <v>127</v>
      </c>
      <c r="H50" s="119"/>
      <c r="I50" s="120">
        <f>ROUND(F50-SUM(F59:BN59),2)</f>
        <v>0</v>
      </c>
      <c r="J50" s="106"/>
      <c r="K50" s="282" t="str">
        <f>IF(I50&lt;-0.005,"(!) El coste de GASTOS planificado es mayor que el de la BASELINE","")</f>
        <v/>
      </c>
      <c r="L50" s="282"/>
      <c r="M50" s="282"/>
      <c r="N50" s="282"/>
      <c r="O50" s="282"/>
      <c r="P50" s="282"/>
      <c r="R50" s="106"/>
    </row>
    <row r="51" spans="2:79" ht="12" customHeight="1" x14ac:dyDescent="0.25">
      <c r="B51" s="105"/>
      <c r="C51" s="106"/>
      <c r="D51" s="115"/>
      <c r="E51" s="115"/>
      <c r="F51" s="115"/>
      <c r="G51" s="106"/>
      <c r="H51" s="106"/>
      <c r="I51" s="106"/>
      <c r="J51" s="106"/>
      <c r="K51" s="106"/>
      <c r="L51" s="106"/>
      <c r="M51" s="106"/>
      <c r="N51" s="106"/>
      <c r="O51" s="106"/>
      <c r="P51" s="106"/>
    </row>
    <row r="52" spans="2:79" s="110" customFormat="1" ht="35.15" customHeight="1" x14ac:dyDescent="0.25">
      <c r="B52" s="239" t="s">
        <v>139</v>
      </c>
      <c r="C52" s="239" t="s">
        <v>140</v>
      </c>
      <c r="D52" s="239" t="s">
        <v>141</v>
      </c>
      <c r="E52" s="239"/>
      <c r="F52" s="108"/>
      <c r="G52" s="109">
        <f>'Project Infor'!C8</f>
        <v>45962</v>
      </c>
      <c r="H52" s="109">
        <f t="shared" ref="H52" si="101">EOMONTH(G52,1)</f>
        <v>46022</v>
      </c>
      <c r="I52" s="109">
        <f t="shared" ref="I52" si="102">EOMONTH(H52,1)</f>
        <v>46053</v>
      </c>
      <c r="J52" s="109">
        <f t="shared" ref="J52" si="103">EOMONTH(I52,1)</f>
        <v>46081</v>
      </c>
      <c r="K52" s="109">
        <f t="shared" ref="K52" si="104">EOMONTH(J52,1)</f>
        <v>46112</v>
      </c>
      <c r="L52" s="109">
        <f t="shared" ref="L52" si="105">EOMONTH(K52,1)</f>
        <v>46142</v>
      </c>
      <c r="M52" s="109">
        <f t="shared" ref="M52" si="106">EOMONTH(L52,1)</f>
        <v>46173</v>
      </c>
      <c r="N52" s="109">
        <f t="shared" ref="N52" si="107">EOMONTH(M52,1)</f>
        <v>46203</v>
      </c>
      <c r="O52" s="109">
        <f t="shared" ref="O52" si="108">EOMONTH(N52,1)</f>
        <v>46234</v>
      </c>
      <c r="P52" s="109">
        <f t="shared" ref="P52" si="109">EOMONTH(O52,1)</f>
        <v>46265</v>
      </c>
      <c r="Q52" s="109">
        <f t="shared" ref="Q52" si="110">EOMONTH(P52,1)</f>
        <v>46295</v>
      </c>
      <c r="R52" s="109">
        <f t="shared" ref="R52" si="111">EOMONTH(Q52,1)</f>
        <v>46326</v>
      </c>
      <c r="S52" s="109">
        <f t="shared" ref="S52" si="112">EOMONTH(R52,1)</f>
        <v>46356</v>
      </c>
      <c r="T52" s="109">
        <f t="shared" ref="T52" si="113">EOMONTH(S52,1)</f>
        <v>46387</v>
      </c>
      <c r="U52" s="109">
        <f t="shared" ref="U52" si="114">EOMONTH(T52,1)</f>
        <v>46418</v>
      </c>
      <c r="V52" s="109">
        <f t="shared" ref="V52" si="115">EOMONTH(U52,1)</f>
        <v>46446</v>
      </c>
      <c r="W52" s="109">
        <f t="shared" ref="W52" si="116">EOMONTH(V52,1)</f>
        <v>46477</v>
      </c>
      <c r="X52" s="109">
        <f t="shared" ref="X52" si="117">EOMONTH(W52,1)</f>
        <v>46507</v>
      </c>
      <c r="Y52" s="109">
        <f t="shared" ref="Y52" si="118">EOMONTH(X52,1)</f>
        <v>46538</v>
      </c>
      <c r="Z52" s="109">
        <f t="shared" ref="Z52" si="119">EOMONTH(Y52,1)</f>
        <v>46568</v>
      </c>
      <c r="AA52" s="109">
        <f t="shared" ref="AA52" si="120">EOMONTH(Z52,1)</f>
        <v>46599</v>
      </c>
      <c r="AB52" s="109">
        <f t="shared" ref="AB52" si="121">EOMONTH(AA52,1)</f>
        <v>46630</v>
      </c>
      <c r="AC52" s="109">
        <f t="shared" ref="AC52" si="122">EOMONTH(AB52,1)</f>
        <v>46660</v>
      </c>
      <c r="AD52" s="109">
        <f t="shared" ref="AD52" si="123">EOMONTH(AC52,1)</f>
        <v>46691</v>
      </c>
      <c r="AE52" s="109">
        <f t="shared" ref="AE52" si="124">EOMONTH(AD52,1)</f>
        <v>46721</v>
      </c>
      <c r="AF52" s="109">
        <f t="shared" ref="AF52" si="125">EOMONTH(AE52,1)</f>
        <v>46752</v>
      </c>
      <c r="AG52" s="109">
        <f t="shared" ref="AG52" si="126">EOMONTH(AF52,1)</f>
        <v>46783</v>
      </c>
      <c r="AH52" s="109">
        <f t="shared" ref="AH52" si="127">EOMONTH(AG52,1)</f>
        <v>46812</v>
      </c>
      <c r="AI52" s="109">
        <f t="shared" ref="AI52" si="128">EOMONTH(AH52,1)</f>
        <v>46843</v>
      </c>
      <c r="AJ52" s="109">
        <f t="shared" ref="AJ52" si="129">EOMONTH(AI52,1)</f>
        <v>46873</v>
      </c>
      <c r="AK52" s="109">
        <f t="shared" ref="AK52" si="130">EOMONTH(AJ52,1)</f>
        <v>46904</v>
      </c>
      <c r="AL52" s="109">
        <f t="shared" ref="AL52" si="131">EOMONTH(AK52,1)</f>
        <v>46934</v>
      </c>
      <c r="AM52" s="109">
        <f t="shared" ref="AM52" si="132">EOMONTH(AL52,1)</f>
        <v>46965</v>
      </c>
      <c r="AN52" s="109">
        <f t="shared" ref="AN52" si="133">EOMONTH(AM52,1)</f>
        <v>46996</v>
      </c>
      <c r="AO52" s="109">
        <f t="shared" ref="AO52" si="134">EOMONTH(AN52,1)</f>
        <v>47026</v>
      </c>
      <c r="AP52" s="109">
        <f t="shared" ref="AP52" si="135">EOMONTH(AO52,1)</f>
        <v>47057</v>
      </c>
      <c r="AQ52" s="109">
        <f t="shared" ref="AQ52" si="136">EOMONTH(AP52,1)</f>
        <v>47087</v>
      </c>
      <c r="AR52" s="109">
        <f t="shared" ref="AR52" si="137">EOMONTH(AQ52,1)</f>
        <v>47118</v>
      </c>
      <c r="AS52" s="109">
        <f t="shared" ref="AS52" si="138">EOMONTH(AR52,1)</f>
        <v>47149</v>
      </c>
      <c r="AT52" s="109">
        <f t="shared" ref="AT52" si="139">EOMONTH(AS52,1)</f>
        <v>47177</v>
      </c>
      <c r="AU52" s="109">
        <f t="shared" ref="AU52" si="140">EOMONTH(AT52,1)</f>
        <v>47208</v>
      </c>
      <c r="AV52" s="109">
        <f t="shared" ref="AV52" si="141">EOMONTH(AU52,1)</f>
        <v>47238</v>
      </c>
      <c r="AW52" s="109">
        <f t="shared" ref="AW52" si="142">EOMONTH(AV52,1)</f>
        <v>47269</v>
      </c>
      <c r="AX52" s="109">
        <f t="shared" ref="AX52" si="143">EOMONTH(AW52,1)</f>
        <v>47299</v>
      </c>
      <c r="AY52" s="109">
        <f t="shared" ref="AY52" si="144">EOMONTH(AX52,1)</f>
        <v>47330</v>
      </c>
      <c r="AZ52" s="109">
        <f t="shared" ref="AZ52" si="145">EOMONTH(AY52,1)</f>
        <v>47361</v>
      </c>
      <c r="BA52" s="109">
        <f t="shared" ref="BA52" si="146">EOMONTH(AZ52,1)</f>
        <v>47391</v>
      </c>
      <c r="BB52" s="109">
        <f t="shared" ref="BB52" si="147">EOMONTH(BA52,1)</f>
        <v>47422</v>
      </c>
      <c r="BC52" s="109">
        <f t="shared" ref="BC52" si="148">EOMONTH(BB52,1)</f>
        <v>47452</v>
      </c>
      <c r="BD52" s="109">
        <f t="shared" ref="BD52" si="149">EOMONTH(BC52,1)</f>
        <v>47483</v>
      </c>
      <c r="BE52" s="109">
        <f t="shared" ref="BE52" si="150">EOMONTH(BD52,1)</f>
        <v>47514</v>
      </c>
      <c r="BF52" s="109">
        <f t="shared" ref="BF52" si="151">EOMONTH(BE52,1)</f>
        <v>47542</v>
      </c>
      <c r="BG52" s="109">
        <f t="shared" ref="BG52" si="152">EOMONTH(BF52,1)</f>
        <v>47573</v>
      </c>
      <c r="BH52" s="109">
        <f t="shared" ref="BH52" si="153">EOMONTH(BG52,1)</f>
        <v>47603</v>
      </c>
      <c r="BI52" s="109">
        <f t="shared" ref="BI52" si="154">EOMONTH(BH52,1)</f>
        <v>47634</v>
      </c>
      <c r="BJ52" s="109">
        <f t="shared" ref="BJ52" si="155">EOMONTH(BI52,1)</f>
        <v>47664</v>
      </c>
      <c r="BK52" s="109">
        <f t="shared" ref="BK52" si="156">EOMONTH(BJ52,1)</f>
        <v>47695</v>
      </c>
      <c r="BL52" s="109">
        <f t="shared" ref="BL52" si="157">EOMONTH(BK52,1)</f>
        <v>47726</v>
      </c>
      <c r="BM52" s="109">
        <f t="shared" ref="BM52" si="158">EOMONTH(BL52,1)</f>
        <v>47756</v>
      </c>
      <c r="BN52" s="109">
        <f t="shared" ref="BN52" si="159">EOMONTH(BM52,1)</f>
        <v>47787</v>
      </c>
      <c r="BO52" s="100"/>
      <c r="BP52" s="100"/>
      <c r="BQ52" s="100"/>
      <c r="BR52" s="100"/>
      <c r="BS52" s="100"/>
      <c r="BT52" s="100"/>
      <c r="BU52" s="100"/>
      <c r="BV52" s="100"/>
      <c r="BW52" s="100"/>
      <c r="BX52" s="100"/>
      <c r="BY52" s="100"/>
      <c r="BZ52" s="100"/>
      <c r="CA52" s="100"/>
    </row>
    <row r="53" spans="2:79" s="111" customFormat="1" ht="19.5" customHeight="1" x14ac:dyDescent="0.25">
      <c r="B53" s="1" t="s">
        <v>143</v>
      </c>
      <c r="C53" s="238" t="s">
        <v>298</v>
      </c>
      <c r="D53" s="238" t="s">
        <v>299</v>
      </c>
      <c r="E53" s="238"/>
      <c r="F53" s="238"/>
      <c r="G53" s="9"/>
      <c r="H53" s="9"/>
      <c r="I53" s="9">
        <v>650</v>
      </c>
      <c r="J53" s="9">
        <v>650</v>
      </c>
      <c r="K53" s="9">
        <v>650</v>
      </c>
      <c r="L53" s="9">
        <v>650</v>
      </c>
      <c r="M53" s="9">
        <v>650</v>
      </c>
      <c r="N53" s="9">
        <v>650</v>
      </c>
      <c r="O53" s="9">
        <v>650</v>
      </c>
      <c r="P53" s="9">
        <v>650</v>
      </c>
      <c r="Q53" s="5">
        <v>650</v>
      </c>
      <c r="R53" s="5">
        <v>650</v>
      </c>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P53" s="100"/>
      <c r="BQ53" s="100"/>
      <c r="BR53" s="100"/>
      <c r="BS53" s="100"/>
      <c r="BT53" s="100"/>
      <c r="BU53" s="100"/>
      <c r="BV53" s="100"/>
      <c r="BW53" s="100"/>
      <c r="BX53" s="100"/>
      <c r="BY53" s="100"/>
      <c r="BZ53" s="100"/>
      <c r="CA53" s="100"/>
    </row>
    <row r="54" spans="2:79" s="111" customFormat="1" ht="19.5" customHeight="1" x14ac:dyDescent="0.25">
      <c r="B54" s="1" t="s">
        <v>144</v>
      </c>
      <c r="C54" s="238" t="s">
        <v>300</v>
      </c>
      <c r="D54" s="238" t="s">
        <v>299</v>
      </c>
      <c r="E54" s="238"/>
      <c r="F54" s="238"/>
      <c r="G54" s="9"/>
      <c r="H54" s="9"/>
      <c r="I54" s="9">
        <v>90</v>
      </c>
      <c r="J54" s="9">
        <v>90</v>
      </c>
      <c r="K54" s="9">
        <v>90</v>
      </c>
      <c r="L54" s="9">
        <v>90</v>
      </c>
      <c r="M54" s="9">
        <v>90</v>
      </c>
      <c r="N54" s="9">
        <v>90</v>
      </c>
      <c r="O54" s="9">
        <v>90</v>
      </c>
      <c r="P54" s="5">
        <v>90</v>
      </c>
      <c r="Q54" s="5">
        <v>90</v>
      </c>
      <c r="R54" s="5">
        <v>90</v>
      </c>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P54" s="100"/>
      <c r="BQ54" s="100"/>
      <c r="BR54" s="100"/>
      <c r="BS54" s="100"/>
      <c r="BT54" s="100"/>
      <c r="BU54" s="100"/>
      <c r="BV54" s="100"/>
      <c r="BW54" s="100"/>
      <c r="BX54" s="100"/>
      <c r="BY54" s="100"/>
      <c r="BZ54" s="100"/>
      <c r="CA54" s="100"/>
    </row>
    <row r="55" spans="2:79" s="111" customFormat="1" ht="19.5" customHeight="1" x14ac:dyDescent="0.25">
      <c r="B55" s="1"/>
      <c r="C55" s="238" t="s">
        <v>301</v>
      </c>
      <c r="D55" s="238" t="s">
        <v>301</v>
      </c>
      <c r="E55" s="238"/>
      <c r="F55" s="238"/>
      <c r="G55" s="9"/>
      <c r="H55" s="9"/>
      <c r="I55" s="9"/>
      <c r="J55" s="9"/>
      <c r="K55" s="9"/>
      <c r="L55" s="9"/>
      <c r="M55" s="9"/>
      <c r="N55" s="9"/>
      <c r="O55" s="9"/>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P55" s="100"/>
      <c r="BQ55" s="100"/>
      <c r="BR55" s="100"/>
      <c r="BS55" s="100"/>
      <c r="BT55" s="100"/>
      <c r="BU55" s="100"/>
      <c r="BV55" s="100"/>
      <c r="BW55" s="100"/>
      <c r="BX55" s="100"/>
      <c r="BY55" s="100"/>
      <c r="BZ55" s="100"/>
      <c r="CA55" s="100"/>
    </row>
    <row r="56" spans="2:79" s="111" customFormat="1" ht="19.5" customHeight="1" x14ac:dyDescent="0.25">
      <c r="B56" s="1"/>
      <c r="C56" s="238" t="s">
        <v>301</v>
      </c>
      <c r="D56" s="238" t="s">
        <v>301</v>
      </c>
      <c r="E56" s="238"/>
      <c r="F56" s="238"/>
      <c r="G56" s="9"/>
      <c r="H56" s="9"/>
      <c r="I56" s="9"/>
      <c r="J56" s="9"/>
      <c r="K56" s="9"/>
      <c r="L56" s="9"/>
      <c r="M56" s="9"/>
      <c r="N56" s="9"/>
      <c r="O56" s="9"/>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P56" s="100"/>
      <c r="BQ56" s="100"/>
      <c r="BR56" s="100"/>
      <c r="BS56" s="100"/>
      <c r="BT56" s="100"/>
      <c r="BU56" s="100"/>
      <c r="BV56" s="100"/>
      <c r="BW56" s="100"/>
      <c r="BX56" s="100"/>
      <c r="BY56" s="100"/>
      <c r="BZ56" s="100"/>
      <c r="CA56" s="100"/>
    </row>
    <row r="57" spans="2:79" s="111" customFormat="1" ht="19.5" customHeight="1" x14ac:dyDescent="0.25">
      <c r="B57" s="1"/>
      <c r="C57" s="238" t="s">
        <v>301</v>
      </c>
      <c r="D57" s="238" t="s">
        <v>301</v>
      </c>
      <c r="E57" s="238"/>
      <c r="F57" s="238"/>
      <c r="G57" s="9"/>
      <c r="H57" s="9"/>
      <c r="I57" s="9"/>
      <c r="J57" s="9"/>
      <c r="K57" s="9"/>
      <c r="L57" s="9"/>
      <c r="M57" s="9"/>
      <c r="N57" s="9"/>
      <c r="O57" s="9"/>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P57" s="100"/>
      <c r="BQ57" s="100"/>
      <c r="BR57" s="100"/>
      <c r="BS57" s="100"/>
      <c r="BT57" s="100"/>
      <c r="BU57" s="100"/>
      <c r="BV57" s="100"/>
      <c r="BW57" s="100"/>
      <c r="BX57" s="100"/>
      <c r="BY57" s="100"/>
      <c r="BZ57" s="100"/>
      <c r="CA57" s="100"/>
    </row>
    <row r="58" spans="2:79" s="111" customFormat="1" ht="19.5" customHeight="1" x14ac:dyDescent="0.25">
      <c r="B58" s="1"/>
      <c r="C58" s="238" t="s">
        <v>301</v>
      </c>
      <c r="D58" s="238" t="s">
        <v>301</v>
      </c>
      <c r="E58" s="238"/>
      <c r="F58" s="238"/>
      <c r="G58" s="9"/>
      <c r="H58" s="9"/>
      <c r="I58" s="9"/>
      <c r="J58" s="9"/>
      <c r="K58" s="9"/>
      <c r="L58" s="9"/>
      <c r="M58" s="9"/>
      <c r="N58" s="9"/>
      <c r="O58" s="9"/>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P58" s="100"/>
      <c r="BQ58" s="100"/>
      <c r="BR58" s="100"/>
      <c r="BS58" s="100"/>
      <c r="BT58" s="100"/>
      <c r="BU58" s="100"/>
      <c r="BV58" s="100"/>
      <c r="BW58" s="100"/>
      <c r="BX58" s="100"/>
      <c r="BY58" s="100"/>
      <c r="BZ58" s="100"/>
      <c r="CA58" s="100"/>
    </row>
    <row r="59" spans="2:79" ht="20.149999999999999" customHeight="1" x14ac:dyDescent="0.25">
      <c r="B59" s="123" t="s">
        <v>145</v>
      </c>
      <c r="C59" s="124"/>
      <c r="D59" s="125"/>
      <c r="E59" s="125"/>
      <c r="F59" s="126">
        <f>'Project Infor'!C48</f>
        <v>0</v>
      </c>
      <c r="G59" s="126">
        <f t="shared" ref="G59:AC59" si="160">SUM(G53:G58)</f>
        <v>0</v>
      </c>
      <c r="H59" s="126">
        <f t="shared" si="160"/>
        <v>0</v>
      </c>
      <c r="I59" s="126">
        <f t="shared" si="160"/>
        <v>740</v>
      </c>
      <c r="J59" s="126">
        <f t="shared" si="160"/>
        <v>740</v>
      </c>
      <c r="K59" s="126">
        <f t="shared" si="160"/>
        <v>740</v>
      </c>
      <c r="L59" s="126">
        <f t="shared" si="160"/>
        <v>740</v>
      </c>
      <c r="M59" s="126">
        <f t="shared" si="160"/>
        <v>740</v>
      </c>
      <c r="N59" s="126">
        <f t="shared" si="160"/>
        <v>740</v>
      </c>
      <c r="O59" s="126">
        <f t="shared" si="160"/>
        <v>740</v>
      </c>
      <c r="P59" s="126">
        <f>SUM(P53:P58)</f>
        <v>740</v>
      </c>
      <c r="Q59" s="126">
        <f t="shared" si="160"/>
        <v>740</v>
      </c>
      <c r="R59" s="126">
        <f t="shared" si="160"/>
        <v>740</v>
      </c>
      <c r="S59" s="126">
        <f t="shared" si="160"/>
        <v>0</v>
      </c>
      <c r="T59" s="126">
        <f t="shared" si="160"/>
        <v>0</v>
      </c>
      <c r="U59" s="126">
        <f>SUM(U53:U58)</f>
        <v>0</v>
      </c>
      <c r="V59" s="126">
        <f t="shared" si="160"/>
        <v>0</v>
      </c>
      <c r="W59" s="126">
        <f t="shared" si="160"/>
        <v>0</v>
      </c>
      <c r="X59" s="126">
        <f t="shared" si="160"/>
        <v>0</v>
      </c>
      <c r="Y59" s="126">
        <f t="shared" si="160"/>
        <v>0</v>
      </c>
      <c r="Z59" s="126">
        <f t="shared" si="160"/>
        <v>0</v>
      </c>
      <c r="AA59" s="126">
        <f t="shared" si="160"/>
        <v>0</v>
      </c>
      <c r="AB59" s="126">
        <f t="shared" si="160"/>
        <v>0</v>
      </c>
      <c r="AC59" s="126">
        <f t="shared" si="160"/>
        <v>0</v>
      </c>
      <c r="AD59" s="126">
        <f t="shared" ref="AD59" si="161">SUM(AD53:AD58)</f>
        <v>0</v>
      </c>
      <c r="AE59" s="126">
        <f t="shared" ref="AE59:BN59" si="162">SUM(AE53:AE58)</f>
        <v>0</v>
      </c>
      <c r="AF59" s="126">
        <f t="shared" si="162"/>
        <v>0</v>
      </c>
      <c r="AG59" s="126">
        <f t="shared" si="162"/>
        <v>0</v>
      </c>
      <c r="AH59" s="126">
        <f t="shared" si="162"/>
        <v>0</v>
      </c>
      <c r="AI59" s="126">
        <f t="shared" si="162"/>
        <v>0</v>
      </c>
      <c r="AJ59" s="126">
        <f t="shared" si="162"/>
        <v>0</v>
      </c>
      <c r="AK59" s="126">
        <f t="shared" si="162"/>
        <v>0</v>
      </c>
      <c r="AL59" s="126">
        <f t="shared" si="162"/>
        <v>0</v>
      </c>
      <c r="AM59" s="126">
        <f t="shared" si="162"/>
        <v>0</v>
      </c>
      <c r="AN59" s="126">
        <f t="shared" si="162"/>
        <v>0</v>
      </c>
      <c r="AO59" s="126">
        <f t="shared" si="162"/>
        <v>0</v>
      </c>
      <c r="AP59" s="126">
        <f t="shared" si="162"/>
        <v>0</v>
      </c>
      <c r="AQ59" s="126">
        <f t="shared" si="162"/>
        <v>0</v>
      </c>
      <c r="AR59" s="126">
        <f t="shared" si="162"/>
        <v>0</v>
      </c>
      <c r="AS59" s="126">
        <f t="shared" si="162"/>
        <v>0</v>
      </c>
      <c r="AT59" s="126">
        <f t="shared" si="162"/>
        <v>0</v>
      </c>
      <c r="AU59" s="126">
        <f t="shared" si="162"/>
        <v>0</v>
      </c>
      <c r="AV59" s="126">
        <f t="shared" si="162"/>
        <v>0</v>
      </c>
      <c r="AW59" s="126">
        <f t="shared" si="162"/>
        <v>0</v>
      </c>
      <c r="AX59" s="126">
        <f t="shared" si="162"/>
        <v>0</v>
      </c>
      <c r="AY59" s="126">
        <f t="shared" si="162"/>
        <v>0</v>
      </c>
      <c r="AZ59" s="126">
        <f t="shared" si="162"/>
        <v>0</v>
      </c>
      <c r="BA59" s="126">
        <f t="shared" si="162"/>
        <v>0</v>
      </c>
      <c r="BB59" s="126">
        <f t="shared" si="162"/>
        <v>0</v>
      </c>
      <c r="BC59" s="126">
        <f t="shared" si="162"/>
        <v>0</v>
      </c>
      <c r="BD59" s="126">
        <f t="shared" si="162"/>
        <v>0</v>
      </c>
      <c r="BE59" s="126">
        <f t="shared" si="162"/>
        <v>0</v>
      </c>
      <c r="BF59" s="126">
        <f t="shared" si="162"/>
        <v>0</v>
      </c>
      <c r="BG59" s="126">
        <f t="shared" si="162"/>
        <v>0</v>
      </c>
      <c r="BH59" s="126">
        <f t="shared" si="162"/>
        <v>0</v>
      </c>
      <c r="BI59" s="126">
        <f t="shared" si="162"/>
        <v>0</v>
      </c>
      <c r="BJ59" s="126">
        <f t="shared" si="162"/>
        <v>0</v>
      </c>
      <c r="BK59" s="126">
        <f t="shared" si="162"/>
        <v>0</v>
      </c>
      <c r="BL59" s="126">
        <f t="shared" si="162"/>
        <v>0</v>
      </c>
      <c r="BM59" s="126">
        <f t="shared" si="162"/>
        <v>0</v>
      </c>
      <c r="BN59" s="126">
        <f t="shared" si="162"/>
        <v>0</v>
      </c>
    </row>
    <row r="60" spans="2:79" ht="25" customHeight="1" thickBot="1" x14ac:dyDescent="0.3">
      <c r="B60" s="105"/>
      <c r="C60" s="106"/>
      <c r="D60" s="115"/>
      <c r="E60" s="115"/>
      <c r="F60" s="115"/>
      <c r="G60" s="144"/>
      <c r="H60" s="144"/>
      <c r="I60" s="144"/>
      <c r="J60" s="106"/>
      <c r="K60" s="106"/>
      <c r="L60" s="106"/>
      <c r="M60" s="106"/>
      <c r="N60" s="106"/>
      <c r="O60" s="106"/>
      <c r="P60" s="106"/>
    </row>
    <row r="61" spans="2:79" ht="20.149999999999999" customHeight="1" thickBot="1" x14ac:dyDescent="0.35">
      <c r="B61" s="81" t="s">
        <v>64</v>
      </c>
      <c r="C61" s="106"/>
      <c r="D61" s="117" t="s">
        <v>146</v>
      </c>
      <c r="E61" s="117"/>
      <c r="F61" s="118">
        <f>'Cost Overview'!L8</f>
        <v>40000</v>
      </c>
      <c r="G61" s="243" t="s">
        <v>127</v>
      </c>
      <c r="H61" s="145"/>
      <c r="I61" s="120">
        <f>ROUND(F61-SUM(F74:BN74),2)</f>
        <v>0</v>
      </c>
      <c r="J61" s="106"/>
      <c r="K61" s="282" t="str">
        <f>IF(I61&lt;-0.005,"(!) El coste de COMPRAS planificado es mayor que el de la BASELINE","")</f>
        <v/>
      </c>
      <c r="L61" s="282"/>
      <c r="M61" s="282"/>
      <c r="N61" s="282"/>
      <c r="O61" s="282"/>
      <c r="P61" s="282"/>
      <c r="R61" s="106"/>
    </row>
    <row r="62" spans="2:79" ht="12" customHeight="1" x14ac:dyDescent="0.25">
      <c r="B62" s="105"/>
      <c r="C62" s="106"/>
      <c r="D62" s="115"/>
      <c r="E62" s="115"/>
      <c r="F62" s="115"/>
      <c r="G62" s="106"/>
      <c r="H62" s="106"/>
      <c r="I62" s="106"/>
      <c r="J62" s="106"/>
      <c r="K62" s="106"/>
      <c r="L62" s="106"/>
      <c r="M62" s="106"/>
      <c r="N62" s="106"/>
      <c r="O62" s="106"/>
      <c r="P62" s="106"/>
    </row>
    <row r="63" spans="2:79" s="110" customFormat="1" ht="35.15" customHeight="1" x14ac:dyDescent="0.25">
      <c r="B63" s="239" t="s">
        <v>147</v>
      </c>
      <c r="C63" s="239" t="s">
        <v>148</v>
      </c>
      <c r="D63" s="239" t="s">
        <v>149</v>
      </c>
      <c r="E63" s="239" t="s">
        <v>150</v>
      </c>
      <c r="F63" s="108"/>
      <c r="G63" s="109">
        <f>'Project Infor'!C8</f>
        <v>45962</v>
      </c>
      <c r="H63" s="109">
        <f t="shared" ref="H63" si="163">EOMONTH(G63,1)</f>
        <v>46022</v>
      </c>
      <c r="I63" s="109">
        <f t="shared" ref="I63" si="164">EOMONTH(H63,1)</f>
        <v>46053</v>
      </c>
      <c r="J63" s="109">
        <f t="shared" ref="J63" si="165">EOMONTH(I63,1)</f>
        <v>46081</v>
      </c>
      <c r="K63" s="109">
        <f t="shared" ref="K63" si="166">EOMONTH(J63,1)</f>
        <v>46112</v>
      </c>
      <c r="L63" s="109">
        <f t="shared" ref="L63" si="167">EOMONTH(K63,1)</f>
        <v>46142</v>
      </c>
      <c r="M63" s="109">
        <f t="shared" ref="M63" si="168">EOMONTH(L63,1)</f>
        <v>46173</v>
      </c>
      <c r="N63" s="109">
        <f t="shared" ref="N63" si="169">EOMONTH(M63,1)</f>
        <v>46203</v>
      </c>
      <c r="O63" s="109">
        <f t="shared" ref="O63" si="170">EOMONTH(N63,1)</f>
        <v>46234</v>
      </c>
      <c r="P63" s="109">
        <f t="shared" ref="P63" si="171">EOMONTH(O63,1)</f>
        <v>46265</v>
      </c>
      <c r="Q63" s="109">
        <f t="shared" ref="Q63" si="172">EOMONTH(P63,1)</f>
        <v>46295</v>
      </c>
      <c r="R63" s="109">
        <f t="shared" ref="R63" si="173">EOMONTH(Q63,1)</f>
        <v>46326</v>
      </c>
      <c r="S63" s="109">
        <f t="shared" ref="S63" si="174">EOMONTH(R63,1)</f>
        <v>46356</v>
      </c>
      <c r="T63" s="109">
        <f t="shared" ref="T63" si="175">EOMONTH(S63,1)</f>
        <v>46387</v>
      </c>
      <c r="U63" s="109">
        <f t="shared" ref="U63" si="176">EOMONTH(T63,1)</f>
        <v>46418</v>
      </c>
      <c r="V63" s="109">
        <f t="shared" ref="V63" si="177">EOMONTH(U63,1)</f>
        <v>46446</v>
      </c>
      <c r="W63" s="109">
        <f t="shared" ref="W63" si="178">EOMONTH(V63,1)</f>
        <v>46477</v>
      </c>
      <c r="X63" s="109">
        <f t="shared" ref="X63" si="179">EOMONTH(W63,1)</f>
        <v>46507</v>
      </c>
      <c r="Y63" s="109">
        <f t="shared" ref="Y63" si="180">EOMONTH(X63,1)</f>
        <v>46538</v>
      </c>
      <c r="Z63" s="109">
        <f t="shared" ref="Z63" si="181">EOMONTH(Y63,1)</f>
        <v>46568</v>
      </c>
      <c r="AA63" s="109">
        <f t="shared" ref="AA63" si="182">EOMONTH(Z63,1)</f>
        <v>46599</v>
      </c>
      <c r="AB63" s="109">
        <f t="shared" ref="AB63" si="183">EOMONTH(AA63,1)</f>
        <v>46630</v>
      </c>
      <c r="AC63" s="109">
        <f t="shared" ref="AC63" si="184">EOMONTH(AB63,1)</f>
        <v>46660</v>
      </c>
      <c r="AD63" s="109">
        <f t="shared" ref="AD63" si="185">EOMONTH(AC63,1)</f>
        <v>46691</v>
      </c>
      <c r="AE63" s="109">
        <f t="shared" ref="AE63" si="186">EOMONTH(AD63,1)</f>
        <v>46721</v>
      </c>
      <c r="AF63" s="109">
        <f t="shared" ref="AF63" si="187">EOMONTH(AE63,1)</f>
        <v>46752</v>
      </c>
      <c r="AG63" s="109">
        <f t="shared" ref="AG63" si="188">EOMONTH(AF63,1)</f>
        <v>46783</v>
      </c>
      <c r="AH63" s="109">
        <f t="shared" ref="AH63" si="189">EOMONTH(AG63,1)</f>
        <v>46812</v>
      </c>
      <c r="AI63" s="109">
        <f t="shared" ref="AI63" si="190">EOMONTH(AH63,1)</f>
        <v>46843</v>
      </c>
      <c r="AJ63" s="109">
        <f t="shared" ref="AJ63" si="191">EOMONTH(AI63,1)</f>
        <v>46873</v>
      </c>
      <c r="AK63" s="109">
        <f t="shared" ref="AK63" si="192">EOMONTH(AJ63,1)</f>
        <v>46904</v>
      </c>
      <c r="AL63" s="109">
        <f t="shared" ref="AL63" si="193">EOMONTH(AK63,1)</f>
        <v>46934</v>
      </c>
      <c r="AM63" s="109">
        <f t="shared" ref="AM63" si="194">EOMONTH(AL63,1)</f>
        <v>46965</v>
      </c>
      <c r="AN63" s="109">
        <f t="shared" ref="AN63" si="195">EOMONTH(AM63,1)</f>
        <v>46996</v>
      </c>
      <c r="AO63" s="109">
        <f t="shared" ref="AO63" si="196">EOMONTH(AN63,1)</f>
        <v>47026</v>
      </c>
      <c r="AP63" s="109">
        <f t="shared" ref="AP63" si="197">EOMONTH(AO63,1)</f>
        <v>47057</v>
      </c>
      <c r="AQ63" s="109">
        <f t="shared" ref="AQ63" si="198">EOMONTH(AP63,1)</f>
        <v>47087</v>
      </c>
      <c r="AR63" s="109">
        <f t="shared" ref="AR63" si="199">EOMONTH(AQ63,1)</f>
        <v>47118</v>
      </c>
      <c r="AS63" s="109">
        <f t="shared" ref="AS63" si="200">EOMONTH(AR63,1)</f>
        <v>47149</v>
      </c>
      <c r="AT63" s="109">
        <f t="shared" ref="AT63" si="201">EOMONTH(AS63,1)</f>
        <v>47177</v>
      </c>
      <c r="AU63" s="109">
        <f t="shared" ref="AU63" si="202">EOMONTH(AT63,1)</f>
        <v>47208</v>
      </c>
      <c r="AV63" s="109">
        <f t="shared" ref="AV63" si="203">EOMONTH(AU63,1)</f>
        <v>47238</v>
      </c>
      <c r="AW63" s="109">
        <f t="shared" ref="AW63" si="204">EOMONTH(AV63,1)</f>
        <v>47269</v>
      </c>
      <c r="AX63" s="109">
        <f t="shared" ref="AX63" si="205">EOMONTH(AW63,1)</f>
        <v>47299</v>
      </c>
      <c r="AY63" s="109">
        <f t="shared" ref="AY63" si="206">EOMONTH(AX63,1)</f>
        <v>47330</v>
      </c>
      <c r="AZ63" s="109">
        <f t="shared" ref="AZ63" si="207">EOMONTH(AY63,1)</f>
        <v>47361</v>
      </c>
      <c r="BA63" s="109">
        <f t="shared" ref="BA63" si="208">EOMONTH(AZ63,1)</f>
        <v>47391</v>
      </c>
      <c r="BB63" s="109">
        <f t="shared" ref="BB63" si="209">EOMONTH(BA63,1)</f>
        <v>47422</v>
      </c>
      <c r="BC63" s="109">
        <f t="shared" ref="BC63" si="210">EOMONTH(BB63,1)</f>
        <v>47452</v>
      </c>
      <c r="BD63" s="109">
        <f t="shared" ref="BD63" si="211">EOMONTH(BC63,1)</f>
        <v>47483</v>
      </c>
      <c r="BE63" s="109">
        <f t="shared" ref="BE63" si="212">EOMONTH(BD63,1)</f>
        <v>47514</v>
      </c>
      <c r="BF63" s="109">
        <f t="shared" ref="BF63" si="213">EOMONTH(BE63,1)</f>
        <v>47542</v>
      </c>
      <c r="BG63" s="109">
        <f t="shared" ref="BG63" si="214">EOMONTH(BF63,1)</f>
        <v>47573</v>
      </c>
      <c r="BH63" s="109">
        <f t="shared" ref="BH63" si="215">EOMONTH(BG63,1)</f>
        <v>47603</v>
      </c>
      <c r="BI63" s="109">
        <f t="shared" ref="BI63" si="216">EOMONTH(BH63,1)</f>
        <v>47634</v>
      </c>
      <c r="BJ63" s="109">
        <f t="shared" ref="BJ63" si="217">EOMONTH(BI63,1)</f>
        <v>47664</v>
      </c>
      <c r="BK63" s="109">
        <f t="shared" ref="BK63" si="218">EOMONTH(BJ63,1)</f>
        <v>47695</v>
      </c>
      <c r="BL63" s="109">
        <f t="shared" ref="BL63" si="219">EOMONTH(BK63,1)</f>
        <v>47726</v>
      </c>
      <c r="BM63" s="109">
        <f t="shared" ref="BM63" si="220">EOMONTH(BL63,1)</f>
        <v>47756</v>
      </c>
      <c r="BN63" s="109">
        <f t="shared" ref="BN63" si="221">EOMONTH(BM63,1)</f>
        <v>47787</v>
      </c>
      <c r="BO63" s="100"/>
      <c r="BP63" s="100"/>
      <c r="BQ63" s="100"/>
      <c r="BR63" s="100"/>
      <c r="BS63" s="100"/>
      <c r="BT63" s="100"/>
      <c r="BU63" s="100"/>
      <c r="BV63" s="100"/>
      <c r="BW63" s="100"/>
      <c r="BX63" s="100"/>
      <c r="BY63" s="100"/>
      <c r="BZ63" s="100"/>
      <c r="CA63" s="100"/>
    </row>
    <row r="64" spans="2:79" s="111" customFormat="1" ht="19.5" customHeight="1" x14ac:dyDescent="0.35">
      <c r="B64" s="6" t="s">
        <v>302</v>
      </c>
      <c r="C64" s="13" t="s">
        <v>303</v>
      </c>
      <c r="D64" s="13" t="s">
        <v>304</v>
      </c>
      <c r="E64" s="13" t="s">
        <v>305</v>
      </c>
      <c r="F64" s="13"/>
      <c r="G64">
        <v>20000</v>
      </c>
      <c r="H64">
        <v>20000</v>
      </c>
      <c r="I64"/>
      <c r="J64"/>
      <c r="K64"/>
      <c r="L64"/>
      <c r="M64"/>
      <c r="N64"/>
      <c r="O64"/>
      <c r="P64"/>
      <c r="Q64"/>
      <c r="R64"/>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P64" s="100"/>
      <c r="BQ64" s="100"/>
      <c r="BR64" s="100"/>
      <c r="BS64" s="100"/>
      <c r="BT64" s="100"/>
      <c r="BU64" s="100"/>
      <c r="BV64" s="100"/>
      <c r="BW64" s="100"/>
      <c r="BX64" s="100"/>
      <c r="BY64" s="100"/>
      <c r="BZ64" s="100"/>
      <c r="CA64" s="100"/>
    </row>
    <row r="65" spans="2:79" s="111" customFormat="1" ht="19.5" customHeight="1" x14ac:dyDescent="0.35">
      <c r="B65" s="6"/>
      <c r="C65" s="13" t="s">
        <v>301</v>
      </c>
      <c r="D65" s="13" t="s">
        <v>301</v>
      </c>
      <c r="E65" s="13" t="s">
        <v>301</v>
      </c>
      <c r="F65" s="13"/>
      <c r="G65"/>
      <c r="H65"/>
      <c r="I65"/>
      <c r="J65"/>
      <c r="K65"/>
      <c r="L65"/>
      <c r="M65"/>
      <c r="N65"/>
      <c r="O65"/>
      <c r="P65"/>
      <c r="Q65"/>
      <c r="R65"/>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c r="BM65" s="7"/>
      <c r="BN65" s="7"/>
      <c r="BP65" s="100"/>
      <c r="BQ65" s="100"/>
      <c r="BR65" s="100"/>
      <c r="BS65" s="100"/>
      <c r="BT65" s="100"/>
      <c r="BU65" s="100"/>
      <c r="BV65" s="100"/>
      <c r="BW65" s="100"/>
      <c r="BX65" s="100"/>
      <c r="BY65" s="100"/>
      <c r="BZ65" s="100"/>
      <c r="CA65" s="100"/>
    </row>
    <row r="66" spans="2:79" s="111" customFormat="1" ht="19.5" customHeight="1" x14ac:dyDescent="0.35">
      <c r="B66" s="6"/>
      <c r="C66" s="13" t="s">
        <v>301</v>
      </c>
      <c r="D66" s="13" t="s">
        <v>301</v>
      </c>
      <c r="E66" s="13" t="s">
        <v>301</v>
      </c>
      <c r="F66" s="13"/>
      <c r="G66"/>
      <c r="H66"/>
      <c r="I66"/>
      <c r="J66"/>
      <c r="K66"/>
      <c r="L66"/>
      <c r="M66"/>
      <c r="N66"/>
      <c r="O66"/>
      <c r="P66"/>
      <c r="Q66"/>
      <c r="R66"/>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P66" s="100"/>
      <c r="BQ66" s="100"/>
      <c r="BR66" s="100"/>
      <c r="BS66" s="100"/>
      <c r="BT66" s="100"/>
      <c r="BU66" s="100"/>
      <c r="BV66" s="100"/>
      <c r="BW66" s="100"/>
      <c r="BX66" s="100"/>
      <c r="BY66" s="100"/>
      <c r="BZ66" s="100"/>
      <c r="CA66" s="100"/>
    </row>
    <row r="67" spans="2:79" s="111" customFormat="1" ht="19.5" customHeight="1" x14ac:dyDescent="0.35">
      <c r="B67" s="6"/>
      <c r="C67" s="13" t="s">
        <v>301</v>
      </c>
      <c r="D67" s="13" t="s">
        <v>301</v>
      </c>
      <c r="E67" s="13" t="s">
        <v>301</v>
      </c>
      <c r="F67" s="13"/>
      <c r="G67"/>
      <c r="H67"/>
      <c r="I67"/>
      <c r="J67"/>
      <c r="K67"/>
      <c r="L67"/>
      <c r="M67"/>
      <c r="N67"/>
      <c r="O67"/>
      <c r="P67"/>
      <c r="Q67"/>
      <c r="R6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P67" s="100"/>
      <c r="BQ67" s="100"/>
      <c r="BR67" s="100"/>
      <c r="BS67" s="100"/>
      <c r="BT67" s="100"/>
      <c r="BU67" s="100"/>
      <c r="BV67" s="100"/>
      <c r="BW67" s="100"/>
      <c r="BX67" s="100"/>
      <c r="BY67" s="100"/>
      <c r="BZ67" s="100"/>
      <c r="CA67" s="100"/>
    </row>
    <row r="68" spans="2:79" s="111" customFormat="1" ht="19.5" customHeight="1" x14ac:dyDescent="0.35">
      <c r="B68" s="6"/>
      <c r="C68" s="13" t="s">
        <v>301</v>
      </c>
      <c r="D68" s="13" t="s">
        <v>301</v>
      </c>
      <c r="E68" s="13" t="s">
        <v>301</v>
      </c>
      <c r="F68" s="13"/>
      <c r="G68"/>
      <c r="H68"/>
      <c r="I68"/>
      <c r="J68"/>
      <c r="K68"/>
      <c r="L68"/>
      <c r="M68"/>
      <c r="N68"/>
      <c r="O68"/>
      <c r="P68"/>
      <c r="Q68"/>
      <c r="R68"/>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P68" s="100"/>
      <c r="BQ68" s="100"/>
      <c r="BR68" s="100"/>
      <c r="BS68" s="100"/>
      <c r="BT68" s="100"/>
      <c r="BU68" s="100"/>
      <c r="BV68" s="100"/>
      <c r="BW68" s="100"/>
      <c r="BX68" s="100"/>
      <c r="BY68" s="100"/>
      <c r="BZ68" s="100"/>
      <c r="CA68" s="100"/>
    </row>
    <row r="69" spans="2:79" s="111" customFormat="1" ht="19.5" customHeight="1" x14ac:dyDescent="0.35">
      <c r="B69" s="6"/>
      <c r="C69" s="13" t="s">
        <v>301</v>
      </c>
      <c r="D69" s="13" t="s">
        <v>301</v>
      </c>
      <c r="E69" s="13" t="s">
        <v>301</v>
      </c>
      <c r="F69" s="13"/>
      <c r="G69"/>
      <c r="H69"/>
      <c r="I69"/>
      <c r="J69"/>
      <c r="K69"/>
      <c r="L69"/>
      <c r="M69"/>
      <c r="N69"/>
      <c r="O69"/>
      <c r="P69"/>
      <c r="Q69"/>
      <c r="R69"/>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P69" s="100"/>
      <c r="BQ69" s="100"/>
      <c r="BR69" s="100"/>
      <c r="BS69" s="100"/>
      <c r="BT69" s="100"/>
      <c r="BU69" s="100"/>
      <c r="BV69" s="100"/>
      <c r="BW69" s="100"/>
      <c r="BX69" s="100"/>
      <c r="BY69" s="100"/>
      <c r="BZ69" s="100"/>
      <c r="CA69" s="100"/>
    </row>
    <row r="70" spans="2:79" s="111" customFormat="1" ht="19.5" customHeight="1" x14ac:dyDescent="0.35">
      <c r="B70" s="6"/>
      <c r="C70" s="13" t="s">
        <v>301</v>
      </c>
      <c r="D70" s="13" t="s">
        <v>301</v>
      </c>
      <c r="E70" s="13" t="s">
        <v>301</v>
      </c>
      <c r="F70" s="13"/>
      <c r="G70"/>
      <c r="H70"/>
      <c r="I70"/>
      <c r="J70"/>
      <c r="K70"/>
      <c r="L70"/>
      <c r="M70"/>
      <c r="N70"/>
      <c r="O70"/>
      <c r="P70"/>
      <c r="Q70"/>
      <c r="R70"/>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P70" s="100"/>
      <c r="BQ70" s="100"/>
      <c r="BR70" s="100"/>
      <c r="BS70" s="100"/>
      <c r="BT70" s="100"/>
      <c r="BU70" s="100"/>
      <c r="BV70" s="100"/>
      <c r="BW70" s="100"/>
      <c r="BX70" s="100"/>
      <c r="BY70" s="100"/>
      <c r="BZ70" s="100"/>
      <c r="CA70" s="100"/>
    </row>
    <row r="71" spans="2:79" s="111" customFormat="1" ht="19.5" customHeight="1" x14ac:dyDescent="0.35">
      <c r="B71" s="6"/>
      <c r="C71" s="13" t="s">
        <v>301</v>
      </c>
      <c r="D71" s="13" t="s">
        <v>301</v>
      </c>
      <c r="E71" s="13" t="s">
        <v>301</v>
      </c>
      <c r="F71" s="13"/>
      <c r="G71"/>
      <c r="H71"/>
      <c r="I71"/>
      <c r="J71"/>
      <c r="K71"/>
      <c r="L71"/>
      <c r="M71"/>
      <c r="N71"/>
      <c r="O71"/>
      <c r="P71"/>
      <c r="Q71"/>
      <c r="R71"/>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P71" s="100"/>
      <c r="BQ71" s="100"/>
      <c r="BR71" s="100"/>
      <c r="BS71" s="100"/>
      <c r="BT71" s="100"/>
      <c r="BU71" s="100"/>
      <c r="BV71" s="100"/>
      <c r="BW71" s="100"/>
      <c r="BX71" s="100"/>
      <c r="BY71" s="100"/>
      <c r="BZ71" s="100"/>
      <c r="CA71" s="100"/>
    </row>
    <row r="72" spans="2:79" s="111" customFormat="1" ht="19.5" customHeight="1" x14ac:dyDescent="0.35">
      <c r="B72" s="6"/>
      <c r="C72" s="13" t="s">
        <v>301</v>
      </c>
      <c r="D72" s="13" t="s">
        <v>301</v>
      </c>
      <c r="E72" s="13" t="s">
        <v>301</v>
      </c>
      <c r="F72" s="13"/>
      <c r="G72"/>
      <c r="H72"/>
      <c r="I72"/>
      <c r="J72"/>
      <c r="K72"/>
      <c r="L72"/>
      <c r="M72"/>
      <c r="N72"/>
      <c r="O72"/>
      <c r="P72"/>
      <c r="Q72"/>
      <c r="R72"/>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c r="BM72" s="7"/>
      <c r="BN72" s="7"/>
      <c r="BP72" s="100"/>
      <c r="BQ72" s="100"/>
      <c r="BR72" s="100"/>
      <c r="BS72" s="100"/>
      <c r="BT72" s="100"/>
      <c r="BU72" s="100"/>
      <c r="BV72" s="100"/>
      <c r="BW72" s="100"/>
      <c r="BX72" s="100"/>
      <c r="BY72" s="100"/>
      <c r="BZ72" s="100"/>
      <c r="CA72" s="100"/>
    </row>
    <row r="73" spans="2:79" s="111" customFormat="1" ht="19.5" customHeight="1" x14ac:dyDescent="0.35">
      <c r="B73" s="6"/>
      <c r="C73" s="13" t="s">
        <v>301</v>
      </c>
      <c r="D73" s="13" t="s">
        <v>301</v>
      </c>
      <c r="E73" s="13" t="s">
        <v>301</v>
      </c>
      <c r="F73" s="13"/>
      <c r="G73"/>
      <c r="H73"/>
      <c r="I73"/>
      <c r="J73"/>
      <c r="K73"/>
      <c r="L73"/>
      <c r="M73"/>
      <c r="N73"/>
      <c r="O73"/>
      <c r="P73"/>
      <c r="Q73"/>
      <c r="R73"/>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P73" s="100"/>
      <c r="BQ73" s="100"/>
      <c r="BR73" s="100"/>
      <c r="BS73" s="100"/>
      <c r="BT73" s="100"/>
      <c r="BU73" s="100"/>
      <c r="BV73" s="100"/>
      <c r="BW73" s="100"/>
      <c r="BX73" s="100"/>
      <c r="BY73" s="100"/>
      <c r="BZ73" s="100"/>
      <c r="CA73" s="100"/>
    </row>
    <row r="74" spans="2:79" ht="20.149999999999999" customHeight="1" x14ac:dyDescent="0.25">
      <c r="B74" s="146" t="s">
        <v>151</v>
      </c>
      <c r="C74" s="147"/>
      <c r="D74" s="147"/>
      <c r="E74" s="147"/>
      <c r="F74" s="148">
        <f>'Project Infor'!C49</f>
        <v>0</v>
      </c>
      <c r="G74" s="148">
        <f>SUM(G64:G73)</f>
        <v>20000</v>
      </c>
      <c r="H74" s="148">
        <f>SUM(H64:H73)</f>
        <v>20000</v>
      </c>
      <c r="I74" s="148">
        <f t="shared" ref="I74:AC74" si="222">SUM(I64:I73)</f>
        <v>0</v>
      </c>
      <c r="J74" s="148">
        <f t="shared" si="222"/>
        <v>0</v>
      </c>
      <c r="K74" s="148">
        <f t="shared" si="222"/>
        <v>0</v>
      </c>
      <c r="L74" s="148">
        <f t="shared" si="222"/>
        <v>0</v>
      </c>
      <c r="M74" s="148">
        <f t="shared" si="222"/>
        <v>0</v>
      </c>
      <c r="N74" s="148">
        <f t="shared" si="222"/>
        <v>0</v>
      </c>
      <c r="O74" s="148">
        <f t="shared" si="222"/>
        <v>0</v>
      </c>
      <c r="P74" s="148">
        <f t="shared" si="222"/>
        <v>0</v>
      </c>
      <c r="Q74" s="148">
        <f t="shared" si="222"/>
        <v>0</v>
      </c>
      <c r="R74" s="148">
        <f t="shared" si="222"/>
        <v>0</v>
      </c>
      <c r="S74" s="148">
        <f t="shared" si="222"/>
        <v>0</v>
      </c>
      <c r="T74" s="148">
        <f t="shared" si="222"/>
        <v>0</v>
      </c>
      <c r="U74" s="148">
        <f t="shared" si="222"/>
        <v>0</v>
      </c>
      <c r="V74" s="148">
        <f t="shared" si="222"/>
        <v>0</v>
      </c>
      <c r="W74" s="148">
        <f t="shared" si="222"/>
        <v>0</v>
      </c>
      <c r="X74" s="148">
        <f t="shared" si="222"/>
        <v>0</v>
      </c>
      <c r="Y74" s="148">
        <f t="shared" si="222"/>
        <v>0</v>
      </c>
      <c r="Z74" s="148">
        <f t="shared" si="222"/>
        <v>0</v>
      </c>
      <c r="AA74" s="148">
        <f t="shared" si="222"/>
        <v>0</v>
      </c>
      <c r="AB74" s="148">
        <f t="shared" si="222"/>
        <v>0</v>
      </c>
      <c r="AC74" s="148">
        <f t="shared" si="222"/>
        <v>0</v>
      </c>
      <c r="AD74" s="148">
        <f t="shared" ref="AD74" si="223">SUM(AD64:AD73)</f>
        <v>0</v>
      </c>
      <c r="AE74" s="148">
        <f t="shared" ref="AE74:BN74" si="224">SUM(AE64:AE73)</f>
        <v>0</v>
      </c>
      <c r="AF74" s="148">
        <f t="shared" si="224"/>
        <v>0</v>
      </c>
      <c r="AG74" s="148">
        <f t="shared" si="224"/>
        <v>0</v>
      </c>
      <c r="AH74" s="148">
        <f t="shared" si="224"/>
        <v>0</v>
      </c>
      <c r="AI74" s="148">
        <f t="shared" si="224"/>
        <v>0</v>
      </c>
      <c r="AJ74" s="148">
        <f t="shared" si="224"/>
        <v>0</v>
      </c>
      <c r="AK74" s="148">
        <f t="shared" si="224"/>
        <v>0</v>
      </c>
      <c r="AL74" s="148">
        <f t="shared" si="224"/>
        <v>0</v>
      </c>
      <c r="AM74" s="148">
        <f t="shared" si="224"/>
        <v>0</v>
      </c>
      <c r="AN74" s="148">
        <f t="shared" si="224"/>
        <v>0</v>
      </c>
      <c r="AO74" s="148">
        <f t="shared" si="224"/>
        <v>0</v>
      </c>
      <c r="AP74" s="148">
        <f t="shared" si="224"/>
        <v>0</v>
      </c>
      <c r="AQ74" s="148">
        <f t="shared" si="224"/>
        <v>0</v>
      </c>
      <c r="AR74" s="148">
        <f t="shared" si="224"/>
        <v>0</v>
      </c>
      <c r="AS74" s="148">
        <f t="shared" si="224"/>
        <v>0</v>
      </c>
      <c r="AT74" s="148">
        <f t="shared" si="224"/>
        <v>0</v>
      </c>
      <c r="AU74" s="148">
        <f t="shared" si="224"/>
        <v>0</v>
      </c>
      <c r="AV74" s="148">
        <f t="shared" si="224"/>
        <v>0</v>
      </c>
      <c r="AW74" s="148">
        <f t="shared" si="224"/>
        <v>0</v>
      </c>
      <c r="AX74" s="148">
        <f t="shared" si="224"/>
        <v>0</v>
      </c>
      <c r="AY74" s="148">
        <f t="shared" si="224"/>
        <v>0</v>
      </c>
      <c r="AZ74" s="148">
        <f t="shared" si="224"/>
        <v>0</v>
      </c>
      <c r="BA74" s="148">
        <f t="shared" si="224"/>
        <v>0</v>
      </c>
      <c r="BB74" s="148">
        <f t="shared" si="224"/>
        <v>0</v>
      </c>
      <c r="BC74" s="148">
        <f t="shared" si="224"/>
        <v>0</v>
      </c>
      <c r="BD74" s="148">
        <f t="shared" si="224"/>
        <v>0</v>
      </c>
      <c r="BE74" s="148">
        <f t="shared" si="224"/>
        <v>0</v>
      </c>
      <c r="BF74" s="148">
        <f t="shared" si="224"/>
        <v>0</v>
      </c>
      <c r="BG74" s="148">
        <f t="shared" si="224"/>
        <v>0</v>
      </c>
      <c r="BH74" s="148">
        <f t="shared" si="224"/>
        <v>0</v>
      </c>
      <c r="BI74" s="148">
        <f t="shared" si="224"/>
        <v>0</v>
      </c>
      <c r="BJ74" s="148">
        <f t="shared" si="224"/>
        <v>0</v>
      </c>
      <c r="BK74" s="148">
        <f t="shared" si="224"/>
        <v>0</v>
      </c>
      <c r="BL74" s="148">
        <f t="shared" si="224"/>
        <v>0</v>
      </c>
      <c r="BM74" s="148">
        <f t="shared" si="224"/>
        <v>0</v>
      </c>
      <c r="BN74" s="148">
        <f t="shared" si="224"/>
        <v>0</v>
      </c>
    </row>
    <row r="75" spans="2:79" ht="20.149999999999999" customHeight="1" x14ac:dyDescent="0.25">
      <c r="B75" s="105"/>
      <c r="C75" s="106"/>
      <c r="D75" s="106"/>
      <c r="E75" s="115"/>
      <c r="F75" s="131"/>
      <c r="G75" s="131"/>
      <c r="H75" s="131"/>
      <c r="I75" s="131"/>
      <c r="J75" s="131"/>
      <c r="K75" s="131"/>
      <c r="L75" s="131"/>
      <c r="M75" s="131"/>
      <c r="N75" s="131"/>
      <c r="O75" s="131"/>
      <c r="P75" s="131"/>
      <c r="Q75" s="131"/>
      <c r="R75" s="131"/>
      <c r="S75" s="131"/>
      <c r="T75" s="132"/>
      <c r="U75" s="132"/>
      <c r="V75" s="132"/>
      <c r="W75" s="132"/>
      <c r="X75" s="132"/>
      <c r="Y75" s="132"/>
      <c r="Z75" s="132"/>
      <c r="AA75" s="132"/>
      <c r="AB75" s="132"/>
      <c r="AC75" s="132"/>
      <c r="AD75" s="132"/>
      <c r="AE75" s="132"/>
      <c r="AF75" s="132"/>
      <c r="AG75" s="132"/>
      <c r="AH75" s="132"/>
      <c r="AI75" s="132"/>
      <c r="AJ75" s="132"/>
      <c r="AK75" s="132"/>
      <c r="AL75" s="132"/>
      <c r="AM75" s="132"/>
      <c r="AN75" s="132"/>
      <c r="AO75" s="132"/>
      <c r="AP75" s="132"/>
      <c r="AQ75" s="132"/>
      <c r="AR75" s="132"/>
      <c r="AS75" s="132"/>
      <c r="AT75" s="132"/>
      <c r="AU75" s="132"/>
      <c r="AV75" s="132"/>
      <c r="AW75" s="132"/>
      <c r="AX75" s="132"/>
      <c r="AY75" s="132"/>
      <c r="AZ75" s="132"/>
      <c r="BA75" s="132"/>
      <c r="BB75" s="132"/>
      <c r="BC75" s="132"/>
      <c r="BD75" s="132"/>
      <c r="BE75" s="132"/>
      <c r="BF75" s="132"/>
      <c r="BG75" s="132"/>
      <c r="BH75" s="132"/>
      <c r="BI75" s="132"/>
      <c r="BJ75" s="132"/>
      <c r="BK75" s="132"/>
      <c r="BL75" s="132"/>
      <c r="BM75" s="132"/>
      <c r="BN75" s="132"/>
    </row>
    <row r="76" spans="2:79" ht="20.149999999999999" customHeight="1" x14ac:dyDescent="0.25">
      <c r="C76" s="106"/>
      <c r="D76" s="106"/>
      <c r="E76" s="115"/>
      <c r="F76" s="131"/>
      <c r="G76" s="131"/>
      <c r="H76" s="131"/>
      <c r="I76" s="131"/>
      <c r="J76" s="131"/>
      <c r="K76" s="131"/>
      <c r="L76" s="131"/>
      <c r="M76" s="131"/>
      <c r="N76" s="131"/>
      <c r="O76" s="131"/>
      <c r="P76" s="131"/>
      <c r="Q76" s="131"/>
      <c r="R76" s="131"/>
      <c r="S76" s="131"/>
      <c r="T76" s="132"/>
      <c r="U76" s="132"/>
      <c r="V76" s="132"/>
      <c r="W76" s="132"/>
      <c r="X76" s="132"/>
      <c r="Y76" s="132"/>
      <c r="Z76" s="132"/>
      <c r="AA76" s="132"/>
      <c r="AB76" s="132"/>
      <c r="AC76" s="132"/>
      <c r="AD76" s="132"/>
      <c r="AE76" s="132"/>
      <c r="AF76" s="132"/>
      <c r="AG76" s="132"/>
      <c r="AH76" s="132"/>
      <c r="AI76" s="132"/>
      <c r="AJ76" s="132"/>
      <c r="AK76" s="132"/>
      <c r="AL76" s="132"/>
      <c r="AM76" s="132"/>
      <c r="AN76" s="132"/>
      <c r="AO76" s="132"/>
      <c r="AP76" s="132"/>
      <c r="AQ76" s="132"/>
      <c r="AR76" s="132"/>
      <c r="AS76" s="132"/>
      <c r="AT76" s="132"/>
      <c r="AU76" s="132"/>
      <c r="AV76" s="132"/>
      <c r="AW76" s="132"/>
      <c r="AX76" s="132"/>
      <c r="AY76" s="132"/>
      <c r="AZ76" s="132"/>
      <c r="BA76" s="132"/>
      <c r="BB76" s="132"/>
      <c r="BC76" s="132"/>
      <c r="BD76" s="132"/>
      <c r="BE76" s="132"/>
      <c r="BF76" s="132"/>
      <c r="BG76" s="132"/>
      <c r="BH76" s="132"/>
      <c r="BI76" s="132"/>
      <c r="BJ76" s="132"/>
      <c r="BK76" s="132"/>
      <c r="BL76" s="132"/>
      <c r="BM76" s="132"/>
      <c r="BN76" s="132"/>
    </row>
    <row r="77" spans="2:79" ht="20.149999999999999" customHeight="1" x14ac:dyDescent="0.25">
      <c r="B77" s="105"/>
      <c r="C77" s="106"/>
      <c r="D77" s="106"/>
      <c r="E77" s="115"/>
      <c r="F77" s="131"/>
      <c r="G77" s="131"/>
      <c r="H77" s="131"/>
      <c r="I77" s="131"/>
      <c r="J77" s="131"/>
      <c r="K77" s="131"/>
      <c r="L77" s="131"/>
      <c r="M77" s="131"/>
      <c r="N77" s="131"/>
      <c r="O77" s="131"/>
      <c r="P77" s="131"/>
      <c r="Q77" s="131"/>
      <c r="R77" s="131"/>
      <c r="S77" s="131"/>
      <c r="T77" s="132"/>
      <c r="U77" s="132"/>
      <c r="V77" s="132"/>
      <c r="W77" s="132"/>
      <c r="X77" s="132"/>
      <c r="Y77" s="132"/>
      <c r="Z77" s="132"/>
      <c r="AA77" s="132"/>
      <c r="AB77" s="132"/>
      <c r="AC77" s="132"/>
      <c r="AD77" s="132"/>
      <c r="AE77" s="132"/>
      <c r="AF77" s="132"/>
      <c r="AG77" s="132"/>
      <c r="AH77" s="132"/>
      <c r="AI77" s="132"/>
      <c r="AJ77" s="132"/>
      <c r="AK77" s="132"/>
      <c r="AL77" s="132"/>
      <c r="AM77" s="132"/>
      <c r="AN77" s="132"/>
      <c r="AO77" s="132"/>
      <c r="AP77" s="132"/>
      <c r="AQ77" s="132"/>
      <c r="AR77" s="132"/>
      <c r="AS77" s="132"/>
      <c r="AT77" s="132"/>
      <c r="AU77" s="132"/>
      <c r="AV77" s="132"/>
      <c r="AW77" s="132"/>
      <c r="AX77" s="132"/>
      <c r="AY77" s="132"/>
      <c r="AZ77" s="132"/>
      <c r="BA77" s="132"/>
      <c r="BB77" s="132"/>
      <c r="BC77" s="132"/>
      <c r="BD77" s="132"/>
      <c r="BE77" s="132"/>
      <c r="BF77" s="132"/>
      <c r="BG77" s="132"/>
      <c r="BH77" s="132"/>
      <c r="BI77" s="132"/>
      <c r="BJ77" s="132"/>
      <c r="BK77" s="132"/>
      <c r="BL77" s="132"/>
      <c r="BM77" s="132"/>
      <c r="BN77" s="132"/>
    </row>
    <row r="78" spans="2:79" ht="20.149999999999999" customHeight="1" x14ac:dyDescent="0.25">
      <c r="B78" s="105"/>
      <c r="C78" s="106"/>
      <c r="D78" s="106"/>
      <c r="E78" s="115"/>
      <c r="F78" s="131"/>
      <c r="G78" s="131"/>
      <c r="H78" s="131"/>
      <c r="I78" s="131"/>
      <c r="J78" s="131"/>
      <c r="K78" s="131"/>
      <c r="L78" s="131"/>
      <c r="M78" s="131"/>
      <c r="N78" s="131"/>
      <c r="O78" s="131"/>
      <c r="P78" s="131"/>
      <c r="Q78" s="131"/>
      <c r="R78" s="131"/>
      <c r="S78" s="131"/>
      <c r="T78" s="132"/>
      <c r="U78" s="132"/>
      <c r="V78" s="132"/>
      <c r="W78" s="132"/>
      <c r="X78" s="132"/>
      <c r="Y78" s="132"/>
      <c r="Z78" s="132"/>
      <c r="AA78" s="132"/>
      <c r="AB78" s="132"/>
      <c r="AC78" s="132"/>
      <c r="AD78" s="132"/>
      <c r="AE78" s="132"/>
      <c r="AF78" s="132"/>
      <c r="AG78" s="132"/>
      <c r="AH78" s="132"/>
      <c r="AI78" s="132"/>
      <c r="AJ78" s="132"/>
      <c r="AK78" s="132"/>
      <c r="AL78" s="132"/>
      <c r="AM78" s="132"/>
      <c r="AN78" s="132"/>
      <c r="AO78" s="132"/>
      <c r="AP78" s="132"/>
      <c r="AQ78" s="132"/>
      <c r="AR78" s="132"/>
      <c r="AS78" s="132"/>
      <c r="AT78" s="132"/>
      <c r="AU78" s="132"/>
      <c r="AV78" s="132"/>
      <c r="AW78" s="132"/>
      <c r="AX78" s="132"/>
      <c r="AY78" s="132"/>
      <c r="AZ78" s="132"/>
      <c r="BA78" s="132"/>
      <c r="BB78" s="132"/>
      <c r="BC78" s="132"/>
      <c r="BD78" s="132"/>
      <c r="BE78" s="132"/>
      <c r="BF78" s="132"/>
      <c r="BG78" s="132"/>
      <c r="BH78" s="132"/>
      <c r="BI78" s="132"/>
      <c r="BJ78" s="132"/>
      <c r="BK78" s="132"/>
      <c r="BL78" s="132"/>
      <c r="BM78" s="132"/>
      <c r="BN78" s="132"/>
    </row>
    <row r="79" spans="2:79" x14ac:dyDescent="0.25">
      <c r="G79" s="106"/>
      <c r="H79" s="106"/>
      <c r="I79" s="106"/>
      <c r="J79" s="106"/>
      <c r="K79" s="106"/>
      <c r="L79" s="106"/>
      <c r="M79" s="106"/>
      <c r="N79" s="106"/>
      <c r="O79" s="106"/>
      <c r="P79" s="106"/>
    </row>
    <row r="85" spans="2:2" ht="14" x14ac:dyDescent="0.3">
      <c r="B85" s="149" t="s">
        <v>152</v>
      </c>
    </row>
    <row r="86" spans="2:2" ht="14" x14ac:dyDescent="0.3">
      <c r="B86" s="28" t="s">
        <v>143</v>
      </c>
    </row>
    <row r="87" spans="2:2" ht="14" x14ac:dyDescent="0.3">
      <c r="B87" s="28" t="s">
        <v>153</v>
      </c>
    </row>
    <row r="88" spans="2:2" ht="14" x14ac:dyDescent="0.3">
      <c r="B88" s="28" t="s">
        <v>154</v>
      </c>
    </row>
    <row r="89" spans="2:2" ht="14" x14ac:dyDescent="0.3">
      <c r="B89" s="28" t="s">
        <v>142</v>
      </c>
    </row>
    <row r="90" spans="2:2" ht="14" x14ac:dyDescent="0.3">
      <c r="B90" s="28" t="s">
        <v>155</v>
      </c>
    </row>
    <row r="91" spans="2:2" ht="14" x14ac:dyDescent="0.3">
      <c r="B91" s="28" t="s">
        <v>144</v>
      </c>
    </row>
    <row r="92" spans="2:2" ht="14" x14ac:dyDescent="0.3">
      <c r="B92" s="28"/>
    </row>
    <row r="93" spans="2:2" ht="14" x14ac:dyDescent="0.3">
      <c r="B93" s="28"/>
    </row>
    <row r="94" spans="2:2" ht="14" x14ac:dyDescent="0.3">
      <c r="B94" s="28"/>
    </row>
    <row r="95" spans="2:2" ht="14" x14ac:dyDescent="0.3">
      <c r="B95" s="28"/>
    </row>
    <row r="96" spans="2:2" ht="14" x14ac:dyDescent="0.3">
      <c r="B96" s="28"/>
    </row>
  </sheetData>
  <autoFilter ref="B63:E63" xr:uid="{C9AA7D31-B8D8-407C-B661-DEF18A68B713}"/>
  <phoneticPr fontId="3" type="noConversion"/>
  <conditionalFormatting sqref="E47">
    <cfRule type="expression" dxfId="428" priority="7">
      <formula>$E$47&lt;0</formula>
    </cfRule>
  </conditionalFormatting>
  <conditionalFormatting sqref="E48">
    <cfRule type="expression" dxfId="427" priority="5">
      <formula>$E$48&lt;0</formula>
    </cfRule>
  </conditionalFormatting>
  <conditionalFormatting sqref="G7">
    <cfRule type="expression" dxfId="426" priority="155">
      <formula>$G$7="Fin"</formula>
    </cfRule>
    <cfRule type="expression" dxfId="425" priority="156">
      <formula>$G$7="Prev"</formula>
    </cfRule>
    <cfRule type="expression" dxfId="424" priority="157">
      <formula>$G$7="Real"</formula>
    </cfRule>
  </conditionalFormatting>
  <conditionalFormatting sqref="G10:G39">
    <cfRule type="expression" dxfId="423" priority="95">
      <formula>$G$7="Fin"</formula>
    </cfRule>
    <cfRule type="expression" dxfId="422" priority="97">
      <formula>$G$7="Real"</formula>
    </cfRule>
    <cfRule type="expression" dxfId="421" priority="96">
      <formula>$G$7="Prev"</formula>
    </cfRule>
  </conditionalFormatting>
  <conditionalFormatting sqref="H7">
    <cfRule type="expression" dxfId="420" priority="158">
      <formula>$H$7="Fin"</formula>
    </cfRule>
    <cfRule type="expression" dxfId="419" priority="159">
      <formula>$H$7="Prev"</formula>
    </cfRule>
    <cfRule type="expression" dxfId="418" priority="160">
      <formula>$H$7="Real"</formula>
    </cfRule>
  </conditionalFormatting>
  <conditionalFormatting sqref="H10:H39">
    <cfRule type="expression" dxfId="417" priority="92">
      <formula>$H$7="Fin"</formula>
    </cfRule>
    <cfRule type="expression" dxfId="416" priority="93">
      <formula>$H$7="Prev"</formula>
    </cfRule>
    <cfRule type="expression" dxfId="415" priority="94">
      <formula>$H$7="Real"</formula>
    </cfRule>
  </conditionalFormatting>
  <conditionalFormatting sqref="I5">
    <cfRule type="expression" dxfId="414" priority="9">
      <formula>$I$5&lt;0</formula>
    </cfRule>
  </conditionalFormatting>
  <conditionalFormatting sqref="I7">
    <cfRule type="expression" dxfId="413" priority="163">
      <formula>$I$7="Real"</formula>
    </cfRule>
    <cfRule type="expression" dxfId="412" priority="161">
      <formula>$I$7="Fin"</formula>
    </cfRule>
    <cfRule type="expression" dxfId="411" priority="162">
      <formula>$I$7="Prev"</formula>
    </cfRule>
  </conditionalFormatting>
  <conditionalFormatting sqref="I10:I39">
    <cfRule type="expression" dxfId="410" priority="86">
      <formula>$I$7="Fin"</formula>
    </cfRule>
    <cfRule type="expression" dxfId="409" priority="88">
      <formula>$I$7="Real"</formula>
    </cfRule>
    <cfRule type="expression" dxfId="408" priority="87">
      <formula>$I$7="Prev"</formula>
    </cfRule>
  </conditionalFormatting>
  <conditionalFormatting sqref="I50">
    <cfRule type="expression" dxfId="407" priority="8">
      <formula>$I$50&lt;0</formula>
    </cfRule>
  </conditionalFormatting>
  <conditionalFormatting sqref="I61">
    <cfRule type="expression" dxfId="406" priority="4">
      <formula>$I$61&lt;0</formula>
    </cfRule>
  </conditionalFormatting>
  <conditionalFormatting sqref="J7">
    <cfRule type="expression" dxfId="405" priority="165">
      <formula>$J$7="Prev"</formula>
    </cfRule>
    <cfRule type="expression" dxfId="404" priority="164">
      <formula>$J$7="Fin"</formula>
    </cfRule>
    <cfRule type="expression" dxfId="403" priority="166">
      <formula>$J$7="Real"</formula>
    </cfRule>
  </conditionalFormatting>
  <conditionalFormatting sqref="J10:J39">
    <cfRule type="expression" dxfId="402" priority="85">
      <formula>$J$7="Real"</formula>
    </cfRule>
    <cfRule type="expression" dxfId="401" priority="84">
      <formula>$J$7="Prev"</formula>
    </cfRule>
    <cfRule type="expression" dxfId="400" priority="83">
      <formula>$J$7="Fin"</formula>
    </cfRule>
  </conditionalFormatting>
  <conditionalFormatting sqref="K7">
    <cfRule type="expression" dxfId="399" priority="169">
      <formula>$K$7="Real"</formula>
    </cfRule>
    <cfRule type="expression" dxfId="398" priority="167">
      <formula>$K$7="Fin"</formula>
    </cfRule>
    <cfRule type="expression" dxfId="397" priority="168">
      <formula>$K$7="Prev"</formula>
    </cfRule>
  </conditionalFormatting>
  <conditionalFormatting sqref="K10:K39">
    <cfRule type="expression" dxfId="396" priority="80">
      <formula>$K$7="Fin"</formula>
    </cfRule>
    <cfRule type="expression" dxfId="395" priority="81">
      <formula>$K$7="Prev"</formula>
    </cfRule>
    <cfRule type="expression" dxfId="394" priority="82">
      <formula>$K$7="Real"</formula>
    </cfRule>
  </conditionalFormatting>
  <conditionalFormatting sqref="K5:P5">
    <cfRule type="expression" dxfId="393" priority="19">
      <formula>$I$5&gt;=0</formula>
    </cfRule>
  </conditionalFormatting>
  <conditionalFormatting sqref="K50:P50">
    <cfRule type="expression" dxfId="392" priority="17">
      <formula>$I$50&gt;=0</formula>
    </cfRule>
  </conditionalFormatting>
  <conditionalFormatting sqref="K61:P61">
    <cfRule type="expression" dxfId="391" priority="16">
      <formula>$I$61&gt;=0</formula>
    </cfRule>
  </conditionalFormatting>
  <conditionalFormatting sqref="L7">
    <cfRule type="expression" dxfId="390" priority="154">
      <formula>$L$7="Real"</formula>
    </cfRule>
    <cfRule type="expression" dxfId="389" priority="153">
      <formula>$L$7="Prev"</formula>
    </cfRule>
    <cfRule type="expression" dxfId="388" priority="152">
      <formula>$L$7="Fin"</formula>
    </cfRule>
  </conditionalFormatting>
  <conditionalFormatting sqref="L10:L39">
    <cfRule type="expression" dxfId="387" priority="77">
      <formula>$L$7="Fin"</formula>
    </cfRule>
    <cfRule type="expression" dxfId="386" priority="79">
      <formula>$L$7="Real"</formula>
    </cfRule>
    <cfRule type="expression" dxfId="385" priority="78">
      <formula>$L$7="Prev"</formula>
    </cfRule>
  </conditionalFormatting>
  <conditionalFormatting sqref="M7">
    <cfRule type="expression" dxfId="384" priority="151">
      <formula>$M$7="Real"</formula>
    </cfRule>
    <cfRule type="expression" dxfId="383" priority="149">
      <formula>$M$7="Fin"</formula>
    </cfRule>
    <cfRule type="expression" dxfId="382" priority="150">
      <formula>$M$7="Prev"</formula>
    </cfRule>
  </conditionalFormatting>
  <conditionalFormatting sqref="M10:M39">
    <cfRule type="expression" dxfId="381" priority="76">
      <formula>$M$7="Real"</formula>
    </cfRule>
    <cfRule type="expression" dxfId="380" priority="75">
      <formula>$M$7="Prev"</formula>
    </cfRule>
    <cfRule type="expression" dxfId="379" priority="74">
      <formula>$M$7="Fin"</formula>
    </cfRule>
  </conditionalFormatting>
  <conditionalFormatting sqref="N7">
    <cfRule type="expression" dxfId="378" priority="148">
      <formula>$N$7="Real"</formula>
    </cfRule>
    <cfRule type="expression" dxfId="377" priority="146">
      <formula>$N$7="Fin"</formula>
    </cfRule>
    <cfRule type="expression" dxfId="376" priority="147">
      <formula>$N$7="Prev"</formula>
    </cfRule>
  </conditionalFormatting>
  <conditionalFormatting sqref="N10:N39">
    <cfRule type="expression" dxfId="375" priority="73">
      <formula>$N$7="Real"</formula>
    </cfRule>
    <cfRule type="expression" dxfId="374" priority="72">
      <formula>$N$7="Prev"</formula>
    </cfRule>
    <cfRule type="expression" dxfId="373" priority="71">
      <formula>$N$7="Fin"</formula>
    </cfRule>
  </conditionalFormatting>
  <conditionalFormatting sqref="O7">
    <cfRule type="expression" dxfId="372" priority="145">
      <formula>$O$7="Real"</formula>
    </cfRule>
    <cfRule type="expression" dxfId="371" priority="144">
      <formula>$O$7="Prev"</formula>
    </cfRule>
    <cfRule type="expression" dxfId="370" priority="143">
      <formula>$O$7="Fin"</formula>
    </cfRule>
  </conditionalFormatting>
  <conditionalFormatting sqref="O10:O39">
    <cfRule type="expression" dxfId="369" priority="68">
      <formula>$O$7="Fin"</formula>
    </cfRule>
    <cfRule type="expression" dxfId="368" priority="70">
      <formula>$O$7="Real"</formula>
    </cfRule>
    <cfRule type="expression" dxfId="367" priority="69">
      <formula>$O$7="Prev"</formula>
    </cfRule>
  </conditionalFormatting>
  <conditionalFormatting sqref="P7">
    <cfRule type="expression" dxfId="366" priority="142">
      <formula>$P$7="Real"</formula>
    </cfRule>
    <cfRule type="expression" dxfId="365" priority="141">
      <formula>$P$7="Prev"</formula>
    </cfRule>
    <cfRule type="expression" dxfId="364" priority="140">
      <formula>$P$7="Fin"</formula>
    </cfRule>
  </conditionalFormatting>
  <conditionalFormatting sqref="P10:P39">
    <cfRule type="expression" dxfId="363" priority="67">
      <formula>$P$7="Real"</formula>
    </cfRule>
    <cfRule type="expression" dxfId="362" priority="66">
      <formula>$P$7="Prev"</formula>
    </cfRule>
    <cfRule type="expression" dxfId="361" priority="65">
      <formula>$P$7="Fin"</formula>
    </cfRule>
  </conditionalFormatting>
  <conditionalFormatting sqref="Q7">
    <cfRule type="expression" dxfId="360" priority="139">
      <formula>$Q$7="Real"</formula>
    </cfRule>
    <cfRule type="expression" dxfId="359" priority="138">
      <formula>$Q$7="Prev"</formula>
    </cfRule>
    <cfRule type="expression" dxfId="358" priority="137">
      <formula>$Q$7="Fin"</formula>
    </cfRule>
  </conditionalFormatting>
  <conditionalFormatting sqref="Q10:Q39">
    <cfRule type="expression" dxfId="357" priority="64">
      <formula>$Q$7="Real"</formula>
    </cfRule>
    <cfRule type="expression" dxfId="356" priority="63">
      <formula>$Q$7="Prev"</formula>
    </cfRule>
    <cfRule type="expression" dxfId="355" priority="62">
      <formula>$Q$7="Fin"</formula>
    </cfRule>
  </conditionalFormatting>
  <conditionalFormatting sqref="R7">
    <cfRule type="expression" dxfId="354" priority="136">
      <formula>$R$7="Real"</formula>
    </cfRule>
    <cfRule type="expression" dxfId="353" priority="135">
      <formula>$R$7="Prev"</formula>
    </cfRule>
    <cfRule type="expression" dxfId="352" priority="134">
      <formula>$R$7="Fin"</formula>
    </cfRule>
  </conditionalFormatting>
  <conditionalFormatting sqref="R10:R39">
    <cfRule type="expression" dxfId="351" priority="61">
      <formula>$R$7="Real"</formula>
    </cfRule>
    <cfRule type="expression" dxfId="350" priority="59">
      <formula>$R$7="Fin"</formula>
    </cfRule>
    <cfRule type="expression" dxfId="349" priority="60">
      <formula>$R$7="Prev"</formula>
    </cfRule>
  </conditionalFormatting>
  <conditionalFormatting sqref="S7">
    <cfRule type="expression" dxfId="348" priority="133">
      <formula>$S$7="Real"</formula>
    </cfRule>
    <cfRule type="expression" dxfId="347" priority="132">
      <formula>$S$7="Prev"</formula>
    </cfRule>
    <cfRule type="expression" dxfId="346" priority="131">
      <formula>$S$7="Fin"</formula>
    </cfRule>
  </conditionalFormatting>
  <conditionalFormatting sqref="S10:S39">
    <cfRule type="expression" dxfId="345" priority="56">
      <formula>$S$7="Fin"</formula>
    </cfRule>
    <cfRule type="expression" dxfId="344" priority="57">
      <formula>$S$7="Prev"</formula>
    </cfRule>
    <cfRule type="expression" dxfId="343" priority="58">
      <formula>$S$7="Real"</formula>
    </cfRule>
  </conditionalFormatting>
  <conditionalFormatting sqref="T7">
    <cfRule type="expression" dxfId="342" priority="130">
      <formula>$T$7="Real"</formula>
    </cfRule>
    <cfRule type="expression" dxfId="341" priority="129">
      <formula>$T$7="Prev"</formula>
    </cfRule>
    <cfRule type="expression" dxfId="340" priority="128">
      <formula>$T$7="Fin"</formula>
    </cfRule>
  </conditionalFormatting>
  <conditionalFormatting sqref="T10:T39">
    <cfRule type="expression" dxfId="339" priority="53">
      <formula>$T$7="Fin"</formula>
    </cfRule>
    <cfRule type="expression" dxfId="338" priority="54">
      <formula>$T$7="Prev"</formula>
    </cfRule>
    <cfRule type="expression" dxfId="337" priority="55">
      <formula>$T$7="Real"</formula>
    </cfRule>
  </conditionalFormatting>
  <conditionalFormatting sqref="U7">
    <cfRule type="expression" dxfId="336" priority="125">
      <formula>$U$7="Fin"</formula>
    </cfRule>
    <cfRule type="expression" dxfId="335" priority="126">
      <formula>$U$7="Prev"</formula>
    </cfRule>
    <cfRule type="expression" dxfId="334" priority="127">
      <formula>$U$7="Real"</formula>
    </cfRule>
  </conditionalFormatting>
  <conditionalFormatting sqref="U10:U39">
    <cfRule type="expression" dxfId="333" priority="51">
      <formula>$U$7="Prev"</formula>
    </cfRule>
    <cfRule type="expression" dxfId="332" priority="52">
      <formula>$U$7="Real"</formula>
    </cfRule>
    <cfRule type="expression" dxfId="331" priority="50">
      <formula>$U$7="Fin"</formula>
    </cfRule>
  </conditionalFormatting>
  <conditionalFormatting sqref="V7">
    <cfRule type="expression" dxfId="330" priority="124">
      <formula>$V$7="Real"</formula>
    </cfRule>
    <cfRule type="expression" dxfId="329" priority="123">
      <formula>$V$7="Prev"</formula>
    </cfRule>
    <cfRule type="expression" dxfId="328" priority="122">
      <formula>$V$7="Fin"</formula>
    </cfRule>
  </conditionalFormatting>
  <conditionalFormatting sqref="V10:V39">
    <cfRule type="expression" dxfId="327" priority="47">
      <formula>$V$7="Fin"</formula>
    </cfRule>
    <cfRule type="expression" dxfId="326" priority="48">
      <formula>$V$7="Prev"</formula>
    </cfRule>
    <cfRule type="expression" dxfId="325" priority="49">
      <formula>$V$7="Real"</formula>
    </cfRule>
  </conditionalFormatting>
  <conditionalFormatting sqref="W7">
    <cfRule type="expression" dxfId="324" priority="121">
      <formula>$W$7="Real"</formula>
    </cfRule>
    <cfRule type="expression" dxfId="323" priority="120">
      <formula>$W$7="Prev"</formula>
    </cfRule>
    <cfRule type="expression" dxfId="322" priority="119">
      <formula>$W$7="Fin"</formula>
    </cfRule>
  </conditionalFormatting>
  <conditionalFormatting sqref="W10:W39">
    <cfRule type="expression" dxfId="321" priority="44">
      <formula>$W$7="Fin"</formula>
    </cfRule>
    <cfRule type="expression" dxfId="320" priority="46">
      <formula>$W$7="Real"</formula>
    </cfRule>
    <cfRule type="expression" dxfId="319" priority="45">
      <formula>$W$7="Prev"</formula>
    </cfRule>
  </conditionalFormatting>
  <conditionalFormatting sqref="X7">
    <cfRule type="expression" dxfId="318" priority="118">
      <formula>$X$7="Real"</formula>
    </cfRule>
    <cfRule type="expression" dxfId="317" priority="117">
      <formula>$X$7="Prev"</formula>
    </cfRule>
    <cfRule type="expression" dxfId="316" priority="116">
      <formula>$X$7="Fin"</formula>
    </cfRule>
  </conditionalFormatting>
  <conditionalFormatting sqref="X10:X39">
    <cfRule type="expression" dxfId="315" priority="42">
      <formula>$X$7="Prev"</formula>
    </cfRule>
    <cfRule type="expression" dxfId="314" priority="41">
      <formula>$X$7="Fin"</formula>
    </cfRule>
    <cfRule type="expression" dxfId="313" priority="43">
      <formula>$X$7="Real"</formula>
    </cfRule>
  </conditionalFormatting>
  <conditionalFormatting sqref="Y7">
    <cfRule type="expression" dxfId="312" priority="114">
      <formula>$Y$7="Prev"</formula>
    </cfRule>
    <cfRule type="expression" dxfId="311" priority="115">
      <formula>$Y$7="Real"</formula>
    </cfRule>
    <cfRule type="expression" dxfId="310" priority="113">
      <formula>$Y$7="Fin"</formula>
    </cfRule>
  </conditionalFormatting>
  <conditionalFormatting sqref="Y10:Y39">
    <cfRule type="expression" dxfId="309" priority="38">
      <formula>$Y$7="Fin"</formula>
    </cfRule>
    <cfRule type="expression" dxfId="308" priority="39">
      <formula>$Y$7="Prev"</formula>
    </cfRule>
    <cfRule type="expression" dxfId="307" priority="40">
      <formula>$Y$7="Real"</formula>
    </cfRule>
  </conditionalFormatting>
  <conditionalFormatting sqref="Z7">
    <cfRule type="expression" dxfId="306" priority="112">
      <formula>$Z$7="Real"</formula>
    </cfRule>
    <cfRule type="expression" dxfId="305" priority="111">
      <formula>$Z$7="Prev"</formula>
    </cfRule>
    <cfRule type="expression" dxfId="304" priority="110">
      <formula>$Z$7="Fin"</formula>
    </cfRule>
  </conditionalFormatting>
  <conditionalFormatting sqref="Z10:Z39">
    <cfRule type="expression" dxfId="303" priority="35">
      <formula>$Z$7="Fin"</formula>
    </cfRule>
    <cfRule type="expression" dxfId="302" priority="37">
      <formula>$Z$7="Real"</formula>
    </cfRule>
    <cfRule type="expression" dxfId="301" priority="36">
      <formula>$Z$7="Prev"</formula>
    </cfRule>
  </conditionalFormatting>
  <conditionalFormatting sqref="AA7">
    <cfRule type="expression" dxfId="300" priority="109">
      <formula>$AA$7="Real"</formula>
    </cfRule>
    <cfRule type="expression" dxfId="299" priority="108">
      <formula>$AA$7="Prev"</formula>
    </cfRule>
    <cfRule type="expression" dxfId="298" priority="107">
      <formula>$AA$7="Fin"</formula>
    </cfRule>
  </conditionalFormatting>
  <conditionalFormatting sqref="AA10:AA39">
    <cfRule type="expression" dxfId="297" priority="34">
      <formula>$AA$7="Real"</formula>
    </cfRule>
    <cfRule type="expression" dxfId="296" priority="33">
      <formula>$AA$7="Prev"</formula>
    </cfRule>
    <cfRule type="expression" dxfId="295" priority="32">
      <formula>$AA$7="Fin"</formula>
    </cfRule>
  </conditionalFormatting>
  <conditionalFormatting sqref="AB7">
    <cfRule type="expression" dxfId="294" priority="106">
      <formula>$AB$7="Real"</formula>
    </cfRule>
    <cfRule type="expression" dxfId="293" priority="105">
      <formula>$AB$7="Prev"</formula>
    </cfRule>
    <cfRule type="expression" dxfId="292" priority="104">
      <formula>$AB$7="Fin"</formula>
    </cfRule>
  </conditionalFormatting>
  <conditionalFormatting sqref="AB10:AB39">
    <cfRule type="expression" dxfId="291" priority="31">
      <formula>$AB$7="Real"</formula>
    </cfRule>
    <cfRule type="expression" dxfId="290" priority="30">
      <formula>$AB$7="Prev"</formula>
    </cfRule>
    <cfRule type="expression" dxfId="289" priority="29">
      <formula>$AB$7="Fin"</formula>
    </cfRule>
  </conditionalFormatting>
  <conditionalFormatting sqref="AC7">
    <cfRule type="expression" dxfId="288" priority="103">
      <formula>$AC$7="Real"</formula>
    </cfRule>
    <cfRule type="expression" dxfId="287" priority="102">
      <formula>$AC$7="Prev"</formula>
    </cfRule>
    <cfRule type="expression" dxfId="286" priority="101">
      <formula>$AC$7="Fin"</formula>
    </cfRule>
  </conditionalFormatting>
  <conditionalFormatting sqref="AC10:AC39">
    <cfRule type="expression" dxfId="285" priority="15">
      <formula>$AC$7="Fin"</formula>
    </cfRule>
    <cfRule type="expression" dxfId="284" priority="14">
      <formula>$AC$7="Prev"</formula>
    </cfRule>
    <cfRule type="expression" dxfId="283" priority="13">
      <formula>$AC$7="Real"</formula>
    </cfRule>
  </conditionalFormatting>
  <conditionalFormatting sqref="AD7:BN7">
    <cfRule type="expression" dxfId="282" priority="10">
      <formula>$AD$7="Fin"</formula>
    </cfRule>
    <cfRule type="expression" dxfId="281" priority="12">
      <formula>$AD$7="Real"</formula>
    </cfRule>
    <cfRule type="expression" dxfId="280" priority="11">
      <formula>$AD$7="Prev"</formula>
    </cfRule>
  </conditionalFormatting>
  <conditionalFormatting sqref="AD10:BN39">
    <cfRule type="expression" dxfId="279" priority="27">
      <formula>$AD$7="Prev"</formula>
    </cfRule>
    <cfRule type="expression" dxfId="278" priority="28">
      <formula>$AD$7="Real"</formula>
    </cfRule>
    <cfRule type="expression" dxfId="277" priority="26">
      <formula>$AD$7="Fin"</formula>
    </cfRule>
  </conditionalFormatting>
  <dataValidations count="1">
    <dataValidation type="list" allowBlank="1" showInputMessage="1" showErrorMessage="1" sqref="B53:B58" xr:uid="{051D3A3F-286D-45E9-91C2-768AFCB58707}">
      <formula1>$B$86:$B$92</formula1>
    </dataValidation>
  </dataValidations>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V1" zoomScale="70" zoomScaleNormal="70" workbookViewId="0">
      <selection activeCell="AC1" sqref="AC1:BK1048576"/>
    </sheetView>
  </sheetViews>
  <sheetFormatPr baseColWidth="10" defaultColWidth="9.1796875" defaultRowHeight="13.5" outlineLevelRow="1" x14ac:dyDescent="0.3"/>
  <cols>
    <col min="1" max="1" width="4" style="28" customWidth="1"/>
    <col min="2" max="2" width="21.453125" style="28" customWidth="1"/>
    <col min="3" max="3" width="29" style="28" customWidth="1"/>
    <col min="4" max="4" width="18.1796875" style="63" customWidth="1"/>
    <col min="5" max="64" width="16.7265625" style="28" customWidth="1"/>
    <col min="65" max="65" width="11.26953125" style="28" customWidth="1"/>
    <col min="66" max="16384" width="9.1796875" style="28"/>
  </cols>
  <sheetData>
    <row r="1" spans="2:77" ht="14.5" x14ac:dyDescent="0.35">
      <c r="E1"/>
    </row>
    <row r="2" spans="2:77" ht="21" customHeight="1" x14ac:dyDescent="0.3">
      <c r="B2" s="26" t="s">
        <v>5</v>
      </c>
      <c r="C2" s="27" t="str">
        <f>'Project Infor'!C10</f>
        <v>ZEV-PCE0012-1001</v>
      </c>
      <c r="D2" s="102" t="str">
        <f>'Project Infor'!C11</f>
        <v>Smart Airport en la nueva terminal de Puerto Vallarta</v>
      </c>
      <c r="E2" s="103"/>
      <c r="F2" s="103"/>
      <c r="G2" s="103"/>
      <c r="H2" s="103"/>
      <c r="I2" s="103"/>
      <c r="J2" s="103"/>
      <c r="K2" s="103"/>
    </row>
    <row r="3" spans="2:77" ht="6" customHeight="1" x14ac:dyDescent="0.3">
      <c r="B3" s="29"/>
      <c r="C3" s="29"/>
      <c r="D3" s="150"/>
      <c r="E3" s="29"/>
      <c r="F3" s="29"/>
    </row>
    <row r="4" spans="2:77" ht="20.149999999999999" customHeight="1" x14ac:dyDescent="0.3">
      <c r="B4" s="31"/>
      <c r="C4" s="31"/>
      <c r="D4" s="151"/>
      <c r="E4" s="152" t="str">
        <f t="shared" ref="E4:BL4" si="0">IF(E5&gt;EOMONTH(FIN,0),"Fin",IF(E5&gt;FECHA,"Prev","Real"))</f>
        <v>Prev</v>
      </c>
      <c r="F4" s="152" t="str">
        <f t="shared" si="0"/>
        <v>Prev</v>
      </c>
      <c r="G4" s="152" t="str">
        <f>IF(G5&gt;EOMONTH(FIN,0),"Fin",IF(G5&gt;FECHA,"Prev","Real"))</f>
        <v>Prev</v>
      </c>
      <c r="H4" s="152" t="str">
        <f t="shared" si="0"/>
        <v>Prev</v>
      </c>
      <c r="I4" s="152" t="str">
        <f>IF(I5&gt;EOMONTH(FIN,0),"Fin",IF(I5&gt;FECHA,"Prev","Real"))</f>
        <v>Prev</v>
      </c>
      <c r="J4" s="152" t="str">
        <f t="shared" si="0"/>
        <v>Prev</v>
      </c>
      <c r="K4" s="152" t="str">
        <f t="shared" si="0"/>
        <v>Prev</v>
      </c>
      <c r="L4" s="152" t="str">
        <f t="shared" si="0"/>
        <v>Prev</v>
      </c>
      <c r="M4" s="152" t="str">
        <f t="shared" si="0"/>
        <v>Prev</v>
      </c>
      <c r="N4" s="152" t="str">
        <f t="shared" si="0"/>
        <v>Prev</v>
      </c>
      <c r="O4" s="152" t="str">
        <f t="shared" si="0"/>
        <v>Prev</v>
      </c>
      <c r="P4" s="152" t="str">
        <f t="shared" si="0"/>
        <v>Prev</v>
      </c>
      <c r="Q4" s="152" t="str">
        <f t="shared" si="0"/>
        <v>Fin</v>
      </c>
      <c r="R4" s="152" t="str">
        <f t="shared" si="0"/>
        <v>Fin</v>
      </c>
      <c r="S4" s="152" t="str">
        <f t="shared" si="0"/>
        <v>Fin</v>
      </c>
      <c r="T4" s="152" t="str">
        <f t="shared" si="0"/>
        <v>Fin</v>
      </c>
      <c r="U4" s="152" t="str">
        <f t="shared" si="0"/>
        <v>Fin</v>
      </c>
      <c r="V4" s="152" t="str">
        <f t="shared" si="0"/>
        <v>Fin</v>
      </c>
      <c r="W4" s="152" t="str">
        <f t="shared" si="0"/>
        <v>Fin</v>
      </c>
      <c r="X4" s="152" t="str">
        <f>IF(X5&gt;EOMONTH(FIN,0),"Fin",IF(X5&gt;FECHA,"Prev","Real"))</f>
        <v>Fin</v>
      </c>
      <c r="Y4" s="152" t="str">
        <f t="shared" si="0"/>
        <v>Fin</v>
      </c>
      <c r="Z4" s="152" t="str">
        <f t="shared" si="0"/>
        <v>Fin</v>
      </c>
      <c r="AA4" s="152" t="str">
        <f t="shared" si="0"/>
        <v>Fin</v>
      </c>
      <c r="AB4" s="152" t="str">
        <f t="shared" si="0"/>
        <v>Fin</v>
      </c>
      <c r="AC4" s="152" t="str">
        <f t="shared" si="0"/>
        <v>Fin</v>
      </c>
      <c r="AD4" s="152" t="str">
        <f t="shared" si="0"/>
        <v>Fin</v>
      </c>
      <c r="AE4" s="152" t="str">
        <f t="shared" si="0"/>
        <v>Fin</v>
      </c>
      <c r="AF4" s="152" t="str">
        <f t="shared" si="0"/>
        <v>Fin</v>
      </c>
      <c r="AG4" s="152" t="str">
        <f t="shared" si="0"/>
        <v>Fin</v>
      </c>
      <c r="AH4" s="152" t="str">
        <f t="shared" si="0"/>
        <v>Fin</v>
      </c>
      <c r="AI4" s="152" t="str">
        <f t="shared" si="0"/>
        <v>Fin</v>
      </c>
      <c r="AJ4" s="152" t="str">
        <f t="shared" si="0"/>
        <v>Fin</v>
      </c>
      <c r="AK4" s="152" t="str">
        <f t="shared" si="0"/>
        <v>Fin</v>
      </c>
      <c r="AL4" s="152" t="str">
        <f t="shared" si="0"/>
        <v>Fin</v>
      </c>
      <c r="AM4" s="152" t="str">
        <f t="shared" si="0"/>
        <v>Fin</v>
      </c>
      <c r="AN4" s="152" t="str">
        <f t="shared" si="0"/>
        <v>Fin</v>
      </c>
      <c r="AO4" s="152" t="str">
        <f t="shared" si="0"/>
        <v>Fin</v>
      </c>
      <c r="AP4" s="152" t="str">
        <f t="shared" si="0"/>
        <v>Fin</v>
      </c>
      <c r="AQ4" s="152" t="str">
        <f t="shared" si="0"/>
        <v>Fin</v>
      </c>
      <c r="AR4" s="152" t="str">
        <f t="shared" si="0"/>
        <v>Fin</v>
      </c>
      <c r="AS4" s="152" t="str">
        <f t="shared" si="0"/>
        <v>Fin</v>
      </c>
      <c r="AT4" s="152" t="str">
        <f t="shared" si="0"/>
        <v>Fin</v>
      </c>
      <c r="AU4" s="152" t="str">
        <f t="shared" si="0"/>
        <v>Fin</v>
      </c>
      <c r="AV4" s="152" t="str">
        <f t="shared" si="0"/>
        <v>Fin</v>
      </c>
      <c r="AW4" s="152" t="str">
        <f t="shared" si="0"/>
        <v>Fin</v>
      </c>
      <c r="AX4" s="152" t="str">
        <f t="shared" si="0"/>
        <v>Fin</v>
      </c>
      <c r="AY4" s="152" t="str">
        <f t="shared" si="0"/>
        <v>Fin</v>
      </c>
      <c r="AZ4" s="152" t="str">
        <f t="shared" si="0"/>
        <v>Fin</v>
      </c>
      <c r="BA4" s="152" t="str">
        <f t="shared" si="0"/>
        <v>Fin</v>
      </c>
      <c r="BB4" s="152" t="str">
        <f t="shared" si="0"/>
        <v>Fin</v>
      </c>
      <c r="BC4" s="152" t="str">
        <f t="shared" si="0"/>
        <v>Fin</v>
      </c>
      <c r="BD4" s="152" t="str">
        <f t="shared" si="0"/>
        <v>Fin</v>
      </c>
      <c r="BE4" s="152" t="str">
        <f t="shared" si="0"/>
        <v>Fin</v>
      </c>
      <c r="BF4" s="152" t="str">
        <f t="shared" si="0"/>
        <v>Fin</v>
      </c>
      <c r="BG4" s="152" t="str">
        <f t="shared" si="0"/>
        <v>Fin</v>
      </c>
      <c r="BH4" s="152" t="str">
        <f t="shared" si="0"/>
        <v>Fin</v>
      </c>
      <c r="BI4" s="152" t="str">
        <f t="shared" si="0"/>
        <v>Fin</v>
      </c>
      <c r="BJ4" s="152" t="str">
        <f t="shared" si="0"/>
        <v>Fin</v>
      </c>
      <c r="BK4" s="152" t="str">
        <f t="shared" si="0"/>
        <v>Fin</v>
      </c>
      <c r="BL4" s="152" t="str">
        <f t="shared" si="0"/>
        <v>Fin</v>
      </c>
    </row>
    <row r="5" spans="2:77" s="93" customFormat="1" ht="25" customHeight="1" x14ac:dyDescent="0.3">
      <c r="B5" s="239" t="s">
        <v>156</v>
      </c>
      <c r="C5" s="239"/>
      <c r="D5" s="153" t="s">
        <v>157</v>
      </c>
      <c r="E5" s="154">
        <v>45962</v>
      </c>
      <c r="F5" s="154">
        <v>45992</v>
      </c>
      <c r="G5" s="154">
        <v>46023</v>
      </c>
      <c r="H5" s="154">
        <v>46054</v>
      </c>
      <c r="I5" s="154">
        <v>46082</v>
      </c>
      <c r="J5" s="154">
        <v>46113</v>
      </c>
      <c r="K5" s="154">
        <v>46143</v>
      </c>
      <c r="L5" s="155">
        <v>46174</v>
      </c>
      <c r="M5" s="155">
        <v>46204</v>
      </c>
      <c r="N5" s="154">
        <v>46235</v>
      </c>
      <c r="O5" s="156">
        <v>46266</v>
      </c>
      <c r="P5" s="156">
        <v>46296</v>
      </c>
      <c r="Q5" s="156">
        <f t="shared" ref="Q5:AA5" si="1">EOMONTH(P5,1)</f>
        <v>46356</v>
      </c>
      <c r="R5" s="156">
        <f t="shared" si="1"/>
        <v>46387</v>
      </c>
      <c r="S5" s="156">
        <f t="shared" si="1"/>
        <v>46418</v>
      </c>
      <c r="T5" s="156">
        <f t="shared" si="1"/>
        <v>46446</v>
      </c>
      <c r="U5" s="156">
        <f t="shared" si="1"/>
        <v>46477</v>
      </c>
      <c r="V5" s="156">
        <f t="shared" si="1"/>
        <v>46507</v>
      </c>
      <c r="W5" s="156">
        <f t="shared" si="1"/>
        <v>46538</v>
      </c>
      <c r="X5" s="156">
        <f t="shared" si="1"/>
        <v>46568</v>
      </c>
      <c r="Y5" s="156">
        <f t="shared" si="1"/>
        <v>46599</v>
      </c>
      <c r="Z5" s="156">
        <f t="shared" si="1"/>
        <v>46630</v>
      </c>
      <c r="AA5" s="156">
        <f t="shared" si="1"/>
        <v>46660</v>
      </c>
      <c r="AB5" s="156">
        <f t="shared" ref="AB5" si="2">EOMONTH(AA5,1)</f>
        <v>46691</v>
      </c>
      <c r="AC5" s="156">
        <f t="shared" ref="AC5" si="3">EOMONTH(AB5,1)</f>
        <v>46721</v>
      </c>
      <c r="AD5" s="156">
        <f t="shared" ref="AD5" si="4">EOMONTH(AC5,1)</f>
        <v>46752</v>
      </c>
      <c r="AE5" s="156">
        <f t="shared" ref="AE5" si="5">EOMONTH(AD5,1)</f>
        <v>46783</v>
      </c>
      <c r="AF5" s="156">
        <f t="shared" ref="AF5" si="6">EOMONTH(AE5,1)</f>
        <v>46812</v>
      </c>
      <c r="AG5" s="156">
        <f t="shared" ref="AG5" si="7">EOMONTH(AF5,1)</f>
        <v>46843</v>
      </c>
      <c r="AH5" s="156">
        <f t="shared" ref="AH5" si="8">EOMONTH(AG5,1)</f>
        <v>46873</v>
      </c>
      <c r="AI5" s="156">
        <f t="shared" ref="AI5" si="9">EOMONTH(AH5,1)</f>
        <v>46904</v>
      </c>
      <c r="AJ5" s="156">
        <f t="shared" ref="AJ5" si="10">EOMONTH(AI5,1)</f>
        <v>46934</v>
      </c>
      <c r="AK5" s="156">
        <f t="shared" ref="AK5" si="11">EOMONTH(AJ5,1)</f>
        <v>46965</v>
      </c>
      <c r="AL5" s="156">
        <f t="shared" ref="AL5" si="12">EOMONTH(AK5,1)</f>
        <v>46996</v>
      </c>
      <c r="AM5" s="156">
        <f t="shared" ref="AM5" si="13">EOMONTH(AL5,1)</f>
        <v>47026</v>
      </c>
      <c r="AN5" s="156">
        <f t="shared" ref="AN5" si="14">EOMONTH(AM5,1)</f>
        <v>47057</v>
      </c>
      <c r="AO5" s="156">
        <f t="shared" ref="AO5" si="15">EOMONTH(AN5,1)</f>
        <v>47087</v>
      </c>
      <c r="AP5" s="156">
        <f t="shared" ref="AP5" si="16">EOMONTH(AO5,1)</f>
        <v>47118</v>
      </c>
      <c r="AQ5" s="156">
        <f t="shared" ref="AQ5" si="17">EOMONTH(AP5,1)</f>
        <v>47149</v>
      </c>
      <c r="AR5" s="156">
        <f t="shared" ref="AR5" si="18">EOMONTH(AQ5,1)</f>
        <v>47177</v>
      </c>
      <c r="AS5" s="156">
        <f t="shared" ref="AS5" si="19">EOMONTH(AR5,1)</f>
        <v>47208</v>
      </c>
      <c r="AT5" s="156">
        <f t="shared" ref="AT5" si="20">EOMONTH(AS5,1)</f>
        <v>47238</v>
      </c>
      <c r="AU5" s="156">
        <f t="shared" ref="AU5" si="21">EOMONTH(AT5,1)</f>
        <v>47269</v>
      </c>
      <c r="AV5" s="156">
        <f t="shared" ref="AV5" si="22">EOMONTH(AU5,1)</f>
        <v>47299</v>
      </c>
      <c r="AW5" s="156">
        <f t="shared" ref="AW5" si="23">EOMONTH(AV5,1)</f>
        <v>47330</v>
      </c>
      <c r="AX5" s="156">
        <f t="shared" ref="AX5" si="24">EOMONTH(AW5,1)</f>
        <v>47361</v>
      </c>
      <c r="AY5" s="156">
        <f t="shared" ref="AY5" si="25">EOMONTH(AX5,1)</f>
        <v>47391</v>
      </c>
      <c r="AZ5" s="156">
        <f t="shared" ref="AZ5" si="26">EOMONTH(AY5,1)</f>
        <v>47422</v>
      </c>
      <c r="BA5" s="156">
        <f t="shared" ref="BA5" si="27">EOMONTH(AZ5,1)</f>
        <v>47452</v>
      </c>
      <c r="BB5" s="156">
        <f t="shared" ref="BB5" si="28">EOMONTH(BA5,1)</f>
        <v>47483</v>
      </c>
      <c r="BC5" s="156">
        <f t="shared" ref="BC5" si="29">EOMONTH(BB5,1)</f>
        <v>47514</v>
      </c>
      <c r="BD5" s="156">
        <f t="shared" ref="BD5" si="30">EOMONTH(BC5,1)</f>
        <v>47542</v>
      </c>
      <c r="BE5" s="156">
        <f t="shared" ref="BE5" si="31">EOMONTH(BD5,1)</f>
        <v>47573</v>
      </c>
      <c r="BF5" s="156">
        <f t="shared" ref="BF5" si="32">EOMONTH(BE5,1)</f>
        <v>47603</v>
      </c>
      <c r="BG5" s="156">
        <f t="shared" ref="BG5" si="33">EOMONTH(BF5,1)</f>
        <v>47634</v>
      </c>
      <c r="BH5" s="156">
        <f t="shared" ref="BH5" si="34">EOMONTH(BG5,1)</f>
        <v>47664</v>
      </c>
      <c r="BI5" s="156">
        <f t="shared" ref="BI5" si="35">EOMONTH(BH5,1)</f>
        <v>47695</v>
      </c>
      <c r="BJ5" s="156">
        <f t="shared" ref="BJ5" si="36">EOMONTH(BI5,1)</f>
        <v>47726</v>
      </c>
      <c r="BK5" s="156">
        <f t="shared" ref="BK5" si="37">EOMONTH(BJ5,1)</f>
        <v>47756</v>
      </c>
      <c r="BL5" s="156">
        <f t="shared" ref="BL5" si="38">EOMONTH(BK5,1)</f>
        <v>47787</v>
      </c>
      <c r="BM5" s="28"/>
      <c r="BN5" s="28"/>
      <c r="BO5" s="28"/>
      <c r="BP5" s="28"/>
      <c r="BQ5" s="28"/>
      <c r="BR5" s="28"/>
      <c r="BS5" s="28"/>
      <c r="BT5" s="28"/>
      <c r="BU5" s="28"/>
      <c r="BV5" s="28"/>
      <c r="BW5" s="28"/>
      <c r="BX5" s="28"/>
      <c r="BY5" s="28"/>
    </row>
    <row r="6" spans="2:77" s="74" customFormat="1" ht="25" customHeight="1" x14ac:dyDescent="0.3">
      <c r="B6" s="284" t="s">
        <v>158</v>
      </c>
      <c r="C6" s="284"/>
      <c r="D6" s="157">
        <f>'Project Infor'!C28</f>
        <v>583896.55000000005</v>
      </c>
      <c r="E6" s="158">
        <f>D6+SUMIF('Cost Overview'!$T$16:$T$35,(YEAR(E$5)&amp;MONTH(E$5)),'Cost Overview'!$F$16:$F$35)</f>
        <v>583896.55000000005</v>
      </c>
      <c r="F6" s="158">
        <f>E6+SUMIF('Cost Overview'!$T$16:$T$35,(YEAR(F$5)&amp;MONTH(F$5)),'Cost Overview'!$F$16:$F$35)</f>
        <v>583896.55000000005</v>
      </c>
      <c r="G6" s="158">
        <f>F6+SUMIF('Cost Overview'!$T$16:$T$35,(YEAR(G$5)&amp;MONTH(G$5)),'Cost Overview'!$F$16:$F$35)</f>
        <v>583896.55000000005</v>
      </c>
      <c r="H6" s="158">
        <f>G6+SUMIF('Cost Overview'!$T$16:$T$35,(YEAR(H$5)&amp;MONTH(H$5)),'Cost Overview'!$F$16:$F$35)</f>
        <v>583896.55000000005</v>
      </c>
      <c r="I6" s="158">
        <f>H6+SUMIF('Cost Overview'!$T$16:$T$35,(YEAR(I$5)&amp;MONTH(I$5)),'Cost Overview'!$F$16:$F$35)</f>
        <v>583896.55000000005</v>
      </c>
      <c r="J6" s="158">
        <f>I6+SUMIF('Cost Overview'!$T$16:$T$35,(YEAR(J$5)&amp;MONTH(J$5)),'Cost Overview'!$F$16:$F$35)</f>
        <v>583896.55000000005</v>
      </c>
      <c r="K6" s="158">
        <f>J6+SUMIF('Cost Overview'!$T$16:$T$35,(YEAR(K$5)&amp;MONTH(K$5)),'Cost Overview'!$F$16:$F$35)</f>
        <v>583896.55000000005</v>
      </c>
      <c r="L6" s="158">
        <f>K6+SUMIF('Cost Overview'!$T$16:$T$35,(YEAR(L$5)&amp;MONTH(L$5)),'Cost Overview'!$F$16:$F$35)</f>
        <v>583896.55000000005</v>
      </c>
      <c r="M6" s="158">
        <f>L6+SUMIF('Cost Overview'!$T$16:$T$35,(YEAR(M$5)&amp;MONTH(M$5)),'Cost Overview'!$F$16:$F$35)</f>
        <v>583896.55000000005</v>
      </c>
      <c r="N6" s="158">
        <f>M6+SUMIF('Cost Overview'!$T$16:$T$35,(YEAR(N$5)&amp;MONTH(N$5)),'Cost Overview'!$F$16:$F$35)</f>
        <v>583896.55000000005</v>
      </c>
      <c r="O6" s="158">
        <f>N6+SUMIF('Cost Overview'!$T$16:$T$35,(YEAR(O$5)&amp;MONTH(O$5)),'Cost Overview'!$F$16:$F$35)</f>
        <v>583896.55000000005</v>
      </c>
      <c r="P6" s="158">
        <f>O6+SUMIF('Cost Overview'!$T$16:$T$35,(YEAR(P$5)&amp;MONTH(P$5)),'Cost Overview'!$F$16:$F$35)</f>
        <v>583896.55000000005</v>
      </c>
      <c r="Q6" s="158">
        <f>P6+SUMIF('Cost Overview'!$T$16:$T$35,(YEAR(Q$5)&amp;MONTH(Q$5)),'Cost Overview'!$F$16:$F$35)</f>
        <v>583896.55000000005</v>
      </c>
      <c r="R6" s="158">
        <f>Q6+SUMIF('Cost Overview'!$T$16:$T$35,(YEAR(R$5)&amp;MONTH(R$5)),'Cost Overview'!$F$16:$F$35)</f>
        <v>583896.55000000005</v>
      </c>
      <c r="S6" s="158">
        <f>R6+SUMIF('Cost Overview'!$T$16:$T$35,(YEAR(S$5)&amp;MONTH(S$5)),'Cost Overview'!$F$16:$F$35)</f>
        <v>583896.55000000005</v>
      </c>
      <c r="T6" s="158">
        <f>S6+SUMIF('Cost Overview'!$T$16:$T$35,(YEAR(T$5)&amp;MONTH(T$5)),'Cost Overview'!$F$16:$F$35)</f>
        <v>583896.55000000005</v>
      </c>
      <c r="U6" s="158">
        <f>T6+SUMIF('Cost Overview'!$T$16:$T$35,(YEAR(U$5)&amp;MONTH(U$5)),'Cost Overview'!$F$16:$F$35)</f>
        <v>583896.55000000005</v>
      </c>
      <c r="V6" s="158">
        <f>U6+SUMIF('Cost Overview'!$T$16:$T$35,(YEAR(V$5)&amp;MONTH(V$5)),'Cost Overview'!$F$16:$F$35)</f>
        <v>583896.55000000005</v>
      </c>
      <c r="W6" s="158">
        <f>V6+SUMIF('Cost Overview'!$T$16:$T$35,(YEAR(W$5)&amp;MONTH(W$5)),'Cost Overview'!$F$16:$F$35)</f>
        <v>583896.55000000005</v>
      </c>
      <c r="X6" s="158">
        <f>W6+SUMIF('Cost Overview'!$T$16:$T$35,(YEAR(X$5)&amp;MONTH(X$5)),'Cost Overview'!$F$16:$F$35)</f>
        <v>583896.55000000005</v>
      </c>
      <c r="Y6" s="158">
        <f>X6+SUMIF('Cost Overview'!$T$16:$T$35,(YEAR(Y$5)&amp;MONTH(Y$5)),'Cost Overview'!$F$16:$F$35)</f>
        <v>583896.55000000005</v>
      </c>
      <c r="Z6" s="158">
        <f>Y6+SUMIF('Cost Overview'!$T$16:$T$35,(YEAR(Z$5)&amp;MONTH(Z$5)),'Cost Overview'!$F$16:$F$35)</f>
        <v>583896.55000000005</v>
      </c>
      <c r="AA6" s="158">
        <f>Z6+SUMIF('Cost Overview'!$T$16:$T$35,(YEAR(AA$5)&amp;MONTH(AA$5)),'Cost Overview'!$F$16:$F$35)</f>
        <v>583896.55000000005</v>
      </c>
      <c r="AB6" s="158">
        <f>AA6+SUMIF('Cost Overview'!$T$16:$T$35,(YEAR(AB$5)&amp;MONTH(AB$5)),'Cost Overview'!$F$16:$F$35)</f>
        <v>583896.55000000005</v>
      </c>
      <c r="AC6" s="158">
        <f>AB6+SUMIF('Cost Overview'!$T$16:$T$35,(YEAR(AC$5)&amp;MONTH(AC$5)),'Cost Overview'!$F$16:$F$35)</f>
        <v>583896.55000000005</v>
      </c>
      <c r="AD6" s="158">
        <f>AC6+SUMIF('Cost Overview'!$T$16:$T$35,(YEAR(AD$5)&amp;MONTH(AD$5)),'Cost Overview'!$F$16:$F$35)</f>
        <v>583896.55000000005</v>
      </c>
      <c r="AE6" s="158">
        <f>AD6+SUMIF('Cost Overview'!$T$16:$T$35,(YEAR(AE$5)&amp;MONTH(AE$5)),'Cost Overview'!$F$16:$F$35)</f>
        <v>583896.55000000005</v>
      </c>
      <c r="AF6" s="158">
        <f>AE6+SUMIF('Cost Overview'!$T$16:$T$35,(YEAR(AF$5)&amp;MONTH(AF$5)),'Cost Overview'!$F$16:$F$35)</f>
        <v>583896.55000000005</v>
      </c>
      <c r="AG6" s="158">
        <f>AF6+SUMIF('Cost Overview'!$T$16:$T$35,(YEAR(AG$5)&amp;MONTH(AG$5)),'Cost Overview'!$F$16:$F$35)</f>
        <v>583896.55000000005</v>
      </c>
      <c r="AH6" s="158">
        <f>AG6+SUMIF('Cost Overview'!$T$16:$T$35,(YEAR(AH$5)&amp;MONTH(AH$5)),'Cost Overview'!$F$16:$F$35)</f>
        <v>583896.55000000005</v>
      </c>
      <c r="AI6" s="158">
        <f>AH6+SUMIF('Cost Overview'!$T$16:$T$35,(YEAR(AI$5)&amp;MONTH(AI$5)),'Cost Overview'!$F$16:$F$35)</f>
        <v>583896.55000000005</v>
      </c>
      <c r="AJ6" s="158">
        <f>AI6+SUMIF('Cost Overview'!$T$16:$T$35,(YEAR(AJ$5)&amp;MONTH(AJ$5)),'Cost Overview'!$F$16:$F$35)</f>
        <v>583896.55000000005</v>
      </c>
      <c r="AK6" s="158">
        <f>AJ6+SUMIF('Cost Overview'!$T$16:$T$35,(YEAR(AK$5)&amp;MONTH(AK$5)),'Cost Overview'!$F$16:$F$35)</f>
        <v>583896.55000000005</v>
      </c>
      <c r="AL6" s="158">
        <f>AK6+SUMIF('Cost Overview'!$T$16:$T$35,(YEAR(AL$5)&amp;MONTH(AL$5)),'Cost Overview'!$F$16:$F$35)</f>
        <v>583896.55000000005</v>
      </c>
      <c r="AM6" s="158">
        <f>AL6+SUMIF('Cost Overview'!$T$16:$T$35,(YEAR(AM$5)&amp;MONTH(AM$5)),'Cost Overview'!$F$16:$F$35)</f>
        <v>583896.55000000005</v>
      </c>
      <c r="AN6" s="158">
        <f>AM6+SUMIF('Cost Overview'!$T$16:$T$35,(YEAR(AN$5)&amp;MONTH(AN$5)),'Cost Overview'!$F$16:$F$35)</f>
        <v>583896.55000000005</v>
      </c>
      <c r="AO6" s="158">
        <f>AN6+SUMIF('Cost Overview'!$T$16:$T$35,(YEAR(AO$5)&amp;MONTH(AO$5)),'Cost Overview'!$F$16:$F$35)</f>
        <v>583896.55000000005</v>
      </c>
      <c r="AP6" s="158">
        <f>AO6+SUMIF('Cost Overview'!$T$16:$T$35,(YEAR(AP$5)&amp;MONTH(AP$5)),'Cost Overview'!$F$16:$F$35)</f>
        <v>583896.55000000005</v>
      </c>
      <c r="AQ6" s="158">
        <f>AP6+SUMIF('Cost Overview'!$T$16:$T$35,(YEAR(AQ$5)&amp;MONTH(AQ$5)),'Cost Overview'!$F$16:$F$35)</f>
        <v>583896.55000000005</v>
      </c>
      <c r="AR6" s="158">
        <f>AQ6+SUMIF('Cost Overview'!$T$16:$T$35,(YEAR(AR$5)&amp;MONTH(AR$5)),'Cost Overview'!$F$16:$F$35)</f>
        <v>583896.55000000005</v>
      </c>
      <c r="AS6" s="158">
        <f>AR6+SUMIF('Cost Overview'!$T$16:$T$35,(YEAR(AS$5)&amp;MONTH(AS$5)),'Cost Overview'!$F$16:$F$35)</f>
        <v>583896.55000000005</v>
      </c>
      <c r="AT6" s="158">
        <f>AS6+SUMIF('Cost Overview'!$T$16:$T$35,(YEAR(AT$5)&amp;MONTH(AT$5)),'Cost Overview'!$F$16:$F$35)</f>
        <v>583896.55000000005</v>
      </c>
      <c r="AU6" s="158">
        <f>AT6+SUMIF('Cost Overview'!$T$16:$T$35,(YEAR(AU$5)&amp;MONTH(AU$5)),'Cost Overview'!$F$16:$F$35)</f>
        <v>583896.55000000005</v>
      </c>
      <c r="AV6" s="158">
        <f>AU6+SUMIF('Cost Overview'!$T$16:$T$35,(YEAR(AV$5)&amp;MONTH(AV$5)),'Cost Overview'!$F$16:$F$35)</f>
        <v>583896.55000000005</v>
      </c>
      <c r="AW6" s="158">
        <f>AV6+SUMIF('Cost Overview'!$T$16:$T$35,(YEAR(AW$5)&amp;MONTH(AW$5)),'Cost Overview'!$F$16:$F$35)</f>
        <v>583896.55000000005</v>
      </c>
      <c r="AX6" s="158">
        <f>AW6+SUMIF('Cost Overview'!$T$16:$T$35,(YEAR(AX$5)&amp;MONTH(AX$5)),'Cost Overview'!$F$16:$F$35)</f>
        <v>583896.55000000005</v>
      </c>
      <c r="AY6" s="158">
        <f>AX6+SUMIF('Cost Overview'!$T$16:$T$35,(YEAR(AY$5)&amp;MONTH(AY$5)),'Cost Overview'!$F$16:$F$35)</f>
        <v>583896.55000000005</v>
      </c>
      <c r="AZ6" s="158">
        <f>AY6+SUMIF('Cost Overview'!$T$16:$T$35,(YEAR(AZ$5)&amp;MONTH(AZ$5)),'Cost Overview'!$F$16:$F$35)</f>
        <v>583896.55000000005</v>
      </c>
      <c r="BA6" s="158">
        <f>AZ6+SUMIF('Cost Overview'!$T$16:$T$35,(YEAR(BA$5)&amp;MONTH(BA$5)),'Cost Overview'!$F$16:$F$35)</f>
        <v>583896.55000000005</v>
      </c>
      <c r="BB6" s="158">
        <f>BA6+SUMIF('Cost Overview'!$T$16:$T$35,(YEAR(BB$5)&amp;MONTH(BB$5)),'Cost Overview'!$F$16:$F$35)</f>
        <v>583896.55000000005</v>
      </c>
      <c r="BC6" s="158">
        <f>BB6+SUMIF('Cost Overview'!$T$16:$T$35,(YEAR(BC$5)&amp;MONTH(BC$5)),'Cost Overview'!$F$16:$F$35)</f>
        <v>583896.55000000005</v>
      </c>
      <c r="BD6" s="158">
        <f>BC6+SUMIF('Cost Overview'!$T$16:$T$35,(YEAR(BD$5)&amp;MONTH(BD$5)),'Cost Overview'!$F$16:$F$35)</f>
        <v>583896.55000000005</v>
      </c>
      <c r="BE6" s="158">
        <f>BD6+SUMIF('Cost Overview'!$T$16:$T$35,(YEAR(BE$5)&amp;MONTH(BE$5)),'Cost Overview'!$F$16:$F$35)</f>
        <v>583896.55000000005</v>
      </c>
      <c r="BF6" s="158">
        <f>BE6+SUMIF('Cost Overview'!$T$16:$T$35,(YEAR(BF$5)&amp;MONTH(BF$5)),'Cost Overview'!$F$16:$F$35)</f>
        <v>583896.55000000005</v>
      </c>
      <c r="BG6" s="158">
        <f>BF6+SUMIF('Cost Overview'!$T$16:$T$35,(YEAR(BG$5)&amp;MONTH(BG$5)),'Cost Overview'!$F$16:$F$35)</f>
        <v>583896.55000000005</v>
      </c>
      <c r="BH6" s="158">
        <f>BG6+SUMIF('Cost Overview'!$T$16:$T$35,(YEAR(BH$5)&amp;MONTH(BH$5)),'Cost Overview'!$F$16:$F$35)</f>
        <v>583896.55000000005</v>
      </c>
      <c r="BI6" s="158">
        <f>BH6+SUMIF('Cost Overview'!$T$16:$T$35,(YEAR(BI$5)&amp;MONTH(BI$5)),'Cost Overview'!$F$16:$F$35)</f>
        <v>583896.55000000005</v>
      </c>
      <c r="BJ6" s="158">
        <f>BI6+SUMIF('Cost Overview'!$T$16:$T$35,(YEAR(BJ$5)&amp;MONTH(BJ$5)),'Cost Overview'!$F$16:$F$35)</f>
        <v>583896.55000000005</v>
      </c>
      <c r="BK6" s="158">
        <f>BJ6+SUMIF('Cost Overview'!$T$16:$T$35,(YEAR(BK$5)&amp;MONTH(BK$5)),'Cost Overview'!$F$16:$F$35)</f>
        <v>583896.55000000005</v>
      </c>
      <c r="BL6" s="158">
        <f>BK6+SUMIF('Cost Overview'!$T$16:$T$35,(YEAR(BL$5)&amp;MONTH(BL$5)),'Cost Overview'!$F$16:$F$35)</f>
        <v>583896.55000000005</v>
      </c>
      <c r="BM6" s="28"/>
      <c r="BN6" s="28"/>
      <c r="BO6" s="28"/>
      <c r="BP6" s="28"/>
      <c r="BQ6" s="28"/>
      <c r="BR6" s="28"/>
      <c r="BS6" s="28"/>
      <c r="BT6" s="28"/>
      <c r="BU6" s="28"/>
      <c r="BV6" s="28"/>
      <c r="BW6" s="28"/>
      <c r="BX6" s="28"/>
      <c r="BY6" s="28"/>
    </row>
    <row r="7" spans="2:77" s="74" customFormat="1" ht="25" customHeight="1" outlineLevel="1" x14ac:dyDescent="0.3">
      <c r="B7" s="285" t="s">
        <v>60</v>
      </c>
      <c r="C7" s="285"/>
      <c r="D7" s="159">
        <f>'Project Infor'!C29</f>
        <v>13570</v>
      </c>
      <c r="E7" s="160">
        <f>D7+SUMIF('Cost Overview'!$T$16:$T$35,(YEAR(E$5)&amp;MONTH(E$5)),'Cost Overview'!$H$16:$H$35)</f>
        <v>13570</v>
      </c>
      <c r="F7" s="160">
        <f>E7+SUMIF('Cost Overview'!$T$16:$T$35,(YEAR(F$5)&amp;MONTH(F$5)),'Cost Overview'!$H$16:$H$35)</f>
        <v>13570</v>
      </c>
      <c r="G7" s="160">
        <f>F7+SUMIF('Cost Overview'!$T$16:$T$35,(YEAR(G$5)&amp;MONTH(G$5)),'Cost Overview'!$H$16:$H$35)</f>
        <v>13570</v>
      </c>
      <c r="H7" s="160">
        <f>G7+SUMIF('Cost Overview'!$T$16:$T$35,(YEAR(H$5)&amp;MONTH(H$5)),'Cost Overview'!$H$16:$H$35)</f>
        <v>13570</v>
      </c>
      <c r="I7" s="160">
        <f>H7+SUMIF('Cost Overview'!$T$16:$T$35,(YEAR(I$5)&amp;MONTH(I$5)),'Cost Overview'!$H$16:$H$35)</f>
        <v>13570</v>
      </c>
      <c r="J7" s="160">
        <f>I7+SUMIF('Cost Overview'!$T$16:$T$35,(YEAR(J$5)&amp;MONTH(J$5)),'Cost Overview'!$H$16:$H$35)</f>
        <v>13570</v>
      </c>
      <c r="K7" s="160">
        <f>J7+SUMIF('Cost Overview'!$T$16:$T$35,(YEAR(K$5)&amp;MONTH(K$5)),'Cost Overview'!$H$16:$H$35)</f>
        <v>13570</v>
      </c>
      <c r="L7" s="160">
        <f>K7+SUMIF('Cost Overview'!$T$16:$T$35,(YEAR(L$5)&amp;MONTH(L$5)),'Cost Overview'!$H$16:$H$35)</f>
        <v>13570</v>
      </c>
      <c r="M7" s="160">
        <f>L7+SUMIF('Cost Overview'!$T$16:$T$35,(YEAR(M$5)&amp;MONTH(M$5)),'Cost Overview'!$H$16:$H$35)</f>
        <v>13570</v>
      </c>
      <c r="N7" s="160">
        <f>M7+SUMIF('Cost Overview'!$T$16:$T$35,(YEAR(N$5)&amp;MONTH(N$5)),'Cost Overview'!$H$16:$H$35)</f>
        <v>13570</v>
      </c>
      <c r="O7" s="160">
        <f>N7+SUMIF('Cost Overview'!$T$16:$T$35,(YEAR(O$5)&amp;MONTH(O$5)),'Cost Overview'!$H$16:$H$35)</f>
        <v>13570</v>
      </c>
      <c r="P7" s="160">
        <f>O7+SUMIF('Cost Overview'!$T$16:$T$35,(YEAR(P$5)&amp;MONTH(P$5)),'Cost Overview'!$H$16:$H$35)</f>
        <v>13570</v>
      </c>
      <c r="Q7" s="160">
        <f>P7+SUMIF('Cost Overview'!$T$16:$T$35,(YEAR(Q$5)&amp;MONTH(Q$5)),'Cost Overview'!$H$16:$H$35)</f>
        <v>13570</v>
      </c>
      <c r="R7" s="160">
        <f>Q7+SUMIF('Cost Overview'!$T$16:$T$35,(YEAR(R$5)&amp;MONTH(R$5)),'Cost Overview'!$H$16:$H$35)</f>
        <v>13570</v>
      </c>
      <c r="S7" s="160">
        <f>R7+SUMIF('Cost Overview'!$T$16:$T$35,(YEAR(S$5)&amp;MONTH(S$5)),'Cost Overview'!$H$16:$H$35)</f>
        <v>13570</v>
      </c>
      <c r="T7" s="160">
        <f>S7+SUMIF('Cost Overview'!$T$16:$T$35,(YEAR(T$5)&amp;MONTH(T$5)),'Cost Overview'!$H$16:$H$35)</f>
        <v>13570</v>
      </c>
      <c r="U7" s="160">
        <f>T7+SUMIF('Cost Overview'!$T$16:$T$35,(YEAR(U$5)&amp;MONTH(U$5)),'Cost Overview'!$H$16:$H$35)</f>
        <v>13570</v>
      </c>
      <c r="V7" s="160">
        <f>U7+SUMIF('Cost Overview'!$T$16:$T$35,(YEAR(V$5)&amp;MONTH(V$5)),'Cost Overview'!$H$16:$H$35)</f>
        <v>13570</v>
      </c>
      <c r="W7" s="160">
        <f>V7+SUMIF('Cost Overview'!$T$16:$T$35,(YEAR(W$5)&amp;MONTH(W$5)),'Cost Overview'!$H$16:$H$35)</f>
        <v>13570</v>
      </c>
      <c r="X7" s="160">
        <f>W7+SUMIF('Cost Overview'!$T$16:$T$35,(YEAR(X$5)&amp;MONTH(X$5)),'Cost Overview'!$H$16:$H$35)</f>
        <v>13570</v>
      </c>
      <c r="Y7" s="160">
        <f>X7+SUMIF('Cost Overview'!$T$16:$T$35,(YEAR(Y$5)&amp;MONTH(Y$5)),'Cost Overview'!$H$16:$H$35)</f>
        <v>13570</v>
      </c>
      <c r="Z7" s="160">
        <f>Y7+SUMIF('Cost Overview'!$T$16:$T$35,(YEAR(Z$5)&amp;MONTH(Z$5)),'Cost Overview'!$H$16:$H$35)</f>
        <v>13570</v>
      </c>
      <c r="AA7" s="160">
        <f>Z7+SUMIF('Cost Overview'!$T$16:$T$35,(YEAR(AA$5)&amp;MONTH(AA$5)),'Cost Overview'!$H$16:$H$35)</f>
        <v>13570</v>
      </c>
      <c r="AB7" s="160">
        <f>AA7+SUMIF('Cost Overview'!$T$16:$T$35,(YEAR(AB$5)&amp;MONTH(AB$5)),'Cost Overview'!$H$16:$H$35)</f>
        <v>13570</v>
      </c>
      <c r="AC7" s="160">
        <f>AB7+SUMIF('Cost Overview'!$T$16:$T$35,(YEAR(AC$5)&amp;MONTH(AC$5)),'Cost Overview'!$H$16:$H$35)</f>
        <v>13570</v>
      </c>
      <c r="AD7" s="160">
        <f>AC7+SUMIF('Cost Overview'!$T$16:$T$35,(YEAR(AD$5)&amp;MONTH(AD$5)),'Cost Overview'!$H$16:$H$35)</f>
        <v>13570</v>
      </c>
      <c r="AE7" s="160">
        <f>AD7+SUMIF('Cost Overview'!$T$16:$T$35,(YEAR(AE$5)&amp;MONTH(AE$5)),'Cost Overview'!$H$16:$H$35)</f>
        <v>13570</v>
      </c>
      <c r="AF7" s="160">
        <f>AE7+SUMIF('Cost Overview'!$T$16:$T$35,(YEAR(AF$5)&amp;MONTH(AF$5)),'Cost Overview'!$H$16:$H$35)</f>
        <v>13570</v>
      </c>
      <c r="AG7" s="160">
        <f>AF7+SUMIF('Cost Overview'!$T$16:$T$35,(YEAR(AG$5)&amp;MONTH(AG$5)),'Cost Overview'!$H$16:$H$35)</f>
        <v>13570</v>
      </c>
      <c r="AH7" s="160">
        <f>AG7+SUMIF('Cost Overview'!$T$16:$T$35,(YEAR(AH$5)&amp;MONTH(AH$5)),'Cost Overview'!$H$16:$H$35)</f>
        <v>13570</v>
      </c>
      <c r="AI7" s="160">
        <f>AH7+SUMIF('Cost Overview'!$T$16:$T$35,(YEAR(AI$5)&amp;MONTH(AI$5)),'Cost Overview'!$H$16:$H$35)</f>
        <v>13570</v>
      </c>
      <c r="AJ7" s="160">
        <f>AI7+SUMIF('Cost Overview'!$T$16:$T$35,(YEAR(AJ$5)&amp;MONTH(AJ$5)),'Cost Overview'!$H$16:$H$35)</f>
        <v>13570</v>
      </c>
      <c r="AK7" s="160">
        <f>AJ7+SUMIF('Cost Overview'!$T$16:$T$35,(YEAR(AK$5)&amp;MONTH(AK$5)),'Cost Overview'!$H$16:$H$35)</f>
        <v>13570</v>
      </c>
      <c r="AL7" s="160">
        <f>AK7+SUMIF('Cost Overview'!$T$16:$T$35,(YEAR(AL$5)&amp;MONTH(AL$5)),'Cost Overview'!$H$16:$H$35)</f>
        <v>13570</v>
      </c>
      <c r="AM7" s="160">
        <f>AL7+SUMIF('Cost Overview'!$T$16:$T$35,(YEAR(AM$5)&amp;MONTH(AM$5)),'Cost Overview'!$H$16:$H$35)</f>
        <v>13570</v>
      </c>
      <c r="AN7" s="160">
        <f>AM7+SUMIF('Cost Overview'!$T$16:$T$35,(YEAR(AN$5)&amp;MONTH(AN$5)),'Cost Overview'!$H$16:$H$35)</f>
        <v>13570</v>
      </c>
      <c r="AO7" s="160">
        <f>AN7+SUMIF('Cost Overview'!$T$16:$T$35,(YEAR(AO$5)&amp;MONTH(AO$5)),'Cost Overview'!$H$16:$H$35)</f>
        <v>13570</v>
      </c>
      <c r="AP7" s="160">
        <f>AO7+SUMIF('Cost Overview'!$T$16:$T$35,(YEAR(AP$5)&amp;MONTH(AP$5)),'Cost Overview'!$H$16:$H$35)</f>
        <v>13570</v>
      </c>
      <c r="AQ7" s="160">
        <f>AP7+SUMIF('Cost Overview'!$T$16:$T$35,(YEAR(AQ$5)&amp;MONTH(AQ$5)),'Cost Overview'!$H$16:$H$35)</f>
        <v>13570</v>
      </c>
      <c r="AR7" s="160">
        <f>AQ7+SUMIF('Cost Overview'!$T$16:$T$35,(YEAR(AR$5)&amp;MONTH(AR$5)),'Cost Overview'!$H$16:$H$35)</f>
        <v>13570</v>
      </c>
      <c r="AS7" s="160">
        <f>AR7+SUMIF('Cost Overview'!$T$16:$T$35,(YEAR(AS$5)&amp;MONTH(AS$5)),'Cost Overview'!$H$16:$H$35)</f>
        <v>13570</v>
      </c>
      <c r="AT7" s="160">
        <f>AS7+SUMIF('Cost Overview'!$T$16:$T$35,(YEAR(AT$5)&amp;MONTH(AT$5)),'Cost Overview'!$H$16:$H$35)</f>
        <v>13570</v>
      </c>
      <c r="AU7" s="160">
        <f>AT7+SUMIF('Cost Overview'!$T$16:$T$35,(YEAR(AU$5)&amp;MONTH(AU$5)),'Cost Overview'!$H$16:$H$35)</f>
        <v>13570</v>
      </c>
      <c r="AV7" s="160">
        <f>AU7+SUMIF('Cost Overview'!$T$16:$T$35,(YEAR(AV$5)&amp;MONTH(AV$5)),'Cost Overview'!$H$16:$H$35)</f>
        <v>13570</v>
      </c>
      <c r="AW7" s="160">
        <f>AV7+SUMIF('Cost Overview'!$T$16:$T$35,(YEAR(AW$5)&amp;MONTH(AW$5)),'Cost Overview'!$H$16:$H$35)</f>
        <v>13570</v>
      </c>
      <c r="AX7" s="160">
        <f>AW7+SUMIF('Cost Overview'!$T$16:$T$35,(YEAR(AX$5)&amp;MONTH(AX$5)),'Cost Overview'!$H$16:$H$35)</f>
        <v>13570</v>
      </c>
      <c r="AY7" s="160">
        <f>AX7+SUMIF('Cost Overview'!$T$16:$T$35,(YEAR(AY$5)&amp;MONTH(AY$5)),'Cost Overview'!$H$16:$H$35)</f>
        <v>13570</v>
      </c>
      <c r="AZ7" s="160">
        <f>AY7+SUMIF('Cost Overview'!$T$16:$T$35,(YEAR(AZ$5)&amp;MONTH(AZ$5)),'Cost Overview'!$H$16:$H$35)</f>
        <v>13570</v>
      </c>
      <c r="BA7" s="160">
        <f>AZ7+SUMIF('Cost Overview'!$T$16:$T$35,(YEAR(BA$5)&amp;MONTH(BA$5)),'Cost Overview'!$H$16:$H$35)</f>
        <v>13570</v>
      </c>
      <c r="BB7" s="160">
        <f>BA7+SUMIF('Cost Overview'!$T$16:$T$35,(YEAR(BB$5)&amp;MONTH(BB$5)),'Cost Overview'!$H$16:$H$35)</f>
        <v>13570</v>
      </c>
      <c r="BC7" s="160">
        <f>BB7+SUMIF('Cost Overview'!$T$16:$T$35,(YEAR(BC$5)&amp;MONTH(BC$5)),'Cost Overview'!$H$16:$H$35)</f>
        <v>13570</v>
      </c>
      <c r="BD7" s="160">
        <f>BC7+SUMIF('Cost Overview'!$T$16:$T$35,(YEAR(BD$5)&amp;MONTH(BD$5)),'Cost Overview'!$H$16:$H$35)</f>
        <v>13570</v>
      </c>
      <c r="BE7" s="160">
        <f>BD7+SUMIF('Cost Overview'!$T$16:$T$35,(YEAR(BE$5)&amp;MONTH(BE$5)),'Cost Overview'!$H$16:$H$35)</f>
        <v>13570</v>
      </c>
      <c r="BF7" s="160">
        <f>BE7+SUMIF('Cost Overview'!$T$16:$T$35,(YEAR(BF$5)&amp;MONTH(BF$5)),'Cost Overview'!$H$16:$H$35)</f>
        <v>13570</v>
      </c>
      <c r="BG7" s="160">
        <f>BF7+SUMIF('Cost Overview'!$T$16:$T$35,(YEAR(BG$5)&amp;MONTH(BG$5)),'Cost Overview'!$H$16:$H$35)</f>
        <v>13570</v>
      </c>
      <c r="BH7" s="160">
        <f>BG7+SUMIF('Cost Overview'!$T$16:$T$35,(YEAR(BH$5)&amp;MONTH(BH$5)),'Cost Overview'!$H$16:$H$35)</f>
        <v>13570</v>
      </c>
      <c r="BI7" s="160">
        <f>BH7+SUMIF('Cost Overview'!$T$16:$T$35,(YEAR(BI$5)&amp;MONTH(BI$5)),'Cost Overview'!$H$16:$H$35)</f>
        <v>13570</v>
      </c>
      <c r="BJ7" s="160">
        <f>BI7+SUMIF('Cost Overview'!$T$16:$T$35,(YEAR(BJ$5)&amp;MONTH(BJ$5)),'Cost Overview'!$H$16:$H$35)</f>
        <v>13570</v>
      </c>
      <c r="BK7" s="160">
        <f>BJ7+SUMIF('Cost Overview'!$T$16:$T$35,(YEAR(BK$5)&amp;MONTH(BK$5)),'Cost Overview'!$H$16:$H$35)</f>
        <v>13570</v>
      </c>
      <c r="BL7" s="160">
        <f>BK7+SUMIF('Cost Overview'!$T$16:$T$35,(YEAR(BL$5)&amp;MONTH(BL$5)),'Cost Overview'!$H$16:$H$35)</f>
        <v>13570</v>
      </c>
      <c r="BN7" s="28"/>
      <c r="BO7" s="28"/>
      <c r="BP7" s="28"/>
      <c r="BQ7" s="28"/>
      <c r="BR7" s="28"/>
      <c r="BS7" s="28"/>
      <c r="BT7" s="28"/>
      <c r="BU7" s="28"/>
      <c r="BV7" s="28"/>
      <c r="BW7" s="28"/>
      <c r="BX7" s="28"/>
      <c r="BY7" s="28"/>
    </row>
    <row r="8" spans="2:77" s="74" customFormat="1" ht="25" customHeight="1" outlineLevel="1" x14ac:dyDescent="0.3">
      <c r="B8" s="285" t="s">
        <v>159</v>
      </c>
      <c r="C8" s="285"/>
      <c r="D8" s="159">
        <f>'Project Infor'!C30</f>
        <v>367515.14</v>
      </c>
      <c r="E8" s="160">
        <f>D8+SUMIF('Cost Overview'!$T$16:$T$35,(YEAR(E$5)&amp;MONTH(E$5)),'Cost Overview'!$G$16:$G$35)</f>
        <v>367515.14</v>
      </c>
      <c r="F8" s="160">
        <f>E8+SUMIF('Cost Overview'!$T$16:$T$35,(YEAR(F$5)&amp;MONTH(F$5)),'Cost Overview'!$G$16:$G$35)</f>
        <v>367515.14</v>
      </c>
      <c r="G8" s="160">
        <f>F8+SUMIF('Cost Overview'!$T$16:$T$35,(YEAR(G$5)&amp;MONTH(G$5)),'Cost Overview'!$G$16:$G$35)</f>
        <v>367515.14</v>
      </c>
      <c r="H8" s="160">
        <f>G8+SUMIF('Cost Overview'!$T$16:$T$35,(YEAR(H$5)&amp;MONTH(H$5)),'Cost Overview'!$G$16:$G$35)</f>
        <v>367515.14</v>
      </c>
      <c r="I8" s="160">
        <f>H8+SUMIF('Cost Overview'!$T$16:$T$35,(YEAR(I$5)&amp;MONTH(I$5)),'Cost Overview'!$G$16:$G$35)</f>
        <v>367515.14</v>
      </c>
      <c r="J8" s="160">
        <f>I8+SUMIF('Cost Overview'!$T$16:$T$35,(YEAR(J$5)&amp;MONTH(J$5)),'Cost Overview'!$G$16:$G$35)</f>
        <v>367515.14</v>
      </c>
      <c r="K8" s="160">
        <f>J8+SUMIF('Cost Overview'!$T$16:$T$35,(YEAR(K$5)&amp;MONTH(K$5)),'Cost Overview'!$G$16:$G$35)</f>
        <v>367515.14</v>
      </c>
      <c r="L8" s="160">
        <f>K8+SUMIF('Cost Overview'!$T$16:$T$35,(YEAR(L$5)&amp;MONTH(L$5)),'Cost Overview'!$G$16:$G$35)</f>
        <v>367515.14</v>
      </c>
      <c r="M8" s="160">
        <f>L8+SUMIF('Cost Overview'!$T$16:$T$35,(YEAR(M$5)&amp;MONTH(M$5)),'Cost Overview'!$G$16:$G$35)</f>
        <v>367515.14</v>
      </c>
      <c r="N8" s="160">
        <f>M8+SUMIF('Cost Overview'!$T$16:$T$35,(YEAR(N$5)&amp;MONTH(N$5)),'Cost Overview'!$G$16:$G$35)</f>
        <v>367515.14</v>
      </c>
      <c r="O8" s="160">
        <f>N8+SUMIF('Cost Overview'!$T$16:$T$35,(YEAR(O$5)&amp;MONTH(O$5)),'Cost Overview'!$G$16:$G$35)</f>
        <v>367515.14</v>
      </c>
      <c r="P8" s="160">
        <f>O8+SUMIF('Cost Overview'!$T$16:$T$35,(YEAR(P$5)&amp;MONTH(P$5)),'Cost Overview'!$G$16:$G$35)</f>
        <v>367515.14</v>
      </c>
      <c r="Q8" s="160">
        <f>P8+SUMIF('Cost Overview'!$T$16:$T$35,(YEAR(Q$5)&amp;MONTH(Q$5)),'Cost Overview'!$G$16:$G$35)</f>
        <v>367515.14</v>
      </c>
      <c r="R8" s="160">
        <f>Q8+SUMIF('Cost Overview'!$T$16:$T$35,(YEAR(R$5)&amp;MONTH(R$5)),'Cost Overview'!$G$16:$G$35)</f>
        <v>367515.14</v>
      </c>
      <c r="S8" s="160">
        <f>R8+SUMIF('Cost Overview'!$T$16:$T$35,(YEAR(S$5)&amp;MONTH(S$5)),'Cost Overview'!$G$16:$G$35)</f>
        <v>367515.14</v>
      </c>
      <c r="T8" s="160">
        <f>S8+SUMIF('Cost Overview'!$T$16:$T$35,(YEAR(T$5)&amp;MONTH(T$5)),'Cost Overview'!$G$16:$G$35)</f>
        <v>367515.14</v>
      </c>
      <c r="U8" s="160">
        <f>T8+SUMIF('Cost Overview'!$T$16:$T$35,(YEAR(U$5)&amp;MONTH(U$5)),'Cost Overview'!$G$16:$G$35)</f>
        <v>367515.14</v>
      </c>
      <c r="V8" s="160">
        <f>U8+SUMIF('Cost Overview'!$T$16:$T$35,(YEAR(V$5)&amp;MONTH(V$5)),'Cost Overview'!$G$16:$G$35)</f>
        <v>367515.14</v>
      </c>
      <c r="W8" s="160">
        <f>V8+SUMIF('Cost Overview'!$T$16:$T$35,(YEAR(W$5)&amp;MONTH(W$5)),'Cost Overview'!$G$16:$G$35)</f>
        <v>367515.14</v>
      </c>
      <c r="X8" s="160">
        <f>W8+SUMIF('Cost Overview'!$T$16:$T$35,(YEAR(X$5)&amp;MONTH(X$5)),'Cost Overview'!$G$16:$G$35)</f>
        <v>367515.14</v>
      </c>
      <c r="Y8" s="160">
        <f>X8+SUMIF('Cost Overview'!$T$16:$T$35,(YEAR(Y$5)&amp;MONTH(Y$5)),'Cost Overview'!$G$16:$G$35)</f>
        <v>367515.14</v>
      </c>
      <c r="Z8" s="160">
        <f>Y8+SUMIF('Cost Overview'!$T$16:$T$35,(YEAR(Z$5)&amp;MONTH(Z$5)),'Cost Overview'!$G$16:$G$35)</f>
        <v>367515.14</v>
      </c>
      <c r="AA8" s="160">
        <f>Z8+SUMIF('Cost Overview'!$T$16:$T$35,(YEAR(AA$5)&amp;MONTH(AA$5)),'Cost Overview'!$G$16:$G$35)</f>
        <v>367515.14</v>
      </c>
      <c r="AB8" s="160">
        <f>AA8+SUMIF('Cost Overview'!$T$16:$T$35,(YEAR(AB$5)&amp;MONTH(AB$5)),'Cost Overview'!$G$16:$G$35)</f>
        <v>367515.14</v>
      </c>
      <c r="AC8" s="160">
        <f>AB8+SUMIF('Cost Overview'!$T$16:$T$35,(YEAR(AC$5)&amp;MONTH(AC$5)),'Cost Overview'!$G$16:$G$35)</f>
        <v>367515.14</v>
      </c>
      <c r="AD8" s="160">
        <f>AC8+SUMIF('Cost Overview'!$T$16:$T$35,(YEAR(AD$5)&amp;MONTH(AD$5)),'Cost Overview'!$G$16:$G$35)</f>
        <v>367515.14</v>
      </c>
      <c r="AE8" s="160">
        <f>AD8+SUMIF('Cost Overview'!$T$16:$T$35,(YEAR(AE$5)&amp;MONTH(AE$5)),'Cost Overview'!$G$16:$G$35)</f>
        <v>367515.14</v>
      </c>
      <c r="AF8" s="160">
        <f>AE8+SUMIF('Cost Overview'!$T$16:$T$35,(YEAR(AF$5)&amp;MONTH(AF$5)),'Cost Overview'!$G$16:$G$35)</f>
        <v>367515.14</v>
      </c>
      <c r="AG8" s="160">
        <f>AF8+SUMIF('Cost Overview'!$T$16:$T$35,(YEAR(AG$5)&amp;MONTH(AG$5)),'Cost Overview'!$G$16:$G$35)</f>
        <v>367515.14</v>
      </c>
      <c r="AH8" s="160">
        <f>AG8+SUMIF('Cost Overview'!$T$16:$T$35,(YEAR(AH$5)&amp;MONTH(AH$5)),'Cost Overview'!$G$16:$G$35)</f>
        <v>367515.14</v>
      </c>
      <c r="AI8" s="160">
        <f>AH8+SUMIF('Cost Overview'!$T$16:$T$35,(YEAR(AI$5)&amp;MONTH(AI$5)),'Cost Overview'!$G$16:$G$35)</f>
        <v>367515.14</v>
      </c>
      <c r="AJ8" s="160">
        <f>AI8+SUMIF('Cost Overview'!$T$16:$T$35,(YEAR(AJ$5)&amp;MONTH(AJ$5)),'Cost Overview'!$G$16:$G$35)</f>
        <v>367515.14</v>
      </c>
      <c r="AK8" s="160">
        <f>AJ8+SUMIF('Cost Overview'!$T$16:$T$35,(YEAR(AK$5)&amp;MONTH(AK$5)),'Cost Overview'!$G$16:$G$35)</f>
        <v>367515.14</v>
      </c>
      <c r="AL8" s="160">
        <f>AK8+SUMIF('Cost Overview'!$T$16:$T$35,(YEAR(AL$5)&amp;MONTH(AL$5)),'Cost Overview'!$G$16:$G$35)</f>
        <v>367515.14</v>
      </c>
      <c r="AM8" s="160">
        <f>AL8+SUMIF('Cost Overview'!$T$16:$T$35,(YEAR(AM$5)&amp;MONTH(AM$5)),'Cost Overview'!$G$16:$G$35)</f>
        <v>367515.14</v>
      </c>
      <c r="AN8" s="160">
        <f>AM8+SUMIF('Cost Overview'!$T$16:$T$35,(YEAR(AN$5)&amp;MONTH(AN$5)),'Cost Overview'!$G$16:$G$35)</f>
        <v>367515.14</v>
      </c>
      <c r="AO8" s="160">
        <f>AN8+SUMIF('Cost Overview'!$T$16:$T$35,(YEAR(AO$5)&amp;MONTH(AO$5)),'Cost Overview'!$G$16:$G$35)</f>
        <v>367515.14</v>
      </c>
      <c r="AP8" s="160">
        <f>AO8+SUMIF('Cost Overview'!$T$16:$T$35,(YEAR(AP$5)&amp;MONTH(AP$5)),'Cost Overview'!$G$16:$G$35)</f>
        <v>367515.14</v>
      </c>
      <c r="AQ8" s="160">
        <f>AP8+SUMIF('Cost Overview'!$T$16:$T$35,(YEAR(AQ$5)&amp;MONTH(AQ$5)),'Cost Overview'!$G$16:$G$35)</f>
        <v>367515.14</v>
      </c>
      <c r="AR8" s="160">
        <f>AQ8+SUMIF('Cost Overview'!$T$16:$T$35,(YEAR(AR$5)&amp;MONTH(AR$5)),'Cost Overview'!$G$16:$G$35)</f>
        <v>367515.14</v>
      </c>
      <c r="AS8" s="160">
        <f>AR8+SUMIF('Cost Overview'!$T$16:$T$35,(YEAR(AS$5)&amp;MONTH(AS$5)),'Cost Overview'!$G$16:$G$35)</f>
        <v>367515.14</v>
      </c>
      <c r="AT8" s="160">
        <f>AS8+SUMIF('Cost Overview'!$T$16:$T$35,(YEAR(AT$5)&amp;MONTH(AT$5)),'Cost Overview'!$G$16:$G$35)</f>
        <v>367515.14</v>
      </c>
      <c r="AU8" s="160">
        <f>AT8+SUMIF('Cost Overview'!$T$16:$T$35,(YEAR(AU$5)&amp;MONTH(AU$5)),'Cost Overview'!$G$16:$G$35)</f>
        <v>367515.14</v>
      </c>
      <c r="AV8" s="160">
        <f>AU8+SUMIF('Cost Overview'!$T$16:$T$35,(YEAR(AV$5)&amp;MONTH(AV$5)),'Cost Overview'!$G$16:$G$35)</f>
        <v>367515.14</v>
      </c>
      <c r="AW8" s="160">
        <f>AV8+SUMIF('Cost Overview'!$T$16:$T$35,(YEAR(AW$5)&amp;MONTH(AW$5)),'Cost Overview'!$G$16:$G$35)</f>
        <v>367515.14</v>
      </c>
      <c r="AX8" s="160">
        <f>AW8+SUMIF('Cost Overview'!$T$16:$T$35,(YEAR(AX$5)&amp;MONTH(AX$5)),'Cost Overview'!$G$16:$G$35)</f>
        <v>367515.14</v>
      </c>
      <c r="AY8" s="160">
        <f>AX8+SUMIF('Cost Overview'!$T$16:$T$35,(YEAR(AY$5)&amp;MONTH(AY$5)),'Cost Overview'!$G$16:$G$35)</f>
        <v>367515.14</v>
      </c>
      <c r="AZ8" s="160">
        <f>AY8+SUMIF('Cost Overview'!$T$16:$T$35,(YEAR(AZ$5)&amp;MONTH(AZ$5)),'Cost Overview'!$G$16:$G$35)</f>
        <v>367515.14</v>
      </c>
      <c r="BA8" s="160">
        <f>AZ8+SUMIF('Cost Overview'!$T$16:$T$35,(YEAR(BA$5)&amp;MONTH(BA$5)),'Cost Overview'!$G$16:$G$35)</f>
        <v>367515.14</v>
      </c>
      <c r="BB8" s="160">
        <f>BA8+SUMIF('Cost Overview'!$T$16:$T$35,(YEAR(BB$5)&amp;MONTH(BB$5)),'Cost Overview'!$G$16:$G$35)</f>
        <v>367515.14</v>
      </c>
      <c r="BC8" s="160">
        <f>BB8+SUMIF('Cost Overview'!$T$16:$T$35,(YEAR(BC$5)&amp;MONTH(BC$5)),'Cost Overview'!$G$16:$G$35)</f>
        <v>367515.14</v>
      </c>
      <c r="BD8" s="160">
        <f>BC8+SUMIF('Cost Overview'!$T$16:$T$35,(YEAR(BD$5)&amp;MONTH(BD$5)),'Cost Overview'!$G$16:$G$35)</f>
        <v>367515.14</v>
      </c>
      <c r="BE8" s="160">
        <f>BD8+SUMIF('Cost Overview'!$T$16:$T$35,(YEAR(BE$5)&amp;MONTH(BE$5)),'Cost Overview'!$G$16:$G$35)</f>
        <v>367515.14</v>
      </c>
      <c r="BF8" s="160">
        <f>BE8+SUMIF('Cost Overview'!$T$16:$T$35,(YEAR(BF$5)&amp;MONTH(BF$5)),'Cost Overview'!$G$16:$G$35)</f>
        <v>367515.14</v>
      </c>
      <c r="BG8" s="160">
        <f>BF8+SUMIF('Cost Overview'!$T$16:$T$35,(YEAR(BG$5)&amp;MONTH(BG$5)),'Cost Overview'!$G$16:$G$35)</f>
        <v>367515.14</v>
      </c>
      <c r="BH8" s="160">
        <f>BG8+SUMIF('Cost Overview'!$T$16:$T$35,(YEAR(BH$5)&amp;MONTH(BH$5)),'Cost Overview'!$G$16:$G$35)</f>
        <v>367515.14</v>
      </c>
      <c r="BI8" s="160">
        <f>BH8+SUMIF('Cost Overview'!$T$16:$T$35,(YEAR(BI$5)&amp;MONTH(BI$5)),'Cost Overview'!$G$16:$G$35)</f>
        <v>367515.14</v>
      </c>
      <c r="BJ8" s="160">
        <f>BI8+SUMIF('Cost Overview'!$T$16:$T$35,(YEAR(BJ$5)&amp;MONTH(BJ$5)),'Cost Overview'!$G$16:$G$35)</f>
        <v>367515.14</v>
      </c>
      <c r="BK8" s="160">
        <f>BJ8+SUMIF('Cost Overview'!$T$16:$T$35,(YEAR(BK$5)&amp;MONTH(BK$5)),'Cost Overview'!$G$16:$G$35)</f>
        <v>367515.14</v>
      </c>
      <c r="BL8" s="160">
        <f>BK8+SUMIF('Cost Overview'!$T$16:$T$35,(YEAR(BL$5)&amp;MONTH(BL$5)),'Cost Overview'!$G$16:$G$35)</f>
        <v>367515.14</v>
      </c>
      <c r="BN8" s="28"/>
      <c r="BO8" s="28"/>
      <c r="BP8" s="28"/>
      <c r="BQ8" s="28"/>
      <c r="BR8" s="28"/>
      <c r="BS8" s="28"/>
      <c r="BT8" s="28"/>
      <c r="BU8" s="28"/>
      <c r="BV8" s="28"/>
      <c r="BW8" s="28"/>
      <c r="BX8" s="28"/>
      <c r="BY8" s="28"/>
    </row>
    <row r="9" spans="2:77" s="74" customFormat="1" ht="25" customHeight="1" outlineLevel="1" x14ac:dyDescent="0.3">
      <c r="B9" s="285" t="s">
        <v>160</v>
      </c>
      <c r="C9" s="285"/>
      <c r="D9" s="159">
        <f>'Project Infor'!C31</f>
        <v>18375.759999999998</v>
      </c>
      <c r="E9" s="160">
        <f>D9+SUMIF('Cost Overview'!$T$16:$T$35,(YEAR(E$5)&amp;MONTH(E$5)),'Cost Overview'!$I$16:$I$35)</f>
        <v>18375.759999999998</v>
      </c>
      <c r="F9" s="160">
        <f>E9+SUMIF('Cost Overview'!$T$16:$T$35,(YEAR(F$5)&amp;MONTH(F$5)),'Cost Overview'!$I$16:$I$35)</f>
        <v>18375.759999999998</v>
      </c>
      <c r="G9" s="160">
        <f>F9+SUMIF('Cost Overview'!$T$16:$T$35,(YEAR(G$5)&amp;MONTH(G$5)),'Cost Overview'!$I$16:$I$35)</f>
        <v>18375.759999999998</v>
      </c>
      <c r="H9" s="160">
        <f>G9+SUMIF('Cost Overview'!$T$16:$T$35,(YEAR(H$5)&amp;MONTH(H$5)),'Cost Overview'!$I$16:$I$35)</f>
        <v>18375.759999999998</v>
      </c>
      <c r="I9" s="160">
        <f>H9+SUMIF('Cost Overview'!$T$16:$T$35,(YEAR(I$5)&amp;MONTH(I$5)),'Cost Overview'!$I$16:$I$35)</f>
        <v>18375.759999999998</v>
      </c>
      <c r="J9" s="160">
        <f>I9+SUMIF('Cost Overview'!$T$16:$T$35,(YEAR(J$5)&amp;MONTH(J$5)),'Cost Overview'!$I$16:$I$35)</f>
        <v>18375.759999999998</v>
      </c>
      <c r="K9" s="160">
        <f>J9+SUMIF('Cost Overview'!$T$16:$T$35,(YEAR(K$5)&amp;MONTH(K$5)),'Cost Overview'!$I$16:$I$35)</f>
        <v>18375.759999999998</v>
      </c>
      <c r="L9" s="160">
        <f>K9+SUMIF('Cost Overview'!$T$16:$T$35,(YEAR(L$5)&amp;MONTH(L$5)),'Cost Overview'!$I$16:$I$35)</f>
        <v>18375.759999999998</v>
      </c>
      <c r="M9" s="160">
        <f>L9+SUMIF('Cost Overview'!$T$16:$T$35,(YEAR(M$5)&amp;MONTH(M$5)),'Cost Overview'!$I$16:$I$35)</f>
        <v>18375.759999999998</v>
      </c>
      <c r="N9" s="160">
        <f>M9+SUMIF('Cost Overview'!$T$16:$T$35,(YEAR(N$5)&amp;MONTH(N$5)),'Cost Overview'!$I$16:$I$35)</f>
        <v>18375.759999999998</v>
      </c>
      <c r="O9" s="160">
        <f>N9+SUMIF('Cost Overview'!$T$16:$T$35,(YEAR(O$5)&amp;MONTH(O$5)),'Cost Overview'!$I$16:$I$35)</f>
        <v>18375.759999999998</v>
      </c>
      <c r="P9" s="160">
        <f>O9+SUMIF('Cost Overview'!$T$16:$T$35,(YEAR(P$5)&amp;MONTH(P$5)),'Cost Overview'!$I$16:$I$35)</f>
        <v>18375.759999999998</v>
      </c>
      <c r="Q9" s="160">
        <f>P9+SUMIF('Cost Overview'!$T$16:$T$35,(YEAR(Q$5)&amp;MONTH(Q$5)),'Cost Overview'!$I$16:$I$35)</f>
        <v>18375.759999999998</v>
      </c>
      <c r="R9" s="160">
        <f>Q9+SUMIF('Cost Overview'!$T$16:$T$35,(YEAR(R$5)&amp;MONTH(R$5)),'Cost Overview'!$I$16:$I$35)</f>
        <v>18375.759999999998</v>
      </c>
      <c r="S9" s="160">
        <f>R9+SUMIF('Cost Overview'!$T$16:$T$35,(YEAR(S$5)&amp;MONTH(S$5)),'Cost Overview'!$I$16:$I$35)</f>
        <v>18375.759999999998</v>
      </c>
      <c r="T9" s="160">
        <f>S9+SUMIF('Cost Overview'!$T$16:$T$35,(YEAR(T$5)&amp;MONTH(T$5)),'Cost Overview'!$I$16:$I$35)</f>
        <v>18375.759999999998</v>
      </c>
      <c r="U9" s="160">
        <f>T9+SUMIF('Cost Overview'!$T$16:$T$35,(YEAR(U$5)&amp;MONTH(U$5)),'Cost Overview'!$I$16:$I$35)</f>
        <v>18375.759999999998</v>
      </c>
      <c r="V9" s="160">
        <f>U9+SUMIF('Cost Overview'!$T$16:$T$35,(YEAR(V$5)&amp;MONTH(V$5)),'Cost Overview'!$I$16:$I$35)</f>
        <v>18375.759999999998</v>
      </c>
      <c r="W9" s="160">
        <f>V9+SUMIF('Cost Overview'!$T$16:$T$35,(YEAR(W$5)&amp;MONTH(W$5)),'Cost Overview'!$I$16:$I$35)</f>
        <v>18375.759999999998</v>
      </c>
      <c r="X9" s="160">
        <f>W9+SUMIF('Cost Overview'!$T$16:$T$35,(YEAR(X$5)&amp;MONTH(X$5)),'Cost Overview'!$I$16:$I$35)</f>
        <v>18375.759999999998</v>
      </c>
      <c r="Y9" s="160">
        <f>X9+SUMIF('Cost Overview'!$T$16:$T$35,(YEAR(Y$5)&amp;MONTH(Y$5)),'Cost Overview'!$I$16:$I$35)</f>
        <v>18375.759999999998</v>
      </c>
      <c r="Z9" s="160">
        <f>Y9+SUMIF('Cost Overview'!$T$16:$T$35,(YEAR(Z$5)&amp;MONTH(Z$5)),'Cost Overview'!$I$16:$I$35)</f>
        <v>18375.759999999998</v>
      </c>
      <c r="AA9" s="160">
        <f>Z9+SUMIF('Cost Overview'!$T$16:$T$35,(YEAR(AA$5)&amp;MONTH(AA$5)),'Cost Overview'!$I$16:$I$35)</f>
        <v>18375.759999999998</v>
      </c>
      <c r="AB9" s="160">
        <f>AA9+SUMIF('Cost Overview'!$T$16:$T$35,(YEAR(AB$5)&amp;MONTH(AB$5)),'Cost Overview'!$I$16:$I$35)</f>
        <v>18375.759999999998</v>
      </c>
      <c r="AC9" s="160">
        <f>AB9+SUMIF('Cost Overview'!$T$16:$T$35,(YEAR(AC$5)&amp;MONTH(AC$5)),'Cost Overview'!$I$16:$I$35)</f>
        <v>18375.759999999998</v>
      </c>
      <c r="AD9" s="160">
        <f>AC9+SUMIF('Cost Overview'!$T$16:$T$35,(YEAR(AD$5)&amp;MONTH(AD$5)),'Cost Overview'!$I$16:$I$35)</f>
        <v>18375.759999999998</v>
      </c>
      <c r="AE9" s="160">
        <f>AD9+SUMIF('Cost Overview'!$T$16:$T$35,(YEAR(AE$5)&amp;MONTH(AE$5)),'Cost Overview'!$I$16:$I$35)</f>
        <v>18375.759999999998</v>
      </c>
      <c r="AF9" s="160">
        <f>AE9+SUMIF('Cost Overview'!$T$16:$T$35,(YEAR(AF$5)&amp;MONTH(AF$5)),'Cost Overview'!$I$16:$I$35)</f>
        <v>18375.759999999998</v>
      </c>
      <c r="AG9" s="160">
        <f>AF9+SUMIF('Cost Overview'!$T$16:$T$35,(YEAR(AG$5)&amp;MONTH(AG$5)),'Cost Overview'!$I$16:$I$35)</f>
        <v>18375.759999999998</v>
      </c>
      <c r="AH9" s="160">
        <f>AG9+SUMIF('Cost Overview'!$T$16:$T$35,(YEAR(AH$5)&amp;MONTH(AH$5)),'Cost Overview'!$I$16:$I$35)</f>
        <v>18375.759999999998</v>
      </c>
      <c r="AI9" s="160">
        <f>AH9+SUMIF('Cost Overview'!$T$16:$T$35,(YEAR(AI$5)&amp;MONTH(AI$5)),'Cost Overview'!$I$16:$I$35)</f>
        <v>18375.759999999998</v>
      </c>
      <c r="AJ9" s="160">
        <f>AI9+SUMIF('Cost Overview'!$T$16:$T$35,(YEAR(AJ$5)&amp;MONTH(AJ$5)),'Cost Overview'!$I$16:$I$35)</f>
        <v>18375.759999999998</v>
      </c>
      <c r="AK9" s="160">
        <f>AJ9+SUMIF('Cost Overview'!$T$16:$T$35,(YEAR(AK$5)&amp;MONTH(AK$5)),'Cost Overview'!$I$16:$I$35)</f>
        <v>18375.759999999998</v>
      </c>
      <c r="AL9" s="160">
        <f>AK9+SUMIF('Cost Overview'!$T$16:$T$35,(YEAR(AL$5)&amp;MONTH(AL$5)),'Cost Overview'!$I$16:$I$35)</f>
        <v>18375.759999999998</v>
      </c>
      <c r="AM9" s="160">
        <f>AL9+SUMIF('Cost Overview'!$T$16:$T$35,(YEAR(AM$5)&amp;MONTH(AM$5)),'Cost Overview'!$I$16:$I$35)</f>
        <v>18375.759999999998</v>
      </c>
      <c r="AN9" s="160">
        <f>AM9+SUMIF('Cost Overview'!$T$16:$T$35,(YEAR(AN$5)&amp;MONTH(AN$5)),'Cost Overview'!$I$16:$I$35)</f>
        <v>18375.759999999998</v>
      </c>
      <c r="AO9" s="160">
        <f>AN9+SUMIF('Cost Overview'!$T$16:$T$35,(YEAR(AO$5)&amp;MONTH(AO$5)),'Cost Overview'!$I$16:$I$35)</f>
        <v>18375.759999999998</v>
      </c>
      <c r="AP9" s="160">
        <f>AO9+SUMIF('Cost Overview'!$T$16:$T$35,(YEAR(AP$5)&amp;MONTH(AP$5)),'Cost Overview'!$I$16:$I$35)</f>
        <v>18375.759999999998</v>
      </c>
      <c r="AQ9" s="160">
        <f>AP9+SUMIF('Cost Overview'!$T$16:$T$35,(YEAR(AQ$5)&amp;MONTH(AQ$5)),'Cost Overview'!$I$16:$I$35)</f>
        <v>18375.759999999998</v>
      </c>
      <c r="AR9" s="160">
        <f>AQ9+SUMIF('Cost Overview'!$T$16:$T$35,(YEAR(AR$5)&amp;MONTH(AR$5)),'Cost Overview'!$I$16:$I$35)</f>
        <v>18375.759999999998</v>
      </c>
      <c r="AS9" s="160">
        <f>AR9+SUMIF('Cost Overview'!$T$16:$T$35,(YEAR(AS$5)&amp;MONTH(AS$5)),'Cost Overview'!$I$16:$I$35)</f>
        <v>18375.759999999998</v>
      </c>
      <c r="AT9" s="160">
        <f>AS9+SUMIF('Cost Overview'!$T$16:$T$35,(YEAR(AT$5)&amp;MONTH(AT$5)),'Cost Overview'!$I$16:$I$35)</f>
        <v>18375.759999999998</v>
      </c>
      <c r="AU9" s="160">
        <f>AT9+SUMIF('Cost Overview'!$T$16:$T$35,(YEAR(AU$5)&amp;MONTH(AU$5)),'Cost Overview'!$I$16:$I$35)</f>
        <v>18375.759999999998</v>
      </c>
      <c r="AV9" s="160">
        <f>AU9+SUMIF('Cost Overview'!$T$16:$T$35,(YEAR(AV$5)&amp;MONTH(AV$5)),'Cost Overview'!$I$16:$I$35)</f>
        <v>18375.759999999998</v>
      </c>
      <c r="AW9" s="160">
        <f>AV9+SUMIF('Cost Overview'!$T$16:$T$35,(YEAR(AW$5)&amp;MONTH(AW$5)),'Cost Overview'!$I$16:$I$35)</f>
        <v>18375.759999999998</v>
      </c>
      <c r="AX9" s="160">
        <f>AW9+SUMIF('Cost Overview'!$T$16:$T$35,(YEAR(AX$5)&amp;MONTH(AX$5)),'Cost Overview'!$I$16:$I$35)</f>
        <v>18375.759999999998</v>
      </c>
      <c r="AY9" s="160">
        <f>AX9+SUMIF('Cost Overview'!$T$16:$T$35,(YEAR(AY$5)&amp;MONTH(AY$5)),'Cost Overview'!$I$16:$I$35)</f>
        <v>18375.759999999998</v>
      </c>
      <c r="AZ9" s="160">
        <f>AY9+SUMIF('Cost Overview'!$T$16:$T$35,(YEAR(AZ$5)&amp;MONTH(AZ$5)),'Cost Overview'!$I$16:$I$35)</f>
        <v>18375.759999999998</v>
      </c>
      <c r="BA9" s="160">
        <f>AZ9+SUMIF('Cost Overview'!$T$16:$T$35,(YEAR(BA$5)&amp;MONTH(BA$5)),'Cost Overview'!$I$16:$I$35)</f>
        <v>18375.759999999998</v>
      </c>
      <c r="BB9" s="160">
        <f>BA9+SUMIF('Cost Overview'!$T$16:$T$35,(YEAR(BB$5)&amp;MONTH(BB$5)),'Cost Overview'!$I$16:$I$35)</f>
        <v>18375.759999999998</v>
      </c>
      <c r="BC9" s="160">
        <f>BB9+SUMIF('Cost Overview'!$T$16:$T$35,(YEAR(BC$5)&amp;MONTH(BC$5)),'Cost Overview'!$I$16:$I$35)</f>
        <v>18375.759999999998</v>
      </c>
      <c r="BD9" s="160">
        <f>BC9+SUMIF('Cost Overview'!$T$16:$T$35,(YEAR(BD$5)&amp;MONTH(BD$5)),'Cost Overview'!$I$16:$I$35)</f>
        <v>18375.759999999998</v>
      </c>
      <c r="BE9" s="160">
        <f>BD9+SUMIF('Cost Overview'!$T$16:$T$35,(YEAR(BE$5)&amp;MONTH(BE$5)),'Cost Overview'!$I$16:$I$35)</f>
        <v>18375.759999999998</v>
      </c>
      <c r="BF9" s="160">
        <f>BE9+SUMIF('Cost Overview'!$T$16:$T$35,(YEAR(BF$5)&amp;MONTH(BF$5)),'Cost Overview'!$I$16:$I$35)</f>
        <v>18375.759999999998</v>
      </c>
      <c r="BG9" s="160">
        <f>BF9+SUMIF('Cost Overview'!$T$16:$T$35,(YEAR(BG$5)&amp;MONTH(BG$5)),'Cost Overview'!$I$16:$I$35)</f>
        <v>18375.759999999998</v>
      </c>
      <c r="BH9" s="160">
        <f>BG9+SUMIF('Cost Overview'!$T$16:$T$35,(YEAR(BH$5)&amp;MONTH(BH$5)),'Cost Overview'!$I$16:$I$35)</f>
        <v>18375.759999999998</v>
      </c>
      <c r="BI9" s="160">
        <f>BH9+SUMIF('Cost Overview'!$T$16:$T$35,(YEAR(BI$5)&amp;MONTH(BI$5)),'Cost Overview'!$I$16:$I$35)</f>
        <v>18375.759999999998</v>
      </c>
      <c r="BJ9" s="160">
        <f>BI9+SUMIF('Cost Overview'!$T$16:$T$35,(YEAR(BJ$5)&amp;MONTH(BJ$5)),'Cost Overview'!$I$16:$I$35)</f>
        <v>18375.759999999998</v>
      </c>
      <c r="BK9" s="160">
        <f>BJ9+SUMIF('Cost Overview'!$T$16:$T$35,(YEAR(BK$5)&amp;MONTH(BK$5)),'Cost Overview'!$I$16:$I$35)</f>
        <v>18375.759999999998</v>
      </c>
      <c r="BL9" s="160">
        <f>BK9+SUMIF('Cost Overview'!$T$16:$T$35,(YEAR(BL$5)&amp;MONTH(BL$5)),'Cost Overview'!$I$16:$I$35)</f>
        <v>18375.759999999998</v>
      </c>
      <c r="BN9" s="28"/>
      <c r="BO9" s="28"/>
      <c r="BP9" s="28"/>
      <c r="BQ9" s="28"/>
      <c r="BR9" s="28"/>
      <c r="BS9" s="28"/>
      <c r="BT9" s="28"/>
      <c r="BU9" s="28"/>
      <c r="BV9" s="28"/>
      <c r="BW9" s="28"/>
      <c r="BX9" s="28"/>
      <c r="BY9" s="28"/>
    </row>
    <row r="10" spans="2:77" s="74" customFormat="1" ht="25" customHeight="1" outlineLevel="1" x14ac:dyDescent="0.3">
      <c r="B10" s="285" t="s">
        <v>161</v>
      </c>
      <c r="C10" s="285"/>
      <c r="D10" s="159">
        <f>'Project Infor'!C32</f>
        <v>0</v>
      </c>
      <c r="E10" s="160">
        <f>D10+SUMIF('Cost Overview'!$T$16:$T$35,(YEAR(E$5)&amp;MONTH(E$5)),'Cost Overview'!$J$16:$J$35)</f>
        <v>0</v>
      </c>
      <c r="F10" s="160">
        <f>E10+SUMIF('Cost Overview'!$T$16:$T$35,(YEAR(F$5)&amp;MONTH(F$5)),'Cost Overview'!$J$16:$J$35)</f>
        <v>0</v>
      </c>
      <c r="G10" s="160">
        <f>F10+SUMIF('Cost Overview'!$T$16:$T$35,(YEAR(G$5)&amp;MONTH(G$5)),'Cost Overview'!$J$16:$J$35)</f>
        <v>0</v>
      </c>
      <c r="H10" s="160">
        <f>G10+SUMIF('Cost Overview'!$T$16:$T$35,(YEAR(H$5)&amp;MONTH(H$5)),'Cost Overview'!$J$16:$J$35)</f>
        <v>0</v>
      </c>
      <c r="I10" s="160">
        <f>H10+SUMIF('Cost Overview'!$T$16:$T$35,(YEAR(I$5)&amp;MONTH(I$5)),'Cost Overview'!$J$16:$J$35)</f>
        <v>0</v>
      </c>
      <c r="J10" s="160">
        <f>I10+SUMIF('Cost Overview'!$T$16:$T$35,(YEAR(J$5)&amp;MONTH(J$5)),'Cost Overview'!$J$16:$J$35)</f>
        <v>0</v>
      </c>
      <c r="K10" s="160">
        <f>J10+SUMIF('Cost Overview'!$T$16:$T$35,(YEAR(K$5)&amp;MONTH(K$5)),'Cost Overview'!$J$16:$J$35)</f>
        <v>0</v>
      </c>
      <c r="L10" s="160">
        <f>K10+SUMIF('Cost Overview'!$T$16:$T$35,(YEAR(L$5)&amp;MONTH(L$5)),'Cost Overview'!$J$16:$J$35)</f>
        <v>0</v>
      </c>
      <c r="M10" s="160">
        <f>L10+SUMIF('Cost Overview'!$T$16:$T$35,(YEAR(M$5)&amp;MONTH(M$5)),'Cost Overview'!$J$16:$J$35)</f>
        <v>0</v>
      </c>
      <c r="N10" s="160">
        <f>M10+SUMIF('Cost Overview'!$T$16:$T$35,(YEAR(N$5)&amp;MONTH(N$5)),'Cost Overview'!$J$16:$J$35)</f>
        <v>0</v>
      </c>
      <c r="O10" s="160">
        <f>N10+SUMIF('Cost Overview'!$T$16:$T$35,(YEAR(O$5)&amp;MONTH(O$5)),'Cost Overview'!$J$16:$J$35)</f>
        <v>0</v>
      </c>
      <c r="P10" s="160">
        <f>O10+SUMIF('Cost Overview'!$T$16:$T$35,(YEAR(P$5)&amp;MONTH(P$5)),'Cost Overview'!$J$16:$J$35)</f>
        <v>0</v>
      </c>
      <c r="Q10" s="160">
        <f>P10+SUMIF('Cost Overview'!$T$16:$T$35,(YEAR(Q$5)&amp;MONTH(Q$5)),'Cost Overview'!$J$16:$J$35)</f>
        <v>0</v>
      </c>
      <c r="R10" s="160">
        <f>Q10+SUMIF('Cost Overview'!$T$16:$T$35,(YEAR(R$5)&amp;MONTH(R$5)),'Cost Overview'!$J$16:$J$35)</f>
        <v>0</v>
      </c>
      <c r="S10" s="160">
        <f>R10+SUMIF('Cost Overview'!$T$16:$T$35,(YEAR(S$5)&amp;MONTH(S$5)),'Cost Overview'!$J$16:$J$35)</f>
        <v>0</v>
      </c>
      <c r="T10" s="160">
        <f>S10+SUMIF('Cost Overview'!$T$16:$T$35,(YEAR(T$5)&amp;MONTH(T$5)),'Cost Overview'!$J$16:$J$35)</f>
        <v>0</v>
      </c>
      <c r="U10" s="160">
        <f>T10+SUMIF('Cost Overview'!$T$16:$T$35,(YEAR(U$5)&amp;MONTH(U$5)),'Cost Overview'!$J$16:$J$35)</f>
        <v>0</v>
      </c>
      <c r="V10" s="160">
        <f>U10+SUMIF('Cost Overview'!$T$16:$T$35,(YEAR(V$5)&amp;MONTH(V$5)),'Cost Overview'!$J$16:$J$35)</f>
        <v>0</v>
      </c>
      <c r="W10" s="160">
        <f>V10+SUMIF('Cost Overview'!$T$16:$T$35,(YEAR(W$5)&amp;MONTH(W$5)),'Cost Overview'!$J$16:$J$35)</f>
        <v>0</v>
      </c>
      <c r="X10" s="160">
        <f>W10+SUMIF('Cost Overview'!$T$16:$T$35,(YEAR(X$5)&amp;MONTH(X$5)),'Cost Overview'!$J$16:$J$35)</f>
        <v>0</v>
      </c>
      <c r="Y10" s="160">
        <f>X10+SUMIF('Cost Overview'!$T$16:$T$35,(YEAR(Y$5)&amp;MONTH(Y$5)),'Cost Overview'!$J$16:$J$35)</f>
        <v>0</v>
      </c>
      <c r="Z10" s="160">
        <f>Y10+SUMIF('Cost Overview'!$T$16:$T$35,(YEAR(Z$5)&amp;MONTH(Z$5)),'Cost Overview'!$J$16:$J$35)</f>
        <v>0</v>
      </c>
      <c r="AA10" s="160">
        <f>Z10+SUMIF('Cost Overview'!$T$16:$T$35,(YEAR(AA$5)&amp;MONTH(AA$5)),'Cost Overview'!$J$16:$J$35)</f>
        <v>0</v>
      </c>
      <c r="AB10" s="160">
        <f>AA10+SUMIF('Cost Overview'!$T$16:$T$35,(YEAR(AB$5)&amp;MONTH(AB$5)),'Cost Overview'!$J$16:$J$35)</f>
        <v>0</v>
      </c>
      <c r="AC10" s="160">
        <f>AB10+SUMIF('Cost Overview'!$T$16:$T$35,(YEAR(AC$5)&amp;MONTH(AC$5)),'Cost Overview'!$J$16:$J$35)</f>
        <v>0</v>
      </c>
      <c r="AD10" s="160">
        <f>AC10+SUMIF('Cost Overview'!$T$16:$T$35,(YEAR(AD$5)&amp;MONTH(AD$5)),'Cost Overview'!$J$16:$J$35)</f>
        <v>0</v>
      </c>
      <c r="AE10" s="160">
        <f>AD10+SUMIF('Cost Overview'!$T$16:$T$35,(YEAR(AE$5)&amp;MONTH(AE$5)),'Cost Overview'!$J$16:$J$35)</f>
        <v>0</v>
      </c>
      <c r="AF10" s="160">
        <f>AE10+SUMIF('Cost Overview'!$T$16:$T$35,(YEAR(AF$5)&amp;MONTH(AF$5)),'Cost Overview'!$J$16:$J$35)</f>
        <v>0</v>
      </c>
      <c r="AG10" s="160">
        <f>AF10+SUMIF('Cost Overview'!$T$16:$T$35,(YEAR(AG$5)&amp;MONTH(AG$5)),'Cost Overview'!$J$16:$J$35)</f>
        <v>0</v>
      </c>
      <c r="AH10" s="160">
        <f>AG10+SUMIF('Cost Overview'!$T$16:$T$35,(YEAR(AH$5)&amp;MONTH(AH$5)),'Cost Overview'!$J$16:$J$35)</f>
        <v>0</v>
      </c>
      <c r="AI10" s="160">
        <f>AH10+SUMIF('Cost Overview'!$T$16:$T$35,(YEAR(AI$5)&amp;MONTH(AI$5)),'Cost Overview'!$J$16:$J$35)</f>
        <v>0</v>
      </c>
      <c r="AJ10" s="160">
        <f>AI10+SUMIF('Cost Overview'!$T$16:$T$35,(YEAR(AJ$5)&amp;MONTH(AJ$5)),'Cost Overview'!$J$16:$J$35)</f>
        <v>0</v>
      </c>
      <c r="AK10" s="160">
        <f>AJ10+SUMIF('Cost Overview'!$T$16:$T$35,(YEAR(AK$5)&amp;MONTH(AK$5)),'Cost Overview'!$J$16:$J$35)</f>
        <v>0</v>
      </c>
      <c r="AL10" s="160">
        <f>AK10+SUMIF('Cost Overview'!$T$16:$T$35,(YEAR(AL$5)&amp;MONTH(AL$5)),'Cost Overview'!$J$16:$J$35)</f>
        <v>0</v>
      </c>
      <c r="AM10" s="160">
        <f>AL10+SUMIF('Cost Overview'!$T$16:$T$35,(YEAR(AM$5)&amp;MONTH(AM$5)),'Cost Overview'!$J$16:$J$35)</f>
        <v>0</v>
      </c>
      <c r="AN10" s="160">
        <f>AM10+SUMIF('Cost Overview'!$T$16:$T$35,(YEAR(AN$5)&amp;MONTH(AN$5)),'Cost Overview'!$J$16:$J$35)</f>
        <v>0</v>
      </c>
      <c r="AO10" s="160">
        <f>AN10+SUMIF('Cost Overview'!$T$16:$T$35,(YEAR(AO$5)&amp;MONTH(AO$5)),'Cost Overview'!$J$16:$J$35)</f>
        <v>0</v>
      </c>
      <c r="AP10" s="160">
        <f>AO10+SUMIF('Cost Overview'!$T$16:$T$35,(YEAR(AP$5)&amp;MONTH(AP$5)),'Cost Overview'!$J$16:$J$35)</f>
        <v>0</v>
      </c>
      <c r="AQ10" s="160">
        <f>AP10+SUMIF('Cost Overview'!$T$16:$T$35,(YEAR(AQ$5)&amp;MONTH(AQ$5)),'Cost Overview'!$J$16:$J$35)</f>
        <v>0</v>
      </c>
      <c r="AR10" s="160">
        <f>AQ10+SUMIF('Cost Overview'!$T$16:$T$35,(YEAR(AR$5)&amp;MONTH(AR$5)),'Cost Overview'!$J$16:$J$35)</f>
        <v>0</v>
      </c>
      <c r="AS10" s="160">
        <f>AR10+SUMIF('Cost Overview'!$T$16:$T$35,(YEAR(AS$5)&amp;MONTH(AS$5)),'Cost Overview'!$J$16:$J$35)</f>
        <v>0</v>
      </c>
      <c r="AT10" s="160">
        <f>AS10+SUMIF('Cost Overview'!$T$16:$T$35,(YEAR(AT$5)&amp;MONTH(AT$5)),'Cost Overview'!$J$16:$J$35)</f>
        <v>0</v>
      </c>
      <c r="AU10" s="160">
        <f>AT10+SUMIF('Cost Overview'!$T$16:$T$35,(YEAR(AU$5)&amp;MONTH(AU$5)),'Cost Overview'!$J$16:$J$35)</f>
        <v>0</v>
      </c>
      <c r="AV10" s="160">
        <f>AU10+SUMIF('Cost Overview'!$T$16:$T$35,(YEAR(AV$5)&amp;MONTH(AV$5)),'Cost Overview'!$J$16:$J$35)</f>
        <v>0</v>
      </c>
      <c r="AW10" s="160">
        <f>AV10+SUMIF('Cost Overview'!$T$16:$T$35,(YEAR(AW$5)&amp;MONTH(AW$5)),'Cost Overview'!$J$16:$J$35)</f>
        <v>0</v>
      </c>
      <c r="AX10" s="160">
        <f>AW10+SUMIF('Cost Overview'!$T$16:$T$35,(YEAR(AX$5)&amp;MONTH(AX$5)),'Cost Overview'!$J$16:$J$35)</f>
        <v>0</v>
      </c>
      <c r="AY10" s="160">
        <f>AX10+SUMIF('Cost Overview'!$T$16:$T$35,(YEAR(AY$5)&amp;MONTH(AY$5)),'Cost Overview'!$J$16:$J$35)</f>
        <v>0</v>
      </c>
      <c r="AZ10" s="160">
        <f>AY10+SUMIF('Cost Overview'!$T$16:$T$35,(YEAR(AZ$5)&amp;MONTH(AZ$5)),'Cost Overview'!$J$16:$J$35)</f>
        <v>0</v>
      </c>
      <c r="BA10" s="160">
        <f>AZ10+SUMIF('Cost Overview'!$T$16:$T$35,(YEAR(BA$5)&amp;MONTH(BA$5)),'Cost Overview'!$J$16:$J$35)</f>
        <v>0</v>
      </c>
      <c r="BB10" s="160">
        <f>BA10+SUMIF('Cost Overview'!$T$16:$T$35,(YEAR(BB$5)&amp;MONTH(BB$5)),'Cost Overview'!$J$16:$J$35)</f>
        <v>0</v>
      </c>
      <c r="BC10" s="160">
        <f>BB10+SUMIF('Cost Overview'!$T$16:$T$35,(YEAR(BC$5)&amp;MONTH(BC$5)),'Cost Overview'!$J$16:$J$35)</f>
        <v>0</v>
      </c>
      <c r="BD10" s="160">
        <f>BC10+SUMIF('Cost Overview'!$T$16:$T$35,(YEAR(BD$5)&amp;MONTH(BD$5)),'Cost Overview'!$J$16:$J$35)</f>
        <v>0</v>
      </c>
      <c r="BE10" s="160">
        <f>BD10+SUMIF('Cost Overview'!$T$16:$T$35,(YEAR(BE$5)&amp;MONTH(BE$5)),'Cost Overview'!$J$16:$J$35)</f>
        <v>0</v>
      </c>
      <c r="BF10" s="160">
        <f>BE10+SUMIF('Cost Overview'!$T$16:$T$35,(YEAR(BF$5)&amp;MONTH(BF$5)),'Cost Overview'!$J$16:$J$35)</f>
        <v>0</v>
      </c>
      <c r="BG10" s="160">
        <f>BF10+SUMIF('Cost Overview'!$T$16:$T$35,(YEAR(BG$5)&amp;MONTH(BG$5)),'Cost Overview'!$J$16:$J$35)</f>
        <v>0</v>
      </c>
      <c r="BH10" s="160">
        <f>BG10+SUMIF('Cost Overview'!$T$16:$T$35,(YEAR(BH$5)&amp;MONTH(BH$5)),'Cost Overview'!$J$16:$J$35)</f>
        <v>0</v>
      </c>
      <c r="BI10" s="160">
        <f>BH10+SUMIF('Cost Overview'!$T$16:$T$35,(YEAR(BI$5)&amp;MONTH(BI$5)),'Cost Overview'!$J$16:$J$35)</f>
        <v>0</v>
      </c>
      <c r="BJ10" s="160">
        <f>BI10+SUMIF('Cost Overview'!$T$16:$T$35,(YEAR(BJ$5)&amp;MONTH(BJ$5)),'Cost Overview'!$J$16:$J$35)</f>
        <v>0</v>
      </c>
      <c r="BK10" s="160">
        <f>BJ10+SUMIF('Cost Overview'!$T$16:$T$35,(YEAR(BK$5)&amp;MONTH(BK$5)),'Cost Overview'!$J$16:$J$35)</f>
        <v>0</v>
      </c>
      <c r="BL10" s="160">
        <f>BK10+SUMIF('Cost Overview'!$T$16:$T$35,(YEAR(BL$5)&amp;MONTH(BL$5)),'Cost Overview'!$J$16:$J$35)</f>
        <v>0</v>
      </c>
      <c r="BN10" s="28"/>
      <c r="BO10" s="28"/>
      <c r="BP10" s="28"/>
      <c r="BQ10" s="28"/>
      <c r="BR10" s="28"/>
      <c r="BS10" s="28"/>
      <c r="BT10" s="28"/>
      <c r="BU10" s="28"/>
      <c r="BV10" s="28"/>
      <c r="BW10" s="28"/>
      <c r="BX10" s="28"/>
      <c r="BY10" s="28"/>
    </row>
    <row r="11" spans="2:77" s="74" customFormat="1" ht="25" customHeight="1" outlineLevel="1" x14ac:dyDescent="0.3">
      <c r="B11" s="285" t="s">
        <v>162</v>
      </c>
      <c r="C11" s="285"/>
      <c r="D11" s="159">
        <f>'Project Infor'!C33</f>
        <v>7400</v>
      </c>
      <c r="E11" s="160">
        <f>D11+SUMIF('Cost Overview'!$T$16:$T$35,(YEAR(E$5)&amp;MONTH(E$5)),'Cost Overview'!$K$16:$K$35)</f>
        <v>7400</v>
      </c>
      <c r="F11" s="160">
        <f>E11+SUMIF('Cost Overview'!$T$16:$T$35,(YEAR(F$5)&amp;MONTH(F$5)),'Cost Overview'!$K$16:$K$35)</f>
        <v>7400</v>
      </c>
      <c r="G11" s="160">
        <f>F11+SUMIF('Cost Overview'!$T$16:$T$35,(YEAR(G$5)&amp;MONTH(G$5)),'Cost Overview'!$K$16:$K$35)</f>
        <v>7400</v>
      </c>
      <c r="H11" s="160">
        <f>G11+SUMIF('Cost Overview'!$T$16:$T$35,(YEAR(H$5)&amp;MONTH(H$5)),'Cost Overview'!$K$16:$K$35)</f>
        <v>7400</v>
      </c>
      <c r="I11" s="160">
        <f>H11+SUMIF('Cost Overview'!$T$16:$T$35,(YEAR(I$5)&amp;MONTH(I$5)),'Cost Overview'!$K$16:$K$35)</f>
        <v>7400</v>
      </c>
      <c r="J11" s="160">
        <f>I11+SUMIF('Cost Overview'!$T$16:$T$35,(YEAR(J$5)&amp;MONTH(J$5)),'Cost Overview'!$K$16:$K$35)</f>
        <v>7400</v>
      </c>
      <c r="K11" s="160">
        <f>J11+SUMIF('Cost Overview'!$T$16:$T$35,(YEAR(K$5)&amp;MONTH(K$5)),'Cost Overview'!$K$16:$K$35)</f>
        <v>7400</v>
      </c>
      <c r="L11" s="160">
        <f>K11+SUMIF('Cost Overview'!$T$16:$T$35,(YEAR(L$5)&amp;MONTH(L$5)),'Cost Overview'!$K$16:$K$35)</f>
        <v>7400</v>
      </c>
      <c r="M11" s="160">
        <f>L11+SUMIF('Cost Overview'!$T$16:$T$35,(YEAR(M$5)&amp;MONTH(M$5)),'Cost Overview'!$K$16:$K$35)</f>
        <v>7400</v>
      </c>
      <c r="N11" s="160">
        <f>M11+SUMIF('Cost Overview'!$T$16:$T$35,(YEAR(N$5)&amp;MONTH(N$5)),'Cost Overview'!$K$16:$K$35)</f>
        <v>7400</v>
      </c>
      <c r="O11" s="160">
        <f>N11+SUMIF('Cost Overview'!$T$16:$T$35,(YEAR(O$5)&amp;MONTH(O$5)),'Cost Overview'!$K$16:$K$35)</f>
        <v>7400</v>
      </c>
      <c r="P11" s="160">
        <f>O11+SUMIF('Cost Overview'!$T$16:$T$35,(YEAR(P$5)&amp;MONTH(P$5)),'Cost Overview'!$K$16:$K$35)</f>
        <v>7400</v>
      </c>
      <c r="Q11" s="160">
        <f>P11+SUMIF('Cost Overview'!$T$16:$T$35,(YEAR(Q$5)&amp;MONTH(Q$5)),'Cost Overview'!$K$16:$K$35)</f>
        <v>7400</v>
      </c>
      <c r="R11" s="160">
        <f>Q11+SUMIF('Cost Overview'!$T$16:$T$35,(YEAR(R$5)&amp;MONTH(R$5)),'Cost Overview'!$K$16:$K$35)</f>
        <v>7400</v>
      </c>
      <c r="S11" s="160">
        <f>R11+SUMIF('Cost Overview'!$T$16:$T$35,(YEAR(S$5)&amp;MONTH(S$5)),'Cost Overview'!$K$16:$K$35)</f>
        <v>7400</v>
      </c>
      <c r="T11" s="160">
        <f>S11+SUMIF('Cost Overview'!$T$16:$T$35,(YEAR(T$5)&amp;MONTH(T$5)),'Cost Overview'!$K$16:$K$35)</f>
        <v>7400</v>
      </c>
      <c r="U11" s="160">
        <f>T11+SUMIF('Cost Overview'!$T$16:$T$35,(YEAR(U$5)&amp;MONTH(U$5)),'Cost Overview'!$K$16:$K$35)</f>
        <v>7400</v>
      </c>
      <c r="V11" s="160">
        <f>U11+SUMIF('Cost Overview'!$T$16:$T$35,(YEAR(V$5)&amp;MONTH(V$5)),'Cost Overview'!$K$16:$K$35)</f>
        <v>7400</v>
      </c>
      <c r="W11" s="160">
        <f>V11+SUMIF('Cost Overview'!$T$16:$T$35,(YEAR(W$5)&amp;MONTH(W$5)),'Cost Overview'!$K$16:$K$35)</f>
        <v>7400</v>
      </c>
      <c r="X11" s="160">
        <f>W11+SUMIF('Cost Overview'!$T$16:$T$35,(YEAR(X$5)&amp;MONTH(X$5)),'Cost Overview'!$K$16:$K$35)</f>
        <v>7400</v>
      </c>
      <c r="Y11" s="160">
        <f>X11+SUMIF('Cost Overview'!$T$16:$T$35,(YEAR(Y$5)&amp;MONTH(Y$5)),'Cost Overview'!$K$16:$K$35)</f>
        <v>7400</v>
      </c>
      <c r="Z11" s="160">
        <f>Y11+SUMIF('Cost Overview'!$T$16:$T$35,(YEAR(Z$5)&amp;MONTH(Z$5)),'Cost Overview'!$K$16:$K$35)</f>
        <v>7400</v>
      </c>
      <c r="AA11" s="160">
        <f>Z11+SUMIF('Cost Overview'!$T$16:$T$35,(YEAR(AA$5)&amp;MONTH(AA$5)),'Cost Overview'!$K$16:$K$35)</f>
        <v>7400</v>
      </c>
      <c r="AB11" s="160">
        <f>AA11+SUMIF('Cost Overview'!$T$16:$T$35,(YEAR(AB$5)&amp;MONTH(AB$5)),'Cost Overview'!$K$16:$K$35)</f>
        <v>7400</v>
      </c>
      <c r="AC11" s="160">
        <f>AB11+SUMIF('Cost Overview'!$T$16:$T$35,(YEAR(AC$5)&amp;MONTH(AC$5)),'Cost Overview'!$K$16:$K$35)</f>
        <v>7400</v>
      </c>
      <c r="AD11" s="160">
        <f>AC11+SUMIF('Cost Overview'!$T$16:$T$35,(YEAR(AD$5)&amp;MONTH(AD$5)),'Cost Overview'!$K$16:$K$35)</f>
        <v>7400</v>
      </c>
      <c r="AE11" s="160">
        <f>AD11+SUMIF('Cost Overview'!$T$16:$T$35,(YEAR(AE$5)&amp;MONTH(AE$5)),'Cost Overview'!$K$16:$K$35)</f>
        <v>7400</v>
      </c>
      <c r="AF11" s="160">
        <f>AE11+SUMIF('Cost Overview'!$T$16:$T$35,(YEAR(AF$5)&amp;MONTH(AF$5)),'Cost Overview'!$K$16:$K$35)</f>
        <v>7400</v>
      </c>
      <c r="AG11" s="160">
        <f>AF11+SUMIF('Cost Overview'!$T$16:$T$35,(YEAR(AG$5)&amp;MONTH(AG$5)),'Cost Overview'!$K$16:$K$35)</f>
        <v>7400</v>
      </c>
      <c r="AH11" s="160">
        <f>AG11+SUMIF('Cost Overview'!$T$16:$T$35,(YEAR(AH$5)&amp;MONTH(AH$5)),'Cost Overview'!$K$16:$K$35)</f>
        <v>7400</v>
      </c>
      <c r="AI11" s="160">
        <f>AH11+SUMIF('Cost Overview'!$T$16:$T$35,(YEAR(AI$5)&amp;MONTH(AI$5)),'Cost Overview'!$K$16:$K$35)</f>
        <v>7400</v>
      </c>
      <c r="AJ11" s="160">
        <f>AI11+SUMIF('Cost Overview'!$T$16:$T$35,(YEAR(AJ$5)&amp;MONTH(AJ$5)),'Cost Overview'!$K$16:$K$35)</f>
        <v>7400</v>
      </c>
      <c r="AK11" s="160">
        <f>AJ11+SUMIF('Cost Overview'!$T$16:$T$35,(YEAR(AK$5)&amp;MONTH(AK$5)),'Cost Overview'!$K$16:$K$35)</f>
        <v>7400</v>
      </c>
      <c r="AL11" s="160">
        <f>AK11+SUMIF('Cost Overview'!$T$16:$T$35,(YEAR(AL$5)&amp;MONTH(AL$5)),'Cost Overview'!$K$16:$K$35)</f>
        <v>7400</v>
      </c>
      <c r="AM11" s="160">
        <f>AL11+SUMIF('Cost Overview'!$T$16:$T$35,(YEAR(AM$5)&amp;MONTH(AM$5)),'Cost Overview'!$K$16:$K$35)</f>
        <v>7400</v>
      </c>
      <c r="AN11" s="160">
        <f>AM11+SUMIF('Cost Overview'!$T$16:$T$35,(YEAR(AN$5)&amp;MONTH(AN$5)),'Cost Overview'!$K$16:$K$35)</f>
        <v>7400</v>
      </c>
      <c r="AO11" s="160">
        <f>AN11+SUMIF('Cost Overview'!$T$16:$T$35,(YEAR(AO$5)&amp;MONTH(AO$5)),'Cost Overview'!$K$16:$K$35)</f>
        <v>7400</v>
      </c>
      <c r="AP11" s="160">
        <f>AO11+SUMIF('Cost Overview'!$T$16:$T$35,(YEAR(AP$5)&amp;MONTH(AP$5)),'Cost Overview'!$K$16:$K$35)</f>
        <v>7400</v>
      </c>
      <c r="AQ11" s="160">
        <f>AP11+SUMIF('Cost Overview'!$T$16:$T$35,(YEAR(AQ$5)&amp;MONTH(AQ$5)),'Cost Overview'!$K$16:$K$35)</f>
        <v>7400</v>
      </c>
      <c r="AR11" s="160">
        <f>AQ11+SUMIF('Cost Overview'!$T$16:$T$35,(YEAR(AR$5)&amp;MONTH(AR$5)),'Cost Overview'!$K$16:$K$35)</f>
        <v>7400</v>
      </c>
      <c r="AS11" s="160">
        <f>AR11+SUMIF('Cost Overview'!$T$16:$T$35,(YEAR(AS$5)&amp;MONTH(AS$5)),'Cost Overview'!$K$16:$K$35)</f>
        <v>7400</v>
      </c>
      <c r="AT11" s="160">
        <f>AS11+SUMIF('Cost Overview'!$T$16:$T$35,(YEAR(AT$5)&amp;MONTH(AT$5)),'Cost Overview'!$K$16:$K$35)</f>
        <v>7400</v>
      </c>
      <c r="AU11" s="160">
        <f>AT11+SUMIF('Cost Overview'!$T$16:$T$35,(YEAR(AU$5)&amp;MONTH(AU$5)),'Cost Overview'!$K$16:$K$35)</f>
        <v>7400</v>
      </c>
      <c r="AV11" s="160">
        <f>AU11+SUMIF('Cost Overview'!$T$16:$T$35,(YEAR(AV$5)&amp;MONTH(AV$5)),'Cost Overview'!$K$16:$K$35)</f>
        <v>7400</v>
      </c>
      <c r="AW11" s="160">
        <f>AV11+SUMIF('Cost Overview'!$T$16:$T$35,(YEAR(AW$5)&amp;MONTH(AW$5)),'Cost Overview'!$K$16:$K$35)</f>
        <v>7400</v>
      </c>
      <c r="AX11" s="160">
        <f>AW11+SUMIF('Cost Overview'!$T$16:$T$35,(YEAR(AX$5)&amp;MONTH(AX$5)),'Cost Overview'!$K$16:$K$35)</f>
        <v>7400</v>
      </c>
      <c r="AY11" s="160">
        <f>AX11+SUMIF('Cost Overview'!$T$16:$T$35,(YEAR(AY$5)&amp;MONTH(AY$5)),'Cost Overview'!$K$16:$K$35)</f>
        <v>7400</v>
      </c>
      <c r="AZ11" s="160">
        <f>AY11+SUMIF('Cost Overview'!$T$16:$T$35,(YEAR(AZ$5)&amp;MONTH(AZ$5)),'Cost Overview'!$K$16:$K$35)</f>
        <v>7400</v>
      </c>
      <c r="BA11" s="160">
        <f>AZ11+SUMIF('Cost Overview'!$T$16:$T$35,(YEAR(BA$5)&amp;MONTH(BA$5)),'Cost Overview'!$K$16:$K$35)</f>
        <v>7400</v>
      </c>
      <c r="BB11" s="160">
        <f>BA11+SUMIF('Cost Overview'!$T$16:$T$35,(YEAR(BB$5)&amp;MONTH(BB$5)),'Cost Overview'!$K$16:$K$35)</f>
        <v>7400</v>
      </c>
      <c r="BC11" s="160">
        <f>BB11+SUMIF('Cost Overview'!$T$16:$T$35,(YEAR(BC$5)&amp;MONTH(BC$5)),'Cost Overview'!$K$16:$K$35)</f>
        <v>7400</v>
      </c>
      <c r="BD11" s="160">
        <f>BC11+SUMIF('Cost Overview'!$T$16:$T$35,(YEAR(BD$5)&amp;MONTH(BD$5)),'Cost Overview'!$K$16:$K$35)</f>
        <v>7400</v>
      </c>
      <c r="BE11" s="160">
        <f>BD11+SUMIF('Cost Overview'!$T$16:$T$35,(YEAR(BE$5)&amp;MONTH(BE$5)),'Cost Overview'!$K$16:$K$35)</f>
        <v>7400</v>
      </c>
      <c r="BF11" s="160">
        <f>BE11+SUMIF('Cost Overview'!$T$16:$T$35,(YEAR(BF$5)&amp;MONTH(BF$5)),'Cost Overview'!$K$16:$K$35)</f>
        <v>7400</v>
      </c>
      <c r="BG11" s="160">
        <f>BF11+SUMIF('Cost Overview'!$T$16:$T$35,(YEAR(BG$5)&amp;MONTH(BG$5)),'Cost Overview'!$K$16:$K$35)</f>
        <v>7400</v>
      </c>
      <c r="BH11" s="160">
        <f>BG11+SUMIF('Cost Overview'!$T$16:$T$35,(YEAR(BH$5)&amp;MONTH(BH$5)),'Cost Overview'!$K$16:$K$35)</f>
        <v>7400</v>
      </c>
      <c r="BI11" s="160">
        <f>BH11+SUMIF('Cost Overview'!$T$16:$T$35,(YEAR(BI$5)&amp;MONTH(BI$5)),'Cost Overview'!$K$16:$K$35)</f>
        <v>7400</v>
      </c>
      <c r="BJ11" s="160">
        <f>BI11+SUMIF('Cost Overview'!$T$16:$T$35,(YEAR(BJ$5)&amp;MONTH(BJ$5)),'Cost Overview'!$K$16:$K$35)</f>
        <v>7400</v>
      </c>
      <c r="BK11" s="160">
        <f>BJ11+SUMIF('Cost Overview'!$T$16:$T$35,(YEAR(BK$5)&amp;MONTH(BK$5)),'Cost Overview'!$K$16:$K$35)</f>
        <v>7400</v>
      </c>
      <c r="BL11" s="160">
        <f>BK11+SUMIF('Cost Overview'!$T$16:$T$35,(YEAR(BL$5)&amp;MONTH(BL$5)),'Cost Overview'!$K$16:$K$35)</f>
        <v>7400</v>
      </c>
    </row>
    <row r="12" spans="2:77" s="74" customFormat="1" ht="25" customHeight="1" outlineLevel="1" x14ac:dyDescent="0.3">
      <c r="B12" s="285" t="s">
        <v>163</v>
      </c>
      <c r="C12" s="285"/>
      <c r="D12" s="159">
        <f>'Project Infor'!C34</f>
        <v>40000</v>
      </c>
      <c r="E12" s="160">
        <f>D12+SUMIF('Cost Overview'!$T$16:$T$35,(YEAR(E$5)&amp;MONTH(E$5)),'Cost Overview'!$L$16:$L$35)</f>
        <v>40000</v>
      </c>
      <c r="F12" s="160">
        <f>E12+SUMIF('Cost Overview'!$T$16:$T$35,(YEAR(F$5)&amp;MONTH(F$5)),'Cost Overview'!$L$16:$L$35)</f>
        <v>40000</v>
      </c>
      <c r="G12" s="160">
        <f>F12+SUMIF('Cost Overview'!$T$16:$T$35,(YEAR(G$5)&amp;MONTH(G$5)),'Cost Overview'!$L$16:$L$35)</f>
        <v>40000</v>
      </c>
      <c r="H12" s="160">
        <f>G12+SUMIF('Cost Overview'!$T$16:$T$35,(YEAR(H$5)&amp;MONTH(H$5)),'Cost Overview'!$L$16:$L$35)</f>
        <v>40000</v>
      </c>
      <c r="I12" s="160">
        <f>H12+SUMIF('Cost Overview'!$T$16:$T$35,(YEAR(I$5)&amp;MONTH(I$5)),'Cost Overview'!$L$16:$L$35)</f>
        <v>40000</v>
      </c>
      <c r="J12" s="160">
        <f>I12+SUMIF('Cost Overview'!$T$16:$T$35,(YEAR(J$5)&amp;MONTH(J$5)),'Cost Overview'!$L$16:$L$35)</f>
        <v>40000</v>
      </c>
      <c r="K12" s="160">
        <f>J12+SUMIF('Cost Overview'!$T$16:$T$35,(YEAR(K$5)&amp;MONTH(K$5)),'Cost Overview'!$L$16:$L$35)</f>
        <v>40000</v>
      </c>
      <c r="L12" s="160">
        <f>K12+SUMIF('Cost Overview'!$T$16:$T$35,(YEAR(L$5)&amp;MONTH(L$5)),'Cost Overview'!$L$16:$L$35)</f>
        <v>40000</v>
      </c>
      <c r="M12" s="160">
        <f>L12+SUMIF('Cost Overview'!$T$16:$T$35,(YEAR(M$5)&amp;MONTH(M$5)),'Cost Overview'!$L$16:$L$35)</f>
        <v>40000</v>
      </c>
      <c r="N12" s="160">
        <f>M12+SUMIF('Cost Overview'!$T$16:$T$35,(YEAR(N$5)&amp;MONTH(N$5)),'Cost Overview'!$L$16:$L$35)</f>
        <v>40000</v>
      </c>
      <c r="O12" s="160">
        <f>N12+SUMIF('Cost Overview'!$T$16:$T$35,(YEAR(O$5)&amp;MONTH(O$5)),'Cost Overview'!$L$16:$L$35)</f>
        <v>40000</v>
      </c>
      <c r="P12" s="160">
        <f>O12+SUMIF('Cost Overview'!$T$16:$T$35,(YEAR(P$5)&amp;MONTH(P$5)),'Cost Overview'!$L$16:$L$35)</f>
        <v>40000</v>
      </c>
      <c r="Q12" s="160">
        <f>P12+SUMIF('Cost Overview'!$T$16:$T$35,(YEAR(Q$5)&amp;MONTH(Q$5)),'Cost Overview'!$L$16:$L$35)</f>
        <v>40000</v>
      </c>
      <c r="R12" s="160">
        <f>Q12+SUMIF('Cost Overview'!$T$16:$T$35,(YEAR(R$5)&amp;MONTH(R$5)),'Cost Overview'!$L$16:$L$35)</f>
        <v>40000</v>
      </c>
      <c r="S12" s="160">
        <f>R12+SUMIF('Cost Overview'!$T$16:$T$35,(YEAR(S$5)&amp;MONTH(S$5)),'Cost Overview'!$L$16:$L$35)</f>
        <v>40000</v>
      </c>
      <c r="T12" s="160">
        <f>S12+SUMIF('Cost Overview'!$T$16:$T$35,(YEAR(T$5)&amp;MONTH(T$5)),'Cost Overview'!$L$16:$L$35)</f>
        <v>40000</v>
      </c>
      <c r="U12" s="160">
        <f>T12+SUMIF('Cost Overview'!$T$16:$T$35,(YEAR(U$5)&amp;MONTH(U$5)),'Cost Overview'!$L$16:$L$35)</f>
        <v>40000</v>
      </c>
      <c r="V12" s="160">
        <f>U12+SUMIF('Cost Overview'!$T$16:$T$35,(YEAR(V$5)&amp;MONTH(V$5)),'Cost Overview'!$L$16:$L$35)</f>
        <v>40000</v>
      </c>
      <c r="W12" s="160">
        <f>V12+SUMIF('Cost Overview'!$T$16:$T$35,(YEAR(W$5)&amp;MONTH(W$5)),'Cost Overview'!$L$16:$L$35)</f>
        <v>40000</v>
      </c>
      <c r="X12" s="160">
        <f>W12+SUMIF('Cost Overview'!$T$16:$T$35,(YEAR(X$5)&amp;MONTH(X$5)),'Cost Overview'!$L$16:$L$35)</f>
        <v>40000</v>
      </c>
      <c r="Y12" s="160">
        <f>X12+SUMIF('Cost Overview'!$T$16:$T$35,(YEAR(Y$5)&amp;MONTH(Y$5)),'Cost Overview'!$L$16:$L$35)</f>
        <v>40000</v>
      </c>
      <c r="Z12" s="160">
        <f>Y12+SUMIF('Cost Overview'!$T$16:$T$35,(YEAR(Z$5)&amp;MONTH(Z$5)),'Cost Overview'!$L$16:$L$35)</f>
        <v>40000</v>
      </c>
      <c r="AA12" s="160">
        <f>Z12+SUMIF('Cost Overview'!$T$16:$T$35,(YEAR(AA$5)&amp;MONTH(AA$5)),'Cost Overview'!$L$16:$L$35)</f>
        <v>40000</v>
      </c>
      <c r="AB12" s="160">
        <f>AA12+SUMIF('Cost Overview'!$T$16:$T$35,(YEAR(AB$5)&amp;MONTH(AB$5)),'Cost Overview'!$L$16:$L$35)</f>
        <v>40000</v>
      </c>
      <c r="AC12" s="160">
        <f>AB12+SUMIF('Cost Overview'!$T$16:$T$35,(YEAR(AC$5)&amp;MONTH(AC$5)),'Cost Overview'!$L$16:$L$35)</f>
        <v>40000</v>
      </c>
      <c r="AD12" s="160">
        <f>AC12+SUMIF('Cost Overview'!$T$16:$T$35,(YEAR(AD$5)&amp;MONTH(AD$5)),'Cost Overview'!$L$16:$L$35)</f>
        <v>40000</v>
      </c>
      <c r="AE12" s="160">
        <f>AD12+SUMIF('Cost Overview'!$T$16:$T$35,(YEAR(AE$5)&amp;MONTH(AE$5)),'Cost Overview'!$L$16:$L$35)</f>
        <v>40000</v>
      </c>
      <c r="AF12" s="160">
        <f>AE12+SUMIF('Cost Overview'!$T$16:$T$35,(YEAR(AF$5)&amp;MONTH(AF$5)),'Cost Overview'!$L$16:$L$35)</f>
        <v>40000</v>
      </c>
      <c r="AG12" s="160">
        <f>AF12+SUMIF('Cost Overview'!$T$16:$T$35,(YEAR(AG$5)&amp;MONTH(AG$5)),'Cost Overview'!$L$16:$L$35)</f>
        <v>40000</v>
      </c>
      <c r="AH12" s="160">
        <f>AG12+SUMIF('Cost Overview'!$T$16:$T$35,(YEAR(AH$5)&amp;MONTH(AH$5)),'Cost Overview'!$L$16:$L$35)</f>
        <v>40000</v>
      </c>
      <c r="AI12" s="160">
        <f>AH12+SUMIF('Cost Overview'!$T$16:$T$35,(YEAR(AI$5)&amp;MONTH(AI$5)),'Cost Overview'!$L$16:$L$35)</f>
        <v>40000</v>
      </c>
      <c r="AJ12" s="160">
        <f>AI12+SUMIF('Cost Overview'!$T$16:$T$35,(YEAR(AJ$5)&amp;MONTH(AJ$5)),'Cost Overview'!$L$16:$L$35)</f>
        <v>40000</v>
      </c>
      <c r="AK12" s="160">
        <f>AJ12+SUMIF('Cost Overview'!$T$16:$T$35,(YEAR(AK$5)&amp;MONTH(AK$5)),'Cost Overview'!$L$16:$L$35)</f>
        <v>40000</v>
      </c>
      <c r="AL12" s="160">
        <f>AK12+SUMIF('Cost Overview'!$T$16:$T$35,(YEAR(AL$5)&amp;MONTH(AL$5)),'Cost Overview'!$L$16:$L$35)</f>
        <v>40000</v>
      </c>
      <c r="AM12" s="160">
        <f>AL12+SUMIF('Cost Overview'!$T$16:$T$35,(YEAR(AM$5)&amp;MONTH(AM$5)),'Cost Overview'!$L$16:$L$35)</f>
        <v>40000</v>
      </c>
      <c r="AN12" s="160">
        <f>AM12+SUMIF('Cost Overview'!$T$16:$T$35,(YEAR(AN$5)&amp;MONTH(AN$5)),'Cost Overview'!$L$16:$L$35)</f>
        <v>40000</v>
      </c>
      <c r="AO12" s="160">
        <f>AN12+SUMIF('Cost Overview'!$T$16:$T$35,(YEAR(AO$5)&amp;MONTH(AO$5)),'Cost Overview'!$L$16:$L$35)</f>
        <v>40000</v>
      </c>
      <c r="AP12" s="160">
        <f>AO12+SUMIF('Cost Overview'!$T$16:$T$35,(YEAR(AP$5)&amp;MONTH(AP$5)),'Cost Overview'!$L$16:$L$35)</f>
        <v>40000</v>
      </c>
      <c r="AQ12" s="160">
        <f>AP12+SUMIF('Cost Overview'!$T$16:$T$35,(YEAR(AQ$5)&amp;MONTH(AQ$5)),'Cost Overview'!$L$16:$L$35)</f>
        <v>40000</v>
      </c>
      <c r="AR12" s="160">
        <f>AQ12+SUMIF('Cost Overview'!$T$16:$T$35,(YEAR(AR$5)&amp;MONTH(AR$5)),'Cost Overview'!$L$16:$L$35)</f>
        <v>40000</v>
      </c>
      <c r="AS12" s="160">
        <f>AR12+SUMIF('Cost Overview'!$T$16:$T$35,(YEAR(AS$5)&amp;MONTH(AS$5)),'Cost Overview'!$L$16:$L$35)</f>
        <v>40000</v>
      </c>
      <c r="AT12" s="160">
        <f>AS12+SUMIF('Cost Overview'!$T$16:$T$35,(YEAR(AT$5)&amp;MONTH(AT$5)),'Cost Overview'!$L$16:$L$35)</f>
        <v>40000</v>
      </c>
      <c r="AU12" s="160">
        <f>AT12+SUMIF('Cost Overview'!$T$16:$T$35,(YEAR(AU$5)&amp;MONTH(AU$5)),'Cost Overview'!$L$16:$L$35)</f>
        <v>40000</v>
      </c>
      <c r="AV12" s="160">
        <f>AU12+SUMIF('Cost Overview'!$T$16:$T$35,(YEAR(AV$5)&amp;MONTH(AV$5)),'Cost Overview'!$L$16:$L$35)</f>
        <v>40000</v>
      </c>
      <c r="AW12" s="160">
        <f>AV12+SUMIF('Cost Overview'!$T$16:$T$35,(YEAR(AW$5)&amp;MONTH(AW$5)),'Cost Overview'!$L$16:$L$35)</f>
        <v>40000</v>
      </c>
      <c r="AX12" s="160">
        <f>AW12+SUMIF('Cost Overview'!$T$16:$T$35,(YEAR(AX$5)&amp;MONTH(AX$5)),'Cost Overview'!$L$16:$L$35)</f>
        <v>40000</v>
      </c>
      <c r="AY12" s="160">
        <f>AX12+SUMIF('Cost Overview'!$T$16:$T$35,(YEAR(AY$5)&amp;MONTH(AY$5)),'Cost Overview'!$L$16:$L$35)</f>
        <v>40000</v>
      </c>
      <c r="AZ12" s="160">
        <f>AY12+SUMIF('Cost Overview'!$T$16:$T$35,(YEAR(AZ$5)&amp;MONTH(AZ$5)),'Cost Overview'!$L$16:$L$35)</f>
        <v>40000</v>
      </c>
      <c r="BA12" s="160">
        <f>AZ12+SUMIF('Cost Overview'!$T$16:$T$35,(YEAR(BA$5)&amp;MONTH(BA$5)),'Cost Overview'!$L$16:$L$35)</f>
        <v>40000</v>
      </c>
      <c r="BB12" s="160">
        <f>BA12+SUMIF('Cost Overview'!$T$16:$T$35,(YEAR(BB$5)&amp;MONTH(BB$5)),'Cost Overview'!$L$16:$L$35)</f>
        <v>40000</v>
      </c>
      <c r="BC12" s="160">
        <f>BB12+SUMIF('Cost Overview'!$T$16:$T$35,(YEAR(BC$5)&amp;MONTH(BC$5)),'Cost Overview'!$L$16:$L$35)</f>
        <v>40000</v>
      </c>
      <c r="BD12" s="160">
        <f>BC12+SUMIF('Cost Overview'!$T$16:$T$35,(YEAR(BD$5)&amp;MONTH(BD$5)),'Cost Overview'!$L$16:$L$35)</f>
        <v>40000</v>
      </c>
      <c r="BE12" s="160">
        <f>BD12+SUMIF('Cost Overview'!$T$16:$T$35,(YEAR(BE$5)&amp;MONTH(BE$5)),'Cost Overview'!$L$16:$L$35)</f>
        <v>40000</v>
      </c>
      <c r="BF12" s="160">
        <f>BE12+SUMIF('Cost Overview'!$T$16:$T$35,(YEAR(BF$5)&amp;MONTH(BF$5)),'Cost Overview'!$L$16:$L$35)</f>
        <v>40000</v>
      </c>
      <c r="BG12" s="160">
        <f>BF12+SUMIF('Cost Overview'!$T$16:$T$35,(YEAR(BG$5)&amp;MONTH(BG$5)),'Cost Overview'!$L$16:$L$35)</f>
        <v>40000</v>
      </c>
      <c r="BH12" s="160">
        <f>BG12+SUMIF('Cost Overview'!$T$16:$T$35,(YEAR(BH$5)&amp;MONTH(BH$5)),'Cost Overview'!$L$16:$L$35)</f>
        <v>40000</v>
      </c>
      <c r="BI12" s="160">
        <f>BH12+SUMIF('Cost Overview'!$T$16:$T$35,(YEAR(BI$5)&amp;MONTH(BI$5)),'Cost Overview'!$L$16:$L$35)</f>
        <v>40000</v>
      </c>
      <c r="BJ12" s="160">
        <f>BI12+SUMIF('Cost Overview'!$T$16:$T$35,(YEAR(BJ$5)&amp;MONTH(BJ$5)),'Cost Overview'!$L$16:$L$35)</f>
        <v>40000</v>
      </c>
      <c r="BK12" s="160">
        <f>BJ12+SUMIF('Cost Overview'!$T$16:$T$35,(YEAR(BK$5)&amp;MONTH(BK$5)),'Cost Overview'!$L$16:$L$35)</f>
        <v>40000</v>
      </c>
      <c r="BL12" s="160">
        <f>BK12+SUMIF('Cost Overview'!$T$16:$T$35,(YEAR(BL$5)&amp;MONTH(BL$5)),'Cost Overview'!$L$16:$L$35)</f>
        <v>40000</v>
      </c>
    </row>
    <row r="13" spans="2:77" s="74" customFormat="1" ht="25" customHeight="1" x14ac:dyDescent="0.3">
      <c r="B13" s="285" t="s">
        <v>65</v>
      </c>
      <c r="C13" s="285"/>
      <c r="D13" s="159">
        <f>SUM(D8:D12)</f>
        <v>433290.9</v>
      </c>
      <c r="E13" s="159">
        <f t="shared" ref="E13:N13" si="39">SUM(E8:E12)</f>
        <v>433290.9</v>
      </c>
      <c r="F13" s="159">
        <f t="shared" si="39"/>
        <v>433290.9</v>
      </c>
      <c r="G13" s="159">
        <f t="shared" si="39"/>
        <v>433290.9</v>
      </c>
      <c r="H13" s="159">
        <f t="shared" si="39"/>
        <v>433290.9</v>
      </c>
      <c r="I13" s="159">
        <f t="shared" si="39"/>
        <v>433290.9</v>
      </c>
      <c r="J13" s="159">
        <f t="shared" si="39"/>
        <v>433290.9</v>
      </c>
      <c r="K13" s="159">
        <f t="shared" si="39"/>
        <v>433290.9</v>
      </c>
      <c r="L13" s="159">
        <f>SUM(L8:L12)</f>
        <v>433290.9</v>
      </c>
      <c r="M13" s="159">
        <f t="shared" si="39"/>
        <v>433290.9</v>
      </c>
      <c r="N13" s="159">
        <f t="shared" si="39"/>
        <v>433290.9</v>
      </c>
      <c r="O13" s="159">
        <f t="shared" ref="O13" si="40">SUM(O8:O12)</f>
        <v>433290.9</v>
      </c>
      <c r="P13" s="159">
        <f t="shared" ref="P13" si="41">SUM(P8:P12)</f>
        <v>433290.9</v>
      </c>
      <c r="Q13" s="159">
        <f t="shared" ref="Q13" si="42">SUM(Q8:Q12)</f>
        <v>433290.9</v>
      </c>
      <c r="R13" s="159">
        <f t="shared" ref="R13" si="43">SUM(R8:R12)</f>
        <v>433290.9</v>
      </c>
      <c r="S13" s="159">
        <f t="shared" ref="S13" si="44">SUM(S8:S12)</f>
        <v>433290.9</v>
      </c>
      <c r="T13" s="159">
        <f t="shared" ref="T13" si="45">SUM(T8:T12)</f>
        <v>433290.9</v>
      </c>
      <c r="U13" s="159">
        <f t="shared" ref="U13" si="46">SUM(U8:U12)</f>
        <v>433290.9</v>
      </c>
      <c r="V13" s="159">
        <f t="shared" ref="V13" si="47">SUM(V8:V12)</f>
        <v>433290.9</v>
      </c>
      <c r="W13" s="159">
        <f t="shared" ref="W13" si="48">SUM(W8:W12)</f>
        <v>433290.9</v>
      </c>
      <c r="X13" s="159">
        <f t="shared" ref="X13" si="49">SUM(X8:X12)</f>
        <v>433290.9</v>
      </c>
      <c r="Y13" s="159">
        <f t="shared" ref="Y13" si="50">SUM(Y8:Y12)</f>
        <v>433290.9</v>
      </c>
      <c r="Z13" s="159">
        <f t="shared" ref="Z13" si="51">SUM(Z8:Z12)</f>
        <v>433290.9</v>
      </c>
      <c r="AA13" s="159">
        <f t="shared" ref="AA13:AB13" si="52">SUM(AA8:AA12)</f>
        <v>433290.9</v>
      </c>
      <c r="AB13" s="159">
        <f t="shared" si="52"/>
        <v>433290.9</v>
      </c>
      <c r="AC13" s="159">
        <f t="shared" ref="AC13:BL13" si="53">SUM(AC8:AC12)</f>
        <v>433290.9</v>
      </c>
      <c r="AD13" s="159">
        <f t="shared" si="53"/>
        <v>433290.9</v>
      </c>
      <c r="AE13" s="159">
        <f t="shared" si="53"/>
        <v>433290.9</v>
      </c>
      <c r="AF13" s="159">
        <f t="shared" si="53"/>
        <v>433290.9</v>
      </c>
      <c r="AG13" s="159">
        <f t="shared" si="53"/>
        <v>433290.9</v>
      </c>
      <c r="AH13" s="159">
        <f t="shared" si="53"/>
        <v>433290.9</v>
      </c>
      <c r="AI13" s="159">
        <f t="shared" si="53"/>
        <v>433290.9</v>
      </c>
      <c r="AJ13" s="159">
        <f t="shared" si="53"/>
        <v>433290.9</v>
      </c>
      <c r="AK13" s="159">
        <f t="shared" si="53"/>
        <v>433290.9</v>
      </c>
      <c r="AL13" s="159">
        <f t="shared" si="53"/>
        <v>433290.9</v>
      </c>
      <c r="AM13" s="159">
        <f t="shared" si="53"/>
        <v>433290.9</v>
      </c>
      <c r="AN13" s="159">
        <f t="shared" si="53"/>
        <v>433290.9</v>
      </c>
      <c r="AO13" s="159">
        <f t="shared" si="53"/>
        <v>433290.9</v>
      </c>
      <c r="AP13" s="159">
        <f t="shared" si="53"/>
        <v>433290.9</v>
      </c>
      <c r="AQ13" s="159">
        <f t="shared" si="53"/>
        <v>433290.9</v>
      </c>
      <c r="AR13" s="159">
        <f t="shared" si="53"/>
        <v>433290.9</v>
      </c>
      <c r="AS13" s="159">
        <f t="shared" si="53"/>
        <v>433290.9</v>
      </c>
      <c r="AT13" s="159">
        <f t="shared" si="53"/>
        <v>433290.9</v>
      </c>
      <c r="AU13" s="159">
        <f t="shared" si="53"/>
        <v>433290.9</v>
      </c>
      <c r="AV13" s="159">
        <f t="shared" si="53"/>
        <v>433290.9</v>
      </c>
      <c r="AW13" s="159">
        <f t="shared" si="53"/>
        <v>433290.9</v>
      </c>
      <c r="AX13" s="159">
        <f t="shared" si="53"/>
        <v>433290.9</v>
      </c>
      <c r="AY13" s="159">
        <f t="shared" si="53"/>
        <v>433290.9</v>
      </c>
      <c r="AZ13" s="159">
        <f t="shared" si="53"/>
        <v>433290.9</v>
      </c>
      <c r="BA13" s="159">
        <f t="shared" si="53"/>
        <v>433290.9</v>
      </c>
      <c r="BB13" s="159">
        <f t="shared" si="53"/>
        <v>433290.9</v>
      </c>
      <c r="BC13" s="159">
        <f t="shared" si="53"/>
        <v>433290.9</v>
      </c>
      <c r="BD13" s="159">
        <f t="shared" si="53"/>
        <v>433290.9</v>
      </c>
      <c r="BE13" s="159">
        <f t="shared" si="53"/>
        <v>433290.9</v>
      </c>
      <c r="BF13" s="159">
        <f t="shared" si="53"/>
        <v>433290.9</v>
      </c>
      <c r="BG13" s="159">
        <f t="shared" si="53"/>
        <v>433290.9</v>
      </c>
      <c r="BH13" s="159">
        <f t="shared" si="53"/>
        <v>433290.9</v>
      </c>
      <c r="BI13" s="159">
        <f t="shared" si="53"/>
        <v>433290.9</v>
      </c>
      <c r="BJ13" s="159">
        <f t="shared" si="53"/>
        <v>433290.9</v>
      </c>
      <c r="BK13" s="159">
        <f t="shared" si="53"/>
        <v>433290.9</v>
      </c>
      <c r="BL13" s="159">
        <f t="shared" si="53"/>
        <v>433290.9</v>
      </c>
    </row>
    <row r="14" spans="2:77" s="74" customFormat="1" ht="25" customHeight="1" x14ac:dyDescent="0.3">
      <c r="B14" s="286" t="s">
        <v>164</v>
      </c>
      <c r="C14" s="286"/>
      <c r="D14" s="161">
        <f>D6-D13</f>
        <v>150605.65000000002</v>
      </c>
      <c r="E14" s="161">
        <f t="shared" ref="E14:N14" si="54">E6-E13</f>
        <v>150605.65000000002</v>
      </c>
      <c r="F14" s="161">
        <f t="shared" si="54"/>
        <v>150605.65000000002</v>
      </c>
      <c r="G14" s="161">
        <f t="shared" si="54"/>
        <v>150605.65000000002</v>
      </c>
      <c r="H14" s="161">
        <f t="shared" si="54"/>
        <v>150605.65000000002</v>
      </c>
      <c r="I14" s="161">
        <f t="shared" si="54"/>
        <v>150605.65000000002</v>
      </c>
      <c r="J14" s="161">
        <f t="shared" si="54"/>
        <v>150605.65000000002</v>
      </c>
      <c r="K14" s="161">
        <f t="shared" si="54"/>
        <v>150605.65000000002</v>
      </c>
      <c r="L14" s="161">
        <f t="shared" si="54"/>
        <v>150605.65000000002</v>
      </c>
      <c r="M14" s="161">
        <f t="shared" si="54"/>
        <v>150605.65000000002</v>
      </c>
      <c r="N14" s="161">
        <f t="shared" si="54"/>
        <v>150605.65000000002</v>
      </c>
      <c r="O14" s="161">
        <f t="shared" ref="O14" si="55">O6-O13</f>
        <v>150605.65000000002</v>
      </c>
      <c r="P14" s="161">
        <f t="shared" ref="P14" si="56">P6-P13</f>
        <v>150605.65000000002</v>
      </c>
      <c r="Q14" s="161">
        <f t="shared" ref="Q14" si="57">Q6-Q13</f>
        <v>150605.65000000002</v>
      </c>
      <c r="R14" s="161">
        <f t="shared" ref="R14" si="58">R6-R13</f>
        <v>150605.65000000002</v>
      </c>
      <c r="S14" s="161">
        <f t="shared" ref="S14" si="59">S6-S13</f>
        <v>150605.65000000002</v>
      </c>
      <c r="T14" s="161">
        <f t="shared" ref="T14" si="60">T6-T13</f>
        <v>150605.65000000002</v>
      </c>
      <c r="U14" s="161">
        <f t="shared" ref="U14" si="61">U6-U13</f>
        <v>150605.65000000002</v>
      </c>
      <c r="V14" s="161">
        <f t="shared" ref="V14" si="62">V6-V13</f>
        <v>150605.65000000002</v>
      </c>
      <c r="W14" s="161">
        <f t="shared" ref="W14" si="63">W6-W13</f>
        <v>150605.65000000002</v>
      </c>
      <c r="X14" s="161">
        <f t="shared" ref="X14" si="64">X6-X13</f>
        <v>150605.65000000002</v>
      </c>
      <c r="Y14" s="161">
        <f t="shared" ref="Y14" si="65">Y6-Y13</f>
        <v>150605.65000000002</v>
      </c>
      <c r="Z14" s="161">
        <f t="shared" ref="Z14" si="66">Z6-Z13</f>
        <v>150605.65000000002</v>
      </c>
      <c r="AA14" s="161">
        <f>AA6-AA13</f>
        <v>150605.65000000002</v>
      </c>
      <c r="AB14" s="161">
        <f>AB6-AB13</f>
        <v>150605.65000000002</v>
      </c>
      <c r="AC14" s="161">
        <f t="shared" ref="AC14:BL14" si="67">AC6-AC13</f>
        <v>150605.65000000002</v>
      </c>
      <c r="AD14" s="161">
        <f t="shared" si="67"/>
        <v>150605.65000000002</v>
      </c>
      <c r="AE14" s="161">
        <f t="shared" si="67"/>
        <v>150605.65000000002</v>
      </c>
      <c r="AF14" s="161">
        <f t="shared" si="67"/>
        <v>150605.65000000002</v>
      </c>
      <c r="AG14" s="161">
        <f t="shared" si="67"/>
        <v>150605.65000000002</v>
      </c>
      <c r="AH14" s="161">
        <f t="shared" si="67"/>
        <v>150605.65000000002</v>
      </c>
      <c r="AI14" s="161">
        <f t="shared" si="67"/>
        <v>150605.65000000002</v>
      </c>
      <c r="AJ14" s="161">
        <f t="shared" si="67"/>
        <v>150605.65000000002</v>
      </c>
      <c r="AK14" s="161">
        <f t="shared" si="67"/>
        <v>150605.65000000002</v>
      </c>
      <c r="AL14" s="161">
        <f t="shared" si="67"/>
        <v>150605.65000000002</v>
      </c>
      <c r="AM14" s="161">
        <f t="shared" si="67"/>
        <v>150605.65000000002</v>
      </c>
      <c r="AN14" s="161">
        <f t="shared" si="67"/>
        <v>150605.65000000002</v>
      </c>
      <c r="AO14" s="161">
        <f t="shared" si="67"/>
        <v>150605.65000000002</v>
      </c>
      <c r="AP14" s="161">
        <f t="shared" si="67"/>
        <v>150605.65000000002</v>
      </c>
      <c r="AQ14" s="161">
        <f t="shared" si="67"/>
        <v>150605.65000000002</v>
      </c>
      <c r="AR14" s="161">
        <f t="shared" si="67"/>
        <v>150605.65000000002</v>
      </c>
      <c r="AS14" s="161">
        <f t="shared" si="67"/>
        <v>150605.65000000002</v>
      </c>
      <c r="AT14" s="161">
        <f t="shared" si="67"/>
        <v>150605.65000000002</v>
      </c>
      <c r="AU14" s="161">
        <f t="shared" si="67"/>
        <v>150605.65000000002</v>
      </c>
      <c r="AV14" s="161">
        <f t="shared" si="67"/>
        <v>150605.65000000002</v>
      </c>
      <c r="AW14" s="161">
        <f t="shared" si="67"/>
        <v>150605.65000000002</v>
      </c>
      <c r="AX14" s="161">
        <f t="shared" si="67"/>
        <v>150605.65000000002</v>
      </c>
      <c r="AY14" s="161">
        <f t="shared" si="67"/>
        <v>150605.65000000002</v>
      </c>
      <c r="AZ14" s="161">
        <f t="shared" si="67"/>
        <v>150605.65000000002</v>
      </c>
      <c r="BA14" s="161">
        <f t="shared" si="67"/>
        <v>150605.65000000002</v>
      </c>
      <c r="BB14" s="161">
        <f t="shared" si="67"/>
        <v>150605.65000000002</v>
      </c>
      <c r="BC14" s="161">
        <f t="shared" si="67"/>
        <v>150605.65000000002</v>
      </c>
      <c r="BD14" s="161">
        <f t="shared" si="67"/>
        <v>150605.65000000002</v>
      </c>
      <c r="BE14" s="161">
        <f t="shared" si="67"/>
        <v>150605.65000000002</v>
      </c>
      <c r="BF14" s="161">
        <f t="shared" si="67"/>
        <v>150605.65000000002</v>
      </c>
      <c r="BG14" s="161">
        <f t="shared" si="67"/>
        <v>150605.65000000002</v>
      </c>
      <c r="BH14" s="161">
        <f t="shared" si="67"/>
        <v>150605.65000000002</v>
      </c>
      <c r="BI14" s="161">
        <f t="shared" si="67"/>
        <v>150605.65000000002</v>
      </c>
      <c r="BJ14" s="161">
        <f t="shared" si="67"/>
        <v>150605.65000000002</v>
      </c>
      <c r="BK14" s="161">
        <f t="shared" si="67"/>
        <v>150605.65000000002</v>
      </c>
      <c r="BL14" s="161">
        <f t="shared" si="67"/>
        <v>150605.65000000002</v>
      </c>
    </row>
    <row r="15" spans="2:77" s="74" customFormat="1" ht="25" customHeight="1" x14ac:dyDescent="0.3">
      <c r="B15" s="286" t="s">
        <v>165</v>
      </c>
      <c r="C15" s="286"/>
      <c r="D15" s="162">
        <f>IF(D6=0,0,(D6-D13)/D6)</f>
        <v>0.25793207718045263</v>
      </c>
      <c r="E15" s="162">
        <f>IF(E6=0,0,(E6-E13)/E6)</f>
        <v>0.25793207718045263</v>
      </c>
      <c r="F15" s="162">
        <f t="shared" ref="F15:N15" si="68">IF(F6=0,0,(F6-F13)/F6)</f>
        <v>0.25793207718045263</v>
      </c>
      <c r="G15" s="162">
        <f t="shared" si="68"/>
        <v>0.25793207718045263</v>
      </c>
      <c r="H15" s="162">
        <f t="shared" si="68"/>
        <v>0.25793207718045263</v>
      </c>
      <c r="I15" s="162">
        <f t="shared" si="68"/>
        <v>0.25793207718045263</v>
      </c>
      <c r="J15" s="162">
        <f t="shared" si="68"/>
        <v>0.25793207718045263</v>
      </c>
      <c r="K15" s="162">
        <f t="shared" si="68"/>
        <v>0.25793207718045263</v>
      </c>
      <c r="L15" s="162">
        <f>IF(L6=0,0,(L6-L13)/L6)</f>
        <v>0.25793207718045263</v>
      </c>
      <c r="M15" s="162">
        <f t="shared" si="68"/>
        <v>0.25793207718045263</v>
      </c>
      <c r="N15" s="162">
        <f t="shared" si="68"/>
        <v>0.25793207718045263</v>
      </c>
      <c r="O15" s="162">
        <f t="shared" ref="O15:Z15" si="69">IF(O6=0,0,(O6-O13)/O6)</f>
        <v>0.25793207718045263</v>
      </c>
      <c r="P15" s="162">
        <f t="shared" si="69"/>
        <v>0.25793207718045263</v>
      </c>
      <c r="Q15" s="162">
        <f t="shared" si="69"/>
        <v>0.25793207718045263</v>
      </c>
      <c r="R15" s="162">
        <f t="shared" si="69"/>
        <v>0.25793207718045263</v>
      </c>
      <c r="S15" s="162">
        <f t="shared" si="69"/>
        <v>0.25793207718045263</v>
      </c>
      <c r="T15" s="162">
        <f t="shared" si="69"/>
        <v>0.25793207718045263</v>
      </c>
      <c r="U15" s="162">
        <f t="shared" si="69"/>
        <v>0.25793207718045263</v>
      </c>
      <c r="V15" s="162">
        <f t="shared" si="69"/>
        <v>0.25793207718045263</v>
      </c>
      <c r="W15" s="162">
        <f t="shared" si="69"/>
        <v>0.25793207718045263</v>
      </c>
      <c r="X15" s="162">
        <f t="shared" si="69"/>
        <v>0.25793207718045263</v>
      </c>
      <c r="Y15" s="162">
        <f t="shared" si="69"/>
        <v>0.25793207718045263</v>
      </c>
      <c r="Z15" s="162">
        <f t="shared" si="69"/>
        <v>0.25793207718045263</v>
      </c>
      <c r="AA15" s="162">
        <f>IF(AA6=0,0,(AA6-AA13)/AA6)</f>
        <v>0.25793207718045263</v>
      </c>
      <c r="AB15" s="162">
        <f>IF(AB6=0,0,(AB6-AB13)/AB6)</f>
        <v>0.25793207718045263</v>
      </c>
      <c r="AC15" s="162">
        <f t="shared" ref="AC15:BL15" si="70">IF(AC6=0,0,(AC6-AC13)/AC6)</f>
        <v>0.25793207718045263</v>
      </c>
      <c r="AD15" s="162">
        <f t="shared" si="70"/>
        <v>0.25793207718045263</v>
      </c>
      <c r="AE15" s="162">
        <f t="shared" si="70"/>
        <v>0.25793207718045263</v>
      </c>
      <c r="AF15" s="162">
        <f t="shared" si="70"/>
        <v>0.25793207718045263</v>
      </c>
      <c r="AG15" s="162">
        <f t="shared" si="70"/>
        <v>0.25793207718045263</v>
      </c>
      <c r="AH15" s="162">
        <f t="shared" si="70"/>
        <v>0.25793207718045263</v>
      </c>
      <c r="AI15" s="162">
        <f t="shared" si="70"/>
        <v>0.25793207718045263</v>
      </c>
      <c r="AJ15" s="162">
        <f t="shared" si="70"/>
        <v>0.25793207718045263</v>
      </c>
      <c r="AK15" s="162">
        <f t="shared" si="70"/>
        <v>0.25793207718045263</v>
      </c>
      <c r="AL15" s="162">
        <f t="shared" si="70"/>
        <v>0.25793207718045263</v>
      </c>
      <c r="AM15" s="162">
        <f t="shared" si="70"/>
        <v>0.25793207718045263</v>
      </c>
      <c r="AN15" s="162">
        <f t="shared" si="70"/>
        <v>0.25793207718045263</v>
      </c>
      <c r="AO15" s="162">
        <f t="shared" si="70"/>
        <v>0.25793207718045263</v>
      </c>
      <c r="AP15" s="162">
        <f t="shared" si="70"/>
        <v>0.25793207718045263</v>
      </c>
      <c r="AQ15" s="162">
        <f t="shared" si="70"/>
        <v>0.25793207718045263</v>
      </c>
      <c r="AR15" s="162">
        <f t="shared" si="70"/>
        <v>0.25793207718045263</v>
      </c>
      <c r="AS15" s="162">
        <f t="shared" si="70"/>
        <v>0.25793207718045263</v>
      </c>
      <c r="AT15" s="162">
        <f t="shared" si="70"/>
        <v>0.25793207718045263</v>
      </c>
      <c r="AU15" s="162">
        <f t="shared" si="70"/>
        <v>0.25793207718045263</v>
      </c>
      <c r="AV15" s="162">
        <f t="shared" si="70"/>
        <v>0.25793207718045263</v>
      </c>
      <c r="AW15" s="162">
        <f t="shared" si="70"/>
        <v>0.25793207718045263</v>
      </c>
      <c r="AX15" s="162">
        <f t="shared" si="70"/>
        <v>0.25793207718045263</v>
      </c>
      <c r="AY15" s="162">
        <f t="shared" si="70"/>
        <v>0.25793207718045263</v>
      </c>
      <c r="AZ15" s="162">
        <f t="shared" si="70"/>
        <v>0.25793207718045263</v>
      </c>
      <c r="BA15" s="162">
        <f t="shared" si="70"/>
        <v>0.25793207718045263</v>
      </c>
      <c r="BB15" s="162">
        <f t="shared" si="70"/>
        <v>0.25793207718045263</v>
      </c>
      <c r="BC15" s="162">
        <f t="shared" si="70"/>
        <v>0.25793207718045263</v>
      </c>
      <c r="BD15" s="162">
        <f t="shared" si="70"/>
        <v>0.25793207718045263</v>
      </c>
      <c r="BE15" s="162">
        <f t="shared" si="70"/>
        <v>0.25793207718045263</v>
      </c>
      <c r="BF15" s="162">
        <f t="shared" si="70"/>
        <v>0.25793207718045263</v>
      </c>
      <c r="BG15" s="162">
        <f t="shared" si="70"/>
        <v>0.25793207718045263</v>
      </c>
      <c r="BH15" s="162">
        <f t="shared" si="70"/>
        <v>0.25793207718045263</v>
      </c>
      <c r="BI15" s="162">
        <f t="shared" si="70"/>
        <v>0.25793207718045263</v>
      </c>
      <c r="BJ15" s="162">
        <f t="shared" si="70"/>
        <v>0.25793207718045263</v>
      </c>
      <c r="BK15" s="162">
        <f t="shared" si="70"/>
        <v>0.25793207718045263</v>
      </c>
      <c r="BL15" s="162">
        <f t="shared" si="70"/>
        <v>0.25793207718045263</v>
      </c>
    </row>
    <row r="16" spans="2:77" ht="20.149999999999999" customHeight="1" x14ac:dyDescent="0.3">
      <c r="B16" s="31"/>
      <c r="C16" s="31"/>
      <c r="D16" s="113"/>
      <c r="E16" s="31"/>
    </row>
    <row r="17" spans="2:77" s="93" customFormat="1" ht="25" customHeight="1" x14ac:dyDescent="0.3">
      <c r="B17" s="239" t="s">
        <v>166</v>
      </c>
      <c r="C17" s="239"/>
      <c r="D17" s="163"/>
      <c r="E17" s="164">
        <f>'Project Infor'!C8</f>
        <v>45962</v>
      </c>
      <c r="F17" s="164">
        <f t="shared" ref="F17" si="71">EOMONTH(E17,1)</f>
        <v>46022</v>
      </c>
      <c r="G17" s="164">
        <f t="shared" ref="G17" si="72">EOMONTH(F17,1)</f>
        <v>46053</v>
      </c>
      <c r="H17" s="164">
        <f t="shared" ref="H17" si="73">EOMONTH(G17,1)</f>
        <v>46081</v>
      </c>
      <c r="I17" s="164">
        <f t="shared" ref="I17" si="74">EOMONTH(H17,1)</f>
        <v>46112</v>
      </c>
      <c r="J17" s="164">
        <f t="shared" ref="J17" si="75">EOMONTH(I17,1)</f>
        <v>46142</v>
      </c>
      <c r="K17" s="164">
        <f t="shared" ref="K17" si="76">EOMONTH(J17,1)</f>
        <v>46173</v>
      </c>
      <c r="L17" s="164">
        <f t="shared" ref="L17" si="77">EOMONTH(K17,1)</f>
        <v>46203</v>
      </c>
      <c r="M17" s="164">
        <f t="shared" ref="M17" si="78">EOMONTH(L17,1)</f>
        <v>46234</v>
      </c>
      <c r="N17" s="164">
        <f t="shared" ref="N17" si="79">EOMONTH(M17,1)</f>
        <v>46265</v>
      </c>
      <c r="O17" s="164">
        <f t="shared" ref="O17" si="80">EOMONTH(N17,1)</f>
        <v>46295</v>
      </c>
      <c r="P17" s="164">
        <f t="shared" ref="P17" si="81">EOMONTH(O17,1)</f>
        <v>46326</v>
      </c>
      <c r="Q17" s="164">
        <f t="shared" ref="Q17" si="82">EOMONTH(P17,1)</f>
        <v>46356</v>
      </c>
      <c r="R17" s="164">
        <f t="shared" ref="R17" si="83">EOMONTH(Q17,1)</f>
        <v>46387</v>
      </c>
      <c r="S17" s="164">
        <f t="shared" ref="S17" si="84">EOMONTH(R17,1)</f>
        <v>46418</v>
      </c>
      <c r="T17" s="164">
        <f t="shared" ref="T17" si="85">EOMONTH(S17,1)</f>
        <v>46446</v>
      </c>
      <c r="U17" s="164">
        <f t="shared" ref="U17" si="86">EOMONTH(T17,1)</f>
        <v>46477</v>
      </c>
      <c r="V17" s="164">
        <f t="shared" ref="V17" si="87">EOMONTH(U17,1)</f>
        <v>46507</v>
      </c>
      <c r="W17" s="164">
        <f t="shared" ref="W17" si="88">EOMONTH(V17,1)</f>
        <v>46538</v>
      </c>
      <c r="X17" s="164">
        <f t="shared" ref="X17" si="89">EOMONTH(W17,1)</f>
        <v>46568</v>
      </c>
      <c r="Y17" s="164">
        <f t="shared" ref="Y17" si="90">EOMONTH(X17,1)</f>
        <v>46599</v>
      </c>
      <c r="Z17" s="164">
        <f t="shared" ref="Z17" si="91">EOMONTH(Y17,1)</f>
        <v>46630</v>
      </c>
      <c r="AA17" s="164">
        <f t="shared" ref="AA17" si="92">EOMONTH(Z17,1)</f>
        <v>46660</v>
      </c>
      <c r="AB17" s="164">
        <f t="shared" ref="AB17" si="93">EOMONTH(AA17,1)</f>
        <v>46691</v>
      </c>
      <c r="AC17" s="164">
        <f t="shared" ref="AC17" si="94">EOMONTH(AB17,1)</f>
        <v>46721</v>
      </c>
      <c r="AD17" s="164">
        <f t="shared" ref="AD17" si="95">EOMONTH(AC17,1)</f>
        <v>46752</v>
      </c>
      <c r="AE17" s="164">
        <f t="shared" ref="AE17" si="96">EOMONTH(AD17,1)</f>
        <v>46783</v>
      </c>
      <c r="AF17" s="164">
        <f t="shared" ref="AF17" si="97">EOMONTH(AE17,1)</f>
        <v>46812</v>
      </c>
      <c r="AG17" s="164">
        <f t="shared" ref="AG17" si="98">EOMONTH(AF17,1)</f>
        <v>46843</v>
      </c>
      <c r="AH17" s="164">
        <f t="shared" ref="AH17" si="99">EOMONTH(AG17,1)</f>
        <v>46873</v>
      </c>
      <c r="AI17" s="164">
        <f t="shared" ref="AI17" si="100">EOMONTH(AH17,1)</f>
        <v>46904</v>
      </c>
      <c r="AJ17" s="164">
        <f t="shared" ref="AJ17" si="101">EOMONTH(AI17,1)</f>
        <v>46934</v>
      </c>
      <c r="AK17" s="164">
        <f t="shared" ref="AK17" si="102">EOMONTH(AJ17,1)</f>
        <v>46965</v>
      </c>
      <c r="AL17" s="164">
        <f t="shared" ref="AL17" si="103">EOMONTH(AK17,1)</f>
        <v>46996</v>
      </c>
      <c r="AM17" s="164">
        <f t="shared" ref="AM17" si="104">EOMONTH(AL17,1)</f>
        <v>47026</v>
      </c>
      <c r="AN17" s="164">
        <f t="shared" ref="AN17" si="105">EOMONTH(AM17,1)</f>
        <v>47057</v>
      </c>
      <c r="AO17" s="164">
        <f t="shared" ref="AO17" si="106">EOMONTH(AN17,1)</f>
        <v>47087</v>
      </c>
      <c r="AP17" s="164">
        <f t="shared" ref="AP17" si="107">EOMONTH(AO17,1)</f>
        <v>47118</v>
      </c>
      <c r="AQ17" s="164">
        <f t="shared" ref="AQ17" si="108">EOMONTH(AP17,1)</f>
        <v>47149</v>
      </c>
      <c r="AR17" s="164">
        <f t="shared" ref="AR17" si="109">EOMONTH(AQ17,1)</f>
        <v>47177</v>
      </c>
      <c r="AS17" s="164">
        <f t="shared" ref="AS17" si="110">EOMONTH(AR17,1)</f>
        <v>47208</v>
      </c>
      <c r="AT17" s="164">
        <f t="shared" ref="AT17" si="111">EOMONTH(AS17,1)</f>
        <v>47238</v>
      </c>
      <c r="AU17" s="164">
        <f t="shared" ref="AU17" si="112">EOMONTH(AT17,1)</f>
        <v>47269</v>
      </c>
      <c r="AV17" s="164">
        <f t="shared" ref="AV17" si="113">EOMONTH(AU17,1)</f>
        <v>47299</v>
      </c>
      <c r="AW17" s="164">
        <f t="shared" ref="AW17" si="114">EOMONTH(AV17,1)</f>
        <v>47330</v>
      </c>
      <c r="AX17" s="164">
        <f t="shared" ref="AX17" si="115">EOMONTH(AW17,1)</f>
        <v>47361</v>
      </c>
      <c r="AY17" s="164">
        <f t="shared" ref="AY17" si="116">EOMONTH(AX17,1)</f>
        <v>47391</v>
      </c>
      <c r="AZ17" s="164">
        <f t="shared" ref="AZ17" si="117">EOMONTH(AY17,1)</f>
        <v>47422</v>
      </c>
      <c r="BA17" s="164">
        <f t="shared" ref="BA17" si="118">EOMONTH(AZ17,1)</f>
        <v>47452</v>
      </c>
      <c r="BB17" s="164">
        <f t="shared" ref="BB17" si="119">EOMONTH(BA17,1)</f>
        <v>47483</v>
      </c>
      <c r="BC17" s="164">
        <f t="shared" ref="BC17" si="120">EOMONTH(BB17,1)</f>
        <v>47514</v>
      </c>
      <c r="BD17" s="164">
        <f t="shared" ref="BD17" si="121">EOMONTH(BC17,1)</f>
        <v>47542</v>
      </c>
      <c r="BE17" s="164">
        <f t="shared" ref="BE17" si="122">EOMONTH(BD17,1)</f>
        <v>47573</v>
      </c>
      <c r="BF17" s="164">
        <f t="shared" ref="BF17" si="123">EOMONTH(BE17,1)</f>
        <v>47603</v>
      </c>
      <c r="BG17" s="164">
        <f t="shared" ref="BG17" si="124">EOMONTH(BF17,1)</f>
        <v>47634</v>
      </c>
      <c r="BH17" s="164">
        <f t="shared" ref="BH17" si="125">EOMONTH(BG17,1)</f>
        <v>47664</v>
      </c>
      <c r="BI17" s="164">
        <f t="shared" ref="BI17" si="126">EOMONTH(BH17,1)</f>
        <v>47695</v>
      </c>
      <c r="BJ17" s="164">
        <f t="shared" ref="BJ17" si="127">EOMONTH(BI17,1)</f>
        <v>47726</v>
      </c>
      <c r="BK17" s="164">
        <f t="shared" ref="BK17" si="128">EOMONTH(BJ17,1)</f>
        <v>47756</v>
      </c>
      <c r="BL17" s="164">
        <f t="shared" ref="BL17" si="129">EOMONTH(BK17,1)</f>
        <v>47787</v>
      </c>
      <c r="BM17" s="28"/>
      <c r="BN17" s="28"/>
      <c r="BO17" s="28"/>
      <c r="BP17" s="28"/>
      <c r="BQ17" s="28"/>
      <c r="BR17" s="28"/>
      <c r="BS17" s="28"/>
      <c r="BT17" s="28"/>
      <c r="BU17" s="28"/>
      <c r="BV17" s="28"/>
      <c r="BW17" s="28"/>
      <c r="BX17" s="28"/>
      <c r="BY17" s="28"/>
    </row>
    <row r="18" spans="2:77" s="74" customFormat="1" ht="25" customHeight="1" x14ac:dyDescent="0.3">
      <c r="B18" s="284" t="s">
        <v>167</v>
      </c>
      <c r="C18" s="284"/>
      <c r="D18" s="158"/>
      <c r="E18" s="158">
        <f ca="1">E30-D30</f>
        <v>50423.281817423354</v>
      </c>
      <c r="F18" s="158">
        <f ca="1">F30-E30</f>
        <v>50423.281817423354</v>
      </c>
      <c r="G18" s="158">
        <f t="shared" ref="G18:AA18" ca="1" si="130">G30-F30</f>
        <v>39977.479268045456</v>
      </c>
      <c r="H18" s="158">
        <f t="shared" ca="1" si="130"/>
        <v>39977.479268045456</v>
      </c>
      <c r="I18" s="158">
        <f t="shared" ca="1" si="130"/>
        <v>39977.479268045427</v>
      </c>
      <c r="J18" s="158">
        <f t="shared" ca="1" si="130"/>
        <v>39977.479268045456</v>
      </c>
      <c r="K18" s="158">
        <f t="shared" ca="1" si="130"/>
        <v>39977.479268045427</v>
      </c>
      <c r="L18" s="158">
        <f t="shared" ca="1" si="130"/>
        <v>39977.479268045456</v>
      </c>
      <c r="M18" s="158">
        <f t="shared" ca="1" si="130"/>
        <v>39977.479268045456</v>
      </c>
      <c r="N18" s="158">
        <f t="shared" ca="1" si="130"/>
        <v>39977.479268045456</v>
      </c>
      <c r="O18" s="158">
        <f t="shared" ca="1" si="130"/>
        <v>39977.479268045456</v>
      </c>
      <c r="P18" s="158">
        <f t="shared" ca="1" si="130"/>
        <v>123252.67295274429</v>
      </c>
      <c r="Q18" s="158">
        <f t="shared" ca="1" si="130"/>
        <v>0</v>
      </c>
      <c r="R18" s="158">
        <f t="shared" ca="1" si="130"/>
        <v>0</v>
      </c>
      <c r="S18" s="158">
        <f t="shared" ca="1" si="130"/>
        <v>0</v>
      </c>
      <c r="T18" s="158">
        <f t="shared" ca="1" si="130"/>
        <v>0</v>
      </c>
      <c r="U18" s="158">
        <f t="shared" ca="1" si="130"/>
        <v>0</v>
      </c>
      <c r="V18" s="158">
        <f t="shared" ca="1" si="130"/>
        <v>0</v>
      </c>
      <c r="W18" s="158">
        <f t="shared" ca="1" si="130"/>
        <v>0</v>
      </c>
      <c r="X18" s="158">
        <f t="shared" ca="1" si="130"/>
        <v>0</v>
      </c>
      <c r="Y18" s="158">
        <f t="shared" ca="1" si="130"/>
        <v>0</v>
      </c>
      <c r="Z18" s="158">
        <f t="shared" ca="1" si="130"/>
        <v>0</v>
      </c>
      <c r="AA18" s="158">
        <f t="shared" ca="1" si="130"/>
        <v>0</v>
      </c>
      <c r="AB18" s="158">
        <f t="shared" ref="AB18:AB24" ca="1" si="131">AB30-AA30</f>
        <v>0</v>
      </c>
      <c r="AC18" s="158">
        <f t="shared" ref="AC18:AC24" ca="1" si="132">AC30-AB30</f>
        <v>0</v>
      </c>
      <c r="AD18" s="158">
        <f t="shared" ref="AD18:AD24" ca="1" si="133">AD30-AC30</f>
        <v>0</v>
      </c>
      <c r="AE18" s="158">
        <f t="shared" ref="AE18:AE24" ca="1" si="134">AE30-AD30</f>
        <v>0</v>
      </c>
      <c r="AF18" s="158">
        <f t="shared" ref="AF18:AF24" ca="1" si="135">AF30-AE30</f>
        <v>0</v>
      </c>
      <c r="AG18" s="158">
        <f t="shared" ref="AG18:AG24" ca="1" si="136">AG30-AF30</f>
        <v>0</v>
      </c>
      <c r="AH18" s="158">
        <f t="shared" ref="AH18:AH24" ca="1" si="137">AH30-AG30</f>
        <v>0</v>
      </c>
      <c r="AI18" s="158">
        <f t="shared" ref="AI18:AI24" ca="1" si="138">AI30-AH30</f>
        <v>0</v>
      </c>
      <c r="AJ18" s="158">
        <f t="shared" ref="AJ18:AJ24" ca="1" si="139">AJ30-AI30</f>
        <v>0</v>
      </c>
      <c r="AK18" s="158">
        <f t="shared" ref="AK18:AK24" ca="1" si="140">AK30-AJ30</f>
        <v>0</v>
      </c>
      <c r="AL18" s="158">
        <f t="shared" ref="AL18:AL24" ca="1" si="141">AL30-AK30</f>
        <v>0</v>
      </c>
      <c r="AM18" s="158">
        <f t="shared" ref="AM18:AM24" ca="1" si="142">AM30-AL30</f>
        <v>0</v>
      </c>
      <c r="AN18" s="158">
        <f t="shared" ref="AN18:AN24" ca="1" si="143">AN30-AM30</f>
        <v>0</v>
      </c>
      <c r="AO18" s="158">
        <f t="shared" ref="AO18:AO24" ca="1" si="144">AO30-AN30</f>
        <v>0</v>
      </c>
      <c r="AP18" s="158">
        <f t="shared" ref="AP18:AP24" ca="1" si="145">AP30-AO30</f>
        <v>0</v>
      </c>
      <c r="AQ18" s="158">
        <f t="shared" ref="AQ18:AQ24" ca="1" si="146">AQ30-AP30</f>
        <v>0</v>
      </c>
      <c r="AR18" s="158">
        <f t="shared" ref="AR18:AR24" ca="1" si="147">AR30-AQ30</f>
        <v>0</v>
      </c>
      <c r="AS18" s="158">
        <f t="shared" ref="AS18:AS24" ca="1" si="148">AS30-AR30</f>
        <v>0</v>
      </c>
      <c r="AT18" s="158">
        <f t="shared" ref="AT18:AT24" ca="1" si="149">AT30-AS30</f>
        <v>0</v>
      </c>
      <c r="AU18" s="158">
        <f t="shared" ref="AU18:AU24" ca="1" si="150">AU30-AT30</f>
        <v>0</v>
      </c>
      <c r="AV18" s="158">
        <f t="shared" ref="AV18:AV24" ca="1" si="151">AV30-AU30</f>
        <v>0</v>
      </c>
      <c r="AW18" s="158">
        <f t="shared" ref="AW18:AW24" ca="1" si="152">AW30-AV30</f>
        <v>0</v>
      </c>
      <c r="AX18" s="158">
        <f t="shared" ref="AX18:AX24" ca="1" si="153">AX30-AW30</f>
        <v>0</v>
      </c>
      <c r="AY18" s="158">
        <f t="shared" ref="AY18:AY24" ca="1" si="154">AY30-AX30</f>
        <v>0</v>
      </c>
      <c r="AZ18" s="158">
        <f t="shared" ref="AZ18:AZ24" ca="1" si="155">AZ30-AY30</f>
        <v>0</v>
      </c>
      <c r="BA18" s="158">
        <f t="shared" ref="BA18:BA24" ca="1" si="156">BA30-AZ30</f>
        <v>0</v>
      </c>
      <c r="BB18" s="158">
        <f t="shared" ref="BB18:BB24" ca="1" si="157">BB30-BA30</f>
        <v>0</v>
      </c>
      <c r="BC18" s="158">
        <f t="shared" ref="BC18:BC24" ca="1" si="158">BC30-BB30</f>
        <v>0</v>
      </c>
      <c r="BD18" s="158">
        <f t="shared" ref="BD18:BD24" ca="1" si="159">BD30-BC30</f>
        <v>0</v>
      </c>
      <c r="BE18" s="158">
        <f t="shared" ref="BE18:BE24" ca="1" si="160">BE30-BD30</f>
        <v>0</v>
      </c>
      <c r="BF18" s="158">
        <f t="shared" ref="BF18:BF24" ca="1" si="161">BF30-BE30</f>
        <v>0</v>
      </c>
      <c r="BG18" s="158">
        <f t="shared" ref="BG18:BG24" ca="1" si="162">BG30-BF30</f>
        <v>0</v>
      </c>
      <c r="BH18" s="158">
        <f t="shared" ref="BH18:BH24" ca="1" si="163">BH30-BG30</f>
        <v>0</v>
      </c>
      <c r="BI18" s="158">
        <f t="shared" ref="BI18:BI24" ca="1" si="164">BI30-BH30</f>
        <v>0</v>
      </c>
      <c r="BJ18" s="158">
        <f t="shared" ref="BJ18:BJ24" ca="1" si="165">BJ30-BI30</f>
        <v>0</v>
      </c>
      <c r="BK18" s="158">
        <f t="shared" ref="BK18:BK24" ca="1" si="166">BK30-BJ30</f>
        <v>0</v>
      </c>
      <c r="BL18" s="158">
        <f t="shared" ref="BL18:BL24" ca="1" si="167">BL30-BK30</f>
        <v>-58512.285283834673</v>
      </c>
      <c r="BM18" s="28"/>
      <c r="BN18" s="28"/>
      <c r="BO18" s="28"/>
      <c r="BP18" s="28"/>
      <c r="BQ18" s="28"/>
      <c r="BR18" s="28"/>
      <c r="BS18" s="28"/>
      <c r="BT18" s="28"/>
      <c r="BU18" s="28"/>
      <c r="BV18" s="28"/>
      <c r="BW18" s="28"/>
      <c r="BX18" s="28"/>
      <c r="BY18" s="28"/>
    </row>
    <row r="19" spans="2:77" s="74" customFormat="1" ht="25" customHeight="1" outlineLevel="1" x14ac:dyDescent="0.3">
      <c r="B19" s="285" t="s">
        <v>60</v>
      </c>
      <c r="C19" s="285"/>
      <c r="D19" s="160"/>
      <c r="E19" s="160">
        <f t="shared" ref="E19:E24" si="168">E31-D31</f>
        <v>610</v>
      </c>
      <c r="F19" s="160">
        <f t="shared" ref="F19:Z19" si="169">F31-E31</f>
        <v>610</v>
      </c>
      <c r="G19" s="160">
        <f t="shared" si="169"/>
        <v>1063</v>
      </c>
      <c r="H19" s="160">
        <f t="shared" si="169"/>
        <v>1063</v>
      </c>
      <c r="I19" s="160">
        <f t="shared" si="169"/>
        <v>1063</v>
      </c>
      <c r="J19" s="160">
        <f t="shared" si="169"/>
        <v>1063</v>
      </c>
      <c r="K19" s="160">
        <f t="shared" si="169"/>
        <v>1063</v>
      </c>
      <c r="L19" s="160">
        <f t="shared" si="169"/>
        <v>1063</v>
      </c>
      <c r="M19" s="160">
        <f t="shared" si="169"/>
        <v>1063</v>
      </c>
      <c r="N19" s="160">
        <f t="shared" si="169"/>
        <v>1063</v>
      </c>
      <c r="O19" s="160">
        <f t="shared" si="169"/>
        <v>1063</v>
      </c>
      <c r="P19" s="160">
        <f t="shared" si="169"/>
        <v>1063</v>
      </c>
      <c r="Q19" s="160">
        <f t="shared" si="169"/>
        <v>0</v>
      </c>
      <c r="R19" s="160">
        <f t="shared" si="169"/>
        <v>0</v>
      </c>
      <c r="S19" s="160">
        <f t="shared" si="169"/>
        <v>0</v>
      </c>
      <c r="T19" s="160">
        <f t="shared" si="169"/>
        <v>0</v>
      </c>
      <c r="U19" s="160">
        <f t="shared" si="169"/>
        <v>0</v>
      </c>
      <c r="V19" s="160">
        <f t="shared" si="169"/>
        <v>0</v>
      </c>
      <c r="W19" s="160">
        <f t="shared" si="169"/>
        <v>0</v>
      </c>
      <c r="X19" s="160">
        <f t="shared" si="169"/>
        <v>0</v>
      </c>
      <c r="Y19" s="160">
        <f t="shared" si="169"/>
        <v>0</v>
      </c>
      <c r="Z19" s="160">
        <f t="shared" si="169"/>
        <v>0</v>
      </c>
      <c r="AA19" s="160">
        <f>AA31-Z31</f>
        <v>0</v>
      </c>
      <c r="AB19" s="160">
        <f t="shared" si="131"/>
        <v>0</v>
      </c>
      <c r="AC19" s="160">
        <f t="shared" si="132"/>
        <v>0</v>
      </c>
      <c r="AD19" s="160">
        <f t="shared" si="133"/>
        <v>0</v>
      </c>
      <c r="AE19" s="160">
        <f t="shared" si="134"/>
        <v>0</v>
      </c>
      <c r="AF19" s="160">
        <f t="shared" si="135"/>
        <v>0</v>
      </c>
      <c r="AG19" s="160">
        <f t="shared" si="136"/>
        <v>0</v>
      </c>
      <c r="AH19" s="160">
        <f t="shared" si="137"/>
        <v>0</v>
      </c>
      <c r="AI19" s="160">
        <f t="shared" si="138"/>
        <v>0</v>
      </c>
      <c r="AJ19" s="160">
        <f t="shared" si="139"/>
        <v>0</v>
      </c>
      <c r="AK19" s="160">
        <f t="shared" si="140"/>
        <v>0</v>
      </c>
      <c r="AL19" s="160">
        <f t="shared" si="141"/>
        <v>0</v>
      </c>
      <c r="AM19" s="160">
        <f t="shared" si="142"/>
        <v>0</v>
      </c>
      <c r="AN19" s="160">
        <f t="shared" si="143"/>
        <v>0</v>
      </c>
      <c r="AO19" s="160">
        <f t="shared" si="144"/>
        <v>0</v>
      </c>
      <c r="AP19" s="160">
        <f t="shared" si="145"/>
        <v>0</v>
      </c>
      <c r="AQ19" s="160">
        <f t="shared" si="146"/>
        <v>0</v>
      </c>
      <c r="AR19" s="160">
        <f t="shared" si="147"/>
        <v>0</v>
      </c>
      <c r="AS19" s="160">
        <f t="shared" si="148"/>
        <v>0</v>
      </c>
      <c r="AT19" s="160">
        <f t="shared" si="149"/>
        <v>0</v>
      </c>
      <c r="AU19" s="160">
        <f t="shared" si="150"/>
        <v>0</v>
      </c>
      <c r="AV19" s="160">
        <f t="shared" si="151"/>
        <v>0</v>
      </c>
      <c r="AW19" s="160">
        <f t="shared" si="152"/>
        <v>0</v>
      </c>
      <c r="AX19" s="160">
        <f t="shared" si="153"/>
        <v>0</v>
      </c>
      <c r="AY19" s="160">
        <f t="shared" si="154"/>
        <v>0</v>
      </c>
      <c r="AZ19" s="160">
        <f t="shared" si="155"/>
        <v>0</v>
      </c>
      <c r="BA19" s="160">
        <f t="shared" si="156"/>
        <v>0</v>
      </c>
      <c r="BB19" s="160">
        <f t="shared" si="157"/>
        <v>0</v>
      </c>
      <c r="BC19" s="160">
        <f t="shared" si="158"/>
        <v>0</v>
      </c>
      <c r="BD19" s="160">
        <f t="shared" si="159"/>
        <v>0</v>
      </c>
      <c r="BE19" s="160">
        <f t="shared" si="160"/>
        <v>0</v>
      </c>
      <c r="BF19" s="160">
        <f t="shared" si="161"/>
        <v>0</v>
      </c>
      <c r="BG19" s="160">
        <f t="shared" si="162"/>
        <v>0</v>
      </c>
      <c r="BH19" s="160">
        <f t="shared" si="163"/>
        <v>0</v>
      </c>
      <c r="BI19" s="160">
        <f t="shared" si="164"/>
        <v>0</v>
      </c>
      <c r="BJ19" s="160">
        <f t="shared" si="165"/>
        <v>0</v>
      </c>
      <c r="BK19" s="160">
        <f t="shared" si="166"/>
        <v>0</v>
      </c>
      <c r="BL19" s="160">
        <f t="shared" si="167"/>
        <v>0</v>
      </c>
      <c r="BN19" s="28"/>
      <c r="BO19" s="28"/>
      <c r="BP19" s="28"/>
      <c r="BQ19" s="28"/>
      <c r="BR19" s="28"/>
      <c r="BS19" s="28"/>
      <c r="BT19" s="28"/>
      <c r="BU19" s="28"/>
      <c r="BV19" s="28"/>
      <c r="BW19" s="28"/>
      <c r="BX19" s="28"/>
      <c r="BY19" s="28"/>
    </row>
    <row r="20" spans="2:77" s="74" customFormat="1" ht="25" customHeight="1" outlineLevel="1" x14ac:dyDescent="0.3">
      <c r="B20" s="285" t="s">
        <v>159</v>
      </c>
      <c r="C20" s="285"/>
      <c r="D20" s="160"/>
      <c r="E20" s="160">
        <f t="shared" si="168"/>
        <v>17417.5</v>
      </c>
      <c r="F20" s="160">
        <f t="shared" ref="F20:AA20" si="170">F32-E32</f>
        <v>17417.5</v>
      </c>
      <c r="G20" s="160">
        <f t="shared" si="170"/>
        <v>28926.004999999997</v>
      </c>
      <c r="H20" s="160">
        <f t="shared" si="170"/>
        <v>28926.005000000012</v>
      </c>
      <c r="I20" s="160">
        <f t="shared" si="170"/>
        <v>28926.005000000005</v>
      </c>
      <c r="J20" s="160">
        <f t="shared" si="170"/>
        <v>28926.005000000005</v>
      </c>
      <c r="K20" s="160">
        <f t="shared" si="170"/>
        <v>28926.005000000005</v>
      </c>
      <c r="L20" s="160">
        <f t="shared" si="170"/>
        <v>28926.005000000005</v>
      </c>
      <c r="M20" s="160">
        <f t="shared" si="170"/>
        <v>28926.005000000005</v>
      </c>
      <c r="N20" s="160">
        <f>N32-M32</f>
        <v>28926.005000000005</v>
      </c>
      <c r="O20" s="160">
        <f t="shared" si="170"/>
        <v>28926.005000000005</v>
      </c>
      <c r="P20" s="160">
        <f t="shared" si="170"/>
        <v>28926.005000000005</v>
      </c>
      <c r="Q20" s="160">
        <f t="shared" si="170"/>
        <v>0</v>
      </c>
      <c r="R20" s="160">
        <f t="shared" si="170"/>
        <v>0</v>
      </c>
      <c r="S20" s="160">
        <f t="shared" si="170"/>
        <v>0</v>
      </c>
      <c r="T20" s="160">
        <f t="shared" si="170"/>
        <v>0</v>
      </c>
      <c r="U20" s="160">
        <f t="shared" si="170"/>
        <v>0</v>
      </c>
      <c r="V20" s="160">
        <f t="shared" si="170"/>
        <v>0</v>
      </c>
      <c r="W20" s="160">
        <f t="shared" si="170"/>
        <v>0</v>
      </c>
      <c r="X20" s="160">
        <f t="shared" si="170"/>
        <v>0</v>
      </c>
      <c r="Y20" s="160">
        <f t="shared" si="170"/>
        <v>0</v>
      </c>
      <c r="Z20" s="160">
        <f t="shared" si="170"/>
        <v>0</v>
      </c>
      <c r="AA20" s="160">
        <f t="shared" si="170"/>
        <v>0</v>
      </c>
      <c r="AB20" s="160">
        <f t="shared" si="131"/>
        <v>0</v>
      </c>
      <c r="AC20" s="160">
        <f t="shared" si="132"/>
        <v>0</v>
      </c>
      <c r="AD20" s="160">
        <f t="shared" si="133"/>
        <v>0</v>
      </c>
      <c r="AE20" s="160">
        <f t="shared" si="134"/>
        <v>0</v>
      </c>
      <c r="AF20" s="160">
        <f t="shared" si="135"/>
        <v>0</v>
      </c>
      <c r="AG20" s="160">
        <f t="shared" si="136"/>
        <v>0</v>
      </c>
      <c r="AH20" s="160">
        <f t="shared" si="137"/>
        <v>0</v>
      </c>
      <c r="AI20" s="160">
        <f t="shared" si="138"/>
        <v>0</v>
      </c>
      <c r="AJ20" s="160">
        <f t="shared" si="139"/>
        <v>0</v>
      </c>
      <c r="AK20" s="160">
        <f t="shared" si="140"/>
        <v>0</v>
      </c>
      <c r="AL20" s="160">
        <f t="shared" si="141"/>
        <v>0</v>
      </c>
      <c r="AM20" s="160">
        <f t="shared" si="142"/>
        <v>0</v>
      </c>
      <c r="AN20" s="160">
        <f t="shared" si="143"/>
        <v>0</v>
      </c>
      <c r="AO20" s="160">
        <f t="shared" si="144"/>
        <v>0</v>
      </c>
      <c r="AP20" s="160">
        <f t="shared" si="145"/>
        <v>0</v>
      </c>
      <c r="AQ20" s="160">
        <f t="shared" si="146"/>
        <v>0</v>
      </c>
      <c r="AR20" s="160">
        <f t="shared" si="147"/>
        <v>0</v>
      </c>
      <c r="AS20" s="160">
        <f t="shared" si="148"/>
        <v>0</v>
      </c>
      <c r="AT20" s="160">
        <f t="shared" si="149"/>
        <v>0</v>
      </c>
      <c r="AU20" s="160">
        <f t="shared" si="150"/>
        <v>0</v>
      </c>
      <c r="AV20" s="160">
        <f t="shared" si="151"/>
        <v>0</v>
      </c>
      <c r="AW20" s="160">
        <f t="shared" si="152"/>
        <v>0</v>
      </c>
      <c r="AX20" s="160">
        <f t="shared" si="153"/>
        <v>0</v>
      </c>
      <c r="AY20" s="160">
        <f t="shared" si="154"/>
        <v>0</v>
      </c>
      <c r="AZ20" s="160">
        <f t="shared" si="155"/>
        <v>0</v>
      </c>
      <c r="BA20" s="160">
        <f t="shared" si="156"/>
        <v>0</v>
      </c>
      <c r="BB20" s="160">
        <f t="shared" si="157"/>
        <v>0</v>
      </c>
      <c r="BC20" s="160">
        <f t="shared" si="158"/>
        <v>0</v>
      </c>
      <c r="BD20" s="160">
        <f t="shared" si="159"/>
        <v>0</v>
      </c>
      <c r="BE20" s="160">
        <f t="shared" si="160"/>
        <v>0</v>
      </c>
      <c r="BF20" s="160">
        <f t="shared" si="161"/>
        <v>0</v>
      </c>
      <c r="BG20" s="160">
        <f t="shared" si="162"/>
        <v>0</v>
      </c>
      <c r="BH20" s="160">
        <f t="shared" si="163"/>
        <v>0</v>
      </c>
      <c r="BI20" s="160">
        <f t="shared" si="164"/>
        <v>0</v>
      </c>
      <c r="BJ20" s="160">
        <f t="shared" si="165"/>
        <v>0</v>
      </c>
      <c r="BK20" s="160">
        <f t="shared" si="166"/>
        <v>0</v>
      </c>
      <c r="BL20" s="160">
        <f t="shared" si="167"/>
        <v>0</v>
      </c>
      <c r="BN20" s="28"/>
      <c r="BO20" s="28"/>
      <c r="BP20" s="28"/>
      <c r="BQ20" s="28"/>
      <c r="BR20" s="28"/>
      <c r="BS20" s="28"/>
      <c r="BT20" s="28"/>
      <c r="BU20" s="28"/>
      <c r="BV20" s="28"/>
      <c r="BW20" s="28"/>
      <c r="BX20" s="28"/>
      <c r="BY20" s="28"/>
    </row>
    <row r="21" spans="2:77" s="74" customFormat="1" ht="25" customHeight="1" outlineLevel="1" x14ac:dyDescent="0.3">
      <c r="B21" s="285" t="s">
        <v>160</v>
      </c>
      <c r="C21" s="285"/>
      <c r="D21" s="160"/>
      <c r="E21" s="160">
        <f t="shared" si="168"/>
        <v>0</v>
      </c>
      <c r="F21" s="160">
        <f t="shared" ref="F21:AA21" si="171">F33-E33</f>
        <v>0</v>
      </c>
      <c r="G21" s="160">
        <f t="shared" si="171"/>
        <v>0</v>
      </c>
      <c r="H21" s="160">
        <f t="shared" si="171"/>
        <v>0</v>
      </c>
      <c r="I21" s="160">
        <f t="shared" si="171"/>
        <v>0</v>
      </c>
      <c r="J21" s="160">
        <f t="shared" si="171"/>
        <v>0</v>
      </c>
      <c r="K21" s="160">
        <f t="shared" si="171"/>
        <v>0</v>
      </c>
      <c r="L21" s="160">
        <f t="shared" si="171"/>
        <v>0</v>
      </c>
      <c r="M21" s="160">
        <f t="shared" si="171"/>
        <v>0</v>
      </c>
      <c r="N21" s="160">
        <f t="shared" si="171"/>
        <v>0</v>
      </c>
      <c r="O21" s="160">
        <f t="shared" si="171"/>
        <v>0</v>
      </c>
      <c r="P21" s="160">
        <f t="shared" si="171"/>
        <v>18375.759999999998</v>
      </c>
      <c r="Q21" s="160">
        <f t="shared" si="171"/>
        <v>0</v>
      </c>
      <c r="R21" s="160">
        <f t="shared" si="171"/>
        <v>0</v>
      </c>
      <c r="S21" s="160">
        <f t="shared" si="171"/>
        <v>0</v>
      </c>
      <c r="T21" s="160">
        <f t="shared" si="171"/>
        <v>0</v>
      </c>
      <c r="U21" s="160">
        <f t="shared" si="171"/>
        <v>0</v>
      </c>
      <c r="V21" s="160">
        <f t="shared" si="171"/>
        <v>0</v>
      </c>
      <c r="W21" s="160">
        <f t="shared" si="171"/>
        <v>0</v>
      </c>
      <c r="X21" s="160">
        <f t="shared" si="171"/>
        <v>0</v>
      </c>
      <c r="Y21" s="160">
        <f t="shared" si="171"/>
        <v>0</v>
      </c>
      <c r="Z21" s="160">
        <f t="shared" si="171"/>
        <v>0</v>
      </c>
      <c r="AA21" s="160">
        <f t="shared" si="171"/>
        <v>0</v>
      </c>
      <c r="AB21" s="160">
        <f t="shared" si="131"/>
        <v>0</v>
      </c>
      <c r="AC21" s="160">
        <f t="shared" si="132"/>
        <v>0</v>
      </c>
      <c r="AD21" s="160">
        <f t="shared" si="133"/>
        <v>0</v>
      </c>
      <c r="AE21" s="160">
        <f t="shared" si="134"/>
        <v>0</v>
      </c>
      <c r="AF21" s="160">
        <f t="shared" si="135"/>
        <v>0</v>
      </c>
      <c r="AG21" s="160">
        <f t="shared" si="136"/>
        <v>0</v>
      </c>
      <c r="AH21" s="160">
        <f t="shared" si="137"/>
        <v>0</v>
      </c>
      <c r="AI21" s="160">
        <f t="shared" si="138"/>
        <v>0</v>
      </c>
      <c r="AJ21" s="160">
        <f t="shared" si="139"/>
        <v>0</v>
      </c>
      <c r="AK21" s="160">
        <f t="shared" si="140"/>
        <v>0</v>
      </c>
      <c r="AL21" s="160">
        <f t="shared" si="141"/>
        <v>0</v>
      </c>
      <c r="AM21" s="160">
        <f t="shared" si="142"/>
        <v>0</v>
      </c>
      <c r="AN21" s="160">
        <f t="shared" si="143"/>
        <v>0</v>
      </c>
      <c r="AO21" s="160">
        <f t="shared" si="144"/>
        <v>0</v>
      </c>
      <c r="AP21" s="160">
        <f t="shared" si="145"/>
        <v>0</v>
      </c>
      <c r="AQ21" s="160">
        <f t="shared" si="146"/>
        <v>0</v>
      </c>
      <c r="AR21" s="160">
        <f t="shared" si="147"/>
        <v>0</v>
      </c>
      <c r="AS21" s="160">
        <f t="shared" si="148"/>
        <v>0</v>
      </c>
      <c r="AT21" s="160">
        <f t="shared" si="149"/>
        <v>0</v>
      </c>
      <c r="AU21" s="160">
        <f t="shared" si="150"/>
        <v>0</v>
      </c>
      <c r="AV21" s="160">
        <f t="shared" si="151"/>
        <v>0</v>
      </c>
      <c r="AW21" s="160">
        <f t="shared" si="152"/>
        <v>0</v>
      </c>
      <c r="AX21" s="160">
        <f t="shared" si="153"/>
        <v>0</v>
      </c>
      <c r="AY21" s="160">
        <f t="shared" si="154"/>
        <v>0</v>
      </c>
      <c r="AZ21" s="160">
        <f t="shared" si="155"/>
        <v>0</v>
      </c>
      <c r="BA21" s="160">
        <f t="shared" si="156"/>
        <v>0</v>
      </c>
      <c r="BB21" s="160">
        <f t="shared" si="157"/>
        <v>0</v>
      </c>
      <c r="BC21" s="160">
        <f t="shared" si="158"/>
        <v>0</v>
      </c>
      <c r="BD21" s="160">
        <f t="shared" si="159"/>
        <v>0</v>
      </c>
      <c r="BE21" s="160">
        <f t="shared" si="160"/>
        <v>0</v>
      </c>
      <c r="BF21" s="160">
        <f t="shared" si="161"/>
        <v>0</v>
      </c>
      <c r="BG21" s="160">
        <f t="shared" si="162"/>
        <v>0</v>
      </c>
      <c r="BH21" s="160">
        <f t="shared" si="163"/>
        <v>0</v>
      </c>
      <c r="BI21" s="160">
        <f t="shared" si="164"/>
        <v>0</v>
      </c>
      <c r="BJ21" s="160">
        <f t="shared" si="165"/>
        <v>0</v>
      </c>
      <c r="BK21" s="160">
        <f t="shared" si="166"/>
        <v>0</v>
      </c>
      <c r="BL21" s="160">
        <f t="shared" si="167"/>
        <v>0</v>
      </c>
      <c r="BN21" s="28"/>
      <c r="BO21" s="28"/>
      <c r="BP21" s="28"/>
      <c r="BQ21" s="28"/>
      <c r="BR21" s="28"/>
      <c r="BS21" s="28"/>
      <c r="BT21" s="28"/>
      <c r="BU21" s="28"/>
      <c r="BV21" s="28"/>
      <c r="BW21" s="28"/>
      <c r="BX21" s="28"/>
      <c r="BY21" s="28"/>
    </row>
    <row r="22" spans="2:77" s="74" customFormat="1" ht="25" customHeight="1" outlineLevel="1" x14ac:dyDescent="0.3">
      <c r="B22" s="285" t="s">
        <v>161</v>
      </c>
      <c r="C22" s="285"/>
      <c r="D22" s="160"/>
      <c r="E22" s="160">
        <f t="shared" si="168"/>
        <v>0</v>
      </c>
      <c r="F22" s="160">
        <f t="shared" ref="F22:AA22" si="172">F34-E34</f>
        <v>0</v>
      </c>
      <c r="G22" s="160">
        <f t="shared" si="172"/>
        <v>0</v>
      </c>
      <c r="H22" s="160">
        <f t="shared" si="172"/>
        <v>0</v>
      </c>
      <c r="I22" s="160">
        <f t="shared" si="172"/>
        <v>0</v>
      </c>
      <c r="J22" s="160">
        <f t="shared" si="172"/>
        <v>0</v>
      </c>
      <c r="K22" s="160">
        <f t="shared" si="172"/>
        <v>0</v>
      </c>
      <c r="L22" s="160">
        <f t="shared" si="172"/>
        <v>0</v>
      </c>
      <c r="M22" s="160">
        <f t="shared" si="172"/>
        <v>0</v>
      </c>
      <c r="N22" s="160">
        <f t="shared" si="172"/>
        <v>0</v>
      </c>
      <c r="O22" s="160">
        <f t="shared" si="172"/>
        <v>0</v>
      </c>
      <c r="P22" s="160">
        <f t="shared" si="172"/>
        <v>0</v>
      </c>
      <c r="Q22" s="160">
        <f t="shared" si="172"/>
        <v>0</v>
      </c>
      <c r="R22" s="160">
        <f t="shared" si="172"/>
        <v>0</v>
      </c>
      <c r="S22" s="160">
        <f t="shared" si="172"/>
        <v>0</v>
      </c>
      <c r="T22" s="160">
        <f t="shared" si="172"/>
        <v>0</v>
      </c>
      <c r="U22" s="160">
        <f t="shared" si="172"/>
        <v>0</v>
      </c>
      <c r="V22" s="160">
        <f t="shared" si="172"/>
        <v>0</v>
      </c>
      <c r="W22" s="160">
        <f t="shared" si="172"/>
        <v>0</v>
      </c>
      <c r="X22" s="160">
        <f t="shared" si="172"/>
        <v>0</v>
      </c>
      <c r="Y22" s="160">
        <f t="shared" si="172"/>
        <v>0</v>
      </c>
      <c r="Z22" s="160">
        <f t="shared" si="172"/>
        <v>0</v>
      </c>
      <c r="AA22" s="160">
        <f t="shared" si="172"/>
        <v>0</v>
      </c>
      <c r="AB22" s="160">
        <f t="shared" si="131"/>
        <v>0</v>
      </c>
      <c r="AC22" s="160">
        <f t="shared" si="132"/>
        <v>0</v>
      </c>
      <c r="AD22" s="160">
        <f t="shared" si="133"/>
        <v>0</v>
      </c>
      <c r="AE22" s="160">
        <f t="shared" si="134"/>
        <v>0</v>
      </c>
      <c r="AF22" s="160">
        <f t="shared" si="135"/>
        <v>0</v>
      </c>
      <c r="AG22" s="160">
        <f t="shared" si="136"/>
        <v>0</v>
      </c>
      <c r="AH22" s="160">
        <f t="shared" si="137"/>
        <v>0</v>
      </c>
      <c r="AI22" s="160">
        <f t="shared" si="138"/>
        <v>0</v>
      </c>
      <c r="AJ22" s="160">
        <f t="shared" si="139"/>
        <v>0</v>
      </c>
      <c r="AK22" s="160">
        <f t="shared" si="140"/>
        <v>0</v>
      </c>
      <c r="AL22" s="160">
        <f t="shared" si="141"/>
        <v>0</v>
      </c>
      <c r="AM22" s="160">
        <f t="shared" si="142"/>
        <v>0</v>
      </c>
      <c r="AN22" s="160">
        <f t="shared" si="143"/>
        <v>0</v>
      </c>
      <c r="AO22" s="160">
        <f t="shared" si="144"/>
        <v>0</v>
      </c>
      <c r="AP22" s="160">
        <f t="shared" si="145"/>
        <v>0</v>
      </c>
      <c r="AQ22" s="160">
        <f t="shared" si="146"/>
        <v>0</v>
      </c>
      <c r="AR22" s="160">
        <f t="shared" si="147"/>
        <v>0</v>
      </c>
      <c r="AS22" s="160">
        <f t="shared" si="148"/>
        <v>0</v>
      </c>
      <c r="AT22" s="160">
        <f t="shared" si="149"/>
        <v>0</v>
      </c>
      <c r="AU22" s="160">
        <f t="shared" si="150"/>
        <v>0</v>
      </c>
      <c r="AV22" s="160">
        <f t="shared" si="151"/>
        <v>0</v>
      </c>
      <c r="AW22" s="160">
        <f t="shared" si="152"/>
        <v>0</v>
      </c>
      <c r="AX22" s="160">
        <f t="shared" si="153"/>
        <v>0</v>
      </c>
      <c r="AY22" s="160">
        <f t="shared" si="154"/>
        <v>0</v>
      </c>
      <c r="AZ22" s="160">
        <f t="shared" si="155"/>
        <v>0</v>
      </c>
      <c r="BA22" s="160">
        <f t="shared" si="156"/>
        <v>0</v>
      </c>
      <c r="BB22" s="160">
        <f t="shared" si="157"/>
        <v>0</v>
      </c>
      <c r="BC22" s="160">
        <f t="shared" si="158"/>
        <v>0</v>
      </c>
      <c r="BD22" s="160">
        <f t="shared" si="159"/>
        <v>0</v>
      </c>
      <c r="BE22" s="160">
        <f t="shared" si="160"/>
        <v>0</v>
      </c>
      <c r="BF22" s="160">
        <f t="shared" si="161"/>
        <v>0</v>
      </c>
      <c r="BG22" s="160">
        <f t="shared" si="162"/>
        <v>0</v>
      </c>
      <c r="BH22" s="160">
        <f t="shared" si="163"/>
        <v>0</v>
      </c>
      <c r="BI22" s="160">
        <f t="shared" si="164"/>
        <v>0</v>
      </c>
      <c r="BJ22" s="160">
        <f t="shared" si="165"/>
        <v>0</v>
      </c>
      <c r="BK22" s="160">
        <f t="shared" si="166"/>
        <v>0</v>
      </c>
      <c r="BL22" s="160">
        <f t="shared" si="167"/>
        <v>0</v>
      </c>
      <c r="BN22" s="28"/>
      <c r="BO22" s="28"/>
      <c r="BP22" s="28"/>
      <c r="BQ22" s="28"/>
      <c r="BR22" s="28"/>
      <c r="BS22" s="28"/>
      <c r="BT22" s="28"/>
      <c r="BU22" s="28"/>
      <c r="BV22" s="28"/>
      <c r="BW22" s="28"/>
      <c r="BX22" s="28"/>
      <c r="BY22" s="28"/>
    </row>
    <row r="23" spans="2:77" s="74" customFormat="1" ht="25" customHeight="1" outlineLevel="1" x14ac:dyDescent="0.3">
      <c r="B23" s="285" t="s">
        <v>162</v>
      </c>
      <c r="C23" s="285"/>
      <c r="D23" s="160"/>
      <c r="E23" s="160">
        <f t="shared" si="168"/>
        <v>0</v>
      </c>
      <c r="F23" s="160">
        <f t="shared" ref="F23:AA23" si="173">F35-E35</f>
        <v>0</v>
      </c>
      <c r="G23" s="160">
        <f t="shared" si="173"/>
        <v>740</v>
      </c>
      <c r="H23" s="160">
        <f t="shared" si="173"/>
        <v>740</v>
      </c>
      <c r="I23" s="160">
        <f t="shared" si="173"/>
        <v>740</v>
      </c>
      <c r="J23" s="160">
        <f t="shared" si="173"/>
        <v>740</v>
      </c>
      <c r="K23" s="160">
        <f t="shared" si="173"/>
        <v>740</v>
      </c>
      <c r="L23" s="160">
        <f t="shared" si="173"/>
        <v>740</v>
      </c>
      <c r="M23" s="160">
        <f t="shared" si="173"/>
        <v>740</v>
      </c>
      <c r="N23" s="160">
        <f t="shared" si="173"/>
        <v>740</v>
      </c>
      <c r="O23" s="160">
        <f t="shared" si="173"/>
        <v>740</v>
      </c>
      <c r="P23" s="160">
        <f t="shared" si="173"/>
        <v>740</v>
      </c>
      <c r="Q23" s="160">
        <f t="shared" si="173"/>
        <v>0</v>
      </c>
      <c r="R23" s="160">
        <f t="shared" si="173"/>
        <v>0</v>
      </c>
      <c r="S23" s="160">
        <f t="shared" si="173"/>
        <v>0</v>
      </c>
      <c r="T23" s="160">
        <f t="shared" si="173"/>
        <v>0</v>
      </c>
      <c r="U23" s="160">
        <f t="shared" si="173"/>
        <v>0</v>
      </c>
      <c r="V23" s="160">
        <f t="shared" si="173"/>
        <v>0</v>
      </c>
      <c r="W23" s="160">
        <f t="shared" si="173"/>
        <v>0</v>
      </c>
      <c r="X23" s="160">
        <f t="shared" si="173"/>
        <v>0</v>
      </c>
      <c r="Y23" s="160">
        <f t="shared" si="173"/>
        <v>0</v>
      </c>
      <c r="Z23" s="160">
        <f t="shared" si="173"/>
        <v>0</v>
      </c>
      <c r="AA23" s="160">
        <f t="shared" si="173"/>
        <v>0</v>
      </c>
      <c r="AB23" s="160">
        <f t="shared" si="131"/>
        <v>0</v>
      </c>
      <c r="AC23" s="160">
        <f t="shared" si="132"/>
        <v>0</v>
      </c>
      <c r="AD23" s="160">
        <f t="shared" si="133"/>
        <v>0</v>
      </c>
      <c r="AE23" s="160">
        <f t="shared" si="134"/>
        <v>0</v>
      </c>
      <c r="AF23" s="160">
        <f t="shared" si="135"/>
        <v>0</v>
      </c>
      <c r="AG23" s="160">
        <f t="shared" si="136"/>
        <v>0</v>
      </c>
      <c r="AH23" s="160">
        <f t="shared" si="137"/>
        <v>0</v>
      </c>
      <c r="AI23" s="160">
        <f t="shared" si="138"/>
        <v>0</v>
      </c>
      <c r="AJ23" s="160">
        <f t="shared" si="139"/>
        <v>0</v>
      </c>
      <c r="AK23" s="160">
        <f t="shared" si="140"/>
        <v>0</v>
      </c>
      <c r="AL23" s="160">
        <f t="shared" si="141"/>
        <v>0</v>
      </c>
      <c r="AM23" s="160">
        <f t="shared" si="142"/>
        <v>0</v>
      </c>
      <c r="AN23" s="160">
        <f t="shared" si="143"/>
        <v>0</v>
      </c>
      <c r="AO23" s="160">
        <f t="shared" si="144"/>
        <v>0</v>
      </c>
      <c r="AP23" s="160">
        <f t="shared" si="145"/>
        <v>0</v>
      </c>
      <c r="AQ23" s="160">
        <f t="shared" si="146"/>
        <v>0</v>
      </c>
      <c r="AR23" s="160">
        <f t="shared" si="147"/>
        <v>0</v>
      </c>
      <c r="AS23" s="160">
        <f t="shared" si="148"/>
        <v>0</v>
      </c>
      <c r="AT23" s="160">
        <f t="shared" si="149"/>
        <v>0</v>
      </c>
      <c r="AU23" s="160">
        <f t="shared" si="150"/>
        <v>0</v>
      </c>
      <c r="AV23" s="160">
        <f t="shared" si="151"/>
        <v>0</v>
      </c>
      <c r="AW23" s="160">
        <f t="shared" si="152"/>
        <v>0</v>
      </c>
      <c r="AX23" s="160">
        <f t="shared" si="153"/>
        <v>0</v>
      </c>
      <c r="AY23" s="160">
        <f t="shared" si="154"/>
        <v>0</v>
      </c>
      <c r="AZ23" s="160">
        <f t="shared" si="155"/>
        <v>0</v>
      </c>
      <c r="BA23" s="160">
        <f t="shared" si="156"/>
        <v>0</v>
      </c>
      <c r="BB23" s="160">
        <f t="shared" si="157"/>
        <v>0</v>
      </c>
      <c r="BC23" s="160">
        <f t="shared" si="158"/>
        <v>0</v>
      </c>
      <c r="BD23" s="160">
        <f t="shared" si="159"/>
        <v>0</v>
      </c>
      <c r="BE23" s="160">
        <f t="shared" si="160"/>
        <v>0</v>
      </c>
      <c r="BF23" s="160">
        <f t="shared" si="161"/>
        <v>0</v>
      </c>
      <c r="BG23" s="160">
        <f t="shared" si="162"/>
        <v>0</v>
      </c>
      <c r="BH23" s="160">
        <f t="shared" si="163"/>
        <v>0</v>
      </c>
      <c r="BI23" s="160">
        <f t="shared" si="164"/>
        <v>0</v>
      </c>
      <c r="BJ23" s="160">
        <f t="shared" si="165"/>
        <v>0</v>
      </c>
      <c r="BK23" s="160">
        <f t="shared" si="166"/>
        <v>0</v>
      </c>
      <c r="BL23" s="160">
        <f t="shared" si="167"/>
        <v>0</v>
      </c>
    </row>
    <row r="24" spans="2:77" s="74" customFormat="1" ht="25" customHeight="1" outlineLevel="1" x14ac:dyDescent="0.3">
      <c r="B24" s="285" t="s">
        <v>163</v>
      </c>
      <c r="C24" s="285"/>
      <c r="D24" s="160"/>
      <c r="E24" s="160">
        <f t="shared" si="168"/>
        <v>20000</v>
      </c>
      <c r="F24" s="160">
        <f t="shared" ref="F24:AA24" si="174">F36-E36</f>
        <v>20000</v>
      </c>
      <c r="G24" s="160">
        <f t="shared" si="174"/>
        <v>0</v>
      </c>
      <c r="H24" s="160">
        <f t="shared" si="174"/>
        <v>0</v>
      </c>
      <c r="I24" s="160">
        <f t="shared" si="174"/>
        <v>0</v>
      </c>
      <c r="J24" s="160">
        <f t="shared" si="174"/>
        <v>0</v>
      </c>
      <c r="K24" s="160">
        <f t="shared" si="174"/>
        <v>0</v>
      </c>
      <c r="L24" s="160">
        <f t="shared" si="174"/>
        <v>0</v>
      </c>
      <c r="M24" s="160">
        <f t="shared" si="174"/>
        <v>0</v>
      </c>
      <c r="N24" s="160">
        <f t="shared" si="174"/>
        <v>0</v>
      </c>
      <c r="O24" s="160">
        <f t="shared" si="174"/>
        <v>0</v>
      </c>
      <c r="P24" s="160">
        <f t="shared" si="174"/>
        <v>0</v>
      </c>
      <c r="Q24" s="160">
        <f t="shared" si="174"/>
        <v>0</v>
      </c>
      <c r="R24" s="160">
        <f t="shared" si="174"/>
        <v>0</v>
      </c>
      <c r="S24" s="160">
        <f t="shared" si="174"/>
        <v>0</v>
      </c>
      <c r="T24" s="160">
        <f t="shared" si="174"/>
        <v>0</v>
      </c>
      <c r="U24" s="160">
        <f t="shared" si="174"/>
        <v>0</v>
      </c>
      <c r="V24" s="160">
        <f t="shared" si="174"/>
        <v>0</v>
      </c>
      <c r="W24" s="160">
        <f t="shared" si="174"/>
        <v>0</v>
      </c>
      <c r="X24" s="160">
        <f t="shared" si="174"/>
        <v>0</v>
      </c>
      <c r="Y24" s="160">
        <f t="shared" si="174"/>
        <v>0</v>
      </c>
      <c r="Z24" s="160">
        <f t="shared" si="174"/>
        <v>0</v>
      </c>
      <c r="AA24" s="160">
        <f t="shared" si="174"/>
        <v>0</v>
      </c>
      <c r="AB24" s="160">
        <f t="shared" si="131"/>
        <v>0</v>
      </c>
      <c r="AC24" s="160">
        <f t="shared" si="132"/>
        <v>0</v>
      </c>
      <c r="AD24" s="160">
        <f t="shared" si="133"/>
        <v>0</v>
      </c>
      <c r="AE24" s="160">
        <f t="shared" si="134"/>
        <v>0</v>
      </c>
      <c r="AF24" s="160">
        <f t="shared" si="135"/>
        <v>0</v>
      </c>
      <c r="AG24" s="160">
        <f t="shared" si="136"/>
        <v>0</v>
      </c>
      <c r="AH24" s="160">
        <f t="shared" si="137"/>
        <v>0</v>
      </c>
      <c r="AI24" s="160">
        <f t="shared" si="138"/>
        <v>0</v>
      </c>
      <c r="AJ24" s="160">
        <f t="shared" si="139"/>
        <v>0</v>
      </c>
      <c r="AK24" s="160">
        <f t="shared" si="140"/>
        <v>0</v>
      </c>
      <c r="AL24" s="160">
        <f t="shared" si="141"/>
        <v>0</v>
      </c>
      <c r="AM24" s="160">
        <f t="shared" si="142"/>
        <v>0</v>
      </c>
      <c r="AN24" s="160">
        <f t="shared" si="143"/>
        <v>0</v>
      </c>
      <c r="AO24" s="160">
        <f t="shared" si="144"/>
        <v>0</v>
      </c>
      <c r="AP24" s="160">
        <f t="shared" si="145"/>
        <v>0</v>
      </c>
      <c r="AQ24" s="160">
        <f t="shared" si="146"/>
        <v>0</v>
      </c>
      <c r="AR24" s="160">
        <f t="shared" si="147"/>
        <v>0</v>
      </c>
      <c r="AS24" s="160">
        <f t="shared" si="148"/>
        <v>0</v>
      </c>
      <c r="AT24" s="160">
        <f t="shared" si="149"/>
        <v>0</v>
      </c>
      <c r="AU24" s="160">
        <f t="shared" si="150"/>
        <v>0</v>
      </c>
      <c r="AV24" s="160">
        <f t="shared" si="151"/>
        <v>0</v>
      </c>
      <c r="AW24" s="160">
        <f t="shared" si="152"/>
        <v>0</v>
      </c>
      <c r="AX24" s="160">
        <f t="shared" si="153"/>
        <v>0</v>
      </c>
      <c r="AY24" s="160">
        <f t="shared" si="154"/>
        <v>0</v>
      </c>
      <c r="AZ24" s="160">
        <f t="shared" si="155"/>
        <v>0</v>
      </c>
      <c r="BA24" s="160">
        <f t="shared" si="156"/>
        <v>0</v>
      </c>
      <c r="BB24" s="160">
        <f t="shared" si="157"/>
        <v>0</v>
      </c>
      <c r="BC24" s="160">
        <f t="shared" si="158"/>
        <v>0</v>
      </c>
      <c r="BD24" s="160">
        <f t="shared" si="159"/>
        <v>0</v>
      </c>
      <c r="BE24" s="160">
        <f t="shared" si="160"/>
        <v>0</v>
      </c>
      <c r="BF24" s="160">
        <f t="shared" si="161"/>
        <v>0</v>
      </c>
      <c r="BG24" s="160">
        <f t="shared" si="162"/>
        <v>0</v>
      </c>
      <c r="BH24" s="160">
        <f t="shared" si="163"/>
        <v>0</v>
      </c>
      <c r="BI24" s="160">
        <f t="shared" si="164"/>
        <v>0</v>
      </c>
      <c r="BJ24" s="160">
        <f t="shared" si="165"/>
        <v>0</v>
      </c>
      <c r="BK24" s="160">
        <f t="shared" si="166"/>
        <v>0</v>
      </c>
      <c r="BL24" s="160">
        <f t="shared" si="167"/>
        <v>0</v>
      </c>
    </row>
    <row r="25" spans="2:77" s="74" customFormat="1" ht="25" customHeight="1" x14ac:dyDescent="0.3">
      <c r="B25" s="285" t="s">
        <v>65</v>
      </c>
      <c r="C25" s="285"/>
      <c r="D25" s="159"/>
      <c r="E25" s="159">
        <f>SUM(E20:E24)</f>
        <v>37417.5</v>
      </c>
      <c r="F25" s="159">
        <f t="shared" ref="F25:AA25" si="175">SUM(F20:F24)</f>
        <v>37417.5</v>
      </c>
      <c r="G25" s="159">
        <f t="shared" si="175"/>
        <v>29666.004999999997</v>
      </c>
      <c r="H25" s="159">
        <f t="shared" si="175"/>
        <v>29666.005000000012</v>
      </c>
      <c r="I25" s="159">
        <f t="shared" si="175"/>
        <v>29666.005000000005</v>
      </c>
      <c r="J25" s="159">
        <f t="shared" si="175"/>
        <v>29666.005000000005</v>
      </c>
      <c r="K25" s="159">
        <f t="shared" si="175"/>
        <v>29666.005000000005</v>
      </c>
      <c r="L25" s="159">
        <f t="shared" si="175"/>
        <v>29666.005000000005</v>
      </c>
      <c r="M25" s="159">
        <f t="shared" si="175"/>
        <v>29666.005000000005</v>
      </c>
      <c r="N25" s="159">
        <f t="shared" si="175"/>
        <v>29666.005000000005</v>
      </c>
      <c r="O25" s="159">
        <f t="shared" si="175"/>
        <v>29666.005000000005</v>
      </c>
      <c r="P25" s="159">
        <f t="shared" si="175"/>
        <v>48041.764999999999</v>
      </c>
      <c r="Q25" s="159">
        <f t="shared" si="175"/>
        <v>0</v>
      </c>
      <c r="R25" s="159">
        <f t="shared" si="175"/>
        <v>0</v>
      </c>
      <c r="S25" s="159">
        <f t="shared" si="175"/>
        <v>0</v>
      </c>
      <c r="T25" s="159">
        <f t="shared" si="175"/>
        <v>0</v>
      </c>
      <c r="U25" s="159">
        <f t="shared" si="175"/>
        <v>0</v>
      </c>
      <c r="V25" s="159">
        <f t="shared" si="175"/>
        <v>0</v>
      </c>
      <c r="W25" s="159">
        <f t="shared" si="175"/>
        <v>0</v>
      </c>
      <c r="X25" s="159">
        <f t="shared" si="175"/>
        <v>0</v>
      </c>
      <c r="Y25" s="159">
        <f t="shared" si="175"/>
        <v>0</v>
      </c>
      <c r="Z25" s="159">
        <f t="shared" si="175"/>
        <v>0</v>
      </c>
      <c r="AA25" s="159">
        <f t="shared" si="175"/>
        <v>0</v>
      </c>
      <c r="AB25" s="159">
        <f>SUM(AB20:AB24)</f>
        <v>0</v>
      </c>
      <c r="AC25" s="159">
        <f t="shared" ref="AC25:BL25" si="176">SUM(AC20:AC24)</f>
        <v>0</v>
      </c>
      <c r="AD25" s="159">
        <f t="shared" si="176"/>
        <v>0</v>
      </c>
      <c r="AE25" s="159">
        <f t="shared" si="176"/>
        <v>0</v>
      </c>
      <c r="AF25" s="159">
        <f t="shared" si="176"/>
        <v>0</v>
      </c>
      <c r="AG25" s="159">
        <f t="shared" si="176"/>
        <v>0</v>
      </c>
      <c r="AH25" s="159">
        <f t="shared" si="176"/>
        <v>0</v>
      </c>
      <c r="AI25" s="159">
        <f t="shared" si="176"/>
        <v>0</v>
      </c>
      <c r="AJ25" s="159">
        <f t="shared" si="176"/>
        <v>0</v>
      </c>
      <c r="AK25" s="159">
        <f t="shared" si="176"/>
        <v>0</v>
      </c>
      <c r="AL25" s="159">
        <f t="shared" si="176"/>
        <v>0</v>
      </c>
      <c r="AM25" s="159">
        <f t="shared" si="176"/>
        <v>0</v>
      </c>
      <c r="AN25" s="159">
        <f t="shared" si="176"/>
        <v>0</v>
      </c>
      <c r="AO25" s="159">
        <f t="shared" si="176"/>
        <v>0</v>
      </c>
      <c r="AP25" s="159">
        <f t="shared" si="176"/>
        <v>0</v>
      </c>
      <c r="AQ25" s="159">
        <f t="shared" si="176"/>
        <v>0</v>
      </c>
      <c r="AR25" s="159">
        <f t="shared" si="176"/>
        <v>0</v>
      </c>
      <c r="AS25" s="159">
        <f t="shared" si="176"/>
        <v>0</v>
      </c>
      <c r="AT25" s="159">
        <f t="shared" si="176"/>
        <v>0</v>
      </c>
      <c r="AU25" s="159">
        <f t="shared" si="176"/>
        <v>0</v>
      </c>
      <c r="AV25" s="159">
        <f t="shared" si="176"/>
        <v>0</v>
      </c>
      <c r="AW25" s="159">
        <f t="shared" si="176"/>
        <v>0</v>
      </c>
      <c r="AX25" s="159">
        <f t="shared" si="176"/>
        <v>0</v>
      </c>
      <c r="AY25" s="159">
        <f t="shared" si="176"/>
        <v>0</v>
      </c>
      <c r="AZ25" s="159">
        <f t="shared" si="176"/>
        <v>0</v>
      </c>
      <c r="BA25" s="159">
        <f t="shared" si="176"/>
        <v>0</v>
      </c>
      <c r="BB25" s="159">
        <f t="shared" si="176"/>
        <v>0</v>
      </c>
      <c r="BC25" s="159">
        <f t="shared" si="176"/>
        <v>0</v>
      </c>
      <c r="BD25" s="159">
        <f t="shared" si="176"/>
        <v>0</v>
      </c>
      <c r="BE25" s="159">
        <f t="shared" si="176"/>
        <v>0</v>
      </c>
      <c r="BF25" s="159">
        <f t="shared" si="176"/>
        <v>0</v>
      </c>
      <c r="BG25" s="159">
        <f t="shared" si="176"/>
        <v>0</v>
      </c>
      <c r="BH25" s="159">
        <f t="shared" si="176"/>
        <v>0</v>
      </c>
      <c r="BI25" s="159">
        <f t="shared" si="176"/>
        <v>0</v>
      </c>
      <c r="BJ25" s="159">
        <f t="shared" si="176"/>
        <v>0</v>
      </c>
      <c r="BK25" s="159">
        <f t="shared" si="176"/>
        <v>0</v>
      </c>
      <c r="BL25" s="159">
        <f t="shared" si="176"/>
        <v>0</v>
      </c>
    </row>
    <row r="26" spans="2:77" s="74" customFormat="1" ht="25" customHeight="1" x14ac:dyDescent="0.3">
      <c r="B26" s="287" t="s">
        <v>164</v>
      </c>
      <c r="C26" s="287"/>
      <c r="D26" s="161"/>
      <c r="E26" s="161">
        <f ca="1">E18-E25</f>
        <v>13005.781817423354</v>
      </c>
      <c r="F26" s="165">
        <f t="shared" ref="F26:Z26" ca="1" si="177">F18-F25</f>
        <v>13005.781817423354</v>
      </c>
      <c r="G26" s="165">
        <f t="shared" ca="1" si="177"/>
        <v>10311.474268045458</v>
      </c>
      <c r="H26" s="165">
        <f t="shared" ca="1" si="177"/>
        <v>10311.474268045444</v>
      </c>
      <c r="I26" s="165">
        <f t="shared" ca="1" si="177"/>
        <v>10311.474268045422</v>
      </c>
      <c r="J26" s="165">
        <f t="shared" ca="1" si="177"/>
        <v>10311.474268045451</v>
      </c>
      <c r="K26" s="165">
        <f t="shared" ca="1" si="177"/>
        <v>10311.474268045422</v>
      </c>
      <c r="L26" s="165">
        <f t="shared" ca="1" si="177"/>
        <v>10311.474268045451</v>
      </c>
      <c r="M26" s="165">
        <f t="shared" ca="1" si="177"/>
        <v>10311.474268045451</v>
      </c>
      <c r="N26" s="165">
        <f t="shared" ca="1" si="177"/>
        <v>10311.474268045451</v>
      </c>
      <c r="O26" s="165">
        <f t="shared" ca="1" si="177"/>
        <v>10311.474268045451</v>
      </c>
      <c r="P26" s="165">
        <f t="shared" ca="1" si="177"/>
        <v>75210.907952744295</v>
      </c>
      <c r="Q26" s="165">
        <f t="shared" ca="1" si="177"/>
        <v>0</v>
      </c>
      <c r="R26" s="165">
        <f t="shared" ca="1" si="177"/>
        <v>0</v>
      </c>
      <c r="S26" s="165">
        <f t="shared" ca="1" si="177"/>
        <v>0</v>
      </c>
      <c r="T26" s="165">
        <f t="shared" ca="1" si="177"/>
        <v>0</v>
      </c>
      <c r="U26" s="165">
        <f t="shared" ca="1" si="177"/>
        <v>0</v>
      </c>
      <c r="V26" s="161">
        <f t="shared" ca="1" si="177"/>
        <v>0</v>
      </c>
      <c r="W26" s="161">
        <f t="shared" ca="1" si="177"/>
        <v>0</v>
      </c>
      <c r="X26" s="161">
        <f t="shared" ca="1" si="177"/>
        <v>0</v>
      </c>
      <c r="Y26" s="161">
        <f t="shared" ca="1" si="177"/>
        <v>0</v>
      </c>
      <c r="Z26" s="161">
        <f t="shared" ca="1" si="177"/>
        <v>0</v>
      </c>
      <c r="AA26" s="161">
        <f ca="1">AA18-AA25</f>
        <v>0</v>
      </c>
      <c r="AB26" s="161">
        <f ca="1">AB18-AB25</f>
        <v>0</v>
      </c>
      <c r="AC26" s="161">
        <f t="shared" ref="AC26:BL26" ca="1" si="178">AC18-AC25</f>
        <v>0</v>
      </c>
      <c r="AD26" s="161">
        <f t="shared" ca="1" si="178"/>
        <v>0</v>
      </c>
      <c r="AE26" s="161">
        <f t="shared" ca="1" si="178"/>
        <v>0</v>
      </c>
      <c r="AF26" s="161">
        <f t="shared" ca="1" si="178"/>
        <v>0</v>
      </c>
      <c r="AG26" s="161">
        <f t="shared" ca="1" si="178"/>
        <v>0</v>
      </c>
      <c r="AH26" s="161">
        <f t="shared" ca="1" si="178"/>
        <v>0</v>
      </c>
      <c r="AI26" s="161">
        <f t="shared" ca="1" si="178"/>
        <v>0</v>
      </c>
      <c r="AJ26" s="161">
        <f t="shared" ca="1" si="178"/>
        <v>0</v>
      </c>
      <c r="AK26" s="161">
        <f t="shared" ca="1" si="178"/>
        <v>0</v>
      </c>
      <c r="AL26" s="161">
        <f t="shared" ca="1" si="178"/>
        <v>0</v>
      </c>
      <c r="AM26" s="161">
        <f t="shared" ca="1" si="178"/>
        <v>0</v>
      </c>
      <c r="AN26" s="161">
        <f t="shared" ca="1" si="178"/>
        <v>0</v>
      </c>
      <c r="AO26" s="161">
        <f t="shared" ca="1" si="178"/>
        <v>0</v>
      </c>
      <c r="AP26" s="161">
        <f t="shared" ca="1" si="178"/>
        <v>0</v>
      </c>
      <c r="AQ26" s="161">
        <f t="shared" ca="1" si="178"/>
        <v>0</v>
      </c>
      <c r="AR26" s="161">
        <f t="shared" ca="1" si="178"/>
        <v>0</v>
      </c>
      <c r="AS26" s="161">
        <f t="shared" ca="1" si="178"/>
        <v>0</v>
      </c>
      <c r="AT26" s="161">
        <f t="shared" ca="1" si="178"/>
        <v>0</v>
      </c>
      <c r="AU26" s="161">
        <f t="shared" ca="1" si="178"/>
        <v>0</v>
      </c>
      <c r="AV26" s="161">
        <f t="shared" ca="1" si="178"/>
        <v>0</v>
      </c>
      <c r="AW26" s="161">
        <f t="shared" ca="1" si="178"/>
        <v>0</v>
      </c>
      <c r="AX26" s="161">
        <f t="shared" ca="1" si="178"/>
        <v>0</v>
      </c>
      <c r="AY26" s="161">
        <f t="shared" ca="1" si="178"/>
        <v>0</v>
      </c>
      <c r="AZ26" s="161">
        <f t="shared" ca="1" si="178"/>
        <v>0</v>
      </c>
      <c r="BA26" s="161">
        <f t="shared" ca="1" si="178"/>
        <v>0</v>
      </c>
      <c r="BB26" s="161">
        <f t="shared" ca="1" si="178"/>
        <v>0</v>
      </c>
      <c r="BC26" s="161">
        <f t="shared" ca="1" si="178"/>
        <v>0</v>
      </c>
      <c r="BD26" s="161">
        <f t="shared" ca="1" si="178"/>
        <v>0</v>
      </c>
      <c r="BE26" s="161">
        <f t="shared" ca="1" si="178"/>
        <v>0</v>
      </c>
      <c r="BF26" s="161">
        <f t="shared" ca="1" si="178"/>
        <v>0</v>
      </c>
      <c r="BG26" s="161">
        <f t="shared" ca="1" si="178"/>
        <v>0</v>
      </c>
      <c r="BH26" s="161">
        <f t="shared" ca="1" si="178"/>
        <v>0</v>
      </c>
      <c r="BI26" s="161">
        <f t="shared" ca="1" si="178"/>
        <v>0</v>
      </c>
      <c r="BJ26" s="161">
        <f t="shared" ca="1" si="178"/>
        <v>0</v>
      </c>
      <c r="BK26" s="161">
        <f t="shared" ca="1" si="178"/>
        <v>0</v>
      </c>
      <c r="BL26" s="161">
        <f t="shared" ca="1" si="178"/>
        <v>-58512.285283834673</v>
      </c>
    </row>
    <row r="27" spans="2:77" s="74" customFormat="1" ht="25" customHeight="1" x14ac:dyDescent="0.3">
      <c r="B27" s="287" t="s">
        <v>165</v>
      </c>
      <c r="C27" s="287"/>
      <c r="D27" s="162"/>
      <c r="E27" s="162">
        <f ca="1">IF(E18=0,0,(E18-SUM(E20,E21,E22,E23,E24))/E18)</f>
        <v>0.25793207718045263</v>
      </c>
      <c r="F27" s="162">
        <f t="shared" ref="F27:Z27" ca="1" si="179">IF(F18=0,0,(F18-SUM(F20,F21,F22,F23,F24))/F18)</f>
        <v>0.25793207718045263</v>
      </c>
      <c r="G27" s="162">
        <f t="shared" ca="1" si="179"/>
        <v>0.25793207718045297</v>
      </c>
      <c r="H27" s="162">
        <f t="shared" ca="1" si="179"/>
        <v>0.25793207718045258</v>
      </c>
      <c r="I27" s="162">
        <f t="shared" ca="1" si="179"/>
        <v>0.25793207718045225</v>
      </c>
      <c r="J27" s="162">
        <f t="shared" ca="1" si="179"/>
        <v>0.25793207718045275</v>
      </c>
      <c r="K27" s="162">
        <f t="shared" ca="1" si="179"/>
        <v>0.25793207718045225</v>
      </c>
      <c r="L27" s="162">
        <f t="shared" ca="1" si="179"/>
        <v>0.25793207718045275</v>
      </c>
      <c r="M27" s="162">
        <f t="shared" ca="1" si="179"/>
        <v>0.25793207718045275</v>
      </c>
      <c r="N27" s="162">
        <f t="shared" ca="1" si="179"/>
        <v>0.25793207718045275</v>
      </c>
      <c r="O27" s="162">
        <f t="shared" ca="1" si="179"/>
        <v>0.25793207718045275</v>
      </c>
      <c r="P27" s="162">
        <f t="shared" ca="1" si="179"/>
        <v>0.61021725655865122</v>
      </c>
      <c r="Q27" s="162">
        <f t="shared" ca="1" si="179"/>
        <v>0</v>
      </c>
      <c r="R27" s="162">
        <f t="shared" ca="1" si="179"/>
        <v>0</v>
      </c>
      <c r="S27" s="162">
        <f t="shared" ca="1" si="179"/>
        <v>0</v>
      </c>
      <c r="T27" s="162">
        <f t="shared" ca="1" si="179"/>
        <v>0</v>
      </c>
      <c r="U27" s="162">
        <f t="shared" ca="1" si="179"/>
        <v>0</v>
      </c>
      <c r="V27" s="162">
        <f t="shared" ca="1" si="179"/>
        <v>0</v>
      </c>
      <c r="W27" s="162">
        <f t="shared" ca="1" si="179"/>
        <v>0</v>
      </c>
      <c r="X27" s="162">
        <f t="shared" ca="1" si="179"/>
        <v>0</v>
      </c>
      <c r="Y27" s="162">
        <f t="shared" ca="1" si="179"/>
        <v>0</v>
      </c>
      <c r="Z27" s="162">
        <f t="shared" ca="1" si="179"/>
        <v>0</v>
      </c>
      <c r="AA27" s="162">
        <f ca="1">IF(AA18=0,0,(AA18-SUM(AA20,AA21,AA22,AA23,AA24))/AA18)</f>
        <v>0</v>
      </c>
      <c r="AB27" s="162">
        <f ca="1">IF(AB18=0,0,(AB18-SUM(AB20,AB21,AB22,AB23,AB24))/AB18)</f>
        <v>0</v>
      </c>
      <c r="AC27" s="162">
        <f t="shared" ref="AC27:BL27" ca="1" si="180">IF(AC18=0,0,(AC18-SUM(AC20,AC21,AC22,AC23,AC24))/AC18)</f>
        <v>0</v>
      </c>
      <c r="AD27" s="162">
        <f t="shared" ca="1" si="180"/>
        <v>0</v>
      </c>
      <c r="AE27" s="162">
        <f t="shared" ca="1" si="180"/>
        <v>0</v>
      </c>
      <c r="AF27" s="162">
        <f t="shared" ca="1" si="180"/>
        <v>0</v>
      </c>
      <c r="AG27" s="162">
        <f t="shared" ca="1" si="180"/>
        <v>0</v>
      </c>
      <c r="AH27" s="162">
        <f t="shared" ca="1" si="180"/>
        <v>0</v>
      </c>
      <c r="AI27" s="162">
        <f t="shared" ca="1" si="180"/>
        <v>0</v>
      </c>
      <c r="AJ27" s="162">
        <f t="shared" ca="1" si="180"/>
        <v>0</v>
      </c>
      <c r="AK27" s="162">
        <f t="shared" ca="1" si="180"/>
        <v>0</v>
      </c>
      <c r="AL27" s="162">
        <f t="shared" ca="1" si="180"/>
        <v>0</v>
      </c>
      <c r="AM27" s="162">
        <f t="shared" ca="1" si="180"/>
        <v>0</v>
      </c>
      <c r="AN27" s="162">
        <f t="shared" ca="1" si="180"/>
        <v>0</v>
      </c>
      <c r="AO27" s="162">
        <f t="shared" ca="1" si="180"/>
        <v>0</v>
      </c>
      <c r="AP27" s="162">
        <f t="shared" ca="1" si="180"/>
        <v>0</v>
      </c>
      <c r="AQ27" s="162">
        <f t="shared" ca="1" si="180"/>
        <v>0</v>
      </c>
      <c r="AR27" s="162">
        <f t="shared" ca="1" si="180"/>
        <v>0</v>
      </c>
      <c r="AS27" s="162">
        <f t="shared" ca="1" si="180"/>
        <v>0</v>
      </c>
      <c r="AT27" s="162">
        <f t="shared" ca="1" si="180"/>
        <v>0</v>
      </c>
      <c r="AU27" s="162">
        <f t="shared" ca="1" si="180"/>
        <v>0</v>
      </c>
      <c r="AV27" s="162">
        <f t="shared" ca="1" si="180"/>
        <v>0</v>
      </c>
      <c r="AW27" s="162">
        <f t="shared" ca="1" si="180"/>
        <v>0</v>
      </c>
      <c r="AX27" s="162">
        <f t="shared" ca="1" si="180"/>
        <v>0</v>
      </c>
      <c r="AY27" s="162">
        <f t="shared" ca="1" si="180"/>
        <v>0</v>
      </c>
      <c r="AZ27" s="162">
        <f t="shared" ca="1" si="180"/>
        <v>0</v>
      </c>
      <c r="BA27" s="162">
        <f t="shared" ca="1" si="180"/>
        <v>0</v>
      </c>
      <c r="BB27" s="162">
        <f t="shared" ca="1" si="180"/>
        <v>0</v>
      </c>
      <c r="BC27" s="162">
        <f t="shared" ca="1" si="180"/>
        <v>0</v>
      </c>
      <c r="BD27" s="162">
        <f t="shared" ca="1" si="180"/>
        <v>0</v>
      </c>
      <c r="BE27" s="162">
        <f t="shared" ca="1" si="180"/>
        <v>0</v>
      </c>
      <c r="BF27" s="162">
        <f t="shared" ca="1" si="180"/>
        <v>0</v>
      </c>
      <c r="BG27" s="162">
        <f t="shared" ca="1" si="180"/>
        <v>0</v>
      </c>
      <c r="BH27" s="162">
        <f t="shared" ca="1" si="180"/>
        <v>0</v>
      </c>
      <c r="BI27" s="162">
        <f t="shared" ca="1" si="180"/>
        <v>0</v>
      </c>
      <c r="BJ27" s="162">
        <f t="shared" ca="1" si="180"/>
        <v>0</v>
      </c>
      <c r="BK27" s="162">
        <f t="shared" ca="1" si="180"/>
        <v>0</v>
      </c>
      <c r="BL27" s="162">
        <f t="shared" ca="1" si="180"/>
        <v>1</v>
      </c>
    </row>
    <row r="28" spans="2:77" ht="20.149999999999999" customHeight="1" x14ac:dyDescent="0.3">
      <c r="B28" s="31"/>
      <c r="C28" s="31"/>
      <c r="D28" s="31"/>
      <c r="E28" s="31"/>
    </row>
    <row r="29" spans="2:77" s="93" customFormat="1" ht="25" customHeight="1" x14ac:dyDescent="0.3">
      <c r="B29" s="239" t="s">
        <v>168</v>
      </c>
      <c r="C29" s="239"/>
      <c r="D29" s="153" t="s">
        <v>169</v>
      </c>
      <c r="E29" s="164">
        <f>'Project Infor'!C8</f>
        <v>45962</v>
      </c>
      <c r="F29" s="164">
        <f t="shared" ref="F29" si="181">EOMONTH(E29,1)</f>
        <v>46022</v>
      </c>
      <c r="G29" s="164">
        <f t="shared" ref="G29" si="182">EOMONTH(F29,1)</f>
        <v>46053</v>
      </c>
      <c r="H29" s="164">
        <f t="shared" ref="H29" si="183">EOMONTH(G29,1)</f>
        <v>46081</v>
      </c>
      <c r="I29" s="164">
        <f t="shared" ref="I29" si="184">EOMONTH(H29,1)</f>
        <v>46112</v>
      </c>
      <c r="J29" s="164">
        <f t="shared" ref="J29" si="185">EOMONTH(I29,1)</f>
        <v>46142</v>
      </c>
      <c r="K29" s="164">
        <f t="shared" ref="K29" si="186">EOMONTH(J29,1)</f>
        <v>46173</v>
      </c>
      <c r="L29" s="164">
        <f t="shared" ref="L29" si="187">EOMONTH(K29,1)</f>
        <v>46203</v>
      </c>
      <c r="M29" s="164">
        <f t="shared" ref="M29" si="188">EOMONTH(L29,1)</f>
        <v>46234</v>
      </c>
      <c r="N29" s="164">
        <f t="shared" ref="N29" si="189">EOMONTH(M29,1)</f>
        <v>46265</v>
      </c>
      <c r="O29" s="164">
        <f t="shared" ref="O29" si="190">EOMONTH(N29,1)</f>
        <v>46295</v>
      </c>
      <c r="P29" s="164">
        <f t="shared" ref="P29" si="191">EOMONTH(O29,1)</f>
        <v>46326</v>
      </c>
      <c r="Q29" s="164">
        <f t="shared" ref="Q29" si="192">EOMONTH(P29,1)</f>
        <v>46356</v>
      </c>
      <c r="R29" s="164">
        <f t="shared" ref="R29" si="193">EOMONTH(Q29,1)</f>
        <v>46387</v>
      </c>
      <c r="S29" s="164">
        <f t="shared" ref="S29" si="194">EOMONTH(R29,1)</f>
        <v>46418</v>
      </c>
      <c r="T29" s="164">
        <f t="shared" ref="T29" si="195">EOMONTH(S29,1)</f>
        <v>46446</v>
      </c>
      <c r="U29" s="164">
        <f t="shared" ref="U29" si="196">EOMONTH(T29,1)</f>
        <v>46477</v>
      </c>
      <c r="V29" s="164">
        <f t="shared" ref="V29" si="197">EOMONTH(U29,1)</f>
        <v>46507</v>
      </c>
      <c r="W29" s="164">
        <f t="shared" ref="W29" si="198">EOMONTH(V29,1)</f>
        <v>46538</v>
      </c>
      <c r="X29" s="164">
        <f t="shared" ref="X29" si="199">EOMONTH(W29,1)</f>
        <v>46568</v>
      </c>
      <c r="Y29" s="164">
        <f t="shared" ref="Y29" si="200">EOMONTH(X29,1)</f>
        <v>46599</v>
      </c>
      <c r="Z29" s="164">
        <f t="shared" ref="Z29" si="201">EOMONTH(Y29,1)</f>
        <v>46630</v>
      </c>
      <c r="AA29" s="164">
        <f t="shared" ref="AA29" si="202">EOMONTH(Z29,1)</f>
        <v>46660</v>
      </c>
      <c r="AB29" s="164">
        <f t="shared" ref="AB29" si="203">EOMONTH(AA29,1)</f>
        <v>46691</v>
      </c>
      <c r="AC29" s="164">
        <f t="shared" ref="AC29" si="204">EOMONTH(AB29,1)</f>
        <v>46721</v>
      </c>
      <c r="AD29" s="164">
        <f t="shared" ref="AD29" si="205">EOMONTH(AC29,1)</f>
        <v>46752</v>
      </c>
      <c r="AE29" s="164">
        <f t="shared" ref="AE29" si="206">EOMONTH(AD29,1)</f>
        <v>46783</v>
      </c>
      <c r="AF29" s="164">
        <f t="shared" ref="AF29" si="207">EOMONTH(AE29,1)</f>
        <v>46812</v>
      </c>
      <c r="AG29" s="164">
        <f t="shared" ref="AG29" si="208">EOMONTH(AF29,1)</f>
        <v>46843</v>
      </c>
      <c r="AH29" s="164">
        <f t="shared" ref="AH29" si="209">EOMONTH(AG29,1)</f>
        <v>46873</v>
      </c>
      <c r="AI29" s="164">
        <f t="shared" ref="AI29" si="210">EOMONTH(AH29,1)</f>
        <v>46904</v>
      </c>
      <c r="AJ29" s="164">
        <f t="shared" ref="AJ29" si="211">EOMONTH(AI29,1)</f>
        <v>46934</v>
      </c>
      <c r="AK29" s="164">
        <f t="shared" ref="AK29" si="212">EOMONTH(AJ29,1)</f>
        <v>46965</v>
      </c>
      <c r="AL29" s="164">
        <f t="shared" ref="AL29" si="213">EOMONTH(AK29,1)</f>
        <v>46996</v>
      </c>
      <c r="AM29" s="164">
        <f t="shared" ref="AM29" si="214">EOMONTH(AL29,1)</f>
        <v>47026</v>
      </c>
      <c r="AN29" s="164">
        <f t="shared" ref="AN29" si="215">EOMONTH(AM29,1)</f>
        <v>47057</v>
      </c>
      <c r="AO29" s="164">
        <f t="shared" ref="AO29" si="216">EOMONTH(AN29,1)</f>
        <v>47087</v>
      </c>
      <c r="AP29" s="164">
        <f t="shared" ref="AP29" si="217">EOMONTH(AO29,1)</f>
        <v>47118</v>
      </c>
      <c r="AQ29" s="164">
        <f t="shared" ref="AQ29" si="218">EOMONTH(AP29,1)</f>
        <v>47149</v>
      </c>
      <c r="AR29" s="164">
        <f t="shared" ref="AR29" si="219">EOMONTH(AQ29,1)</f>
        <v>47177</v>
      </c>
      <c r="AS29" s="164">
        <f t="shared" ref="AS29" si="220">EOMONTH(AR29,1)</f>
        <v>47208</v>
      </c>
      <c r="AT29" s="164">
        <f t="shared" ref="AT29" si="221">EOMONTH(AS29,1)</f>
        <v>47238</v>
      </c>
      <c r="AU29" s="164">
        <f t="shared" ref="AU29" si="222">EOMONTH(AT29,1)</f>
        <v>47269</v>
      </c>
      <c r="AV29" s="164">
        <f t="shared" ref="AV29" si="223">EOMONTH(AU29,1)</f>
        <v>47299</v>
      </c>
      <c r="AW29" s="164">
        <f t="shared" ref="AW29" si="224">EOMONTH(AV29,1)</f>
        <v>47330</v>
      </c>
      <c r="AX29" s="164">
        <f t="shared" ref="AX29" si="225">EOMONTH(AW29,1)</f>
        <v>47361</v>
      </c>
      <c r="AY29" s="164">
        <f t="shared" ref="AY29" si="226">EOMONTH(AX29,1)</f>
        <v>47391</v>
      </c>
      <c r="AZ29" s="164">
        <f t="shared" ref="AZ29" si="227">EOMONTH(AY29,1)</f>
        <v>47422</v>
      </c>
      <c r="BA29" s="164">
        <f t="shared" ref="BA29" si="228">EOMONTH(AZ29,1)</f>
        <v>47452</v>
      </c>
      <c r="BB29" s="164">
        <f t="shared" ref="BB29" si="229">EOMONTH(BA29,1)</f>
        <v>47483</v>
      </c>
      <c r="BC29" s="164">
        <f t="shared" ref="BC29" si="230">EOMONTH(BB29,1)</f>
        <v>47514</v>
      </c>
      <c r="BD29" s="164">
        <f t="shared" ref="BD29" si="231">EOMONTH(BC29,1)</f>
        <v>47542</v>
      </c>
      <c r="BE29" s="164">
        <f t="shared" ref="BE29" si="232">EOMONTH(BD29,1)</f>
        <v>47573</v>
      </c>
      <c r="BF29" s="164">
        <f t="shared" ref="BF29" si="233">EOMONTH(BE29,1)</f>
        <v>47603</v>
      </c>
      <c r="BG29" s="164">
        <f t="shared" ref="BG29" si="234">EOMONTH(BF29,1)</f>
        <v>47634</v>
      </c>
      <c r="BH29" s="164">
        <f t="shared" ref="BH29" si="235">EOMONTH(BG29,1)</f>
        <v>47664</v>
      </c>
      <c r="BI29" s="164">
        <f t="shared" ref="BI29" si="236">EOMONTH(BH29,1)</f>
        <v>47695</v>
      </c>
      <c r="BJ29" s="164">
        <f t="shared" ref="BJ29" si="237">EOMONTH(BI29,1)</f>
        <v>47726</v>
      </c>
      <c r="BK29" s="164">
        <f t="shared" ref="BK29" si="238">EOMONTH(BJ29,1)</f>
        <v>47756</v>
      </c>
      <c r="BL29" s="164">
        <f t="shared" ref="BL29" si="239">EOMONTH(BK29,1)</f>
        <v>47787</v>
      </c>
      <c r="BM29" s="28"/>
      <c r="BN29" s="28"/>
      <c r="BO29" s="28"/>
      <c r="BP29" s="28"/>
      <c r="BQ29" s="28"/>
      <c r="BR29" s="28"/>
      <c r="BS29" s="28"/>
      <c r="BT29" s="28"/>
      <c r="BU29" s="28"/>
      <c r="BV29" s="28"/>
      <c r="BW29" s="28"/>
      <c r="BX29" s="28"/>
      <c r="BY29" s="28"/>
    </row>
    <row r="30" spans="2:77" s="74" customFormat="1" ht="25" customHeight="1" x14ac:dyDescent="0.3">
      <c r="B30" s="284" t="s">
        <v>170</v>
      </c>
      <c r="C30" s="284"/>
      <c r="D30" s="158">
        <f>'Project Infor'!C45</f>
        <v>0</v>
      </c>
      <c r="E30" s="158" cm="1">
        <f t="array" aca="1" ref="E30" ca="1">IF(E40,E40,E6*((E32+E33+E34+E35+E36)/(IF(E14&lt;margendirectofinal,E6-E14,pedidobaselineactual-margendirectofinal))))</f>
        <v>50423.281817423354</v>
      </c>
      <c r="F30" s="158" cm="1">
        <f t="array" aca="1" ref="F30" ca="1">IF(F40,F40,F6*((F32+F33+F34+F35+F36)/(IF(F14&lt;margendirectofinal,F6-F14,pedidobaselineactual-margendirectofinal))))</f>
        <v>100846.56363484671</v>
      </c>
      <c r="G30" s="158" cm="1">
        <f t="array" aca="1" ref="G30" ca="1">IF(G40,G40,G6*((G32+G33+G34+G35+G36)/(IF(G14&lt;margendirectofinal,G6-G14,pedidobaselineactual-margendirectofinal))))</f>
        <v>140824.04290289216</v>
      </c>
      <c r="H30" s="158" cm="1">
        <f t="array" aca="1" ref="H30" ca="1">IF(H40,H40,H6*((H32+H33+H34+H35+H36)/(IF(H14&lt;margendirectofinal,H6-H14,pedidobaselineactual-margendirectofinal))))</f>
        <v>180801.52217093762</v>
      </c>
      <c r="I30" s="158" cm="1">
        <f t="array" aca="1" ref="I30" ca="1">IF(I40,I40,I6*((I32+I33+I34+I35+I36)/(IF(I14&lt;margendirectofinal,I6-I14,pedidobaselineactual-margendirectofinal))))</f>
        <v>220779.00143898305</v>
      </c>
      <c r="J30" s="158" cm="1">
        <f t="array" aca="1" ref="J30" ca="1">IF(J40,J40,J6*((J32+J33+J34+J35+J36)/(IF(J14&lt;margendirectofinal,J6-J14,pedidobaselineactual-margendirectofinal))))</f>
        <v>260756.4807070285</v>
      </c>
      <c r="K30" s="158" cm="1">
        <f t="array" aca="1" ref="K30" ca="1">IF(K40,K40,K6*((K32+K33+K34+K35+K36)/(IF(K14&lt;margendirectofinal,K6-K14,pedidobaselineactual-margendirectofinal))))</f>
        <v>300733.95997507393</v>
      </c>
      <c r="L30" s="158" cm="1">
        <f t="array" aca="1" ref="L30" ca="1">IF(L40,L40,L6*((L32+L33+L34+L35+L36)/(IF(L14&lt;margendirectofinal,L6-L14,pedidobaselineactual-margendirectofinal))))</f>
        <v>340711.43924311938</v>
      </c>
      <c r="M30" s="158" cm="1">
        <f t="array" aca="1" ref="M30" ca="1">IF(M40,M40,M6*((M32+M33+M34+M35+M36)/(IF(M14&lt;margendirectofinal,M6-M14,pedidobaselineactual-margendirectofinal))))</f>
        <v>380688.91851116484</v>
      </c>
      <c r="N30" s="158" cm="1">
        <f t="array" aca="1" ref="N30" ca="1">IF(N40,N40,N6*((N32+N33+N34+N35+N36)/(IF(N14&lt;margendirectofinal,N6-N14,pedidobaselineactual-margendirectofinal))))</f>
        <v>420666.3977792103</v>
      </c>
      <c r="O30" s="158" cm="1">
        <f t="array" aca="1" ref="O30" ca="1">IF(O40,O40,O6*((O32+O33+O34+O35+O36)/(IF(O14&lt;margendirectofinal,O6-O14,pedidobaselineactual-margendirectofinal))))</f>
        <v>460643.87704725575</v>
      </c>
      <c r="P30" s="158" cm="1">
        <f t="array" aca="1" ref="P30" ca="1">IF(P40,P40,P6*((P32+P33+P34+P35+P36)/(IF(P14&lt;margendirectofinal,P6-P14,pedidobaselineactual-margendirectofinal))))</f>
        <v>583896.55000000005</v>
      </c>
      <c r="Q30" s="158" cm="1">
        <f t="array" aca="1" ref="Q30" ca="1">IF(Q40,Q40,Q6*((Q32+Q33+Q34+Q35+Q36)/(IF(Q14&lt;margendirectofinal,Q6-Q14,pedidobaselineactual-margendirectofinal))))</f>
        <v>583896.55000000005</v>
      </c>
      <c r="R30" s="158" cm="1">
        <f t="array" aca="1" ref="R30" ca="1">IF(R40,R40,R6*((R32+R33+R34+R35+R36)/(IF(R14&lt;margendirectofinal,R6-R14,pedidobaselineactual-margendirectofinal))))</f>
        <v>583896.55000000005</v>
      </c>
      <c r="S30" s="158" cm="1">
        <f t="array" aca="1" ref="S30" ca="1">IF(S40,S40,S6*((S32+S33+S34+S35+S36)/(IF(S14&lt;margendirectofinal,S6-S14,pedidobaselineactual-margendirectofinal))))</f>
        <v>583896.55000000005</v>
      </c>
      <c r="T30" s="158" cm="1">
        <f t="array" aca="1" ref="T30" ca="1">IF(T40,T40,T6*((T32+T33+T34+T35+T36)/(IF(T14&lt;margendirectofinal,T6-T14,pedidobaselineactual-margendirectofinal))))</f>
        <v>583896.55000000005</v>
      </c>
      <c r="U30" s="158" cm="1">
        <f t="array" aca="1" ref="U30" ca="1">IF(U40,U40,U6*((U32+U33+U34+U35+U36)/(IF(U14&lt;margendirectofinal,U6-U14,pedidobaselineactual-margendirectofinal))))</f>
        <v>583896.55000000005</v>
      </c>
      <c r="V30" s="158" cm="1">
        <f t="array" aca="1" ref="V30" ca="1">IF(V40,V40,V6*((V32+V33+V34+V35+V36)/(IF(V14&lt;margendirectofinal,V6-V14,pedidobaselineactual-margendirectofinal))))</f>
        <v>583896.55000000005</v>
      </c>
      <c r="W30" s="158" cm="1">
        <f t="array" aca="1" ref="W30" ca="1">IF(W40,W40,W6*((W32+W33+W34+W35+W36)/(IF(W14&lt;margendirectofinal,W6-W14,pedidobaselineactual-margendirectofinal))))</f>
        <v>583896.55000000005</v>
      </c>
      <c r="X30" s="158" cm="1">
        <f t="array" aca="1" ref="X30" ca="1">IF(X40,X40,X6*((X32+X33+X34+X35+X36)/(IF(X14&lt;margendirectofinal,X6-X14,pedidobaselineactual-margendirectofinal))))</f>
        <v>583896.55000000005</v>
      </c>
      <c r="Y30" s="158" cm="1">
        <f t="array" aca="1" ref="Y30" ca="1">IF(Y40,Y40,Y6*((Y32+Y33+Y34+Y35+Y36)/(IF(Y14&lt;margendirectofinal,Y6-Y14,pedidobaselineactual-margendirectofinal))))</f>
        <v>583896.55000000005</v>
      </c>
      <c r="Z30" s="158" cm="1">
        <f t="array" aca="1" ref="Z30" ca="1">IF(Z40,Z40,Z6*((Z32+Z33+Z34+Z35+Z36)/(IF(Z14&lt;margendirectofinal,Z6-Z14,pedidobaselineactual-margendirectofinal))))</f>
        <v>583896.55000000005</v>
      </c>
      <c r="AA30" s="158" cm="1">
        <f t="array" aca="1" ref="AA30" ca="1">IF(AA40,AA40,AA6*((AA32+AA33+AA34+AA35+AA36)/(IF(AA14&lt;margendirectofinal,AA6-AA14,pedidobaselineactual-margendirectofinal))))</f>
        <v>583896.55000000005</v>
      </c>
      <c r="AB30" s="158" cm="1">
        <f t="array" aca="1" ref="AB30" ca="1">IF(AB40,AB40,AB6*((AB32+AB33+AB34+AB35+AB36)/(IF(AB14&lt;margendirectofinal,AB6-AB14,pedidobaselineactual-margendirectofinal))))</f>
        <v>583896.55000000005</v>
      </c>
      <c r="AC30" s="158" cm="1">
        <f t="array" aca="1" ref="AC30" ca="1">IF(AC40,AC40,AC6*((AC32+AC33+AC34+AC35+AC36)/(IF(AC14&lt;margendirectofinal,AC6-AC14,pedidobaselineactual-margendirectofinal))))</f>
        <v>583896.55000000005</v>
      </c>
      <c r="AD30" s="158" cm="1">
        <f t="array" aca="1" ref="AD30" ca="1">IF(AD40,AD40,AD6*((AD32+AD33+AD34+AD35+AD36)/(IF(AD14&lt;margendirectofinal,AD6-AD14,pedidobaselineactual-margendirectofinal))))</f>
        <v>583896.55000000005</v>
      </c>
      <c r="AE30" s="158" cm="1">
        <f t="array" aca="1" ref="AE30" ca="1">IF(AE40,AE40,AE6*((AE32+AE33+AE34+AE35+AE36)/(IF(AE14&lt;margendirectofinal,AE6-AE14,pedidobaselineactual-margendirectofinal))))</f>
        <v>583896.55000000005</v>
      </c>
      <c r="AF30" s="158" cm="1">
        <f t="array" aca="1" ref="AF30" ca="1">IF(AF40,AF40,AF6*((AF32+AF33+AF34+AF35+AF36)/(IF(AF14&lt;margendirectofinal,AF6-AF14,pedidobaselineactual-margendirectofinal))))</f>
        <v>583896.55000000005</v>
      </c>
      <c r="AG30" s="158" cm="1">
        <f t="array" aca="1" ref="AG30" ca="1">IF(AG40,AG40,AG6*((AG32+AG33+AG34+AG35+AG36)/(IF(AG14&lt;margendirectofinal,AG6-AG14,pedidobaselineactual-margendirectofinal))))</f>
        <v>583896.55000000005</v>
      </c>
      <c r="AH30" s="158" cm="1">
        <f t="array" aca="1" ref="AH30" ca="1">IF(AH40,AH40,AH6*((AH32+AH33+AH34+AH35+AH36)/(IF(AH14&lt;margendirectofinal,AH6-AH14,pedidobaselineactual-margendirectofinal))))</f>
        <v>583896.55000000005</v>
      </c>
      <c r="AI30" s="158" cm="1">
        <f t="array" aca="1" ref="AI30" ca="1">IF(AI40,AI40,AI6*((AI32+AI33+AI34+AI35+AI36)/(IF(AI14&lt;margendirectofinal,AI6-AI14,pedidobaselineactual-margendirectofinal))))</f>
        <v>583896.55000000005</v>
      </c>
      <c r="AJ30" s="158" cm="1">
        <f t="array" aca="1" ref="AJ30" ca="1">IF(AJ40,AJ40,AJ6*((AJ32+AJ33+AJ34+AJ35+AJ36)/(IF(AJ14&lt;margendirectofinal,AJ6-AJ14,pedidobaselineactual-margendirectofinal))))</f>
        <v>583896.55000000005</v>
      </c>
      <c r="AK30" s="158" cm="1">
        <f t="array" aca="1" ref="AK30" ca="1">IF(AK40,AK40,AK6*((AK32+AK33+AK34+AK35+AK36)/(IF(AK14&lt;margendirectofinal,AK6-AK14,pedidobaselineactual-margendirectofinal))))</f>
        <v>583896.55000000005</v>
      </c>
      <c r="AL30" s="158" cm="1">
        <f t="array" aca="1" ref="AL30" ca="1">IF(AL40,AL40,AL6*((AL32+AL33+AL34+AL35+AL36)/(IF(AL14&lt;margendirectofinal,AL6-AL14,pedidobaselineactual-margendirectofinal))))</f>
        <v>583896.55000000005</v>
      </c>
      <c r="AM30" s="158" cm="1">
        <f t="array" aca="1" ref="AM30" ca="1">IF(AM40,AM40,AM6*((AM32+AM33+AM34+AM35+AM36)/(IF(AM14&lt;margendirectofinal,AM6-AM14,pedidobaselineactual-margendirectofinal))))</f>
        <v>583896.55000000005</v>
      </c>
      <c r="AN30" s="158" cm="1">
        <f t="array" aca="1" ref="AN30" ca="1">IF(AN40,AN40,AN6*((AN32+AN33+AN34+AN35+AN36)/(IF(AN14&lt;margendirectofinal,AN6-AN14,pedidobaselineactual-margendirectofinal))))</f>
        <v>583896.55000000005</v>
      </c>
      <c r="AO30" s="158" cm="1">
        <f t="array" aca="1" ref="AO30" ca="1">IF(AO40,AO40,AO6*((AO32+AO33+AO34+AO35+AO36)/(IF(AO14&lt;margendirectofinal,AO6-AO14,pedidobaselineactual-margendirectofinal))))</f>
        <v>583896.55000000005</v>
      </c>
      <c r="AP30" s="158" cm="1">
        <f t="array" aca="1" ref="AP30" ca="1">IF(AP40,AP40,AP6*((AP32+AP33+AP34+AP35+AP36)/(IF(AP14&lt;margendirectofinal,AP6-AP14,pedidobaselineactual-margendirectofinal))))</f>
        <v>583896.55000000005</v>
      </c>
      <c r="AQ30" s="158" cm="1">
        <f t="array" aca="1" ref="AQ30" ca="1">IF(AQ40,AQ40,AQ6*((AQ32+AQ33+AQ34+AQ35+AQ36)/(IF(AQ14&lt;margendirectofinal,AQ6-AQ14,pedidobaselineactual-margendirectofinal))))</f>
        <v>583896.55000000005</v>
      </c>
      <c r="AR30" s="158" cm="1">
        <f t="array" aca="1" ref="AR30" ca="1">IF(AR40,AR40,AR6*((AR32+AR33+AR34+AR35+AR36)/(IF(AR14&lt;margendirectofinal,AR6-AR14,pedidobaselineactual-margendirectofinal))))</f>
        <v>583896.55000000005</v>
      </c>
      <c r="AS30" s="158" cm="1">
        <f t="array" aca="1" ref="AS30" ca="1">IF(AS40,AS40,AS6*((AS32+AS33+AS34+AS35+AS36)/(IF(AS14&lt;margendirectofinal,AS6-AS14,pedidobaselineactual-margendirectofinal))))</f>
        <v>583896.55000000005</v>
      </c>
      <c r="AT30" s="158" cm="1">
        <f t="array" aca="1" ref="AT30" ca="1">IF(AT40,AT40,AT6*((AT32+AT33+AT34+AT35+AT36)/(IF(AT14&lt;margendirectofinal,AT6-AT14,pedidobaselineactual-margendirectofinal))))</f>
        <v>583896.55000000005</v>
      </c>
      <c r="AU30" s="158" cm="1">
        <f t="array" aca="1" ref="AU30" ca="1">IF(AU40,AU40,AU6*((AU32+AU33+AU34+AU35+AU36)/(IF(AU14&lt;margendirectofinal,AU6-AU14,pedidobaselineactual-margendirectofinal))))</f>
        <v>583896.55000000005</v>
      </c>
      <c r="AV30" s="158" cm="1">
        <f t="array" aca="1" ref="AV30" ca="1">IF(AV40,AV40,AV6*((AV32+AV33+AV34+AV35+AV36)/(IF(AV14&lt;margendirectofinal,AV6-AV14,pedidobaselineactual-margendirectofinal))))</f>
        <v>583896.55000000005</v>
      </c>
      <c r="AW30" s="158" cm="1">
        <f t="array" aca="1" ref="AW30" ca="1">IF(AW40,AW40,AW6*((AW32+AW33+AW34+AW35+AW36)/(IF(AW14&lt;margendirectofinal,AW6-AW14,pedidobaselineactual-margendirectofinal))))</f>
        <v>583896.55000000005</v>
      </c>
      <c r="AX30" s="158" cm="1">
        <f t="array" aca="1" ref="AX30" ca="1">IF(AX40,AX40,AX6*((AX32+AX33+AX34+AX35+AX36)/(IF(AX14&lt;margendirectofinal,AX6-AX14,pedidobaselineactual-margendirectofinal))))</f>
        <v>583896.55000000005</v>
      </c>
      <c r="AY30" s="158" cm="1">
        <f t="array" aca="1" ref="AY30" ca="1">IF(AY40,AY40,AY6*((AY32+AY33+AY34+AY35+AY36)/(IF(AY14&lt;margendirectofinal,AY6-AY14,pedidobaselineactual-margendirectofinal))))</f>
        <v>583896.55000000005</v>
      </c>
      <c r="AZ30" s="158" cm="1">
        <f t="array" aca="1" ref="AZ30" ca="1">IF(AZ40,AZ40,AZ6*((AZ32+AZ33+AZ34+AZ35+AZ36)/(IF(AZ14&lt;margendirectofinal,AZ6-AZ14,pedidobaselineactual-margendirectofinal))))</f>
        <v>583896.55000000005</v>
      </c>
      <c r="BA30" s="158" cm="1">
        <f t="array" aca="1" ref="BA30" ca="1">IF(BA40,BA40,BA6*((BA32+BA33+BA34+BA35+BA36)/(IF(BA14&lt;margendirectofinal,BA6-BA14,pedidobaselineactual-margendirectofinal))))</f>
        <v>583896.55000000005</v>
      </c>
      <c r="BB30" s="158" cm="1">
        <f t="array" aca="1" ref="BB30" ca="1">IF(BB40,BB40,BB6*((BB32+BB33+BB34+BB35+BB36)/(IF(BB14&lt;margendirectofinal,BB6-BB14,pedidobaselineactual-margendirectofinal))))</f>
        <v>583896.55000000005</v>
      </c>
      <c r="BC30" s="158" cm="1">
        <f t="array" aca="1" ref="BC30" ca="1">IF(BC40,BC40,BC6*((BC32+BC33+BC34+BC35+BC36)/(IF(BC14&lt;margendirectofinal,BC6-BC14,pedidobaselineactual-margendirectofinal))))</f>
        <v>583896.55000000005</v>
      </c>
      <c r="BD30" s="158" cm="1">
        <f t="array" aca="1" ref="BD30" ca="1">IF(BD40,BD40,BD6*((BD32+BD33+BD34+BD35+BD36)/(IF(BD14&lt;margendirectofinal,BD6-BD14,pedidobaselineactual-margendirectofinal))))</f>
        <v>583896.55000000005</v>
      </c>
      <c r="BE30" s="158" cm="1">
        <f t="array" aca="1" ref="BE30" ca="1">IF(BE40,BE40,BE6*((BE32+BE33+BE34+BE35+BE36)/(IF(BE14&lt;margendirectofinal,BE6-BE14,pedidobaselineactual-margendirectofinal))))</f>
        <v>583896.55000000005</v>
      </c>
      <c r="BF30" s="158" cm="1">
        <f t="array" aca="1" ref="BF30" ca="1">IF(BF40,BF40,BF6*((BF32+BF33+BF34+BF35+BF36)/(IF(BF14&lt;margendirectofinal,BF6-BF14,pedidobaselineactual-margendirectofinal))))</f>
        <v>583896.55000000005</v>
      </c>
      <c r="BG30" s="158" cm="1">
        <f t="array" aca="1" ref="BG30" ca="1">IF(BG40,BG40,BG6*((BG32+BG33+BG34+BG35+BG36)/(IF(BG14&lt;margendirectofinal,BG6-BG14,pedidobaselineactual-margendirectofinal))))</f>
        <v>583896.55000000005</v>
      </c>
      <c r="BH30" s="158" cm="1">
        <f t="array" aca="1" ref="BH30" ca="1">IF(BH40,BH40,BH6*((BH32+BH33+BH34+BH35+BH36)/(IF(BH14&lt;margendirectofinal,BH6-BH14,pedidobaselineactual-margendirectofinal))))</f>
        <v>583896.55000000005</v>
      </c>
      <c r="BI30" s="158" cm="1">
        <f t="array" aca="1" ref="BI30" ca="1">IF(BI40,BI40,BI6*((BI32+BI33+BI34+BI35+BI36)/(IF(BI14&lt;margendirectofinal,BI6-BI14,pedidobaselineactual-margendirectofinal))))</f>
        <v>583896.55000000005</v>
      </c>
      <c r="BJ30" s="158" cm="1">
        <f t="array" aca="1" ref="BJ30" ca="1">IF(BJ40,BJ40,BJ6*((BJ32+BJ33+BJ34+BJ35+BJ36)/(IF(BJ14&lt;margendirectofinal,BJ6-BJ14,pedidobaselineactual-margendirectofinal))))</f>
        <v>583896.55000000005</v>
      </c>
      <c r="BK30" s="158" cm="1">
        <f t="array" aca="1" ref="BK30" ca="1">IF(BK40,BK40,BK6*((BK32+BK33+BK34+BK35+BK36)/(IF(BK14&lt;margendirectofinal,BK6-BK14,pedidobaselineactual-margendirectofinal))))</f>
        <v>583896.55000000005</v>
      </c>
      <c r="BL30" s="158" cm="1">
        <f t="array" aca="1" ref="BL30" ca="1">IF(BL40,BL40,BL6*((BL32+BL33+BL34+BL35+BL36)/(IF(BL14&lt;margendirectofinal,BL6-BL14,pedidobaselineactual-margendirectofinal))))</f>
        <v>525384.26471616537</v>
      </c>
      <c r="BM30" s="28"/>
      <c r="BN30" s="28"/>
      <c r="BO30" s="28"/>
      <c r="BP30" s="28"/>
      <c r="BQ30" s="28"/>
      <c r="BR30" s="28"/>
      <c r="BS30" s="28"/>
      <c r="BT30" s="28"/>
      <c r="BU30" s="28"/>
      <c r="BV30" s="28"/>
      <c r="BW30" s="28"/>
      <c r="BX30" s="28"/>
      <c r="BY30" s="28"/>
    </row>
    <row r="31" spans="2:77" s="74" customFormat="1" ht="25" customHeight="1" outlineLevel="1" x14ac:dyDescent="0.3">
      <c r="B31" s="285" t="s">
        <v>60</v>
      </c>
      <c r="C31" s="285"/>
      <c r="D31" s="166">
        <f>'Project Infor'!C46</f>
        <v>0</v>
      </c>
      <c r="E31" s="166">
        <f>D31+LOOKUP(E$5,'Cost Planning'!$G$8:$BN$8,'Cost Planning'!$G$9:$BN$9)</f>
        <v>610</v>
      </c>
      <c r="F31" s="166">
        <f>E31+LOOKUP(F$5,'Cost Planning'!$G$8:$BN$8,'Cost Planning'!$G$9:$BN$9)</f>
        <v>1220</v>
      </c>
      <c r="G31" s="166">
        <f>F31+LOOKUP(G$5,'Cost Planning'!$G$8:$BN$8,'Cost Planning'!$G$9:$BN$9)</f>
        <v>2283</v>
      </c>
      <c r="H31" s="166">
        <f>G31+LOOKUP(H$5,'Cost Planning'!$G$8:$BN$8,'Cost Planning'!$G$9:$BN$9)</f>
        <v>3346</v>
      </c>
      <c r="I31" s="166">
        <f>H31+LOOKUP(I$5,'Cost Planning'!$G$8:$BN$8,'Cost Planning'!$G$9:$BN$9)</f>
        <v>4409</v>
      </c>
      <c r="J31" s="166">
        <f>I31+LOOKUP(J$5,'Cost Planning'!$G$8:$BN$8,'Cost Planning'!$G$9:$BN$9)</f>
        <v>5472</v>
      </c>
      <c r="K31" s="166">
        <f>J31+LOOKUP(K$5,'Cost Planning'!$G$8:$BN$8,'Cost Planning'!$G$9:$BN$9)</f>
        <v>6535</v>
      </c>
      <c r="L31" s="166">
        <f>K31+LOOKUP(L$5,'Cost Planning'!$G$8:$BN$8,'Cost Planning'!$G$9:$BN$9)</f>
        <v>7598</v>
      </c>
      <c r="M31" s="166">
        <f>L31+LOOKUP(M$5,'Cost Planning'!$G$8:$BN$8,'Cost Planning'!$G$9:$BN$9)</f>
        <v>8661</v>
      </c>
      <c r="N31" s="166">
        <f>M31+LOOKUP(N$5,'Cost Planning'!$G$8:$BN$8,'Cost Planning'!$G$9:$BN$9)</f>
        <v>9724</v>
      </c>
      <c r="O31" s="166">
        <f>N31+LOOKUP(O$5,'Cost Planning'!$G$8:$BN$8,'Cost Planning'!$G$9:$BN$9)</f>
        <v>10787</v>
      </c>
      <c r="P31" s="166">
        <f>O31+LOOKUP(P$5,'Cost Planning'!$G$8:$BN$8,'Cost Planning'!$G$9:$BN$9)</f>
        <v>11850</v>
      </c>
      <c r="Q31" s="166">
        <f>P31+LOOKUP(Q$5,'Cost Planning'!$G$8:$BN$8,'Cost Planning'!$G$9:$BN$9)</f>
        <v>11850</v>
      </c>
      <c r="R31" s="166">
        <f>Q31+LOOKUP(R$5,'Cost Planning'!$G$8:$BN$8,'Cost Planning'!$G$9:$BN$9)</f>
        <v>11850</v>
      </c>
      <c r="S31" s="166">
        <f>R31+LOOKUP(S$5,'Cost Planning'!$G$8:$BN$8,'Cost Planning'!$G$9:$BN$9)</f>
        <v>11850</v>
      </c>
      <c r="T31" s="166">
        <f>S31+LOOKUP(T$5,'Cost Planning'!$G$8:$BN$8,'Cost Planning'!$G$9:$BN$9)</f>
        <v>11850</v>
      </c>
      <c r="U31" s="166">
        <f>T31+LOOKUP(U$5,'Cost Planning'!$G$8:$BN$8,'Cost Planning'!$G$9:$BN$9)</f>
        <v>11850</v>
      </c>
      <c r="V31" s="166">
        <f>U31+LOOKUP(V$5,'Cost Planning'!$G$8:$BN$8,'Cost Planning'!$G$9:$BN$9)</f>
        <v>11850</v>
      </c>
      <c r="W31" s="166">
        <f>V31+LOOKUP(W$5,'Cost Planning'!$G$8:$BN$8,'Cost Planning'!$G$9:$BN$9)</f>
        <v>11850</v>
      </c>
      <c r="X31" s="166">
        <f>W31+LOOKUP(X$5,'Cost Planning'!$G$8:$BN$8,'Cost Planning'!$G$9:$BN$9)</f>
        <v>11850</v>
      </c>
      <c r="Y31" s="166">
        <f>X31+LOOKUP(Y$5,'Cost Planning'!$G$8:$BN$8,'Cost Planning'!$G$9:$BN$9)</f>
        <v>11850</v>
      </c>
      <c r="Z31" s="166">
        <f>Y31+LOOKUP(Z$5,'Cost Planning'!$G$8:$BN$8,'Cost Planning'!$G$9:$BN$9)</f>
        <v>11850</v>
      </c>
      <c r="AA31" s="166">
        <f>Z31+LOOKUP(AA$5,'Cost Planning'!$G$8:$BN$8,'Cost Planning'!$G$9:$BN$9)</f>
        <v>11850</v>
      </c>
      <c r="AB31" s="166">
        <f>AA31+LOOKUP(AB$5,'Cost Planning'!$G$8:$BN$8,'Cost Planning'!$G$9:$BN$9)</f>
        <v>11850</v>
      </c>
      <c r="AC31" s="166">
        <f>AB31+LOOKUP(AC$5,'Cost Planning'!$G$8:$BN$8,'Cost Planning'!$G$9:$BN$9)</f>
        <v>11850</v>
      </c>
      <c r="AD31" s="166">
        <f>AC31+LOOKUP(AD$5,'Cost Planning'!$G$8:$BN$8,'Cost Planning'!$G$9:$BN$9)</f>
        <v>11850</v>
      </c>
      <c r="AE31" s="166">
        <f>AD31+LOOKUP(AE$5,'Cost Planning'!$G$8:$BN$8,'Cost Planning'!$G$9:$BN$9)</f>
        <v>11850</v>
      </c>
      <c r="AF31" s="166">
        <f>AE31+LOOKUP(AF$5,'Cost Planning'!$G$8:$BN$8,'Cost Planning'!$G$9:$BN$9)</f>
        <v>11850</v>
      </c>
      <c r="AG31" s="166">
        <f>AF31+LOOKUP(AG$5,'Cost Planning'!$G$8:$BN$8,'Cost Planning'!$G$9:$BN$9)</f>
        <v>11850</v>
      </c>
      <c r="AH31" s="166">
        <f>AG31+LOOKUP(AH$5,'Cost Planning'!$G$8:$BN$8,'Cost Planning'!$G$9:$BN$9)</f>
        <v>11850</v>
      </c>
      <c r="AI31" s="166">
        <f>AH31+LOOKUP(AI$5,'Cost Planning'!$G$8:$BN$8,'Cost Planning'!$G$9:$BN$9)</f>
        <v>11850</v>
      </c>
      <c r="AJ31" s="166">
        <f>AI31+LOOKUP(AJ$5,'Cost Planning'!$G$8:$BN$8,'Cost Planning'!$G$9:$BN$9)</f>
        <v>11850</v>
      </c>
      <c r="AK31" s="166">
        <f>AJ31+LOOKUP(AK$5,'Cost Planning'!$G$8:$BN$8,'Cost Planning'!$G$9:$BN$9)</f>
        <v>11850</v>
      </c>
      <c r="AL31" s="166">
        <f>AK31+LOOKUP(AL$5,'Cost Planning'!$G$8:$BN$8,'Cost Planning'!$G$9:$BN$9)</f>
        <v>11850</v>
      </c>
      <c r="AM31" s="166">
        <f>AL31+LOOKUP(AM$5,'Cost Planning'!$G$8:$BN$8,'Cost Planning'!$G$9:$BN$9)</f>
        <v>11850</v>
      </c>
      <c r="AN31" s="166">
        <f>AM31+LOOKUP(AN$5,'Cost Planning'!$G$8:$BN$8,'Cost Planning'!$G$9:$BN$9)</f>
        <v>11850</v>
      </c>
      <c r="AO31" s="166">
        <f>AN31+LOOKUP(AO$5,'Cost Planning'!$G$8:$BN$8,'Cost Planning'!$G$9:$BN$9)</f>
        <v>11850</v>
      </c>
      <c r="AP31" s="166">
        <f>AO31+LOOKUP(AP$5,'Cost Planning'!$G$8:$BN$8,'Cost Planning'!$G$9:$BN$9)</f>
        <v>11850</v>
      </c>
      <c r="AQ31" s="166">
        <f>AP31+LOOKUP(AQ$5,'Cost Planning'!$G$8:$BN$8,'Cost Planning'!$G$9:$BN$9)</f>
        <v>11850</v>
      </c>
      <c r="AR31" s="166">
        <f>AQ31+LOOKUP(AR$5,'Cost Planning'!$G$8:$BN$8,'Cost Planning'!$G$9:$BN$9)</f>
        <v>11850</v>
      </c>
      <c r="AS31" s="166">
        <f>AR31+LOOKUP(AS$5,'Cost Planning'!$G$8:$BN$8,'Cost Planning'!$G$9:$BN$9)</f>
        <v>11850</v>
      </c>
      <c r="AT31" s="166">
        <f>AS31+LOOKUP(AT$5,'Cost Planning'!$G$8:$BN$8,'Cost Planning'!$G$9:$BN$9)</f>
        <v>11850</v>
      </c>
      <c r="AU31" s="166">
        <f>AT31+LOOKUP(AU$5,'Cost Planning'!$G$8:$BN$8,'Cost Planning'!$G$9:$BN$9)</f>
        <v>11850</v>
      </c>
      <c r="AV31" s="166">
        <f>AU31+LOOKUP(AV$5,'Cost Planning'!$G$8:$BN$8,'Cost Planning'!$G$9:$BN$9)</f>
        <v>11850</v>
      </c>
      <c r="AW31" s="166">
        <f>AV31+LOOKUP(AW$5,'Cost Planning'!$G$8:$BN$8,'Cost Planning'!$G$9:$BN$9)</f>
        <v>11850</v>
      </c>
      <c r="AX31" s="166">
        <f>AW31+LOOKUP(AX$5,'Cost Planning'!$G$8:$BN$8,'Cost Planning'!$G$9:$BN$9)</f>
        <v>11850</v>
      </c>
      <c r="AY31" s="166">
        <f>AX31+LOOKUP(AY$5,'Cost Planning'!$G$8:$BN$8,'Cost Planning'!$G$9:$BN$9)</f>
        <v>11850</v>
      </c>
      <c r="AZ31" s="166">
        <f>AY31+LOOKUP(AZ$5,'Cost Planning'!$G$8:$BN$8,'Cost Planning'!$G$9:$BN$9)</f>
        <v>11850</v>
      </c>
      <c r="BA31" s="166">
        <f>AZ31+LOOKUP(BA$5,'Cost Planning'!$G$8:$BN$8,'Cost Planning'!$G$9:$BN$9)</f>
        <v>11850</v>
      </c>
      <c r="BB31" s="166">
        <f>BA31+LOOKUP(BB$5,'Cost Planning'!$G$8:$BN$8,'Cost Planning'!$G$9:$BN$9)</f>
        <v>11850</v>
      </c>
      <c r="BC31" s="166">
        <f>BB31+LOOKUP(BC$5,'Cost Planning'!$G$8:$BN$8,'Cost Planning'!$G$9:$BN$9)</f>
        <v>11850</v>
      </c>
      <c r="BD31" s="166">
        <f>BC31+LOOKUP(BD$5,'Cost Planning'!$G$8:$BN$8,'Cost Planning'!$G$9:$BN$9)</f>
        <v>11850</v>
      </c>
      <c r="BE31" s="166">
        <f>BD31+LOOKUP(BE$5,'Cost Planning'!$G$8:$BN$8,'Cost Planning'!$G$9:$BN$9)</f>
        <v>11850</v>
      </c>
      <c r="BF31" s="166">
        <f>BE31+LOOKUP(BF$5,'Cost Planning'!$G$8:$BN$8,'Cost Planning'!$G$9:$BN$9)</f>
        <v>11850</v>
      </c>
      <c r="BG31" s="166">
        <f>BF31+LOOKUP(BG$5,'Cost Planning'!$G$8:$BN$8,'Cost Planning'!$G$9:$BN$9)</f>
        <v>11850</v>
      </c>
      <c r="BH31" s="166">
        <f>BG31+LOOKUP(BH$5,'Cost Planning'!$G$8:$BN$8,'Cost Planning'!$G$9:$BN$9)</f>
        <v>11850</v>
      </c>
      <c r="BI31" s="166">
        <f>BH31+LOOKUP(BI$5,'Cost Planning'!$G$8:$BN$8,'Cost Planning'!$G$9:$BN$9)</f>
        <v>11850</v>
      </c>
      <c r="BJ31" s="166">
        <f>BI31+LOOKUP(BJ$5,'Cost Planning'!$G$8:$BN$8,'Cost Planning'!$G$9:$BN$9)</f>
        <v>11850</v>
      </c>
      <c r="BK31" s="166">
        <f>BJ31+LOOKUP(BK$5,'Cost Planning'!$G$8:$BN$8,'Cost Planning'!$G$9:$BN$9)</f>
        <v>11850</v>
      </c>
      <c r="BL31" s="166">
        <f>BK31+LOOKUP(BL$5,'Cost Planning'!$G$8:$BN$8,'Cost Planning'!$G$9:$BN$9)</f>
        <v>11850</v>
      </c>
      <c r="BN31" s="28"/>
      <c r="BO31" s="28"/>
      <c r="BP31" s="28"/>
      <c r="BQ31" s="28"/>
      <c r="BR31" s="28"/>
      <c r="BS31" s="28"/>
      <c r="BT31" s="28"/>
      <c r="BU31" s="28"/>
      <c r="BV31" s="28"/>
      <c r="BW31" s="28"/>
      <c r="BX31" s="28"/>
      <c r="BY31" s="28"/>
    </row>
    <row r="32" spans="2:77" s="74" customFormat="1" ht="25" customHeight="1" outlineLevel="1" x14ac:dyDescent="0.3">
      <c r="B32" s="285" t="s">
        <v>171</v>
      </c>
      <c r="C32" s="285"/>
      <c r="D32" s="166">
        <f>'Project Infor'!C47</f>
        <v>0</v>
      </c>
      <c r="E32" s="166">
        <f>D32+LOOKUP(E$5,'Cost Planning'!$G$8:$BN$8,'Cost Planning'!$G$40:$BN$40)+LOOKUP(E$5,'Cost Planning'!$G$8:$BN$8,'Cost Planning'!$G$41:$BN$41)</f>
        <v>17417.5</v>
      </c>
      <c r="F32" s="166">
        <f>E32+LOOKUP(F$5,'Cost Planning'!$G$8:$BN$8,'Cost Planning'!$G$40:$BN$40)+LOOKUP(F$5,'Cost Planning'!$G$8:$BN$8,'Cost Planning'!$G$41:$BN$41)</f>
        <v>34835</v>
      </c>
      <c r="G32" s="166">
        <f>F32+LOOKUP(G$5,'Cost Planning'!$G$8:$BN$8,'Cost Planning'!$G$40:$BN$40)+LOOKUP(G$5,'Cost Planning'!$G$8:$BN$8,'Cost Planning'!$G$41:$BN$41)</f>
        <v>63761.004999999997</v>
      </c>
      <c r="H32" s="166">
        <f>G32+LOOKUP(H$5,'Cost Planning'!$G$8:$BN$8,'Cost Planning'!$G$40:$BN$40)+LOOKUP(H$5,'Cost Planning'!$G$8:$BN$8,'Cost Planning'!$G$41:$BN$41)</f>
        <v>92687.010000000009</v>
      </c>
      <c r="I32" s="166">
        <f>H32+LOOKUP(I$5,'Cost Planning'!$G$8:$BN$8,'Cost Planning'!$G$40:$BN$40)+LOOKUP(I$5,'Cost Planning'!$G$8:$BN$8,'Cost Planning'!$G$41:$BN$41)</f>
        <v>121613.01500000001</v>
      </c>
      <c r="J32" s="166">
        <f>I32+LOOKUP(J$5,'Cost Planning'!$G$8:$BN$8,'Cost Planning'!$G$40:$BN$40)+LOOKUP(J$5,'Cost Planning'!$G$8:$BN$8,'Cost Planning'!$G$41:$BN$41)</f>
        <v>150539.02000000002</v>
      </c>
      <c r="K32" s="166">
        <f>J32+LOOKUP(K$5,'Cost Planning'!$G$8:$BN$8,'Cost Planning'!$G$40:$BN$40)+LOOKUP(K$5,'Cost Planning'!$G$8:$BN$8,'Cost Planning'!$G$41:$BN$41)</f>
        <v>179465.02500000002</v>
      </c>
      <c r="L32" s="166">
        <f>K32+LOOKUP(L$5,'Cost Planning'!$G$8:$BN$8,'Cost Planning'!$G$40:$BN$40)+LOOKUP(L$5,'Cost Planning'!$G$8:$BN$8,'Cost Planning'!$G$41:$BN$41)</f>
        <v>208391.03000000003</v>
      </c>
      <c r="M32" s="166">
        <f>L32+LOOKUP(M$5,'Cost Planning'!$G$8:$BN$8,'Cost Planning'!$G$40:$BN$40)+LOOKUP(M$5,'Cost Planning'!$G$8:$BN$8,'Cost Planning'!$G$41:$BN$41)</f>
        <v>237317.03500000003</v>
      </c>
      <c r="N32" s="166">
        <f>M32+LOOKUP(N$5,'Cost Planning'!$G$8:$BN$8,'Cost Planning'!$G$40:$BN$40)+LOOKUP(N$5,'Cost Planning'!$G$8:$BN$8,'Cost Planning'!$G$41:$BN$41)</f>
        <v>266243.04000000004</v>
      </c>
      <c r="O32" s="166">
        <f>N32+LOOKUP(O$5,'Cost Planning'!$G$8:$BN$8,'Cost Planning'!$G$40:$BN$40)+LOOKUP(O$5,'Cost Planning'!$G$8:$BN$8,'Cost Planning'!$G$41:$BN$41)</f>
        <v>295169.04500000004</v>
      </c>
      <c r="P32" s="166">
        <f>O32+LOOKUP(P$5,'Cost Planning'!$G$8:$BN$8,'Cost Planning'!$G$40:$BN$40)+LOOKUP(P$5,'Cost Planning'!$G$8:$BN$8,'Cost Planning'!$G$41:$BN$41)</f>
        <v>324095.05000000005</v>
      </c>
      <c r="Q32" s="166">
        <f>P32+LOOKUP(Q$5,'Cost Planning'!$G$8:$BN$8,'Cost Planning'!$G$40:$BN$40)+LOOKUP(Q$5,'Cost Planning'!$G$8:$BN$8,'Cost Planning'!$G$41:$BN$41)</f>
        <v>324095.05000000005</v>
      </c>
      <c r="R32" s="166">
        <f>Q32+LOOKUP(R$5,'Cost Planning'!$G$8:$BN$8,'Cost Planning'!$G$40:$BN$40)+LOOKUP(R$5,'Cost Planning'!$G$8:$BN$8,'Cost Planning'!$G$41:$BN$41)</f>
        <v>324095.05000000005</v>
      </c>
      <c r="S32" s="166">
        <f>R32+LOOKUP(S$5,'Cost Planning'!$G$8:$BN$8,'Cost Planning'!$G$40:$BN$40)+LOOKUP(S$5,'Cost Planning'!$G$8:$BN$8,'Cost Planning'!$G$41:$BN$41)</f>
        <v>324095.05000000005</v>
      </c>
      <c r="T32" s="166">
        <f>S32+LOOKUP(T$5,'Cost Planning'!$G$8:$BN$8,'Cost Planning'!$G$40:$BN$40)+LOOKUP(T$5,'Cost Planning'!$G$8:$BN$8,'Cost Planning'!$G$41:$BN$41)</f>
        <v>324095.05000000005</v>
      </c>
      <c r="U32" s="166">
        <f>T32+LOOKUP(U$5,'Cost Planning'!$G$8:$BN$8,'Cost Planning'!$G$40:$BN$40)+LOOKUP(U$5,'Cost Planning'!$G$8:$BN$8,'Cost Planning'!$G$41:$BN$41)</f>
        <v>324095.05000000005</v>
      </c>
      <c r="V32" s="166">
        <f>U32+LOOKUP(V$5,'Cost Planning'!$G$8:$BN$8,'Cost Planning'!$G$40:$BN$40)+LOOKUP(V$5,'Cost Planning'!$G$8:$BN$8,'Cost Planning'!$G$41:$BN$41)</f>
        <v>324095.05000000005</v>
      </c>
      <c r="W32" s="166">
        <f>V32+LOOKUP(W$5,'Cost Planning'!$G$8:$BN$8,'Cost Planning'!$G$40:$BN$40)+LOOKUP(W$5,'Cost Planning'!$G$8:$BN$8,'Cost Planning'!$G$41:$BN$41)</f>
        <v>324095.05000000005</v>
      </c>
      <c r="X32" s="166">
        <f>W32+LOOKUP(X$5,'Cost Planning'!$G$8:$BN$8,'Cost Planning'!$G$40:$BN$40)+LOOKUP(X$5,'Cost Planning'!$G$8:$BN$8,'Cost Planning'!$G$41:$BN$41)</f>
        <v>324095.05000000005</v>
      </c>
      <c r="Y32" s="166">
        <f>X32+LOOKUP(Y$5,'Cost Planning'!$G$8:$BN$8,'Cost Planning'!$G$40:$BN$40)+LOOKUP(Y$5,'Cost Planning'!$G$8:$BN$8,'Cost Planning'!$G$41:$BN$41)</f>
        <v>324095.05000000005</v>
      </c>
      <c r="Z32" s="166">
        <f>Y32+LOOKUP(Z$5,'Cost Planning'!$G$8:$BN$8,'Cost Planning'!$G$40:$BN$40)+LOOKUP(Z$5,'Cost Planning'!$G$8:$BN$8,'Cost Planning'!$G$41:$BN$41)</f>
        <v>324095.05000000005</v>
      </c>
      <c r="AA32" s="166">
        <f>Z32+LOOKUP(AA$5,'Cost Planning'!$G$8:$BN$8,'Cost Planning'!$G$40:$BN$40)+LOOKUP(AA$5,'Cost Planning'!$G$8:$BN$8,'Cost Planning'!$G$41:$BN$41)</f>
        <v>324095.05000000005</v>
      </c>
      <c r="AB32" s="166">
        <f>AA32+LOOKUP(AB$5,'Cost Planning'!$G$8:$BN$8,'Cost Planning'!$G$40:$BN$40)+LOOKUP(AB$5,'Cost Planning'!$G$8:$BN$8,'Cost Planning'!$G$41:$BN$41)</f>
        <v>324095.05000000005</v>
      </c>
      <c r="AC32" s="166">
        <f>AB32+LOOKUP(AC$5,'Cost Planning'!$G$8:$BN$8,'Cost Planning'!$G$40:$BN$40)+LOOKUP(AC$5,'Cost Planning'!$G$8:$BN$8,'Cost Planning'!$G$41:$BN$41)</f>
        <v>324095.05000000005</v>
      </c>
      <c r="AD32" s="166">
        <f>AC32+LOOKUP(AD$5,'Cost Planning'!$G$8:$BN$8,'Cost Planning'!$G$40:$BN$40)+LOOKUP(AD$5,'Cost Planning'!$G$8:$BN$8,'Cost Planning'!$G$41:$BN$41)</f>
        <v>324095.05000000005</v>
      </c>
      <c r="AE32" s="166">
        <f>AD32+LOOKUP(AE$5,'Cost Planning'!$G$8:$BN$8,'Cost Planning'!$G$40:$BN$40)+LOOKUP(AE$5,'Cost Planning'!$G$8:$BN$8,'Cost Planning'!$G$41:$BN$41)</f>
        <v>324095.05000000005</v>
      </c>
      <c r="AF32" s="166">
        <f>AE32+LOOKUP(AF$5,'Cost Planning'!$G$8:$BN$8,'Cost Planning'!$G$40:$BN$40)+LOOKUP(AF$5,'Cost Planning'!$G$8:$BN$8,'Cost Planning'!$G$41:$BN$41)</f>
        <v>324095.05000000005</v>
      </c>
      <c r="AG32" s="166">
        <f>AF32+LOOKUP(AG$5,'Cost Planning'!$G$8:$BN$8,'Cost Planning'!$G$40:$BN$40)+LOOKUP(AG$5,'Cost Planning'!$G$8:$BN$8,'Cost Planning'!$G$41:$BN$41)</f>
        <v>324095.05000000005</v>
      </c>
      <c r="AH32" s="166">
        <f>AG32+LOOKUP(AH$5,'Cost Planning'!$G$8:$BN$8,'Cost Planning'!$G$40:$BN$40)+LOOKUP(AH$5,'Cost Planning'!$G$8:$BN$8,'Cost Planning'!$G$41:$BN$41)</f>
        <v>324095.05000000005</v>
      </c>
      <c r="AI32" s="166">
        <f>AH32+LOOKUP(AI$5,'Cost Planning'!$G$8:$BN$8,'Cost Planning'!$G$40:$BN$40)+LOOKUP(AI$5,'Cost Planning'!$G$8:$BN$8,'Cost Planning'!$G$41:$BN$41)</f>
        <v>324095.05000000005</v>
      </c>
      <c r="AJ32" s="166">
        <f>AI32+LOOKUP(AJ$5,'Cost Planning'!$G$8:$BN$8,'Cost Planning'!$G$40:$BN$40)+LOOKUP(AJ$5,'Cost Planning'!$G$8:$BN$8,'Cost Planning'!$G$41:$BN$41)</f>
        <v>324095.05000000005</v>
      </c>
      <c r="AK32" s="166">
        <f>AJ32+LOOKUP(AK$5,'Cost Planning'!$G$8:$BN$8,'Cost Planning'!$G$40:$BN$40)+LOOKUP(AK$5,'Cost Planning'!$G$8:$BN$8,'Cost Planning'!$G$41:$BN$41)</f>
        <v>324095.05000000005</v>
      </c>
      <c r="AL32" s="166">
        <f>AK32+LOOKUP(AL$5,'Cost Planning'!$G$8:$BN$8,'Cost Planning'!$G$40:$BN$40)+LOOKUP(AL$5,'Cost Planning'!$G$8:$BN$8,'Cost Planning'!$G$41:$BN$41)</f>
        <v>324095.05000000005</v>
      </c>
      <c r="AM32" s="166">
        <f>AL32+LOOKUP(AM$5,'Cost Planning'!$G$8:$BN$8,'Cost Planning'!$G$40:$BN$40)+LOOKUP(AM$5,'Cost Planning'!$G$8:$BN$8,'Cost Planning'!$G$41:$BN$41)</f>
        <v>324095.05000000005</v>
      </c>
      <c r="AN32" s="166">
        <f>AM32+LOOKUP(AN$5,'Cost Planning'!$G$8:$BN$8,'Cost Planning'!$G$40:$BN$40)+LOOKUP(AN$5,'Cost Planning'!$G$8:$BN$8,'Cost Planning'!$G$41:$BN$41)</f>
        <v>324095.05000000005</v>
      </c>
      <c r="AO32" s="166">
        <f>AN32+LOOKUP(AO$5,'Cost Planning'!$G$8:$BN$8,'Cost Planning'!$G$40:$BN$40)+LOOKUP(AO$5,'Cost Planning'!$G$8:$BN$8,'Cost Planning'!$G$41:$BN$41)</f>
        <v>324095.05000000005</v>
      </c>
      <c r="AP32" s="166">
        <f>AO32+LOOKUP(AP$5,'Cost Planning'!$G$8:$BN$8,'Cost Planning'!$G$40:$BN$40)+LOOKUP(AP$5,'Cost Planning'!$G$8:$BN$8,'Cost Planning'!$G$41:$BN$41)</f>
        <v>324095.05000000005</v>
      </c>
      <c r="AQ32" s="166">
        <f>AP32+LOOKUP(AQ$5,'Cost Planning'!$G$8:$BN$8,'Cost Planning'!$G$40:$BN$40)+LOOKUP(AQ$5,'Cost Planning'!$G$8:$BN$8,'Cost Planning'!$G$41:$BN$41)</f>
        <v>324095.05000000005</v>
      </c>
      <c r="AR32" s="166">
        <f>AQ32+LOOKUP(AR$5,'Cost Planning'!$G$8:$BN$8,'Cost Planning'!$G$40:$BN$40)+LOOKUP(AR$5,'Cost Planning'!$G$8:$BN$8,'Cost Planning'!$G$41:$BN$41)</f>
        <v>324095.05000000005</v>
      </c>
      <c r="AS32" s="166">
        <f>AR32+LOOKUP(AS$5,'Cost Planning'!$G$8:$BN$8,'Cost Planning'!$G$40:$BN$40)+LOOKUP(AS$5,'Cost Planning'!$G$8:$BN$8,'Cost Planning'!$G$41:$BN$41)</f>
        <v>324095.05000000005</v>
      </c>
      <c r="AT32" s="166">
        <f>AS32+LOOKUP(AT$5,'Cost Planning'!$G$8:$BN$8,'Cost Planning'!$G$40:$BN$40)+LOOKUP(AT$5,'Cost Planning'!$G$8:$BN$8,'Cost Planning'!$G$41:$BN$41)</f>
        <v>324095.05000000005</v>
      </c>
      <c r="AU32" s="166">
        <f>AT32+LOOKUP(AU$5,'Cost Planning'!$G$8:$BN$8,'Cost Planning'!$G$40:$BN$40)+LOOKUP(AU$5,'Cost Planning'!$G$8:$BN$8,'Cost Planning'!$G$41:$BN$41)</f>
        <v>324095.05000000005</v>
      </c>
      <c r="AV32" s="166">
        <f>AU32+LOOKUP(AV$5,'Cost Planning'!$G$8:$BN$8,'Cost Planning'!$G$40:$BN$40)+LOOKUP(AV$5,'Cost Planning'!$G$8:$BN$8,'Cost Planning'!$G$41:$BN$41)</f>
        <v>324095.05000000005</v>
      </c>
      <c r="AW32" s="166">
        <f>AV32+LOOKUP(AW$5,'Cost Planning'!$G$8:$BN$8,'Cost Planning'!$G$40:$BN$40)+LOOKUP(AW$5,'Cost Planning'!$G$8:$BN$8,'Cost Planning'!$G$41:$BN$41)</f>
        <v>324095.05000000005</v>
      </c>
      <c r="AX32" s="166">
        <f>AW32+LOOKUP(AX$5,'Cost Planning'!$G$8:$BN$8,'Cost Planning'!$G$40:$BN$40)+LOOKUP(AX$5,'Cost Planning'!$G$8:$BN$8,'Cost Planning'!$G$41:$BN$41)</f>
        <v>324095.05000000005</v>
      </c>
      <c r="AY32" s="166">
        <f>AX32+LOOKUP(AY$5,'Cost Planning'!$G$8:$BN$8,'Cost Planning'!$G$40:$BN$40)+LOOKUP(AY$5,'Cost Planning'!$G$8:$BN$8,'Cost Planning'!$G$41:$BN$41)</f>
        <v>324095.05000000005</v>
      </c>
      <c r="AZ32" s="166">
        <f>AY32+LOOKUP(AZ$5,'Cost Planning'!$G$8:$BN$8,'Cost Planning'!$G$40:$BN$40)+LOOKUP(AZ$5,'Cost Planning'!$G$8:$BN$8,'Cost Planning'!$G$41:$BN$41)</f>
        <v>324095.05000000005</v>
      </c>
      <c r="BA32" s="166">
        <f>AZ32+LOOKUP(BA$5,'Cost Planning'!$G$8:$BN$8,'Cost Planning'!$G$40:$BN$40)+LOOKUP(BA$5,'Cost Planning'!$G$8:$BN$8,'Cost Planning'!$G$41:$BN$41)</f>
        <v>324095.05000000005</v>
      </c>
      <c r="BB32" s="166">
        <f>BA32+LOOKUP(BB$5,'Cost Planning'!$G$8:$BN$8,'Cost Planning'!$G$40:$BN$40)+LOOKUP(BB$5,'Cost Planning'!$G$8:$BN$8,'Cost Planning'!$G$41:$BN$41)</f>
        <v>324095.05000000005</v>
      </c>
      <c r="BC32" s="166">
        <f>BB32+LOOKUP(BC$5,'Cost Planning'!$G$8:$BN$8,'Cost Planning'!$G$40:$BN$40)+LOOKUP(BC$5,'Cost Planning'!$G$8:$BN$8,'Cost Planning'!$G$41:$BN$41)</f>
        <v>324095.05000000005</v>
      </c>
      <c r="BD32" s="166">
        <f>BC32+LOOKUP(BD$5,'Cost Planning'!$G$8:$BN$8,'Cost Planning'!$G$40:$BN$40)+LOOKUP(BD$5,'Cost Planning'!$G$8:$BN$8,'Cost Planning'!$G$41:$BN$41)</f>
        <v>324095.05000000005</v>
      </c>
      <c r="BE32" s="166">
        <f>BD32+LOOKUP(BE$5,'Cost Planning'!$G$8:$BN$8,'Cost Planning'!$G$40:$BN$40)+LOOKUP(BE$5,'Cost Planning'!$G$8:$BN$8,'Cost Planning'!$G$41:$BN$41)</f>
        <v>324095.05000000005</v>
      </c>
      <c r="BF32" s="166">
        <f>BE32+LOOKUP(BF$5,'Cost Planning'!$G$8:$BN$8,'Cost Planning'!$G$40:$BN$40)+LOOKUP(BF$5,'Cost Planning'!$G$8:$BN$8,'Cost Planning'!$G$41:$BN$41)</f>
        <v>324095.05000000005</v>
      </c>
      <c r="BG32" s="166">
        <f>BF32+LOOKUP(BG$5,'Cost Planning'!$G$8:$BN$8,'Cost Planning'!$G$40:$BN$40)+LOOKUP(BG$5,'Cost Planning'!$G$8:$BN$8,'Cost Planning'!$G$41:$BN$41)</f>
        <v>324095.05000000005</v>
      </c>
      <c r="BH32" s="166">
        <f>BG32+LOOKUP(BH$5,'Cost Planning'!$G$8:$BN$8,'Cost Planning'!$G$40:$BN$40)+LOOKUP(BH$5,'Cost Planning'!$G$8:$BN$8,'Cost Planning'!$G$41:$BN$41)</f>
        <v>324095.05000000005</v>
      </c>
      <c r="BI32" s="166">
        <f>BH32+LOOKUP(BI$5,'Cost Planning'!$G$8:$BN$8,'Cost Planning'!$G$40:$BN$40)+LOOKUP(BI$5,'Cost Planning'!$G$8:$BN$8,'Cost Planning'!$G$41:$BN$41)</f>
        <v>324095.05000000005</v>
      </c>
      <c r="BJ32" s="166">
        <f>BI32+LOOKUP(BJ$5,'Cost Planning'!$G$8:$BN$8,'Cost Planning'!$G$40:$BN$40)+LOOKUP(BJ$5,'Cost Planning'!$G$8:$BN$8,'Cost Planning'!$G$41:$BN$41)</f>
        <v>324095.05000000005</v>
      </c>
      <c r="BK32" s="166">
        <f>BJ32+LOOKUP(BK$5,'Cost Planning'!$G$8:$BN$8,'Cost Planning'!$G$40:$BN$40)+LOOKUP(BK$5,'Cost Planning'!$G$8:$BN$8,'Cost Planning'!$G$41:$BN$41)</f>
        <v>324095.05000000005</v>
      </c>
      <c r="BL32" s="166">
        <f>BK32+LOOKUP(BL$5,'Cost Planning'!$G$8:$BN$8,'Cost Planning'!$G$40:$BN$40)+LOOKUP(BL$5,'Cost Planning'!$G$8:$BN$8,'Cost Planning'!$G$41:$BN$41)</f>
        <v>324095.05000000005</v>
      </c>
      <c r="BN32" s="28"/>
      <c r="BO32" s="28"/>
      <c r="BP32" s="28"/>
      <c r="BQ32" s="28"/>
      <c r="BR32" s="28"/>
      <c r="BS32" s="28"/>
      <c r="BT32" s="28"/>
      <c r="BU32" s="28"/>
      <c r="BV32" s="28"/>
      <c r="BW32" s="28"/>
      <c r="BX32" s="28"/>
      <c r="BY32" s="28"/>
    </row>
    <row r="33" spans="2:77" s="74" customFormat="1" ht="25" customHeight="1" outlineLevel="1" x14ac:dyDescent="0.3">
      <c r="B33" s="285" t="s">
        <v>160</v>
      </c>
      <c r="C33" s="285"/>
      <c r="D33" s="166"/>
      <c r="E33" s="166">
        <f>D33+LOOKUP(E$5,'Cost Planning'!$G$8:$BN$8,'Cost Planning'!$G$47:$BN$47)</f>
        <v>0</v>
      </c>
      <c r="F33" s="166">
        <f>E33+LOOKUP(F$5,'Cost Planning'!$G$8:$BN$8,'Cost Planning'!$G$47:$BN$47)</f>
        <v>0</v>
      </c>
      <c r="G33" s="166">
        <f>F33+LOOKUP(G$5,'Cost Planning'!$G$8:$BN$8,'Cost Planning'!$G$47:$BN$47)</f>
        <v>0</v>
      </c>
      <c r="H33" s="166">
        <f>G33+LOOKUP(H$5,'Cost Planning'!$G$8:$BN$8,'Cost Planning'!$G$47:$BN$47)</f>
        <v>0</v>
      </c>
      <c r="I33" s="166">
        <f>H33+LOOKUP(I$5,'Cost Planning'!$G$8:$BN$8,'Cost Planning'!$G$47:$BN$47)</f>
        <v>0</v>
      </c>
      <c r="J33" s="166">
        <f>I33+LOOKUP(J$5,'Cost Planning'!$G$8:$BN$8,'Cost Planning'!$G$47:$BN$47)</f>
        <v>0</v>
      </c>
      <c r="K33" s="166">
        <f>J33+LOOKUP(K$5,'Cost Planning'!$G$8:$BN$8,'Cost Planning'!$G$47:$BN$47)</f>
        <v>0</v>
      </c>
      <c r="L33" s="166">
        <f>K33+LOOKUP(L$5,'Cost Planning'!$G$8:$BN$8,'Cost Planning'!$G$47:$BN$47)</f>
        <v>0</v>
      </c>
      <c r="M33" s="166">
        <f>L33+LOOKUP(M$5,'Cost Planning'!$G$8:$BN$8,'Cost Planning'!$G$47:$BN$47)</f>
        <v>0</v>
      </c>
      <c r="N33" s="166">
        <f>M33+LOOKUP(N$5,'Cost Planning'!$G$8:$BN$8,'Cost Planning'!$G$47:$BN$47)</f>
        <v>0</v>
      </c>
      <c r="O33" s="166">
        <f>N33+LOOKUP(O$5,'Cost Planning'!$G$8:$BN$8,'Cost Planning'!$G$47:$BN$47)</f>
        <v>0</v>
      </c>
      <c r="P33" s="166">
        <f>O33+LOOKUP(P$5,'Cost Planning'!$G$8:$BN$8,'Cost Planning'!$G$47:$BN$47)</f>
        <v>18375.759999999998</v>
      </c>
      <c r="Q33" s="166">
        <f>P33+LOOKUP(Q$5,'Cost Planning'!$G$8:$BN$8,'Cost Planning'!$G$47:$BN$47)</f>
        <v>18375.759999999998</v>
      </c>
      <c r="R33" s="166">
        <f>Q33+LOOKUP(R$5,'Cost Planning'!$G$8:$BN$8,'Cost Planning'!$G$47:$BN$47)</f>
        <v>18375.759999999998</v>
      </c>
      <c r="S33" s="166">
        <f>R33+LOOKUP(S$5,'Cost Planning'!$G$8:$BN$8,'Cost Planning'!$G$47:$BN$47)</f>
        <v>18375.759999999998</v>
      </c>
      <c r="T33" s="166">
        <f>S33+LOOKUP(T$5,'Cost Planning'!$G$8:$BN$8,'Cost Planning'!$G$47:$BN$47)</f>
        <v>18375.759999999998</v>
      </c>
      <c r="U33" s="166">
        <f>T33+LOOKUP(U$5,'Cost Planning'!$G$8:$BN$8,'Cost Planning'!$G$47:$BN$47)</f>
        <v>18375.759999999998</v>
      </c>
      <c r="V33" s="166">
        <f>U33+LOOKUP(V$5,'Cost Planning'!$G$8:$BN$8,'Cost Planning'!$G$47:$BN$47)</f>
        <v>18375.759999999998</v>
      </c>
      <c r="W33" s="166">
        <f>V33+LOOKUP(W$5,'Cost Planning'!$G$8:$BN$8,'Cost Planning'!$G$47:$BN$47)</f>
        <v>18375.759999999998</v>
      </c>
      <c r="X33" s="166">
        <f>W33+LOOKUP(X$5,'Cost Planning'!$G$8:$BN$8,'Cost Planning'!$G$47:$BN$47)</f>
        <v>18375.759999999998</v>
      </c>
      <c r="Y33" s="166">
        <f>X33+LOOKUP(Y$5,'Cost Planning'!$G$8:$BN$8,'Cost Planning'!$G$47:$BN$47)</f>
        <v>18375.759999999998</v>
      </c>
      <c r="Z33" s="166">
        <f>Y33+LOOKUP(Z$5,'Cost Planning'!$G$8:$BN$8,'Cost Planning'!$G$47:$BN$47)</f>
        <v>18375.759999999998</v>
      </c>
      <c r="AA33" s="166">
        <f>Z33+LOOKUP(AA$5,'Cost Planning'!$G$8:$BN$8,'Cost Planning'!$G$47:$BN$47)</f>
        <v>18375.759999999998</v>
      </c>
      <c r="AB33" s="166">
        <f>AA33+LOOKUP(AB$5,'Cost Planning'!$G$8:$BN$8,'Cost Planning'!$G$47:$BN$47)</f>
        <v>18375.759999999998</v>
      </c>
      <c r="AC33" s="166">
        <f>AB33+LOOKUP(AC$5,'Cost Planning'!$G$8:$BN$8,'Cost Planning'!$G$47:$BN$47)</f>
        <v>18375.759999999998</v>
      </c>
      <c r="AD33" s="166">
        <f>AC33+LOOKUP(AD$5,'Cost Planning'!$G$8:$BN$8,'Cost Planning'!$G$47:$BN$47)</f>
        <v>18375.759999999998</v>
      </c>
      <c r="AE33" s="166">
        <f>AD33+LOOKUP(AE$5,'Cost Planning'!$G$8:$BN$8,'Cost Planning'!$G$47:$BN$47)</f>
        <v>18375.759999999998</v>
      </c>
      <c r="AF33" s="166">
        <f>AE33+LOOKUP(AF$5,'Cost Planning'!$G$8:$BN$8,'Cost Planning'!$G$47:$BN$47)</f>
        <v>18375.759999999998</v>
      </c>
      <c r="AG33" s="166">
        <f>AF33+LOOKUP(AG$5,'Cost Planning'!$G$8:$BN$8,'Cost Planning'!$G$47:$BN$47)</f>
        <v>18375.759999999998</v>
      </c>
      <c r="AH33" s="166">
        <f>AG33+LOOKUP(AH$5,'Cost Planning'!$G$8:$BN$8,'Cost Planning'!$G$47:$BN$47)</f>
        <v>18375.759999999998</v>
      </c>
      <c r="AI33" s="166">
        <f>AH33+LOOKUP(AI$5,'Cost Planning'!$G$8:$BN$8,'Cost Planning'!$G$47:$BN$47)</f>
        <v>18375.759999999998</v>
      </c>
      <c r="AJ33" s="166">
        <f>AI33+LOOKUP(AJ$5,'Cost Planning'!$G$8:$BN$8,'Cost Planning'!$G$47:$BN$47)</f>
        <v>18375.759999999998</v>
      </c>
      <c r="AK33" s="166">
        <f>AJ33+LOOKUP(AK$5,'Cost Planning'!$G$8:$BN$8,'Cost Planning'!$G$47:$BN$47)</f>
        <v>18375.759999999998</v>
      </c>
      <c r="AL33" s="166">
        <f>AK33+LOOKUP(AL$5,'Cost Planning'!$G$8:$BN$8,'Cost Planning'!$G$47:$BN$47)</f>
        <v>18375.759999999998</v>
      </c>
      <c r="AM33" s="166">
        <f>AL33+LOOKUP(AM$5,'Cost Planning'!$G$8:$BN$8,'Cost Planning'!$G$47:$BN$47)</f>
        <v>18375.759999999998</v>
      </c>
      <c r="AN33" s="166">
        <f>AM33+LOOKUP(AN$5,'Cost Planning'!$G$8:$BN$8,'Cost Planning'!$G$47:$BN$47)</f>
        <v>18375.759999999998</v>
      </c>
      <c r="AO33" s="166">
        <f>AN33+LOOKUP(AO$5,'Cost Planning'!$G$8:$BN$8,'Cost Planning'!$G$47:$BN$47)</f>
        <v>18375.759999999998</v>
      </c>
      <c r="AP33" s="166">
        <f>AO33+LOOKUP(AP$5,'Cost Planning'!$G$8:$BN$8,'Cost Planning'!$G$47:$BN$47)</f>
        <v>18375.759999999998</v>
      </c>
      <c r="AQ33" s="166">
        <f>AP33+LOOKUP(AQ$5,'Cost Planning'!$G$8:$BN$8,'Cost Planning'!$G$47:$BN$47)</f>
        <v>18375.759999999998</v>
      </c>
      <c r="AR33" s="166">
        <f>AQ33+LOOKUP(AR$5,'Cost Planning'!$G$8:$BN$8,'Cost Planning'!$G$47:$BN$47)</f>
        <v>18375.759999999998</v>
      </c>
      <c r="AS33" s="166">
        <f>AR33+LOOKUP(AS$5,'Cost Planning'!$G$8:$BN$8,'Cost Planning'!$G$47:$BN$47)</f>
        <v>18375.759999999998</v>
      </c>
      <c r="AT33" s="166">
        <f>AS33+LOOKUP(AT$5,'Cost Planning'!$G$8:$BN$8,'Cost Planning'!$G$47:$BN$47)</f>
        <v>18375.759999999998</v>
      </c>
      <c r="AU33" s="166">
        <f>AT33+LOOKUP(AU$5,'Cost Planning'!$G$8:$BN$8,'Cost Planning'!$G$47:$BN$47)</f>
        <v>18375.759999999998</v>
      </c>
      <c r="AV33" s="166">
        <f>AU33+LOOKUP(AV$5,'Cost Planning'!$G$8:$BN$8,'Cost Planning'!$G$47:$BN$47)</f>
        <v>18375.759999999998</v>
      </c>
      <c r="AW33" s="166">
        <f>AV33+LOOKUP(AW$5,'Cost Planning'!$G$8:$BN$8,'Cost Planning'!$G$47:$BN$47)</f>
        <v>18375.759999999998</v>
      </c>
      <c r="AX33" s="166">
        <f>AW33+LOOKUP(AX$5,'Cost Planning'!$G$8:$BN$8,'Cost Planning'!$G$47:$BN$47)</f>
        <v>18375.759999999998</v>
      </c>
      <c r="AY33" s="166">
        <f>AX33+LOOKUP(AY$5,'Cost Planning'!$G$8:$BN$8,'Cost Planning'!$G$47:$BN$47)</f>
        <v>18375.759999999998</v>
      </c>
      <c r="AZ33" s="166">
        <f>AY33+LOOKUP(AZ$5,'Cost Planning'!$G$8:$BN$8,'Cost Planning'!$G$47:$BN$47)</f>
        <v>18375.759999999998</v>
      </c>
      <c r="BA33" s="166">
        <f>AZ33+LOOKUP(BA$5,'Cost Planning'!$G$8:$BN$8,'Cost Planning'!$G$47:$BN$47)</f>
        <v>18375.759999999998</v>
      </c>
      <c r="BB33" s="166">
        <f>BA33+LOOKUP(BB$5,'Cost Planning'!$G$8:$BN$8,'Cost Planning'!$G$47:$BN$47)</f>
        <v>18375.759999999998</v>
      </c>
      <c r="BC33" s="166">
        <f>BB33+LOOKUP(BC$5,'Cost Planning'!$G$8:$BN$8,'Cost Planning'!$G$47:$BN$47)</f>
        <v>18375.759999999998</v>
      </c>
      <c r="BD33" s="166">
        <f>BC33+LOOKUP(BD$5,'Cost Planning'!$G$8:$BN$8,'Cost Planning'!$G$47:$BN$47)</f>
        <v>18375.759999999998</v>
      </c>
      <c r="BE33" s="166">
        <f>BD33+LOOKUP(BE$5,'Cost Planning'!$G$8:$BN$8,'Cost Planning'!$G$47:$BN$47)</f>
        <v>18375.759999999998</v>
      </c>
      <c r="BF33" s="166">
        <f>BE33+LOOKUP(BF$5,'Cost Planning'!$G$8:$BN$8,'Cost Planning'!$G$47:$BN$47)</f>
        <v>18375.759999999998</v>
      </c>
      <c r="BG33" s="166">
        <f>BF33+LOOKUP(BG$5,'Cost Planning'!$G$8:$BN$8,'Cost Planning'!$G$47:$BN$47)</f>
        <v>18375.759999999998</v>
      </c>
      <c r="BH33" s="166">
        <f>BG33+LOOKUP(BH$5,'Cost Planning'!$G$8:$BN$8,'Cost Planning'!$G$47:$BN$47)</f>
        <v>18375.759999999998</v>
      </c>
      <c r="BI33" s="166">
        <f>BH33+LOOKUP(BI$5,'Cost Planning'!$G$8:$BN$8,'Cost Planning'!$G$47:$BN$47)</f>
        <v>18375.759999999998</v>
      </c>
      <c r="BJ33" s="166">
        <f>BI33+LOOKUP(BJ$5,'Cost Planning'!$G$8:$BN$8,'Cost Planning'!$G$47:$BN$47)</f>
        <v>18375.759999999998</v>
      </c>
      <c r="BK33" s="166">
        <f>BJ33+LOOKUP(BK$5,'Cost Planning'!$G$8:$BN$8,'Cost Planning'!$G$47:$BN$47)</f>
        <v>18375.759999999998</v>
      </c>
      <c r="BL33" s="166">
        <f>BK33+LOOKUP(BL$5,'Cost Planning'!$G$8:$BN$8,'Cost Planning'!$G$47:$BN$47)</f>
        <v>18375.759999999998</v>
      </c>
      <c r="BN33" s="28"/>
      <c r="BO33" s="28"/>
      <c r="BP33" s="28"/>
      <c r="BQ33" s="28"/>
      <c r="BR33" s="28"/>
      <c r="BS33" s="28"/>
      <c r="BT33" s="28"/>
      <c r="BU33" s="28"/>
      <c r="BV33" s="28"/>
      <c r="BW33" s="28"/>
      <c r="BX33" s="28"/>
      <c r="BY33" s="28"/>
    </row>
    <row r="34" spans="2:77" s="74" customFormat="1" ht="25" customHeight="1" outlineLevel="1" x14ac:dyDescent="0.3">
      <c r="B34" s="285" t="s">
        <v>161</v>
      </c>
      <c r="C34" s="285"/>
      <c r="D34" s="166"/>
      <c r="E34" s="166">
        <f>D34+LOOKUP(E$5,'Cost Planning'!$G$8:$BN$8,'Cost Planning'!$G$48:$BN$48)</f>
        <v>0</v>
      </c>
      <c r="F34" s="166">
        <f>E34+LOOKUP(F$5,'Cost Planning'!$G$8:$BN$8,'Cost Planning'!$G$48:$BN$48)</f>
        <v>0</v>
      </c>
      <c r="G34" s="166">
        <f>F34+LOOKUP(G$5,'Cost Planning'!$G$8:$BN$8,'Cost Planning'!$G$48:$BN$48)</f>
        <v>0</v>
      </c>
      <c r="H34" s="166">
        <f>G34+LOOKUP(H$5,'Cost Planning'!$G$8:$BN$8,'Cost Planning'!$G$48:$BN$48)</f>
        <v>0</v>
      </c>
      <c r="I34" s="166">
        <f>H34+LOOKUP(I$5,'Cost Planning'!$G$8:$BN$8,'Cost Planning'!$G$48:$BN$48)</f>
        <v>0</v>
      </c>
      <c r="J34" s="166">
        <f>I34+LOOKUP(J$5,'Cost Planning'!$G$8:$BN$8,'Cost Planning'!$G$48:$BN$48)</f>
        <v>0</v>
      </c>
      <c r="K34" s="166">
        <f>J34+LOOKUP(K$5,'Cost Planning'!$G$8:$BN$8,'Cost Planning'!$G$48:$BN$48)</f>
        <v>0</v>
      </c>
      <c r="L34" s="166">
        <f>K34+LOOKUP(L$5,'Cost Planning'!$G$8:$BN$8,'Cost Planning'!$G$48:$BN$48)</f>
        <v>0</v>
      </c>
      <c r="M34" s="166">
        <f>L34+LOOKUP(M$5,'Cost Planning'!$G$8:$BN$8,'Cost Planning'!$G$48:$BN$48)</f>
        <v>0</v>
      </c>
      <c r="N34" s="166">
        <f>M34+LOOKUP(N$5,'Cost Planning'!$G$8:$BN$8,'Cost Planning'!$G$48:$BN$48)</f>
        <v>0</v>
      </c>
      <c r="O34" s="166">
        <f>N34+LOOKUP(O$5,'Cost Planning'!$G$8:$BN$8,'Cost Planning'!$G$48:$BN$48)</f>
        <v>0</v>
      </c>
      <c r="P34" s="166">
        <f>O34+LOOKUP(P$5,'Cost Planning'!$G$8:$BN$8,'Cost Planning'!$G$48:$BN$48)</f>
        <v>0</v>
      </c>
      <c r="Q34" s="166">
        <f>P34+LOOKUP(Q$5,'Cost Planning'!$G$8:$BN$8,'Cost Planning'!$G$48:$BN$48)</f>
        <v>0</v>
      </c>
      <c r="R34" s="166">
        <f>Q34+LOOKUP(R$5,'Cost Planning'!$G$8:$BN$8,'Cost Planning'!$G$48:$BN$48)</f>
        <v>0</v>
      </c>
      <c r="S34" s="166">
        <f>R34+LOOKUP(S$5,'Cost Planning'!$G$8:$BN$8,'Cost Planning'!$G$48:$BN$48)</f>
        <v>0</v>
      </c>
      <c r="T34" s="166">
        <f>S34+LOOKUP(T$5,'Cost Planning'!$G$8:$BN$8,'Cost Planning'!$G$48:$BN$48)</f>
        <v>0</v>
      </c>
      <c r="U34" s="166">
        <f>T34+LOOKUP(U$5,'Cost Planning'!$G$8:$BN$8,'Cost Planning'!$G$48:$BN$48)</f>
        <v>0</v>
      </c>
      <c r="V34" s="166">
        <f>U34+LOOKUP(V$5,'Cost Planning'!$G$8:$BN$8,'Cost Planning'!$G$48:$BN$48)</f>
        <v>0</v>
      </c>
      <c r="W34" s="166">
        <f>V34+LOOKUP(W$5,'Cost Planning'!$G$8:$BN$8,'Cost Planning'!$G$48:$BN$48)</f>
        <v>0</v>
      </c>
      <c r="X34" s="166">
        <f>W34+LOOKUP(X$5,'Cost Planning'!$G$8:$BN$8,'Cost Planning'!$G$48:$BN$48)</f>
        <v>0</v>
      </c>
      <c r="Y34" s="166">
        <f>X34+LOOKUP(Y$5,'Cost Planning'!$G$8:$BN$8,'Cost Planning'!$G$48:$BN$48)</f>
        <v>0</v>
      </c>
      <c r="Z34" s="166">
        <f>Y34+LOOKUP(Z$5,'Cost Planning'!$G$8:$BN$8,'Cost Planning'!$G$48:$BN$48)</f>
        <v>0</v>
      </c>
      <c r="AA34" s="166">
        <f>Z34+LOOKUP(AA$5,'Cost Planning'!$G$8:$BN$8,'Cost Planning'!$G$48:$BN$48)</f>
        <v>0</v>
      </c>
      <c r="AB34" s="166">
        <f>AA34+LOOKUP(AB$5,'Cost Planning'!$G$8:$BN$8,'Cost Planning'!$G$48:$BN$48)</f>
        <v>0</v>
      </c>
      <c r="AC34" s="166">
        <f>AB34+LOOKUP(AC$5,'Cost Planning'!$G$8:$BN$8,'Cost Planning'!$G$48:$BN$48)</f>
        <v>0</v>
      </c>
      <c r="AD34" s="166">
        <f>AC34+LOOKUP(AD$5,'Cost Planning'!$G$8:$BN$8,'Cost Planning'!$G$48:$BN$48)</f>
        <v>0</v>
      </c>
      <c r="AE34" s="166">
        <f>AD34+LOOKUP(AE$5,'Cost Planning'!$G$8:$BN$8,'Cost Planning'!$G$48:$BN$48)</f>
        <v>0</v>
      </c>
      <c r="AF34" s="166">
        <f>AE34+LOOKUP(AF$5,'Cost Planning'!$G$8:$BN$8,'Cost Planning'!$G$48:$BN$48)</f>
        <v>0</v>
      </c>
      <c r="AG34" s="166">
        <f>AF34+LOOKUP(AG$5,'Cost Planning'!$G$8:$BN$8,'Cost Planning'!$G$48:$BN$48)</f>
        <v>0</v>
      </c>
      <c r="AH34" s="166">
        <f>AG34+LOOKUP(AH$5,'Cost Planning'!$G$8:$BN$8,'Cost Planning'!$G$48:$BN$48)</f>
        <v>0</v>
      </c>
      <c r="AI34" s="166">
        <f>AH34+LOOKUP(AI$5,'Cost Planning'!$G$8:$BN$8,'Cost Planning'!$G$48:$BN$48)</f>
        <v>0</v>
      </c>
      <c r="AJ34" s="166">
        <f>AI34+LOOKUP(AJ$5,'Cost Planning'!$G$8:$BN$8,'Cost Planning'!$G$48:$BN$48)</f>
        <v>0</v>
      </c>
      <c r="AK34" s="166">
        <f>AJ34+LOOKUP(AK$5,'Cost Planning'!$G$8:$BN$8,'Cost Planning'!$G$48:$BN$48)</f>
        <v>0</v>
      </c>
      <c r="AL34" s="166">
        <f>AK34+LOOKUP(AL$5,'Cost Planning'!$G$8:$BN$8,'Cost Planning'!$G$48:$BN$48)</f>
        <v>0</v>
      </c>
      <c r="AM34" s="166">
        <f>AL34+LOOKUP(AM$5,'Cost Planning'!$G$8:$BN$8,'Cost Planning'!$G$48:$BN$48)</f>
        <v>0</v>
      </c>
      <c r="AN34" s="166">
        <f>AM34+LOOKUP(AN$5,'Cost Planning'!$G$8:$BN$8,'Cost Planning'!$G$48:$BN$48)</f>
        <v>0</v>
      </c>
      <c r="AO34" s="166">
        <f>AN34+LOOKUP(AO$5,'Cost Planning'!$G$8:$BN$8,'Cost Planning'!$G$48:$BN$48)</f>
        <v>0</v>
      </c>
      <c r="AP34" s="166">
        <f>AO34+LOOKUP(AP$5,'Cost Planning'!$G$8:$BN$8,'Cost Planning'!$G$48:$BN$48)</f>
        <v>0</v>
      </c>
      <c r="AQ34" s="166">
        <f>AP34+LOOKUP(AQ$5,'Cost Planning'!$G$8:$BN$8,'Cost Planning'!$G$48:$BN$48)</f>
        <v>0</v>
      </c>
      <c r="AR34" s="166">
        <f>AQ34+LOOKUP(AR$5,'Cost Planning'!$G$8:$BN$8,'Cost Planning'!$G$48:$BN$48)</f>
        <v>0</v>
      </c>
      <c r="AS34" s="166">
        <f>AR34+LOOKUP(AS$5,'Cost Planning'!$G$8:$BN$8,'Cost Planning'!$G$48:$BN$48)</f>
        <v>0</v>
      </c>
      <c r="AT34" s="166">
        <f>AS34+LOOKUP(AT$5,'Cost Planning'!$G$8:$BN$8,'Cost Planning'!$G$48:$BN$48)</f>
        <v>0</v>
      </c>
      <c r="AU34" s="166">
        <f>AT34+LOOKUP(AU$5,'Cost Planning'!$G$8:$BN$8,'Cost Planning'!$G$48:$BN$48)</f>
        <v>0</v>
      </c>
      <c r="AV34" s="166">
        <f>AU34+LOOKUP(AV$5,'Cost Planning'!$G$8:$BN$8,'Cost Planning'!$G$48:$BN$48)</f>
        <v>0</v>
      </c>
      <c r="AW34" s="166">
        <f>AV34+LOOKUP(AW$5,'Cost Planning'!$G$8:$BN$8,'Cost Planning'!$G$48:$BN$48)</f>
        <v>0</v>
      </c>
      <c r="AX34" s="166">
        <f>AW34+LOOKUP(AX$5,'Cost Planning'!$G$8:$BN$8,'Cost Planning'!$G$48:$BN$48)</f>
        <v>0</v>
      </c>
      <c r="AY34" s="166">
        <f>AX34+LOOKUP(AY$5,'Cost Planning'!$G$8:$BN$8,'Cost Planning'!$G$48:$BN$48)</f>
        <v>0</v>
      </c>
      <c r="AZ34" s="166">
        <f>AY34+LOOKUP(AZ$5,'Cost Planning'!$G$8:$BN$8,'Cost Planning'!$G$48:$BN$48)</f>
        <v>0</v>
      </c>
      <c r="BA34" s="166">
        <f>AZ34+LOOKUP(BA$5,'Cost Planning'!$G$8:$BN$8,'Cost Planning'!$G$48:$BN$48)</f>
        <v>0</v>
      </c>
      <c r="BB34" s="166">
        <f>BA34+LOOKUP(BB$5,'Cost Planning'!$G$8:$BN$8,'Cost Planning'!$G$48:$BN$48)</f>
        <v>0</v>
      </c>
      <c r="BC34" s="166">
        <f>BB34+LOOKUP(BC$5,'Cost Planning'!$G$8:$BN$8,'Cost Planning'!$G$48:$BN$48)</f>
        <v>0</v>
      </c>
      <c r="BD34" s="166">
        <f>BC34+LOOKUP(BD$5,'Cost Planning'!$G$8:$BN$8,'Cost Planning'!$G$48:$BN$48)</f>
        <v>0</v>
      </c>
      <c r="BE34" s="166">
        <f>BD34+LOOKUP(BE$5,'Cost Planning'!$G$8:$BN$8,'Cost Planning'!$G$48:$BN$48)</f>
        <v>0</v>
      </c>
      <c r="BF34" s="166">
        <f>BE34+LOOKUP(BF$5,'Cost Planning'!$G$8:$BN$8,'Cost Planning'!$G$48:$BN$48)</f>
        <v>0</v>
      </c>
      <c r="BG34" s="166">
        <f>BF34+LOOKUP(BG$5,'Cost Planning'!$G$8:$BN$8,'Cost Planning'!$G$48:$BN$48)</f>
        <v>0</v>
      </c>
      <c r="BH34" s="166">
        <f>BG34+LOOKUP(BH$5,'Cost Planning'!$G$8:$BN$8,'Cost Planning'!$G$48:$BN$48)</f>
        <v>0</v>
      </c>
      <c r="BI34" s="166">
        <f>BH34+LOOKUP(BI$5,'Cost Planning'!$G$8:$BN$8,'Cost Planning'!$G$48:$BN$48)</f>
        <v>0</v>
      </c>
      <c r="BJ34" s="166">
        <f>BI34+LOOKUP(BJ$5,'Cost Planning'!$G$8:$BN$8,'Cost Planning'!$G$48:$BN$48)</f>
        <v>0</v>
      </c>
      <c r="BK34" s="166">
        <f>BJ34+LOOKUP(BK$5,'Cost Planning'!$G$8:$BN$8,'Cost Planning'!$G$48:$BN$48)</f>
        <v>0</v>
      </c>
      <c r="BL34" s="166">
        <f>BK34+LOOKUP(BL$5,'Cost Planning'!$G$8:$BN$8,'Cost Planning'!$G$48:$BN$48)</f>
        <v>0</v>
      </c>
      <c r="BN34" s="28"/>
      <c r="BO34" s="28"/>
      <c r="BP34" s="28"/>
      <c r="BQ34" s="28"/>
      <c r="BR34" s="28"/>
      <c r="BS34" s="28"/>
      <c r="BT34" s="28"/>
      <c r="BU34" s="28"/>
      <c r="BV34" s="28"/>
      <c r="BW34" s="28"/>
      <c r="BX34" s="28"/>
      <c r="BY34" s="28"/>
    </row>
    <row r="35" spans="2:77" s="74" customFormat="1" ht="25" customHeight="1" outlineLevel="1" x14ac:dyDescent="0.3">
      <c r="B35" s="285" t="s">
        <v>162</v>
      </c>
      <c r="C35" s="285"/>
      <c r="D35" s="166">
        <f>'Project Infor'!C48</f>
        <v>0</v>
      </c>
      <c r="E35" s="166">
        <f>D35+LOOKUP(E$5,'Cost Planning'!$G$8:$BN$8,'Cost Planning'!$G$59:$BN$59)</f>
        <v>0</v>
      </c>
      <c r="F35" s="166">
        <f>E35+LOOKUP(F$5,'Cost Planning'!$G$8:$BN$8,'Cost Planning'!$G$59:$BN$59)</f>
        <v>0</v>
      </c>
      <c r="G35" s="166">
        <f>F35+LOOKUP(G$5,'Cost Planning'!$G$8:$BN$8,'Cost Planning'!$G$59:$BN$59)</f>
        <v>740</v>
      </c>
      <c r="H35" s="166">
        <f>G35+LOOKUP(H$5,'Cost Planning'!$G$8:$BN$8,'Cost Planning'!$G$59:$BN$59)</f>
        <v>1480</v>
      </c>
      <c r="I35" s="166">
        <f>H35+LOOKUP(I$5,'Cost Planning'!$G$8:$BN$8,'Cost Planning'!$G$59:$BN$59)</f>
        <v>2220</v>
      </c>
      <c r="J35" s="166">
        <f>I35+LOOKUP(J$5,'Cost Planning'!$G$8:$BN$8,'Cost Planning'!$G$59:$BN$59)</f>
        <v>2960</v>
      </c>
      <c r="K35" s="166">
        <f>J35+LOOKUP(K$5,'Cost Planning'!$G$8:$BN$8,'Cost Planning'!$G$59:$BN$59)</f>
        <v>3700</v>
      </c>
      <c r="L35" s="166">
        <f>K35+LOOKUP(L$5,'Cost Planning'!$G$8:$BN$8,'Cost Planning'!$G$59:$BN$59)</f>
        <v>4440</v>
      </c>
      <c r="M35" s="166">
        <f>L35+LOOKUP(M$5,'Cost Planning'!$G$8:$BN$8,'Cost Planning'!$G$59:$BN$59)</f>
        <v>5180</v>
      </c>
      <c r="N35" s="166">
        <f>M35+LOOKUP(N$5,'Cost Planning'!$G$8:$BN$8,'Cost Planning'!$G$59:$BN$59)</f>
        <v>5920</v>
      </c>
      <c r="O35" s="166">
        <f>N35+LOOKUP(O$5,'Cost Planning'!$G$8:$BN$8,'Cost Planning'!$G$59:$BN$59)</f>
        <v>6660</v>
      </c>
      <c r="P35" s="166">
        <f>O35+LOOKUP(P$5,'Cost Planning'!$G$8:$BN$8,'Cost Planning'!$G$59:$BN$59)</f>
        <v>7400</v>
      </c>
      <c r="Q35" s="166">
        <f>P35+LOOKUP(Q$5,'Cost Planning'!$G$8:$BN$8,'Cost Planning'!$G$59:$BN$59)</f>
        <v>7400</v>
      </c>
      <c r="R35" s="166">
        <f>Q35+LOOKUP(R$5,'Cost Planning'!$G$8:$BN$8,'Cost Planning'!$G$59:$BN$59)</f>
        <v>7400</v>
      </c>
      <c r="S35" s="166">
        <f>R35+LOOKUP(S$5,'Cost Planning'!$G$8:$BN$8,'Cost Planning'!$G$59:$BN$59)</f>
        <v>7400</v>
      </c>
      <c r="T35" s="166">
        <f>S35+LOOKUP(T$5,'Cost Planning'!$G$8:$BN$8,'Cost Planning'!$G$59:$BN$59)</f>
        <v>7400</v>
      </c>
      <c r="U35" s="166">
        <f>T35+LOOKUP(U$5,'Cost Planning'!$G$8:$BN$8,'Cost Planning'!$G$59:$BN$59)</f>
        <v>7400</v>
      </c>
      <c r="V35" s="166">
        <f>U35+LOOKUP(V$5,'Cost Planning'!$G$8:$BN$8,'Cost Planning'!$G$59:$BN$59)</f>
        <v>7400</v>
      </c>
      <c r="W35" s="166">
        <f>V35+LOOKUP(W$5,'Cost Planning'!$G$8:$BN$8,'Cost Planning'!$G$59:$BN$59)</f>
        <v>7400</v>
      </c>
      <c r="X35" s="166">
        <f>W35+LOOKUP(X$5,'Cost Planning'!$G$8:$BN$8,'Cost Planning'!$G$59:$BN$59)</f>
        <v>7400</v>
      </c>
      <c r="Y35" s="166">
        <f>X35+LOOKUP(Y$5,'Cost Planning'!$G$8:$BN$8,'Cost Planning'!$G$59:$BN$59)</f>
        <v>7400</v>
      </c>
      <c r="Z35" s="166">
        <f>Y35+LOOKUP(Z$5,'Cost Planning'!$G$8:$BN$8,'Cost Planning'!$G$59:$BN$59)</f>
        <v>7400</v>
      </c>
      <c r="AA35" s="166">
        <f>Z35+LOOKUP(AA$5,'Cost Planning'!$G$8:$BN$8,'Cost Planning'!$G$59:$BN$59)</f>
        <v>7400</v>
      </c>
      <c r="AB35" s="166">
        <f>AA35+LOOKUP(AB$5,'Cost Planning'!$G$8:$BN$8,'Cost Planning'!$G$59:$BN$59)</f>
        <v>7400</v>
      </c>
      <c r="AC35" s="166">
        <f>AB35+LOOKUP(AC$5,'Cost Planning'!$G$8:$BN$8,'Cost Planning'!$G$59:$BN$59)</f>
        <v>7400</v>
      </c>
      <c r="AD35" s="166">
        <f>AC35+LOOKUP(AD$5,'Cost Planning'!$G$8:$BN$8,'Cost Planning'!$G$59:$BN$59)</f>
        <v>7400</v>
      </c>
      <c r="AE35" s="166">
        <f>AD35+LOOKUP(AE$5,'Cost Planning'!$G$8:$BN$8,'Cost Planning'!$G$59:$BN$59)</f>
        <v>7400</v>
      </c>
      <c r="AF35" s="166">
        <f>AE35+LOOKUP(AF$5,'Cost Planning'!$G$8:$BN$8,'Cost Planning'!$G$59:$BN$59)</f>
        <v>7400</v>
      </c>
      <c r="AG35" s="166">
        <f>AF35+LOOKUP(AG$5,'Cost Planning'!$G$8:$BN$8,'Cost Planning'!$G$59:$BN$59)</f>
        <v>7400</v>
      </c>
      <c r="AH35" s="166">
        <f>AG35+LOOKUP(AH$5,'Cost Planning'!$G$8:$BN$8,'Cost Planning'!$G$59:$BN$59)</f>
        <v>7400</v>
      </c>
      <c r="AI35" s="166">
        <f>AH35+LOOKUP(AI$5,'Cost Planning'!$G$8:$BN$8,'Cost Planning'!$G$59:$BN$59)</f>
        <v>7400</v>
      </c>
      <c r="AJ35" s="166">
        <f>AI35+LOOKUP(AJ$5,'Cost Planning'!$G$8:$BN$8,'Cost Planning'!$G$59:$BN$59)</f>
        <v>7400</v>
      </c>
      <c r="AK35" s="166">
        <f>AJ35+LOOKUP(AK$5,'Cost Planning'!$G$8:$BN$8,'Cost Planning'!$G$59:$BN$59)</f>
        <v>7400</v>
      </c>
      <c r="AL35" s="166">
        <f>AK35+LOOKUP(AL$5,'Cost Planning'!$G$8:$BN$8,'Cost Planning'!$G$59:$BN$59)</f>
        <v>7400</v>
      </c>
      <c r="AM35" s="166">
        <f>AL35+LOOKUP(AM$5,'Cost Planning'!$G$8:$BN$8,'Cost Planning'!$G$59:$BN$59)</f>
        <v>7400</v>
      </c>
      <c r="AN35" s="166">
        <f>AM35+LOOKUP(AN$5,'Cost Planning'!$G$8:$BN$8,'Cost Planning'!$G$59:$BN$59)</f>
        <v>7400</v>
      </c>
      <c r="AO35" s="166">
        <f>AN35+LOOKUP(AO$5,'Cost Planning'!$G$8:$BN$8,'Cost Planning'!$G$59:$BN$59)</f>
        <v>7400</v>
      </c>
      <c r="AP35" s="166">
        <f>AO35+LOOKUP(AP$5,'Cost Planning'!$G$8:$BN$8,'Cost Planning'!$G$59:$BN$59)</f>
        <v>7400</v>
      </c>
      <c r="AQ35" s="166">
        <f>AP35+LOOKUP(AQ$5,'Cost Planning'!$G$8:$BN$8,'Cost Planning'!$G$59:$BN$59)</f>
        <v>7400</v>
      </c>
      <c r="AR35" s="166">
        <f>AQ35+LOOKUP(AR$5,'Cost Planning'!$G$8:$BN$8,'Cost Planning'!$G$59:$BN$59)</f>
        <v>7400</v>
      </c>
      <c r="AS35" s="166">
        <f>AR35+LOOKUP(AS$5,'Cost Planning'!$G$8:$BN$8,'Cost Planning'!$G$59:$BN$59)</f>
        <v>7400</v>
      </c>
      <c r="AT35" s="166">
        <f>AS35+LOOKUP(AT$5,'Cost Planning'!$G$8:$BN$8,'Cost Planning'!$G$59:$BN$59)</f>
        <v>7400</v>
      </c>
      <c r="AU35" s="166">
        <f>AT35+LOOKUP(AU$5,'Cost Planning'!$G$8:$BN$8,'Cost Planning'!$G$59:$BN$59)</f>
        <v>7400</v>
      </c>
      <c r="AV35" s="166">
        <f>AU35+LOOKUP(AV$5,'Cost Planning'!$G$8:$BN$8,'Cost Planning'!$G$59:$BN$59)</f>
        <v>7400</v>
      </c>
      <c r="AW35" s="166">
        <f>AV35+LOOKUP(AW$5,'Cost Planning'!$G$8:$BN$8,'Cost Planning'!$G$59:$BN$59)</f>
        <v>7400</v>
      </c>
      <c r="AX35" s="166">
        <f>AW35+LOOKUP(AX$5,'Cost Planning'!$G$8:$BN$8,'Cost Planning'!$G$59:$BN$59)</f>
        <v>7400</v>
      </c>
      <c r="AY35" s="166">
        <f>AX35+LOOKUP(AY$5,'Cost Planning'!$G$8:$BN$8,'Cost Planning'!$G$59:$BN$59)</f>
        <v>7400</v>
      </c>
      <c r="AZ35" s="166">
        <f>AY35+LOOKUP(AZ$5,'Cost Planning'!$G$8:$BN$8,'Cost Planning'!$G$59:$BN$59)</f>
        <v>7400</v>
      </c>
      <c r="BA35" s="166">
        <f>AZ35+LOOKUP(BA$5,'Cost Planning'!$G$8:$BN$8,'Cost Planning'!$G$59:$BN$59)</f>
        <v>7400</v>
      </c>
      <c r="BB35" s="166">
        <f>BA35+LOOKUP(BB$5,'Cost Planning'!$G$8:$BN$8,'Cost Planning'!$G$59:$BN$59)</f>
        <v>7400</v>
      </c>
      <c r="BC35" s="166">
        <f>BB35+LOOKUP(BC$5,'Cost Planning'!$G$8:$BN$8,'Cost Planning'!$G$59:$BN$59)</f>
        <v>7400</v>
      </c>
      <c r="BD35" s="166">
        <f>BC35+LOOKUP(BD$5,'Cost Planning'!$G$8:$BN$8,'Cost Planning'!$G$59:$BN$59)</f>
        <v>7400</v>
      </c>
      <c r="BE35" s="166">
        <f>BD35+LOOKUP(BE$5,'Cost Planning'!$G$8:$BN$8,'Cost Planning'!$G$59:$BN$59)</f>
        <v>7400</v>
      </c>
      <c r="BF35" s="166">
        <f>BE35+LOOKUP(BF$5,'Cost Planning'!$G$8:$BN$8,'Cost Planning'!$G$59:$BN$59)</f>
        <v>7400</v>
      </c>
      <c r="BG35" s="166">
        <f>BF35+LOOKUP(BG$5,'Cost Planning'!$G$8:$BN$8,'Cost Planning'!$G$59:$BN$59)</f>
        <v>7400</v>
      </c>
      <c r="BH35" s="166">
        <f>BG35+LOOKUP(BH$5,'Cost Planning'!$G$8:$BN$8,'Cost Planning'!$G$59:$BN$59)</f>
        <v>7400</v>
      </c>
      <c r="BI35" s="166">
        <f>BH35+LOOKUP(BI$5,'Cost Planning'!$G$8:$BN$8,'Cost Planning'!$G$59:$BN$59)</f>
        <v>7400</v>
      </c>
      <c r="BJ35" s="166">
        <f>BI35+LOOKUP(BJ$5,'Cost Planning'!$G$8:$BN$8,'Cost Planning'!$G$59:$BN$59)</f>
        <v>7400</v>
      </c>
      <c r="BK35" s="166">
        <f>BJ35+LOOKUP(BK$5,'Cost Planning'!$G$8:$BN$8,'Cost Planning'!$G$59:$BN$59)</f>
        <v>7400</v>
      </c>
      <c r="BL35" s="166">
        <f>BK35+LOOKUP(BL$5,'Cost Planning'!$G$8:$BN$8,'Cost Planning'!$G$59:$BN$59)</f>
        <v>7400</v>
      </c>
    </row>
    <row r="36" spans="2:77" s="74" customFormat="1" ht="25" customHeight="1" outlineLevel="1" x14ac:dyDescent="0.3">
      <c r="B36" s="285" t="s">
        <v>163</v>
      </c>
      <c r="C36" s="285"/>
      <c r="D36" s="166">
        <f>'Project Infor'!C49</f>
        <v>0</v>
      </c>
      <c r="E36" s="166">
        <f>D36+LOOKUP(E$5,'Cost Planning'!$G$8:$BN$8,'Cost Planning'!$G$74:$BN$74)</f>
        <v>20000</v>
      </c>
      <c r="F36" s="166">
        <f>E36+LOOKUP(F$5,'Cost Planning'!$G$8:$BN$8,'Cost Planning'!$G$74:$BN$74)</f>
        <v>40000</v>
      </c>
      <c r="G36" s="166">
        <f>F36+LOOKUP(G$5,'Cost Planning'!$G$8:$BN$8,'Cost Planning'!$G$74:$BN$74)</f>
        <v>40000</v>
      </c>
      <c r="H36" s="166">
        <f>G36+LOOKUP(H$5,'Cost Planning'!$G$8:$BN$8,'Cost Planning'!$G$74:$BN$74)</f>
        <v>40000</v>
      </c>
      <c r="I36" s="166">
        <f>H36+LOOKUP(I$5,'Cost Planning'!$G$8:$BN$8,'Cost Planning'!$G$74:$BN$74)</f>
        <v>40000</v>
      </c>
      <c r="J36" s="166">
        <f>I36+LOOKUP(J$5,'Cost Planning'!$G$8:$BN$8,'Cost Planning'!$G$74:$BN$74)</f>
        <v>40000</v>
      </c>
      <c r="K36" s="166">
        <f>J36+LOOKUP(K$5,'Cost Planning'!$G$8:$BN$8,'Cost Planning'!$G$74:$BN$74)</f>
        <v>40000</v>
      </c>
      <c r="L36" s="166">
        <f>K36+LOOKUP(L$5,'Cost Planning'!$G$8:$BN$8,'Cost Planning'!$G$74:$BN$74)</f>
        <v>40000</v>
      </c>
      <c r="M36" s="166">
        <f>L36+LOOKUP(M$5,'Cost Planning'!$G$8:$BN$8,'Cost Planning'!$G$74:$BN$74)</f>
        <v>40000</v>
      </c>
      <c r="N36" s="166">
        <f>M36+LOOKUP(N$5,'Cost Planning'!$G$8:$BN$8,'Cost Planning'!$G$74:$BN$74)</f>
        <v>40000</v>
      </c>
      <c r="O36" s="166">
        <f>N36+LOOKUP(O$5,'Cost Planning'!$G$8:$BN$8,'Cost Planning'!$G$74:$BN$74)</f>
        <v>40000</v>
      </c>
      <c r="P36" s="166">
        <f>O36+LOOKUP(P$5,'Cost Planning'!$G$8:$BN$8,'Cost Planning'!$G$74:$BN$74)</f>
        <v>40000</v>
      </c>
      <c r="Q36" s="166">
        <f>P36+LOOKUP(Q$5,'Cost Planning'!$G$8:$BN$8,'Cost Planning'!$G$74:$BN$74)</f>
        <v>40000</v>
      </c>
      <c r="R36" s="166">
        <f>Q36+LOOKUP(R$5,'Cost Planning'!$G$8:$BN$8,'Cost Planning'!$G$74:$BN$74)</f>
        <v>40000</v>
      </c>
      <c r="S36" s="166">
        <f>R36+LOOKUP(S$5,'Cost Planning'!$G$8:$BN$8,'Cost Planning'!$G$74:$BN$74)</f>
        <v>40000</v>
      </c>
      <c r="T36" s="166">
        <f>S36+LOOKUP(T$5,'Cost Planning'!$G$8:$BN$8,'Cost Planning'!$G$74:$BN$74)</f>
        <v>40000</v>
      </c>
      <c r="U36" s="166">
        <f>T36+LOOKUP(U$5,'Cost Planning'!$G$8:$BN$8,'Cost Planning'!$G$74:$BN$74)</f>
        <v>40000</v>
      </c>
      <c r="V36" s="166">
        <f>U36+LOOKUP(V$5,'Cost Planning'!$G$8:$BN$8,'Cost Planning'!$G$74:$BN$74)</f>
        <v>40000</v>
      </c>
      <c r="W36" s="166">
        <f>V36+LOOKUP(W$5,'Cost Planning'!$G$8:$BN$8,'Cost Planning'!$G$74:$BN$74)</f>
        <v>40000</v>
      </c>
      <c r="X36" s="166">
        <f>W36+LOOKUP(X$5,'Cost Planning'!$G$8:$BN$8,'Cost Planning'!$G$74:$BN$74)</f>
        <v>40000</v>
      </c>
      <c r="Y36" s="166">
        <f>X36+LOOKUP(Y$5,'Cost Planning'!$G$8:$BN$8,'Cost Planning'!$G$74:$BN$74)</f>
        <v>40000</v>
      </c>
      <c r="Z36" s="166">
        <f>Y36+LOOKUP(Z$5,'Cost Planning'!$G$8:$BN$8,'Cost Planning'!$G$74:$BN$74)</f>
        <v>40000</v>
      </c>
      <c r="AA36" s="166">
        <f>Z36+LOOKUP(AA$5,'Cost Planning'!$G$8:$BN$8,'Cost Planning'!$G$74:$BN$74)</f>
        <v>40000</v>
      </c>
      <c r="AB36" s="166">
        <f>AA36+LOOKUP(AB$5,'Cost Planning'!$G$8:$BN$8,'Cost Planning'!$G$74:$BN$74)</f>
        <v>40000</v>
      </c>
      <c r="AC36" s="166">
        <f>AB36+LOOKUP(AC$5,'Cost Planning'!$G$8:$BN$8,'Cost Planning'!$G$74:$BN$74)</f>
        <v>40000</v>
      </c>
      <c r="AD36" s="166">
        <f>AC36+LOOKUP(AD$5,'Cost Planning'!$G$8:$BN$8,'Cost Planning'!$G$74:$BN$74)</f>
        <v>40000</v>
      </c>
      <c r="AE36" s="166">
        <f>AD36+LOOKUP(AE$5,'Cost Planning'!$G$8:$BN$8,'Cost Planning'!$G$74:$BN$74)</f>
        <v>40000</v>
      </c>
      <c r="AF36" s="166">
        <f>AE36+LOOKUP(AF$5,'Cost Planning'!$G$8:$BN$8,'Cost Planning'!$G$74:$BN$74)</f>
        <v>40000</v>
      </c>
      <c r="AG36" s="166">
        <f>AF36+LOOKUP(AG$5,'Cost Planning'!$G$8:$BN$8,'Cost Planning'!$G$74:$BN$74)</f>
        <v>40000</v>
      </c>
      <c r="AH36" s="166">
        <f>AG36+LOOKUP(AH$5,'Cost Planning'!$G$8:$BN$8,'Cost Planning'!$G$74:$BN$74)</f>
        <v>40000</v>
      </c>
      <c r="AI36" s="166">
        <f>AH36+LOOKUP(AI$5,'Cost Planning'!$G$8:$BN$8,'Cost Planning'!$G$74:$BN$74)</f>
        <v>40000</v>
      </c>
      <c r="AJ36" s="166">
        <f>AI36+LOOKUP(AJ$5,'Cost Planning'!$G$8:$BN$8,'Cost Planning'!$G$74:$BN$74)</f>
        <v>40000</v>
      </c>
      <c r="AK36" s="166">
        <f>AJ36+LOOKUP(AK$5,'Cost Planning'!$G$8:$BN$8,'Cost Planning'!$G$74:$BN$74)</f>
        <v>40000</v>
      </c>
      <c r="AL36" s="166">
        <f>AK36+LOOKUP(AL$5,'Cost Planning'!$G$8:$BN$8,'Cost Planning'!$G$74:$BN$74)</f>
        <v>40000</v>
      </c>
      <c r="AM36" s="166">
        <f>AL36+LOOKUP(AM$5,'Cost Planning'!$G$8:$BN$8,'Cost Planning'!$G$74:$BN$74)</f>
        <v>40000</v>
      </c>
      <c r="AN36" s="166">
        <f>AM36+LOOKUP(AN$5,'Cost Planning'!$G$8:$BN$8,'Cost Planning'!$G$74:$BN$74)</f>
        <v>40000</v>
      </c>
      <c r="AO36" s="166">
        <f>AN36+LOOKUP(AO$5,'Cost Planning'!$G$8:$BN$8,'Cost Planning'!$G$74:$BN$74)</f>
        <v>40000</v>
      </c>
      <c r="AP36" s="166">
        <f>AO36+LOOKUP(AP$5,'Cost Planning'!$G$8:$BN$8,'Cost Planning'!$G$74:$BN$74)</f>
        <v>40000</v>
      </c>
      <c r="AQ36" s="166">
        <f>AP36+LOOKUP(AQ$5,'Cost Planning'!$G$8:$BN$8,'Cost Planning'!$G$74:$BN$74)</f>
        <v>40000</v>
      </c>
      <c r="AR36" s="166">
        <f>AQ36+LOOKUP(AR$5,'Cost Planning'!$G$8:$BN$8,'Cost Planning'!$G$74:$BN$74)</f>
        <v>40000</v>
      </c>
      <c r="AS36" s="166">
        <f>AR36+LOOKUP(AS$5,'Cost Planning'!$G$8:$BN$8,'Cost Planning'!$G$74:$BN$74)</f>
        <v>40000</v>
      </c>
      <c r="AT36" s="166">
        <f>AS36+LOOKUP(AT$5,'Cost Planning'!$G$8:$BN$8,'Cost Planning'!$G$74:$BN$74)</f>
        <v>40000</v>
      </c>
      <c r="AU36" s="166">
        <f>AT36+LOOKUP(AU$5,'Cost Planning'!$G$8:$BN$8,'Cost Planning'!$G$74:$BN$74)</f>
        <v>40000</v>
      </c>
      <c r="AV36" s="166">
        <f>AU36+LOOKUP(AV$5,'Cost Planning'!$G$8:$BN$8,'Cost Planning'!$G$74:$BN$74)</f>
        <v>40000</v>
      </c>
      <c r="AW36" s="166">
        <f>AV36+LOOKUP(AW$5,'Cost Planning'!$G$8:$BN$8,'Cost Planning'!$G$74:$BN$74)</f>
        <v>40000</v>
      </c>
      <c r="AX36" s="166">
        <f>AW36+LOOKUP(AX$5,'Cost Planning'!$G$8:$BN$8,'Cost Planning'!$G$74:$BN$74)</f>
        <v>40000</v>
      </c>
      <c r="AY36" s="166">
        <f>AX36+LOOKUP(AY$5,'Cost Planning'!$G$8:$BN$8,'Cost Planning'!$G$74:$BN$74)</f>
        <v>40000</v>
      </c>
      <c r="AZ36" s="166">
        <f>AY36+LOOKUP(AZ$5,'Cost Planning'!$G$8:$BN$8,'Cost Planning'!$G$74:$BN$74)</f>
        <v>40000</v>
      </c>
      <c r="BA36" s="166">
        <f>AZ36+LOOKUP(BA$5,'Cost Planning'!$G$8:$BN$8,'Cost Planning'!$G$74:$BN$74)</f>
        <v>40000</v>
      </c>
      <c r="BB36" s="166">
        <f>BA36+LOOKUP(BB$5,'Cost Planning'!$G$8:$BN$8,'Cost Planning'!$G$74:$BN$74)</f>
        <v>40000</v>
      </c>
      <c r="BC36" s="166">
        <f>BB36+LOOKUP(BC$5,'Cost Planning'!$G$8:$BN$8,'Cost Planning'!$G$74:$BN$74)</f>
        <v>40000</v>
      </c>
      <c r="BD36" s="166">
        <f>BC36+LOOKUP(BD$5,'Cost Planning'!$G$8:$BN$8,'Cost Planning'!$G$74:$BN$74)</f>
        <v>40000</v>
      </c>
      <c r="BE36" s="166">
        <f>BD36+LOOKUP(BE$5,'Cost Planning'!$G$8:$BN$8,'Cost Planning'!$G$74:$BN$74)</f>
        <v>40000</v>
      </c>
      <c r="BF36" s="166">
        <f>BE36+LOOKUP(BF$5,'Cost Planning'!$G$8:$BN$8,'Cost Planning'!$G$74:$BN$74)</f>
        <v>40000</v>
      </c>
      <c r="BG36" s="166">
        <f>BF36+LOOKUP(BG$5,'Cost Planning'!$G$8:$BN$8,'Cost Planning'!$G$74:$BN$74)</f>
        <v>40000</v>
      </c>
      <c r="BH36" s="166">
        <f>BG36+LOOKUP(BH$5,'Cost Planning'!$G$8:$BN$8,'Cost Planning'!$G$74:$BN$74)</f>
        <v>40000</v>
      </c>
      <c r="BI36" s="166">
        <f>BH36+LOOKUP(BI$5,'Cost Planning'!$G$8:$BN$8,'Cost Planning'!$G$74:$BN$74)</f>
        <v>40000</v>
      </c>
      <c r="BJ36" s="166">
        <f>BI36+LOOKUP(BJ$5,'Cost Planning'!$G$8:$BN$8,'Cost Planning'!$G$74:$BN$74)</f>
        <v>40000</v>
      </c>
      <c r="BK36" s="166">
        <f>BJ36+LOOKUP(BK$5,'Cost Planning'!$G$8:$BN$8,'Cost Planning'!$G$74:$BN$74)</f>
        <v>40000</v>
      </c>
      <c r="BL36" s="166">
        <f>BK36+LOOKUP(BL$5,'Cost Planning'!$G$8:$BN$8,'Cost Planning'!$G$74:$BN$74)</f>
        <v>40000</v>
      </c>
    </row>
    <row r="37" spans="2:77" s="74" customFormat="1" ht="25" customHeight="1" x14ac:dyDescent="0.3">
      <c r="B37" s="285" t="s">
        <v>65</v>
      </c>
      <c r="C37" s="285"/>
      <c r="D37" s="159">
        <f>SUM(D32:D36)</f>
        <v>0</v>
      </c>
      <c r="E37" s="159">
        <f>SUM(E32:E36)</f>
        <v>37417.5</v>
      </c>
      <c r="F37" s="166">
        <f t="shared" ref="F37:AB37" si="240">SUM(F32:F36)</f>
        <v>74835</v>
      </c>
      <c r="G37" s="166">
        <f t="shared" si="240"/>
        <v>104501.005</v>
      </c>
      <c r="H37" s="166">
        <f t="shared" si="240"/>
        <v>134167.01</v>
      </c>
      <c r="I37" s="166">
        <f t="shared" si="240"/>
        <v>163833.01500000001</v>
      </c>
      <c r="J37" s="166">
        <f t="shared" si="240"/>
        <v>193499.02000000002</v>
      </c>
      <c r="K37" s="166">
        <f t="shared" si="240"/>
        <v>223165.02500000002</v>
      </c>
      <c r="L37" s="166">
        <f t="shared" si="240"/>
        <v>252831.03000000003</v>
      </c>
      <c r="M37" s="166">
        <f t="shared" si="240"/>
        <v>282497.03500000003</v>
      </c>
      <c r="N37" s="166">
        <f t="shared" si="240"/>
        <v>312163.04000000004</v>
      </c>
      <c r="O37" s="166">
        <f t="shared" si="240"/>
        <v>341829.04500000004</v>
      </c>
      <c r="P37" s="166">
        <f t="shared" si="240"/>
        <v>389870.81000000006</v>
      </c>
      <c r="Q37" s="166">
        <f t="shared" si="240"/>
        <v>389870.81000000006</v>
      </c>
      <c r="R37" s="166">
        <f t="shared" si="240"/>
        <v>389870.81000000006</v>
      </c>
      <c r="S37" s="166">
        <f t="shared" si="240"/>
        <v>389870.81000000006</v>
      </c>
      <c r="T37" s="166">
        <f t="shared" si="240"/>
        <v>389870.81000000006</v>
      </c>
      <c r="U37" s="166">
        <f t="shared" si="240"/>
        <v>389870.81000000006</v>
      </c>
      <c r="V37" s="166">
        <f t="shared" si="240"/>
        <v>389870.81000000006</v>
      </c>
      <c r="W37" s="166">
        <f t="shared" si="240"/>
        <v>389870.81000000006</v>
      </c>
      <c r="X37" s="166">
        <f t="shared" si="240"/>
        <v>389870.81000000006</v>
      </c>
      <c r="Y37" s="166">
        <f t="shared" si="240"/>
        <v>389870.81000000006</v>
      </c>
      <c r="Z37" s="166">
        <f t="shared" si="240"/>
        <v>389870.81000000006</v>
      </c>
      <c r="AA37" s="166">
        <f t="shared" si="240"/>
        <v>389870.81000000006</v>
      </c>
      <c r="AB37" s="166">
        <f t="shared" si="240"/>
        <v>389870.81000000006</v>
      </c>
      <c r="AC37" s="166">
        <f t="shared" ref="AC37:BL37" si="241">SUM(AC32:AC36)</f>
        <v>389870.81000000006</v>
      </c>
      <c r="AD37" s="166">
        <f t="shared" si="241"/>
        <v>389870.81000000006</v>
      </c>
      <c r="AE37" s="166">
        <f t="shared" si="241"/>
        <v>389870.81000000006</v>
      </c>
      <c r="AF37" s="166">
        <f t="shared" si="241"/>
        <v>389870.81000000006</v>
      </c>
      <c r="AG37" s="166">
        <f t="shared" si="241"/>
        <v>389870.81000000006</v>
      </c>
      <c r="AH37" s="166">
        <f t="shared" si="241"/>
        <v>389870.81000000006</v>
      </c>
      <c r="AI37" s="166">
        <f t="shared" si="241"/>
        <v>389870.81000000006</v>
      </c>
      <c r="AJ37" s="166">
        <f t="shared" si="241"/>
        <v>389870.81000000006</v>
      </c>
      <c r="AK37" s="166">
        <f t="shared" si="241"/>
        <v>389870.81000000006</v>
      </c>
      <c r="AL37" s="166">
        <f t="shared" si="241"/>
        <v>389870.81000000006</v>
      </c>
      <c r="AM37" s="166">
        <f t="shared" si="241"/>
        <v>389870.81000000006</v>
      </c>
      <c r="AN37" s="166">
        <f t="shared" si="241"/>
        <v>389870.81000000006</v>
      </c>
      <c r="AO37" s="166">
        <f t="shared" si="241"/>
        <v>389870.81000000006</v>
      </c>
      <c r="AP37" s="166">
        <f t="shared" si="241"/>
        <v>389870.81000000006</v>
      </c>
      <c r="AQ37" s="166">
        <f t="shared" si="241"/>
        <v>389870.81000000006</v>
      </c>
      <c r="AR37" s="166">
        <f t="shared" si="241"/>
        <v>389870.81000000006</v>
      </c>
      <c r="AS37" s="166">
        <f t="shared" si="241"/>
        <v>389870.81000000006</v>
      </c>
      <c r="AT37" s="166">
        <f t="shared" si="241"/>
        <v>389870.81000000006</v>
      </c>
      <c r="AU37" s="166">
        <f t="shared" si="241"/>
        <v>389870.81000000006</v>
      </c>
      <c r="AV37" s="166">
        <f t="shared" si="241"/>
        <v>389870.81000000006</v>
      </c>
      <c r="AW37" s="166">
        <f t="shared" si="241"/>
        <v>389870.81000000006</v>
      </c>
      <c r="AX37" s="166">
        <f t="shared" si="241"/>
        <v>389870.81000000006</v>
      </c>
      <c r="AY37" s="166">
        <f t="shared" si="241"/>
        <v>389870.81000000006</v>
      </c>
      <c r="AZ37" s="166">
        <f t="shared" si="241"/>
        <v>389870.81000000006</v>
      </c>
      <c r="BA37" s="166">
        <f t="shared" si="241"/>
        <v>389870.81000000006</v>
      </c>
      <c r="BB37" s="166">
        <f t="shared" si="241"/>
        <v>389870.81000000006</v>
      </c>
      <c r="BC37" s="166">
        <f t="shared" si="241"/>
        <v>389870.81000000006</v>
      </c>
      <c r="BD37" s="166">
        <f t="shared" si="241"/>
        <v>389870.81000000006</v>
      </c>
      <c r="BE37" s="166">
        <f t="shared" si="241"/>
        <v>389870.81000000006</v>
      </c>
      <c r="BF37" s="166">
        <f t="shared" si="241"/>
        <v>389870.81000000006</v>
      </c>
      <c r="BG37" s="166">
        <f t="shared" si="241"/>
        <v>389870.81000000006</v>
      </c>
      <c r="BH37" s="166">
        <f t="shared" si="241"/>
        <v>389870.81000000006</v>
      </c>
      <c r="BI37" s="166">
        <f t="shared" si="241"/>
        <v>389870.81000000006</v>
      </c>
      <c r="BJ37" s="166">
        <f t="shared" si="241"/>
        <v>389870.81000000006</v>
      </c>
      <c r="BK37" s="166">
        <f t="shared" si="241"/>
        <v>389870.81000000006</v>
      </c>
      <c r="BL37" s="166">
        <f t="shared" si="241"/>
        <v>389870.81000000006</v>
      </c>
    </row>
    <row r="38" spans="2:77" s="74" customFormat="1" ht="25" customHeight="1" x14ac:dyDescent="0.3">
      <c r="B38" s="286" t="s">
        <v>172</v>
      </c>
      <c r="C38" s="286"/>
      <c r="D38" s="167">
        <f>D30-D32-D33-D34-D35-D36</f>
        <v>0</v>
      </c>
      <c r="E38" s="167">
        <f ca="1">E30-E32-E33-E34-E35-E36</f>
        <v>13005.781817423354</v>
      </c>
      <c r="F38" s="167">
        <f t="shared" ref="F38:Z38" ca="1" si="242">F30-F32-F33-F34-F35-F36</f>
        <v>26011.563634846709</v>
      </c>
      <c r="G38" s="167">
        <f t="shared" ca="1" si="242"/>
        <v>36323.03790289216</v>
      </c>
      <c r="H38" s="167">
        <f t="shared" ca="1" si="242"/>
        <v>46634.512170937611</v>
      </c>
      <c r="I38" s="167">
        <f t="shared" ca="1" si="242"/>
        <v>56945.986438983033</v>
      </c>
      <c r="J38" s="167">
        <f t="shared" ca="1" si="242"/>
        <v>67257.460707028484</v>
      </c>
      <c r="K38" s="167">
        <f t="shared" ca="1" si="242"/>
        <v>77568.934975073906</v>
      </c>
      <c r="L38" s="167">
        <f t="shared" ca="1" si="242"/>
        <v>87880.409243119357</v>
      </c>
      <c r="M38" s="167">
        <f t="shared" ca="1" si="242"/>
        <v>98191.883511164808</v>
      </c>
      <c r="N38" s="167">
        <f t="shared" ca="1" si="242"/>
        <v>108503.35777921026</v>
      </c>
      <c r="O38" s="167">
        <f t="shared" ca="1" si="242"/>
        <v>118814.83204725571</v>
      </c>
      <c r="P38" s="167">
        <f t="shared" ca="1" si="242"/>
        <v>194025.74</v>
      </c>
      <c r="Q38" s="167">
        <f t="shared" ca="1" si="242"/>
        <v>194025.74</v>
      </c>
      <c r="R38" s="167">
        <f t="shared" ca="1" si="242"/>
        <v>194025.74</v>
      </c>
      <c r="S38" s="167">
        <f t="shared" ca="1" si="242"/>
        <v>194025.74</v>
      </c>
      <c r="T38" s="167">
        <f t="shared" ca="1" si="242"/>
        <v>194025.74</v>
      </c>
      <c r="U38" s="167">
        <f t="shared" ca="1" si="242"/>
        <v>194025.74</v>
      </c>
      <c r="V38" s="167">
        <f t="shared" ca="1" si="242"/>
        <v>194025.74</v>
      </c>
      <c r="W38" s="167">
        <f t="shared" ca="1" si="242"/>
        <v>194025.74</v>
      </c>
      <c r="X38" s="167">
        <f t="shared" ca="1" si="242"/>
        <v>194025.74</v>
      </c>
      <c r="Y38" s="167">
        <f t="shared" ca="1" si="242"/>
        <v>194025.74</v>
      </c>
      <c r="Z38" s="167">
        <f t="shared" ca="1" si="242"/>
        <v>194025.74</v>
      </c>
      <c r="AA38" s="167">
        <f ca="1">AA30-AA32-AA33-AA34-AA35-AA36</f>
        <v>194025.74</v>
      </c>
      <c r="AB38" s="167">
        <f ca="1">AB30-AB32-AB33-AB34-AB35-AB36</f>
        <v>194025.74</v>
      </c>
      <c r="AC38" s="167">
        <f t="shared" ref="AC38:BL38" ca="1" si="243">AC30-AC32-AC33-AC34-AC35-AC36</f>
        <v>194025.74</v>
      </c>
      <c r="AD38" s="167">
        <f t="shared" ca="1" si="243"/>
        <v>194025.74</v>
      </c>
      <c r="AE38" s="167">
        <f t="shared" ca="1" si="243"/>
        <v>194025.74</v>
      </c>
      <c r="AF38" s="167">
        <f t="shared" ca="1" si="243"/>
        <v>194025.74</v>
      </c>
      <c r="AG38" s="167">
        <f t="shared" ca="1" si="243"/>
        <v>194025.74</v>
      </c>
      <c r="AH38" s="167">
        <f t="shared" ca="1" si="243"/>
        <v>194025.74</v>
      </c>
      <c r="AI38" s="167">
        <f t="shared" ca="1" si="243"/>
        <v>194025.74</v>
      </c>
      <c r="AJ38" s="167">
        <f t="shared" ca="1" si="243"/>
        <v>194025.74</v>
      </c>
      <c r="AK38" s="167">
        <f t="shared" ca="1" si="243"/>
        <v>194025.74</v>
      </c>
      <c r="AL38" s="167">
        <f t="shared" ca="1" si="243"/>
        <v>194025.74</v>
      </c>
      <c r="AM38" s="167">
        <f t="shared" ca="1" si="243"/>
        <v>194025.74</v>
      </c>
      <c r="AN38" s="167">
        <f t="shared" ca="1" si="243"/>
        <v>194025.74</v>
      </c>
      <c r="AO38" s="167">
        <f t="shared" ca="1" si="243"/>
        <v>194025.74</v>
      </c>
      <c r="AP38" s="167">
        <f t="shared" ca="1" si="243"/>
        <v>194025.74</v>
      </c>
      <c r="AQ38" s="167">
        <f t="shared" ca="1" si="243"/>
        <v>194025.74</v>
      </c>
      <c r="AR38" s="167">
        <f t="shared" ca="1" si="243"/>
        <v>194025.74</v>
      </c>
      <c r="AS38" s="167">
        <f t="shared" ca="1" si="243"/>
        <v>194025.74</v>
      </c>
      <c r="AT38" s="167">
        <f t="shared" ca="1" si="243"/>
        <v>194025.74</v>
      </c>
      <c r="AU38" s="167">
        <f t="shared" ca="1" si="243"/>
        <v>194025.74</v>
      </c>
      <c r="AV38" s="167">
        <f t="shared" ca="1" si="243"/>
        <v>194025.74</v>
      </c>
      <c r="AW38" s="167">
        <f t="shared" ca="1" si="243"/>
        <v>194025.74</v>
      </c>
      <c r="AX38" s="167">
        <f t="shared" ca="1" si="243"/>
        <v>194025.74</v>
      </c>
      <c r="AY38" s="167">
        <f t="shared" ca="1" si="243"/>
        <v>194025.74</v>
      </c>
      <c r="AZ38" s="167">
        <f t="shared" ca="1" si="243"/>
        <v>194025.74</v>
      </c>
      <c r="BA38" s="167">
        <f t="shared" ca="1" si="243"/>
        <v>194025.74</v>
      </c>
      <c r="BB38" s="167">
        <f t="shared" ca="1" si="243"/>
        <v>194025.74</v>
      </c>
      <c r="BC38" s="167">
        <f t="shared" ca="1" si="243"/>
        <v>194025.74</v>
      </c>
      <c r="BD38" s="167">
        <f t="shared" ca="1" si="243"/>
        <v>194025.74</v>
      </c>
      <c r="BE38" s="167">
        <f t="shared" ca="1" si="243"/>
        <v>194025.74</v>
      </c>
      <c r="BF38" s="167">
        <f t="shared" ca="1" si="243"/>
        <v>194025.74</v>
      </c>
      <c r="BG38" s="167">
        <f t="shared" ca="1" si="243"/>
        <v>194025.74</v>
      </c>
      <c r="BH38" s="167">
        <f t="shared" ca="1" si="243"/>
        <v>194025.74</v>
      </c>
      <c r="BI38" s="167">
        <f t="shared" ca="1" si="243"/>
        <v>194025.74</v>
      </c>
      <c r="BJ38" s="167">
        <f t="shared" ca="1" si="243"/>
        <v>194025.74</v>
      </c>
      <c r="BK38" s="167">
        <f t="shared" ca="1" si="243"/>
        <v>194025.74</v>
      </c>
      <c r="BL38" s="167">
        <f t="shared" ca="1" si="243"/>
        <v>135513.45471616532</v>
      </c>
    </row>
    <row r="39" spans="2:77" x14ac:dyDescent="0.3">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row>
    <row r="40" spans="2:77" s="74" customFormat="1" ht="25" customHeight="1" x14ac:dyDescent="0.3">
      <c r="B40" s="288" t="s">
        <v>173</v>
      </c>
      <c r="C40" s="288"/>
      <c r="D40" s="169"/>
      <c r="E40" s="187" t="b">
        <f t="shared" ref="E40:AB40" ca="1" si="244">IF(OFFSET(E4,0,1)="Fin",E6)</f>
        <v>0</v>
      </c>
      <c r="F40" s="187" t="b">
        <f t="shared" ca="1" si="244"/>
        <v>0</v>
      </c>
      <c r="G40" s="187" t="b">
        <f t="shared" ca="1" si="244"/>
        <v>0</v>
      </c>
      <c r="H40" s="187" t="b">
        <f t="shared" ca="1" si="244"/>
        <v>0</v>
      </c>
      <c r="I40" s="187" t="b">
        <f t="shared" ca="1" si="244"/>
        <v>0</v>
      </c>
      <c r="J40" s="187" t="b">
        <f t="shared" ca="1" si="244"/>
        <v>0</v>
      </c>
      <c r="K40" s="187" t="b">
        <f t="shared" ca="1" si="244"/>
        <v>0</v>
      </c>
      <c r="L40" s="187" t="b">
        <f t="shared" ca="1" si="244"/>
        <v>0</v>
      </c>
      <c r="M40" s="187" t="b">
        <f t="shared" ca="1" si="244"/>
        <v>0</v>
      </c>
      <c r="N40" s="187" t="b">
        <f t="shared" ca="1" si="244"/>
        <v>0</v>
      </c>
      <c r="O40" s="187" t="b">
        <f t="shared" ca="1" si="244"/>
        <v>0</v>
      </c>
      <c r="P40" s="187">
        <f t="shared" ca="1" si="244"/>
        <v>583896.55000000005</v>
      </c>
      <c r="Q40" s="187">
        <f t="shared" ca="1" si="244"/>
        <v>583896.55000000005</v>
      </c>
      <c r="R40" s="187">
        <f t="shared" ca="1" si="244"/>
        <v>583896.55000000005</v>
      </c>
      <c r="S40" s="187">
        <f t="shared" ca="1" si="244"/>
        <v>583896.55000000005</v>
      </c>
      <c r="T40" s="187">
        <f t="shared" ca="1" si="244"/>
        <v>583896.55000000005</v>
      </c>
      <c r="U40" s="187">
        <f t="shared" ca="1" si="244"/>
        <v>583896.55000000005</v>
      </c>
      <c r="V40" s="187">
        <f t="shared" ca="1" si="244"/>
        <v>583896.55000000005</v>
      </c>
      <c r="W40" s="187">
        <f t="shared" ca="1" si="244"/>
        <v>583896.55000000005</v>
      </c>
      <c r="X40" s="187">
        <f t="shared" ca="1" si="244"/>
        <v>583896.55000000005</v>
      </c>
      <c r="Y40" s="187">
        <f t="shared" ca="1" si="244"/>
        <v>583896.55000000005</v>
      </c>
      <c r="Z40" s="187">
        <f t="shared" ca="1" si="244"/>
        <v>583896.55000000005</v>
      </c>
      <c r="AA40" s="187">
        <f t="shared" ca="1" si="244"/>
        <v>583896.55000000005</v>
      </c>
      <c r="AB40" s="187">
        <f t="shared" ca="1" si="244"/>
        <v>583896.55000000005</v>
      </c>
      <c r="AC40" s="187">
        <f t="shared" ref="AC40:BL40" ca="1" si="245">IF(OFFSET(AC4,0,1)="Fin",AC6)</f>
        <v>583896.55000000005</v>
      </c>
      <c r="AD40" s="187">
        <f t="shared" ca="1" si="245"/>
        <v>583896.55000000005</v>
      </c>
      <c r="AE40" s="187">
        <f t="shared" ca="1" si="245"/>
        <v>583896.55000000005</v>
      </c>
      <c r="AF40" s="187">
        <f t="shared" ca="1" si="245"/>
        <v>583896.55000000005</v>
      </c>
      <c r="AG40" s="187">
        <f t="shared" ca="1" si="245"/>
        <v>583896.55000000005</v>
      </c>
      <c r="AH40" s="187">
        <f t="shared" ca="1" si="245"/>
        <v>583896.55000000005</v>
      </c>
      <c r="AI40" s="187">
        <f t="shared" ca="1" si="245"/>
        <v>583896.55000000005</v>
      </c>
      <c r="AJ40" s="187">
        <f t="shared" ca="1" si="245"/>
        <v>583896.55000000005</v>
      </c>
      <c r="AK40" s="187">
        <f t="shared" ca="1" si="245"/>
        <v>583896.55000000005</v>
      </c>
      <c r="AL40" s="187">
        <f t="shared" ca="1" si="245"/>
        <v>583896.55000000005</v>
      </c>
      <c r="AM40" s="187">
        <f t="shared" ca="1" si="245"/>
        <v>583896.55000000005</v>
      </c>
      <c r="AN40" s="187">
        <f t="shared" ca="1" si="245"/>
        <v>583896.55000000005</v>
      </c>
      <c r="AO40" s="187">
        <f t="shared" ca="1" si="245"/>
        <v>583896.55000000005</v>
      </c>
      <c r="AP40" s="187">
        <f t="shared" ca="1" si="245"/>
        <v>583896.55000000005</v>
      </c>
      <c r="AQ40" s="187">
        <f t="shared" ca="1" si="245"/>
        <v>583896.55000000005</v>
      </c>
      <c r="AR40" s="187">
        <f t="shared" ca="1" si="245"/>
        <v>583896.55000000005</v>
      </c>
      <c r="AS40" s="187">
        <f t="shared" ca="1" si="245"/>
        <v>583896.55000000005</v>
      </c>
      <c r="AT40" s="187">
        <f t="shared" ca="1" si="245"/>
        <v>583896.55000000005</v>
      </c>
      <c r="AU40" s="187">
        <f t="shared" ca="1" si="245"/>
        <v>583896.55000000005</v>
      </c>
      <c r="AV40" s="187">
        <f t="shared" ca="1" si="245"/>
        <v>583896.55000000005</v>
      </c>
      <c r="AW40" s="187">
        <f t="shared" ca="1" si="245"/>
        <v>583896.55000000005</v>
      </c>
      <c r="AX40" s="187">
        <f t="shared" ca="1" si="245"/>
        <v>583896.55000000005</v>
      </c>
      <c r="AY40" s="187">
        <f t="shared" ca="1" si="245"/>
        <v>583896.55000000005</v>
      </c>
      <c r="AZ40" s="187">
        <f t="shared" ca="1" si="245"/>
        <v>583896.55000000005</v>
      </c>
      <c r="BA40" s="187">
        <f t="shared" ca="1" si="245"/>
        <v>583896.55000000005</v>
      </c>
      <c r="BB40" s="187">
        <f t="shared" ca="1" si="245"/>
        <v>583896.55000000005</v>
      </c>
      <c r="BC40" s="187">
        <f t="shared" ca="1" si="245"/>
        <v>583896.55000000005</v>
      </c>
      <c r="BD40" s="187">
        <f t="shared" ca="1" si="245"/>
        <v>583896.55000000005</v>
      </c>
      <c r="BE40" s="187">
        <f t="shared" ca="1" si="245"/>
        <v>583896.55000000005</v>
      </c>
      <c r="BF40" s="187">
        <f t="shared" ca="1" si="245"/>
        <v>583896.55000000005</v>
      </c>
      <c r="BG40" s="187">
        <f t="shared" ca="1" si="245"/>
        <v>583896.55000000005</v>
      </c>
      <c r="BH40" s="187">
        <f t="shared" ca="1" si="245"/>
        <v>583896.55000000005</v>
      </c>
      <c r="BI40" s="187">
        <f t="shared" ca="1" si="245"/>
        <v>583896.55000000005</v>
      </c>
      <c r="BJ40" s="187">
        <f t="shared" ca="1" si="245"/>
        <v>583896.55000000005</v>
      </c>
      <c r="BK40" s="187">
        <f t="shared" ca="1" si="245"/>
        <v>583896.55000000005</v>
      </c>
      <c r="BL40" s="187" t="b">
        <f t="shared" ca="1" si="245"/>
        <v>0</v>
      </c>
      <c r="BN40" s="28"/>
      <c r="BO40" s="28"/>
      <c r="BP40" s="28"/>
      <c r="BQ40" s="28"/>
      <c r="BR40" s="28"/>
      <c r="BS40" s="28"/>
      <c r="BT40" s="28"/>
      <c r="BU40" s="28"/>
      <c r="BV40" s="28"/>
      <c r="BW40" s="28"/>
      <c r="BX40" s="28"/>
      <c r="BY40" s="28"/>
    </row>
    <row r="41" spans="2:77" x14ac:dyDescent="0.3">
      <c r="B41" s="170"/>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row>
    <row r="42" spans="2:77" s="74" customFormat="1" ht="25" customHeight="1" x14ac:dyDescent="0.3">
      <c r="B42" s="288" t="s">
        <v>174</v>
      </c>
      <c r="C42" s="288"/>
      <c r="D42" s="169">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8"/>
      <c r="BO42" s="28"/>
      <c r="BP42" s="28"/>
      <c r="BQ42" s="28"/>
      <c r="BR42" s="28"/>
      <c r="BS42" s="28"/>
      <c r="BT42" s="28"/>
      <c r="BU42" s="28"/>
      <c r="BV42" s="28"/>
      <c r="BW42" s="28"/>
      <c r="BX42" s="28"/>
      <c r="BY42" s="28"/>
    </row>
    <row r="43" spans="2:77" s="74" customFormat="1" ht="25" customHeight="1" x14ac:dyDescent="0.3">
      <c r="B43" s="287" t="s">
        <v>175</v>
      </c>
      <c r="C43" s="287"/>
      <c r="D43" s="161">
        <f>D42</f>
        <v>0</v>
      </c>
      <c r="E43" s="161">
        <f>E42+D43</f>
        <v>0</v>
      </c>
      <c r="F43" s="161">
        <f>F42+E43</f>
        <v>0</v>
      </c>
      <c r="G43" s="161">
        <f t="shared" ref="G43:Z43" si="246">G42+F43</f>
        <v>0</v>
      </c>
      <c r="H43" s="161">
        <f t="shared" si="246"/>
        <v>0</v>
      </c>
      <c r="I43" s="161">
        <f t="shared" si="246"/>
        <v>0</v>
      </c>
      <c r="J43" s="161">
        <f t="shared" si="246"/>
        <v>0</v>
      </c>
      <c r="K43" s="161">
        <f t="shared" si="246"/>
        <v>0</v>
      </c>
      <c r="L43" s="161">
        <f t="shared" si="246"/>
        <v>0</v>
      </c>
      <c r="M43" s="161">
        <f t="shared" si="246"/>
        <v>0</v>
      </c>
      <c r="N43" s="161">
        <f>N42+M43</f>
        <v>0</v>
      </c>
      <c r="O43" s="161">
        <f t="shared" si="246"/>
        <v>0</v>
      </c>
      <c r="P43" s="161">
        <f t="shared" si="246"/>
        <v>0</v>
      </c>
      <c r="Q43" s="161">
        <f t="shared" si="246"/>
        <v>0</v>
      </c>
      <c r="R43" s="161">
        <f t="shared" si="246"/>
        <v>0</v>
      </c>
      <c r="S43" s="161">
        <f t="shared" si="246"/>
        <v>0</v>
      </c>
      <c r="T43" s="161">
        <f t="shared" si="246"/>
        <v>0</v>
      </c>
      <c r="U43" s="161">
        <f t="shared" si="246"/>
        <v>0</v>
      </c>
      <c r="V43" s="161">
        <f t="shared" si="246"/>
        <v>0</v>
      </c>
      <c r="W43" s="161">
        <f t="shared" si="246"/>
        <v>0</v>
      </c>
      <c r="X43" s="161">
        <f t="shared" si="246"/>
        <v>0</v>
      </c>
      <c r="Y43" s="161">
        <f t="shared" si="246"/>
        <v>0</v>
      </c>
      <c r="Z43" s="161">
        <f t="shared" si="246"/>
        <v>0</v>
      </c>
      <c r="AA43" s="161">
        <f>AA42+Z43</f>
        <v>0</v>
      </c>
      <c r="AB43" s="161">
        <f t="shared" ref="AB43" si="247">AB42+AA43</f>
        <v>0</v>
      </c>
      <c r="AC43" s="161">
        <f t="shared" ref="AC43" si="248">AC42+AB43</f>
        <v>0</v>
      </c>
      <c r="AD43" s="161">
        <f t="shared" ref="AD43" si="249">AD42+AC43</f>
        <v>0</v>
      </c>
      <c r="AE43" s="161">
        <f t="shared" ref="AE43" si="250">AE42+AD43</f>
        <v>0</v>
      </c>
      <c r="AF43" s="161">
        <f t="shared" ref="AF43" si="251">AF42+AE43</f>
        <v>0</v>
      </c>
      <c r="AG43" s="161">
        <f t="shared" ref="AG43" si="252">AG42+AF43</f>
        <v>0</v>
      </c>
      <c r="AH43" s="161">
        <f t="shared" ref="AH43" si="253">AH42+AG43</f>
        <v>0</v>
      </c>
      <c r="AI43" s="161">
        <f t="shared" ref="AI43" si="254">AI42+AH43</f>
        <v>0</v>
      </c>
      <c r="AJ43" s="161">
        <f t="shared" ref="AJ43" si="255">AJ42+AI43</f>
        <v>0</v>
      </c>
      <c r="AK43" s="161">
        <f t="shared" ref="AK43" si="256">AK42+AJ43</f>
        <v>0</v>
      </c>
      <c r="AL43" s="161">
        <f t="shared" ref="AL43" si="257">AL42+AK43</f>
        <v>0</v>
      </c>
      <c r="AM43" s="161">
        <f t="shared" ref="AM43" si="258">AM42+AL43</f>
        <v>0</v>
      </c>
      <c r="AN43" s="161">
        <f t="shared" ref="AN43" si="259">AN42+AM43</f>
        <v>0</v>
      </c>
      <c r="AO43" s="161">
        <f t="shared" ref="AO43" si="260">AO42+AN43</f>
        <v>0</v>
      </c>
      <c r="AP43" s="161">
        <f t="shared" ref="AP43" si="261">AP42+AO43</f>
        <v>0</v>
      </c>
      <c r="AQ43" s="161">
        <f t="shared" ref="AQ43" si="262">AQ42+AP43</f>
        <v>0</v>
      </c>
      <c r="AR43" s="161">
        <f t="shared" ref="AR43" si="263">AR42+AQ43</f>
        <v>0</v>
      </c>
      <c r="AS43" s="161">
        <f t="shared" ref="AS43" si="264">AS42+AR43</f>
        <v>0</v>
      </c>
      <c r="AT43" s="161">
        <f t="shared" ref="AT43" si="265">AT42+AS43</f>
        <v>0</v>
      </c>
      <c r="AU43" s="161">
        <f t="shared" ref="AU43" si="266">AU42+AT43</f>
        <v>0</v>
      </c>
      <c r="AV43" s="161">
        <f t="shared" ref="AV43" si="267">AV42+AU43</f>
        <v>0</v>
      </c>
      <c r="AW43" s="161">
        <f t="shared" ref="AW43" si="268">AW42+AV43</f>
        <v>0</v>
      </c>
      <c r="AX43" s="161">
        <f t="shared" ref="AX43" si="269">AX42+AW43</f>
        <v>0</v>
      </c>
      <c r="AY43" s="161">
        <f t="shared" ref="AY43" si="270">AY42+AX43</f>
        <v>0</v>
      </c>
      <c r="AZ43" s="161">
        <f t="shared" ref="AZ43" si="271">AZ42+AY43</f>
        <v>0</v>
      </c>
      <c r="BA43" s="161">
        <f t="shared" ref="BA43" si="272">BA42+AZ43</f>
        <v>0</v>
      </c>
      <c r="BB43" s="161">
        <f t="shared" ref="BB43" si="273">BB42+BA43</f>
        <v>0</v>
      </c>
      <c r="BC43" s="161">
        <f t="shared" ref="BC43" si="274">BC42+BB43</f>
        <v>0</v>
      </c>
      <c r="BD43" s="161">
        <f t="shared" ref="BD43" si="275">BD42+BC43</f>
        <v>0</v>
      </c>
      <c r="BE43" s="161">
        <f t="shared" ref="BE43" si="276">BE42+BD43</f>
        <v>0</v>
      </c>
      <c r="BF43" s="161">
        <f t="shared" ref="BF43" si="277">BF42+BE43</f>
        <v>0</v>
      </c>
      <c r="BG43" s="161">
        <f t="shared" ref="BG43" si="278">BG42+BF43</f>
        <v>0</v>
      </c>
      <c r="BH43" s="161">
        <f t="shared" ref="BH43" si="279">BH42+BG43</f>
        <v>0</v>
      </c>
      <c r="BI43" s="161">
        <f t="shared" ref="BI43" si="280">BI42+BH43</f>
        <v>0</v>
      </c>
      <c r="BJ43" s="161">
        <f t="shared" ref="BJ43" si="281">BJ42+BI43</f>
        <v>0</v>
      </c>
      <c r="BK43" s="161">
        <f t="shared" ref="BK43" si="282">BK42+BJ43</f>
        <v>0</v>
      </c>
      <c r="BL43" s="161">
        <f t="shared" ref="BL43" si="283">BL42+BK43</f>
        <v>0</v>
      </c>
    </row>
    <row r="44" spans="2:77" s="74" customFormat="1" ht="25" customHeight="1" x14ac:dyDescent="0.3">
      <c r="B44" s="287" t="s">
        <v>176</v>
      </c>
      <c r="C44" s="287"/>
      <c r="D44" s="168"/>
      <c r="E44" s="168">
        <f t="shared" ref="E44:Z44" ca="1" si="284">E43-E30</f>
        <v>-50423.281817423354</v>
      </c>
      <c r="F44" s="168">
        <f t="shared" ca="1" si="284"/>
        <v>-100846.56363484671</v>
      </c>
      <c r="G44" s="168">
        <f t="shared" ca="1" si="284"/>
        <v>-140824.04290289216</v>
      </c>
      <c r="H44" s="168">
        <f t="shared" ca="1" si="284"/>
        <v>-180801.52217093762</v>
      </c>
      <c r="I44" s="168">
        <f t="shared" ca="1" si="284"/>
        <v>-220779.00143898305</v>
      </c>
      <c r="J44" s="168">
        <f t="shared" ca="1" si="284"/>
        <v>-260756.4807070285</v>
      </c>
      <c r="K44" s="168">
        <f t="shared" ca="1" si="284"/>
        <v>-300733.95997507393</v>
      </c>
      <c r="L44" s="168">
        <f t="shared" ca="1" si="284"/>
        <v>-340711.43924311938</v>
      </c>
      <c r="M44" s="168">
        <f t="shared" ca="1" si="284"/>
        <v>-380688.91851116484</v>
      </c>
      <c r="N44" s="168">
        <f t="shared" ca="1" si="284"/>
        <v>-420666.3977792103</v>
      </c>
      <c r="O44" s="168">
        <f t="shared" ca="1" si="284"/>
        <v>-460643.87704725575</v>
      </c>
      <c r="P44" s="168">
        <f t="shared" ca="1" si="284"/>
        <v>-583896.55000000005</v>
      </c>
      <c r="Q44" s="168">
        <f t="shared" ca="1" si="284"/>
        <v>-583896.55000000005</v>
      </c>
      <c r="R44" s="168">
        <f t="shared" ca="1" si="284"/>
        <v>-583896.55000000005</v>
      </c>
      <c r="S44" s="168">
        <f t="shared" ca="1" si="284"/>
        <v>-583896.55000000005</v>
      </c>
      <c r="T44" s="168">
        <f t="shared" ca="1" si="284"/>
        <v>-583896.55000000005</v>
      </c>
      <c r="U44" s="168">
        <f t="shared" ca="1" si="284"/>
        <v>-583896.55000000005</v>
      </c>
      <c r="V44" s="168">
        <f t="shared" ca="1" si="284"/>
        <v>-583896.55000000005</v>
      </c>
      <c r="W44" s="168">
        <f t="shared" ca="1" si="284"/>
        <v>-583896.55000000005</v>
      </c>
      <c r="X44" s="168">
        <f t="shared" ca="1" si="284"/>
        <v>-583896.55000000005</v>
      </c>
      <c r="Y44" s="168">
        <f t="shared" ca="1" si="284"/>
        <v>-583896.55000000005</v>
      </c>
      <c r="Z44" s="168">
        <f t="shared" ca="1" si="284"/>
        <v>-583896.55000000005</v>
      </c>
      <c r="AA44" s="168">
        <f ca="1">AA43-AA30</f>
        <v>-583896.55000000005</v>
      </c>
      <c r="AB44" s="168">
        <f ca="1">AB43-AB30</f>
        <v>-583896.55000000005</v>
      </c>
      <c r="AC44" s="168">
        <f t="shared" ref="AC44:BL44" ca="1" si="285">AC43-AC30</f>
        <v>-583896.55000000005</v>
      </c>
      <c r="AD44" s="168">
        <f t="shared" ca="1" si="285"/>
        <v>-583896.55000000005</v>
      </c>
      <c r="AE44" s="168">
        <f t="shared" ca="1" si="285"/>
        <v>-583896.55000000005</v>
      </c>
      <c r="AF44" s="168">
        <f t="shared" ca="1" si="285"/>
        <v>-583896.55000000005</v>
      </c>
      <c r="AG44" s="168">
        <f t="shared" ca="1" si="285"/>
        <v>-583896.55000000005</v>
      </c>
      <c r="AH44" s="168">
        <f t="shared" ca="1" si="285"/>
        <v>-583896.55000000005</v>
      </c>
      <c r="AI44" s="168">
        <f t="shared" ca="1" si="285"/>
        <v>-583896.55000000005</v>
      </c>
      <c r="AJ44" s="168">
        <f t="shared" ca="1" si="285"/>
        <v>-583896.55000000005</v>
      </c>
      <c r="AK44" s="168">
        <f t="shared" ca="1" si="285"/>
        <v>-583896.55000000005</v>
      </c>
      <c r="AL44" s="168">
        <f t="shared" ca="1" si="285"/>
        <v>-583896.55000000005</v>
      </c>
      <c r="AM44" s="168">
        <f t="shared" ca="1" si="285"/>
        <v>-583896.55000000005</v>
      </c>
      <c r="AN44" s="168">
        <f t="shared" ca="1" si="285"/>
        <v>-583896.55000000005</v>
      </c>
      <c r="AO44" s="168">
        <f t="shared" ca="1" si="285"/>
        <v>-583896.55000000005</v>
      </c>
      <c r="AP44" s="168">
        <f t="shared" ca="1" si="285"/>
        <v>-583896.55000000005</v>
      </c>
      <c r="AQ44" s="168">
        <f t="shared" ca="1" si="285"/>
        <v>-583896.55000000005</v>
      </c>
      <c r="AR44" s="168">
        <f t="shared" ca="1" si="285"/>
        <v>-583896.55000000005</v>
      </c>
      <c r="AS44" s="168">
        <f t="shared" ca="1" si="285"/>
        <v>-583896.55000000005</v>
      </c>
      <c r="AT44" s="168">
        <f t="shared" ca="1" si="285"/>
        <v>-583896.55000000005</v>
      </c>
      <c r="AU44" s="168">
        <f t="shared" ca="1" si="285"/>
        <v>-583896.55000000005</v>
      </c>
      <c r="AV44" s="168">
        <f t="shared" ca="1" si="285"/>
        <v>-583896.55000000005</v>
      </c>
      <c r="AW44" s="168">
        <f t="shared" ca="1" si="285"/>
        <v>-583896.55000000005</v>
      </c>
      <c r="AX44" s="168">
        <f t="shared" ca="1" si="285"/>
        <v>-583896.55000000005</v>
      </c>
      <c r="AY44" s="168">
        <f t="shared" ca="1" si="285"/>
        <v>-583896.55000000005</v>
      </c>
      <c r="AZ44" s="168">
        <f t="shared" ca="1" si="285"/>
        <v>-583896.55000000005</v>
      </c>
      <c r="BA44" s="168">
        <f t="shared" ca="1" si="285"/>
        <v>-583896.55000000005</v>
      </c>
      <c r="BB44" s="168">
        <f t="shared" ca="1" si="285"/>
        <v>-583896.55000000005</v>
      </c>
      <c r="BC44" s="168">
        <f t="shared" ca="1" si="285"/>
        <v>-583896.55000000005</v>
      </c>
      <c r="BD44" s="168">
        <f t="shared" ca="1" si="285"/>
        <v>-583896.55000000005</v>
      </c>
      <c r="BE44" s="168">
        <f t="shared" ca="1" si="285"/>
        <v>-583896.55000000005</v>
      </c>
      <c r="BF44" s="168">
        <f t="shared" ca="1" si="285"/>
        <v>-583896.55000000005</v>
      </c>
      <c r="BG44" s="168">
        <f t="shared" ca="1" si="285"/>
        <v>-583896.55000000005</v>
      </c>
      <c r="BH44" s="168">
        <f t="shared" ca="1" si="285"/>
        <v>-583896.55000000005</v>
      </c>
      <c r="BI44" s="168">
        <f t="shared" ca="1" si="285"/>
        <v>-583896.55000000005</v>
      </c>
      <c r="BJ44" s="168">
        <f t="shared" ca="1" si="285"/>
        <v>-583896.55000000005</v>
      </c>
      <c r="BK44" s="168">
        <f t="shared" ca="1" si="285"/>
        <v>-583896.55000000005</v>
      </c>
      <c r="BL44" s="168">
        <f t="shared" ca="1" si="285"/>
        <v>-525384.26471616537</v>
      </c>
      <c r="BN44" s="28"/>
      <c r="BO44" s="28"/>
      <c r="BP44" s="28"/>
      <c r="BQ44" s="28"/>
      <c r="BR44" s="28"/>
      <c r="BS44" s="28"/>
      <c r="BT44" s="28"/>
      <c r="BU44" s="28"/>
      <c r="BV44" s="28"/>
      <c r="BW44" s="28"/>
      <c r="BX44" s="28"/>
      <c r="BY44" s="28"/>
    </row>
    <row r="45" spans="2:77" x14ac:dyDescent="0.3">
      <c r="B45" s="170"/>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c r="AH45" s="31"/>
      <c r="AI45" s="31"/>
      <c r="AJ45" s="31"/>
      <c r="AK45" s="31"/>
      <c r="AL45" s="31"/>
      <c r="AM45" s="31"/>
      <c r="AN45" s="31"/>
      <c r="AO45" s="31"/>
      <c r="AP45" s="31"/>
      <c r="AQ45" s="31"/>
      <c r="AR45" s="31"/>
      <c r="AS45" s="31"/>
      <c r="AT45" s="31"/>
      <c r="AU45" s="31"/>
      <c r="AV45" s="31"/>
      <c r="AW45" s="31"/>
      <c r="AX45" s="31"/>
      <c r="AY45" s="31"/>
      <c r="AZ45" s="31"/>
      <c r="BA45" s="31"/>
      <c r="BB45" s="31"/>
      <c r="BC45" s="31"/>
      <c r="BD45" s="31"/>
      <c r="BE45" s="31"/>
      <c r="BF45" s="31"/>
      <c r="BG45" s="31"/>
      <c r="BH45" s="31"/>
      <c r="BI45" s="31"/>
      <c r="BJ45" s="31"/>
      <c r="BK45" s="31"/>
      <c r="BL45" s="31"/>
    </row>
    <row r="46" spans="2:77" x14ac:dyDescent="0.3">
      <c r="E46" s="31"/>
      <c r="F46" s="31"/>
      <c r="G46" s="31"/>
      <c r="H46" s="31"/>
      <c r="I46" s="31"/>
      <c r="J46" s="31"/>
      <c r="K46" s="31"/>
      <c r="L46" s="31"/>
      <c r="M46" s="171"/>
      <c r="N46" s="31"/>
    </row>
  </sheetData>
  <conditionalFormatting sqref="E4">
    <cfRule type="expression" dxfId="276" priority="352">
      <formula>$E$4="Fin"</formula>
    </cfRule>
    <cfRule type="expression" dxfId="275" priority="353">
      <formula>$E$4="Prev"</formula>
    </cfRule>
    <cfRule type="expression" dxfId="274" priority="354">
      <formula>$E$4="Real"</formula>
    </cfRule>
  </conditionalFormatting>
  <conditionalFormatting sqref="E40">
    <cfRule type="expression" dxfId="273" priority="67">
      <formula>$E$40=FALSE</formula>
    </cfRule>
  </conditionalFormatting>
  <conditionalFormatting sqref="F4">
    <cfRule type="expression" dxfId="272" priority="355">
      <formula>$F$4="Fin"</formula>
    </cfRule>
    <cfRule type="expression" dxfId="271" priority="356">
      <formula>$F$4="Prev"</formula>
    </cfRule>
    <cfRule type="expression" dxfId="270" priority="357">
      <formula>$F$4="Real"</formula>
    </cfRule>
  </conditionalFormatting>
  <conditionalFormatting sqref="F6">
    <cfRule type="expression" dxfId="269" priority="79">
      <formula>$F$4="Fin"</formula>
    </cfRule>
  </conditionalFormatting>
  <conditionalFormatting sqref="F7:F13">
    <cfRule type="expression" dxfId="268" priority="78">
      <formula>$F$4="Fin"</formula>
    </cfRule>
  </conditionalFormatting>
  <conditionalFormatting sqref="F14:F15 F38 F43:F44">
    <cfRule type="expression" dxfId="267" priority="77">
      <formula>$F$4="Fin"</formula>
    </cfRule>
  </conditionalFormatting>
  <conditionalFormatting sqref="F18">
    <cfRule type="expression" dxfId="266" priority="76">
      <formula>$F$4="Fin"</formula>
    </cfRule>
  </conditionalFormatting>
  <conditionalFormatting sqref="F19:F25">
    <cfRule type="expression" dxfId="265" priority="75">
      <formula>$F$4="Fin"</formula>
    </cfRule>
  </conditionalFormatting>
  <conditionalFormatting sqref="F26:F27">
    <cfRule type="expression" dxfId="264" priority="74">
      <formula>$F$4="Fin"</formula>
    </cfRule>
  </conditionalFormatting>
  <conditionalFormatting sqref="F30">
    <cfRule type="expression" dxfId="263" priority="73">
      <formula>$F$4="Fin"</formula>
    </cfRule>
  </conditionalFormatting>
  <conditionalFormatting sqref="F31:F37">
    <cfRule type="expression" dxfId="262" priority="72">
      <formula>$F$4="Fin"</formula>
    </cfRule>
  </conditionalFormatting>
  <conditionalFormatting sqref="F40">
    <cfRule type="expression" dxfId="261" priority="69">
      <formula>$F$40=FALSE</formula>
    </cfRule>
    <cfRule type="expression" dxfId="260" priority="70">
      <formula>$F$4="Fin"</formula>
    </cfRule>
  </conditionalFormatting>
  <conditionalFormatting sqref="G4">
    <cfRule type="expression" dxfId="259" priority="360">
      <formula>$G$4="Real"</formula>
    </cfRule>
    <cfRule type="expression" dxfId="258" priority="359">
      <formula>$G$4="Prev"</formula>
    </cfRule>
    <cfRule type="expression" dxfId="257" priority="358">
      <formula>$G$4="Fin"</formula>
    </cfRule>
  </conditionalFormatting>
  <conditionalFormatting sqref="G6">
    <cfRule type="expression" dxfId="256" priority="90">
      <formula>$G$4="Fin"</formula>
    </cfRule>
  </conditionalFormatting>
  <conditionalFormatting sqref="G7:G13">
    <cfRule type="expression" dxfId="255" priority="89">
      <formula>$G$4="Fin"</formula>
    </cfRule>
  </conditionalFormatting>
  <conditionalFormatting sqref="G14:G15 G38 G43:G44">
    <cfRule type="expression" dxfId="254" priority="88">
      <formula>$G$4="Fin"</formula>
    </cfRule>
  </conditionalFormatting>
  <conditionalFormatting sqref="G18">
    <cfRule type="expression" dxfId="253" priority="87">
      <formula>$G$4="Fin"</formula>
    </cfRule>
  </conditionalFormatting>
  <conditionalFormatting sqref="G19:G25">
    <cfRule type="expression" dxfId="252" priority="86">
      <formula>$G$4="Fin"</formula>
    </cfRule>
  </conditionalFormatting>
  <conditionalFormatting sqref="G26:G27">
    <cfRule type="expression" dxfId="251" priority="85">
      <formula>$G$4="Fin"</formula>
    </cfRule>
  </conditionalFormatting>
  <conditionalFormatting sqref="G30">
    <cfRule type="expression" dxfId="250" priority="84">
      <formula>$G$4="Fin"</formula>
    </cfRule>
  </conditionalFormatting>
  <conditionalFormatting sqref="G31:G37">
    <cfRule type="expression" dxfId="249" priority="83">
      <formula>$G$4="Fin"</formula>
    </cfRule>
  </conditionalFormatting>
  <conditionalFormatting sqref="G40">
    <cfRule type="expression" dxfId="248" priority="80">
      <formula>$G$40=FALSE</formula>
    </cfRule>
    <cfRule type="expression" dxfId="247" priority="81">
      <formula>$G$4="Fin"</formula>
    </cfRule>
  </conditionalFormatting>
  <conditionalFormatting sqref="H4">
    <cfRule type="expression" dxfId="246" priority="362">
      <formula>$H$4="Prev"</formula>
    </cfRule>
    <cfRule type="expression" dxfId="245" priority="361">
      <formula>$H$4="Fin"</formula>
    </cfRule>
    <cfRule type="expression" dxfId="244" priority="363">
      <formula>$H$4="Real"</formula>
    </cfRule>
  </conditionalFormatting>
  <conditionalFormatting sqref="H6">
    <cfRule type="expression" dxfId="243" priority="101">
      <formula>$H$4="Fin"</formula>
    </cfRule>
  </conditionalFormatting>
  <conditionalFormatting sqref="H7:H13">
    <cfRule type="expression" dxfId="242" priority="100">
      <formula>$H$4="Fin"</formula>
    </cfRule>
  </conditionalFormatting>
  <conditionalFormatting sqref="H14:H15 H38 H43:H44">
    <cfRule type="expression" dxfId="241" priority="99">
      <formula>$H$4="Fin"</formula>
    </cfRule>
  </conditionalFormatting>
  <conditionalFormatting sqref="H18">
    <cfRule type="expression" dxfId="240" priority="98">
      <formula>$H$4="Fin"</formula>
    </cfRule>
  </conditionalFormatting>
  <conditionalFormatting sqref="H19:H25">
    <cfRule type="expression" dxfId="239" priority="97">
      <formula>$H$4="Fin"</formula>
    </cfRule>
  </conditionalFormatting>
  <conditionalFormatting sqref="H26:H27">
    <cfRule type="expression" dxfId="238" priority="96">
      <formula>$H$4="Fin"</formula>
    </cfRule>
  </conditionalFormatting>
  <conditionalFormatting sqref="H30">
    <cfRule type="expression" dxfId="237" priority="95">
      <formula>$H$4="Fin"</formula>
    </cfRule>
  </conditionalFormatting>
  <conditionalFormatting sqref="H31:H37">
    <cfRule type="expression" dxfId="236" priority="94">
      <formula>$H$4="Fin"</formula>
    </cfRule>
  </conditionalFormatting>
  <conditionalFormatting sqref="H40">
    <cfRule type="expression" dxfId="235" priority="92">
      <formula>$H$4="Fin"</formula>
    </cfRule>
    <cfRule type="expression" dxfId="234" priority="91">
      <formula>$H$40=FALSE</formula>
    </cfRule>
  </conditionalFormatting>
  <conditionalFormatting sqref="I4">
    <cfRule type="expression" dxfId="233" priority="366">
      <formula>$I$4="Real"</formula>
    </cfRule>
    <cfRule type="expression" dxfId="232" priority="364">
      <formula>$I$4="Fin"</formula>
    </cfRule>
    <cfRule type="expression" dxfId="231" priority="365">
      <formula>$I$4="Prev"</formula>
    </cfRule>
  </conditionalFormatting>
  <conditionalFormatting sqref="I6">
    <cfRule type="expression" dxfId="230" priority="112">
      <formula>$I$4="Fin"</formula>
    </cfRule>
  </conditionalFormatting>
  <conditionalFormatting sqref="I7:I13">
    <cfRule type="expression" dxfId="229" priority="111">
      <formula>$I$4="Fin"</formula>
    </cfRule>
  </conditionalFormatting>
  <conditionalFormatting sqref="I14:I15 I38 I43:I44">
    <cfRule type="expression" dxfId="228" priority="110">
      <formula>$I$4="Fin"</formula>
    </cfRule>
  </conditionalFormatting>
  <conditionalFormatting sqref="I18">
    <cfRule type="expression" dxfId="227" priority="109">
      <formula>$I$4="Fin"</formula>
    </cfRule>
  </conditionalFormatting>
  <conditionalFormatting sqref="I19:I25">
    <cfRule type="expression" dxfId="226" priority="108">
      <formula>$I$4="Fin"</formula>
    </cfRule>
  </conditionalFormatting>
  <conditionalFormatting sqref="I26:I27">
    <cfRule type="expression" dxfId="225" priority="107">
      <formula>$I$4="Fin"</formula>
    </cfRule>
  </conditionalFormatting>
  <conditionalFormatting sqref="I30">
    <cfRule type="expression" dxfId="224" priority="106">
      <formula>$I$4="Fin"</formula>
    </cfRule>
  </conditionalFormatting>
  <conditionalFormatting sqref="I31:I37">
    <cfRule type="expression" dxfId="223" priority="105">
      <formula>$I$4="Fin"</formula>
    </cfRule>
  </conditionalFormatting>
  <conditionalFormatting sqref="I40">
    <cfRule type="expression" dxfId="222" priority="102">
      <formula>$I$40=FALSE</formula>
    </cfRule>
    <cfRule type="expression" dxfId="221" priority="103">
      <formula>$I$4="Fin"</formula>
    </cfRule>
  </conditionalFormatting>
  <conditionalFormatting sqref="J4">
    <cfRule type="expression" dxfId="220" priority="351">
      <formula>$J$4="Real"</formula>
    </cfRule>
    <cfRule type="expression" dxfId="219" priority="350">
      <formula>$J$4="Prev"</formula>
    </cfRule>
    <cfRule type="expression" dxfId="218" priority="349">
      <formula>$J$4="Fin"</formula>
    </cfRule>
  </conditionalFormatting>
  <conditionalFormatting sqref="J6">
    <cfRule type="expression" dxfId="217" priority="123">
      <formula>$J$4="Fin"</formula>
    </cfRule>
  </conditionalFormatting>
  <conditionalFormatting sqref="J7:J13">
    <cfRule type="expression" dxfId="216" priority="122">
      <formula>$J$4="Fin"</formula>
    </cfRule>
  </conditionalFormatting>
  <conditionalFormatting sqref="J14:J15 J38 J43:J44">
    <cfRule type="expression" dxfId="215" priority="121">
      <formula>$J$4="Fin"</formula>
    </cfRule>
  </conditionalFormatting>
  <conditionalFormatting sqref="J18">
    <cfRule type="expression" dxfId="214" priority="120">
      <formula>$J$4="Fin"</formula>
    </cfRule>
  </conditionalFormatting>
  <conditionalFormatting sqref="J19:J25">
    <cfRule type="expression" dxfId="213" priority="119">
      <formula>$J$4="Fin"</formula>
    </cfRule>
  </conditionalFormatting>
  <conditionalFormatting sqref="J26:J27">
    <cfRule type="expression" dxfId="212" priority="118">
      <formula>$J$4="Fin"</formula>
    </cfRule>
  </conditionalFormatting>
  <conditionalFormatting sqref="J30">
    <cfRule type="expression" dxfId="211" priority="117">
      <formula>$J$4="Fin"</formula>
    </cfRule>
  </conditionalFormatting>
  <conditionalFormatting sqref="J31:J37">
    <cfRule type="expression" dxfId="210" priority="116">
      <formula>$J$4="Fin"</formula>
    </cfRule>
  </conditionalFormatting>
  <conditionalFormatting sqref="J40">
    <cfRule type="expression" dxfId="209" priority="114">
      <formula>$J$4="Fin"</formula>
    </cfRule>
    <cfRule type="expression" dxfId="208" priority="113">
      <formula>$J$40=FALSE</formula>
    </cfRule>
  </conditionalFormatting>
  <conditionalFormatting sqref="K4">
    <cfRule type="expression" dxfId="207" priority="346">
      <formula>$K$4="Fin"</formula>
    </cfRule>
    <cfRule type="expression" dxfId="206" priority="348">
      <formula>$K$4="Real"</formula>
    </cfRule>
    <cfRule type="expression" dxfId="205" priority="347">
      <formula>$K$4="Prev"</formula>
    </cfRule>
  </conditionalFormatting>
  <conditionalFormatting sqref="K6">
    <cfRule type="expression" dxfId="204" priority="134">
      <formula>$K$4="Fin"</formula>
    </cfRule>
  </conditionalFormatting>
  <conditionalFormatting sqref="K7:K13">
    <cfRule type="expression" dxfId="203" priority="133">
      <formula>$K$4="Fin"</formula>
    </cfRule>
  </conditionalFormatting>
  <conditionalFormatting sqref="K14:K15 K38 K43:K44">
    <cfRule type="expression" dxfId="202" priority="132">
      <formula>$K$4="Fin"</formula>
    </cfRule>
  </conditionalFormatting>
  <conditionalFormatting sqref="K18">
    <cfRule type="expression" dxfId="201" priority="131">
      <formula>$K$4="Fin"</formula>
    </cfRule>
  </conditionalFormatting>
  <conditionalFormatting sqref="K19:K25">
    <cfRule type="expression" dxfId="200" priority="130">
      <formula>$K$4="Fin"</formula>
    </cfRule>
  </conditionalFormatting>
  <conditionalFormatting sqref="K26:K27">
    <cfRule type="expression" dxfId="199" priority="129">
      <formula>$K$4="Fin"</formula>
    </cfRule>
  </conditionalFormatting>
  <conditionalFormatting sqref="K30">
    <cfRule type="expression" dxfId="198" priority="128">
      <formula>$K$4="Fin"</formula>
    </cfRule>
  </conditionalFormatting>
  <conditionalFormatting sqref="K31:K37">
    <cfRule type="expression" dxfId="197" priority="127">
      <formula>$K$4="Fin"</formula>
    </cfRule>
  </conditionalFormatting>
  <conditionalFormatting sqref="K40">
    <cfRule type="expression" dxfId="196" priority="124">
      <formula>$K$40=FALSE</formula>
    </cfRule>
    <cfRule type="expression" dxfId="195" priority="125">
      <formula>$K$4="Fin"</formula>
    </cfRule>
  </conditionalFormatting>
  <conditionalFormatting sqref="L4">
    <cfRule type="expression" dxfId="194" priority="343">
      <formula>$L$4="Fin"</formula>
    </cfRule>
    <cfRule type="expression" dxfId="193" priority="344">
      <formula>$L$4="Prev"</formula>
    </cfRule>
    <cfRule type="expression" dxfId="192" priority="345">
      <formula>$L$4="Real"</formula>
    </cfRule>
  </conditionalFormatting>
  <conditionalFormatting sqref="L6">
    <cfRule type="expression" dxfId="191" priority="145">
      <formula>$L$4="Fin"</formula>
    </cfRule>
  </conditionalFormatting>
  <conditionalFormatting sqref="L7:L13">
    <cfRule type="expression" dxfId="190" priority="144">
      <formula>$L$4="Fin"</formula>
    </cfRule>
  </conditionalFormatting>
  <conditionalFormatting sqref="L14:L15 L38 L43:L44">
    <cfRule type="expression" dxfId="189" priority="143">
      <formula>$L$4="Fin"</formula>
    </cfRule>
  </conditionalFormatting>
  <conditionalFormatting sqref="L18">
    <cfRule type="expression" dxfId="188" priority="142">
      <formula>$L$4="Fin"</formula>
    </cfRule>
  </conditionalFormatting>
  <conditionalFormatting sqref="L19:L25">
    <cfRule type="expression" dxfId="187" priority="141">
      <formula>$L$4="Fin"</formula>
    </cfRule>
  </conditionalFormatting>
  <conditionalFormatting sqref="L26:L27">
    <cfRule type="expression" dxfId="186" priority="140">
      <formula>$L$4="Fin"</formula>
    </cfRule>
  </conditionalFormatting>
  <conditionalFormatting sqref="L30">
    <cfRule type="expression" dxfId="185" priority="139">
      <formula>$L$4="Fin"</formula>
    </cfRule>
  </conditionalFormatting>
  <conditionalFormatting sqref="L31:L37">
    <cfRule type="expression" dxfId="184" priority="138">
      <formula>$L$4="Fin"</formula>
    </cfRule>
  </conditionalFormatting>
  <conditionalFormatting sqref="L40">
    <cfRule type="expression" dxfId="183" priority="135">
      <formula>$L$40=FALSE</formula>
    </cfRule>
    <cfRule type="expression" dxfId="182" priority="136">
      <formula>$L$4="Fin"</formula>
    </cfRule>
  </conditionalFormatting>
  <conditionalFormatting sqref="M4">
    <cfRule type="expression" dxfId="181" priority="342">
      <formula>$M$4="Real"</formula>
    </cfRule>
    <cfRule type="expression" dxfId="180" priority="340">
      <formula>$M$4="Fin"</formula>
    </cfRule>
    <cfRule type="expression" dxfId="179" priority="341">
      <formula>$M$4="Prev"</formula>
    </cfRule>
  </conditionalFormatting>
  <conditionalFormatting sqref="M6">
    <cfRule type="expression" dxfId="178" priority="156">
      <formula>$M$4="Fin"</formula>
    </cfRule>
  </conditionalFormatting>
  <conditionalFormatting sqref="M7:M13">
    <cfRule type="expression" dxfId="177" priority="155">
      <formula>$M$4="Fin"</formula>
    </cfRule>
  </conditionalFormatting>
  <conditionalFormatting sqref="M14:M15 M38 M43:M44">
    <cfRule type="expression" dxfId="176" priority="154">
      <formula>$M$4="Fin"</formula>
    </cfRule>
  </conditionalFormatting>
  <conditionalFormatting sqref="M18">
    <cfRule type="expression" dxfId="175" priority="153">
      <formula>$M$4="Fin"</formula>
    </cfRule>
  </conditionalFormatting>
  <conditionalFormatting sqref="M19:M25">
    <cfRule type="expression" dxfId="174" priority="152">
      <formula>$M$4="Fin"</formula>
    </cfRule>
  </conditionalFormatting>
  <conditionalFormatting sqref="M26:M27">
    <cfRule type="expression" dxfId="173" priority="151">
      <formula>$M$4="Fin"</formula>
    </cfRule>
  </conditionalFormatting>
  <conditionalFormatting sqref="M30">
    <cfRule type="expression" dxfId="172" priority="150">
      <formula>$M$4="Fin"</formula>
    </cfRule>
  </conditionalFormatting>
  <conditionalFormatting sqref="M31:M37">
    <cfRule type="expression" dxfId="171" priority="149">
      <formula>$M$4="Fin"</formula>
    </cfRule>
  </conditionalFormatting>
  <conditionalFormatting sqref="M40">
    <cfRule type="expression" dxfId="170" priority="146">
      <formula>$M$40=FALSE</formula>
    </cfRule>
    <cfRule type="expression" dxfId="169" priority="147">
      <formula>$M$4="Fin"</formula>
    </cfRule>
  </conditionalFormatting>
  <conditionalFormatting sqref="N4">
    <cfRule type="expression" dxfId="168" priority="337">
      <formula>$N$4="Fin"</formula>
    </cfRule>
    <cfRule type="expression" dxfId="167" priority="338">
      <formula>$N$4="Prev"</formula>
    </cfRule>
    <cfRule type="expression" dxfId="166" priority="339">
      <formula>$N$4="Real"</formula>
    </cfRule>
  </conditionalFormatting>
  <conditionalFormatting sqref="N6">
    <cfRule type="expression" dxfId="165" priority="167">
      <formula>$N$4="Fin"</formula>
    </cfRule>
  </conditionalFormatting>
  <conditionalFormatting sqref="N7:N13">
    <cfRule type="expression" dxfId="164" priority="166">
      <formula>$N$4="Fin"</formula>
    </cfRule>
  </conditionalFormatting>
  <conditionalFormatting sqref="N14:N15 N38 N43:N44">
    <cfRule type="expression" dxfId="163" priority="165">
      <formula>$N$4="Fin"</formula>
    </cfRule>
  </conditionalFormatting>
  <conditionalFormatting sqref="N18">
    <cfRule type="expression" dxfId="162" priority="164">
      <formula>$N$4="Fin"</formula>
    </cfRule>
  </conditionalFormatting>
  <conditionalFormatting sqref="N19:N25">
    <cfRule type="expression" dxfId="161" priority="163">
      <formula>$N$4="Fin"</formula>
    </cfRule>
  </conditionalFormatting>
  <conditionalFormatting sqref="N26:N27">
    <cfRule type="expression" dxfId="160" priority="162">
      <formula>$N$4="Fin"</formula>
    </cfRule>
  </conditionalFormatting>
  <conditionalFormatting sqref="N30">
    <cfRule type="expression" dxfId="159" priority="161">
      <formula>$N$4="Fin"</formula>
    </cfRule>
  </conditionalFormatting>
  <conditionalFormatting sqref="N31:N37">
    <cfRule type="expression" dxfId="158" priority="160">
      <formula>$N$4="Fin"</formula>
    </cfRule>
  </conditionalFormatting>
  <conditionalFormatting sqref="N40">
    <cfRule type="expression" dxfId="157" priority="158">
      <formula>$N$4="Fin"</formula>
    </cfRule>
    <cfRule type="expression" dxfId="156" priority="157">
      <formula>$N$40=FALSE</formula>
    </cfRule>
  </conditionalFormatting>
  <conditionalFormatting sqref="O4">
    <cfRule type="expression" dxfId="155" priority="335">
      <formula>$O$4="Prev"</formula>
    </cfRule>
    <cfRule type="expression" dxfId="154" priority="334">
      <formula>$O$4="Fin"</formula>
    </cfRule>
    <cfRule type="expression" dxfId="153" priority="336">
      <formula>$O$4="Real"</formula>
    </cfRule>
  </conditionalFormatting>
  <conditionalFormatting sqref="O6">
    <cfRule type="expression" dxfId="152" priority="178">
      <formula>$O$4="Fin"</formula>
    </cfRule>
  </conditionalFormatting>
  <conditionalFormatting sqref="O7:O13">
    <cfRule type="expression" dxfId="151" priority="177">
      <formula>$O$4="Fin"</formula>
    </cfRule>
  </conditionalFormatting>
  <conditionalFormatting sqref="O14:O15 O38 O43:O44">
    <cfRule type="expression" dxfId="150" priority="176">
      <formula>$O$4="Fin"</formula>
    </cfRule>
  </conditionalFormatting>
  <conditionalFormatting sqref="O18">
    <cfRule type="expression" dxfId="149" priority="175">
      <formula>$O$4="Fin"</formula>
    </cfRule>
  </conditionalFormatting>
  <conditionalFormatting sqref="O19:O25">
    <cfRule type="expression" dxfId="148" priority="174">
      <formula>$O$4="Fin"</formula>
    </cfRule>
  </conditionalFormatting>
  <conditionalFormatting sqref="O26:O27">
    <cfRule type="expression" dxfId="147" priority="173">
      <formula>$O$4="Fin"</formula>
    </cfRule>
  </conditionalFormatting>
  <conditionalFormatting sqref="O30">
    <cfRule type="expression" dxfId="146" priority="172">
      <formula>$O$4="Fin"</formula>
    </cfRule>
  </conditionalFormatting>
  <conditionalFormatting sqref="O31:O37">
    <cfRule type="expression" dxfId="145" priority="171">
      <formula>$O$4="Fin"</formula>
    </cfRule>
  </conditionalFormatting>
  <conditionalFormatting sqref="O40">
    <cfRule type="expression" dxfId="144" priority="169">
      <formula>$O$4="Fin"</formula>
    </cfRule>
    <cfRule type="expression" dxfId="143" priority="168">
      <formula>$O$40=FALSE</formula>
    </cfRule>
  </conditionalFormatting>
  <conditionalFormatting sqref="P4">
    <cfRule type="expression" dxfId="142" priority="331">
      <formula>$P$4="Fin"</formula>
    </cfRule>
    <cfRule type="expression" dxfId="141" priority="333">
      <formula>$P$4="Real"</formula>
    </cfRule>
    <cfRule type="expression" dxfId="140" priority="332">
      <formula>$P$4="Prev"</formula>
    </cfRule>
  </conditionalFormatting>
  <conditionalFormatting sqref="P6">
    <cfRule type="expression" dxfId="139" priority="189">
      <formula>$P$4="Fin"</formula>
    </cfRule>
  </conditionalFormatting>
  <conditionalFormatting sqref="P7:P13">
    <cfRule type="expression" dxfId="138" priority="188">
      <formula>$P$4="Fin"</formula>
    </cfRule>
  </conditionalFormatting>
  <conditionalFormatting sqref="P14:P15 P38 P43:P44">
    <cfRule type="expression" dxfId="137" priority="187">
      <formula>$P$4="Fin"</formula>
    </cfRule>
  </conditionalFormatting>
  <conditionalFormatting sqref="P18">
    <cfRule type="expression" dxfId="136" priority="186">
      <formula>$P$4="Fin"</formula>
    </cfRule>
  </conditionalFormatting>
  <conditionalFormatting sqref="P19:P25 Q24">
    <cfRule type="expression" dxfId="135" priority="185">
      <formula>$P$4="Fin"</formula>
    </cfRule>
  </conditionalFormatting>
  <conditionalFormatting sqref="P26:P27">
    <cfRule type="expression" dxfId="134" priority="184">
      <formula>$P$4="Fin"</formula>
    </cfRule>
  </conditionalFormatting>
  <conditionalFormatting sqref="P30">
    <cfRule type="expression" dxfId="133" priority="183">
      <formula>$P$4="Fin"</formula>
    </cfRule>
  </conditionalFormatting>
  <conditionalFormatting sqref="P31:P37">
    <cfRule type="expression" dxfId="132" priority="182">
      <formula>$P$4="Fin"</formula>
    </cfRule>
  </conditionalFormatting>
  <conditionalFormatting sqref="P40">
    <cfRule type="expression" dxfId="131" priority="179">
      <formula>$P$40=FALSE</formula>
    </cfRule>
    <cfRule type="expression" dxfId="130" priority="180">
      <formula>$P$4="Fin"</formula>
    </cfRule>
  </conditionalFormatting>
  <conditionalFormatting sqref="Q4">
    <cfRule type="expression" dxfId="129" priority="328">
      <formula>$Q$4="Fin"</formula>
    </cfRule>
    <cfRule type="expression" dxfId="128" priority="329">
      <formula>$Q$4="Prev"</formula>
    </cfRule>
    <cfRule type="expression" dxfId="127" priority="330">
      <formula>$Q$4="Real"</formula>
    </cfRule>
  </conditionalFormatting>
  <conditionalFormatting sqref="Q6">
    <cfRule type="expression" dxfId="126" priority="200">
      <formula>$Q$4="Fin"</formula>
    </cfRule>
  </conditionalFormatting>
  <conditionalFormatting sqref="Q7:Q13">
    <cfRule type="expression" dxfId="125" priority="199">
      <formula>$Q$4="Fin"</formula>
    </cfRule>
  </conditionalFormatting>
  <conditionalFormatting sqref="Q14:Q15 Q38 Q43:Q44">
    <cfRule type="expression" dxfId="124" priority="198">
      <formula>$Q$4="Fin"</formula>
    </cfRule>
  </conditionalFormatting>
  <conditionalFormatting sqref="Q18">
    <cfRule type="expression" dxfId="123" priority="197">
      <formula>$Q$4="Fin"</formula>
    </cfRule>
  </conditionalFormatting>
  <conditionalFormatting sqref="Q19:Q23 Q25">
    <cfRule type="expression" dxfId="122" priority="196">
      <formula>$Q$4="Fin"</formula>
    </cfRule>
  </conditionalFormatting>
  <conditionalFormatting sqref="Q26:Q27">
    <cfRule type="expression" dxfId="121" priority="195">
      <formula>$Q$4="Fin"</formula>
    </cfRule>
  </conditionalFormatting>
  <conditionalFormatting sqref="Q30">
    <cfRule type="expression" dxfId="120" priority="194">
      <formula>$Q$4="Fin"</formula>
    </cfRule>
  </conditionalFormatting>
  <conditionalFormatting sqref="Q31:Q37">
    <cfRule type="expression" dxfId="119" priority="193">
      <formula>$Q$4="Fin"</formula>
    </cfRule>
  </conditionalFormatting>
  <conditionalFormatting sqref="Q40">
    <cfRule type="expression" dxfId="118" priority="190">
      <formula>$Q$40=FALSE</formula>
    </cfRule>
    <cfRule type="expression" dxfId="117" priority="191">
      <formula>$Q$4="Fin"</formula>
    </cfRule>
  </conditionalFormatting>
  <conditionalFormatting sqref="R4">
    <cfRule type="expression" dxfId="116" priority="327">
      <formula>$R$4="Real"</formula>
    </cfRule>
    <cfRule type="expression" dxfId="115" priority="325">
      <formula>$R$4="Fin"</formula>
    </cfRule>
    <cfRule type="expression" dxfId="114" priority="326">
      <formula>$R$4="Prev"</formula>
    </cfRule>
  </conditionalFormatting>
  <conditionalFormatting sqref="R6">
    <cfRule type="expression" dxfId="113" priority="221">
      <formula>$R$4="Fin"</formula>
    </cfRule>
  </conditionalFormatting>
  <conditionalFormatting sqref="R7:R13">
    <cfRule type="expression" dxfId="112" priority="220">
      <formula>$R$4="Fin"</formula>
    </cfRule>
  </conditionalFormatting>
  <conditionalFormatting sqref="R14:R15 R38 R43:R44">
    <cfRule type="expression" dxfId="111" priority="219">
      <formula>$R$4="Fin"</formula>
    </cfRule>
  </conditionalFormatting>
  <conditionalFormatting sqref="R18">
    <cfRule type="expression" dxfId="110" priority="218">
      <formula>$R$4="Fin"</formula>
    </cfRule>
  </conditionalFormatting>
  <conditionalFormatting sqref="R19:R25">
    <cfRule type="expression" dxfId="109" priority="217">
      <formula>$R$4="Fin"</formula>
    </cfRule>
  </conditionalFormatting>
  <conditionalFormatting sqref="R26:R27">
    <cfRule type="expression" dxfId="108" priority="216">
      <formula>$R$4="Fin"</formula>
    </cfRule>
  </conditionalFormatting>
  <conditionalFormatting sqref="R30">
    <cfRule type="expression" dxfId="107" priority="215">
      <formula>$R$4="Fin"</formula>
    </cfRule>
  </conditionalFormatting>
  <conditionalFormatting sqref="R31:R37">
    <cfRule type="expression" dxfId="106" priority="214">
      <formula>$R$4="Fin"</formula>
    </cfRule>
  </conditionalFormatting>
  <conditionalFormatting sqref="R40">
    <cfRule type="expression" dxfId="105" priority="201">
      <formula>$R$40=FALSE</formula>
    </cfRule>
    <cfRule type="expression" dxfId="104" priority="212">
      <formula>$R$4="Fin"</formula>
    </cfRule>
  </conditionalFormatting>
  <conditionalFormatting sqref="S4">
    <cfRule type="expression" dxfId="103" priority="324">
      <formula>$S$4="Real"</formula>
    </cfRule>
    <cfRule type="expression" dxfId="102" priority="322">
      <formula>$S$4="Fin"</formula>
    </cfRule>
    <cfRule type="expression" dxfId="101" priority="323">
      <formula>$S$4="Prev"</formula>
    </cfRule>
  </conditionalFormatting>
  <conditionalFormatting sqref="S6">
    <cfRule type="expression" dxfId="100" priority="231">
      <formula>$S$4="Fin"</formula>
    </cfRule>
  </conditionalFormatting>
  <conditionalFormatting sqref="S7:S13">
    <cfRule type="expression" dxfId="99" priority="230">
      <formula>$S$4="Fin"</formula>
    </cfRule>
  </conditionalFormatting>
  <conditionalFormatting sqref="S14:S15 S38 S43:S44">
    <cfRule type="expression" dxfId="98" priority="229">
      <formula>$S$4="Fin"</formula>
    </cfRule>
  </conditionalFormatting>
  <conditionalFormatting sqref="S18">
    <cfRule type="expression" dxfId="97" priority="228">
      <formula>$S$4="Fin"</formula>
    </cfRule>
  </conditionalFormatting>
  <conditionalFormatting sqref="S19:S25">
    <cfRule type="expression" dxfId="96" priority="227">
      <formula>$S$4="Fin"</formula>
    </cfRule>
  </conditionalFormatting>
  <conditionalFormatting sqref="S26:S27">
    <cfRule type="expression" dxfId="95" priority="226">
      <formula>$S$4="Fin"</formula>
    </cfRule>
  </conditionalFormatting>
  <conditionalFormatting sqref="S30">
    <cfRule type="expression" dxfId="94" priority="225">
      <formula>$S$4="Fin"</formula>
    </cfRule>
  </conditionalFormatting>
  <conditionalFormatting sqref="S31:S37">
    <cfRule type="expression" dxfId="93" priority="224">
      <formula>$S$4="Fin"</formula>
    </cfRule>
  </conditionalFormatting>
  <conditionalFormatting sqref="S40">
    <cfRule type="expression" dxfId="92" priority="202">
      <formula>$S$40=FALSE</formula>
    </cfRule>
    <cfRule type="expression" dxfId="91" priority="222">
      <formula>$S$4="Fin"</formula>
    </cfRule>
  </conditionalFormatting>
  <conditionalFormatting sqref="T4">
    <cfRule type="expression" dxfId="90" priority="321">
      <formula>$T$4="Real"</formula>
    </cfRule>
    <cfRule type="expression" dxfId="89" priority="320">
      <formula>$T$4="Prev"</formula>
    </cfRule>
    <cfRule type="expression" dxfId="88" priority="319">
      <formula>$T$4="Fin"</formula>
    </cfRule>
  </conditionalFormatting>
  <conditionalFormatting sqref="T6">
    <cfRule type="expression" dxfId="87" priority="241">
      <formula>$T$4="Fin"</formula>
    </cfRule>
  </conditionalFormatting>
  <conditionalFormatting sqref="T7:T13">
    <cfRule type="expression" dxfId="86" priority="240">
      <formula>$T$4="Fin"</formula>
    </cfRule>
  </conditionalFormatting>
  <conditionalFormatting sqref="T14:T15 T38 T43:T44">
    <cfRule type="expression" dxfId="85" priority="239">
      <formula>$T$4="Fin"</formula>
    </cfRule>
  </conditionalFormatting>
  <conditionalFormatting sqref="T18">
    <cfRule type="expression" dxfId="84" priority="238">
      <formula>$T$4="Fin"</formula>
    </cfRule>
  </conditionalFormatting>
  <conditionalFormatting sqref="T19:T25">
    <cfRule type="expression" dxfId="83" priority="237">
      <formula>$T$4="Fin"</formula>
    </cfRule>
  </conditionalFormatting>
  <conditionalFormatting sqref="T26:T27">
    <cfRule type="expression" dxfId="82" priority="236">
      <formula>$T$4="Fin"</formula>
    </cfRule>
  </conditionalFormatting>
  <conditionalFormatting sqref="T30">
    <cfRule type="expression" dxfId="81" priority="235">
      <formula>$T$4="Fin"</formula>
    </cfRule>
  </conditionalFormatting>
  <conditionalFormatting sqref="T31:T37">
    <cfRule type="expression" dxfId="80" priority="234">
      <formula>$T$4="Fin"</formula>
    </cfRule>
  </conditionalFormatting>
  <conditionalFormatting sqref="T40">
    <cfRule type="expression" dxfId="79" priority="232">
      <formula>$T$4="Fin"</formula>
    </cfRule>
    <cfRule type="expression" dxfId="78" priority="203">
      <formula>$T$40=FALSE</formula>
    </cfRule>
  </conditionalFormatting>
  <conditionalFormatting sqref="U4">
    <cfRule type="expression" dxfId="77" priority="316">
      <formula>$U$4="Fin"</formula>
    </cfRule>
    <cfRule type="expression" dxfId="76" priority="318">
      <formula>$U$4="Real"</formula>
    </cfRule>
    <cfRule type="expression" dxfId="75" priority="317">
      <formula>$U$4="Prev"</formula>
    </cfRule>
  </conditionalFormatting>
  <conditionalFormatting sqref="U6">
    <cfRule type="expression" dxfId="74" priority="251">
      <formula>$U$4="Fin"</formula>
    </cfRule>
  </conditionalFormatting>
  <conditionalFormatting sqref="U7:U13">
    <cfRule type="expression" dxfId="73" priority="250">
      <formula>$U$4="Fin"</formula>
    </cfRule>
  </conditionalFormatting>
  <conditionalFormatting sqref="U14:U15 U38 U43:U44">
    <cfRule type="expression" dxfId="72" priority="249">
      <formula>$U$4="Fin"</formula>
    </cfRule>
  </conditionalFormatting>
  <conditionalFormatting sqref="U18">
    <cfRule type="expression" dxfId="71" priority="248">
      <formula>$U$4="Fin"</formula>
    </cfRule>
  </conditionalFormatting>
  <conditionalFormatting sqref="U19:U25">
    <cfRule type="expression" dxfId="70" priority="247">
      <formula>$U$4="Fin"</formula>
    </cfRule>
  </conditionalFormatting>
  <conditionalFormatting sqref="U26:U27">
    <cfRule type="expression" dxfId="69" priority="246">
      <formula>$U$4="Fin"</formula>
    </cfRule>
  </conditionalFormatting>
  <conditionalFormatting sqref="U30">
    <cfRule type="expression" dxfId="68" priority="245">
      <formula>$U$4="Fin"</formula>
    </cfRule>
  </conditionalFormatting>
  <conditionalFormatting sqref="U31:U37">
    <cfRule type="expression" dxfId="67" priority="244">
      <formula>$U$4="Fin"</formula>
    </cfRule>
  </conditionalFormatting>
  <conditionalFormatting sqref="U40">
    <cfRule type="expression" dxfId="66" priority="242">
      <formula>$U$4="Fin"</formula>
    </cfRule>
    <cfRule type="expression" dxfId="65" priority="204">
      <formula>$U$40=FALSE</formula>
    </cfRule>
  </conditionalFormatting>
  <conditionalFormatting sqref="V4">
    <cfRule type="expression" dxfId="64" priority="313">
      <formula>$V$4="Fin"</formula>
    </cfRule>
    <cfRule type="expression" dxfId="63" priority="314">
      <formula>$V$4="Prev"</formula>
    </cfRule>
    <cfRule type="expression" dxfId="62" priority="315">
      <formula>$V$4="Real"</formula>
    </cfRule>
  </conditionalFormatting>
  <conditionalFormatting sqref="V6">
    <cfRule type="expression" dxfId="61" priority="261">
      <formula>$V$4="Fin"</formula>
    </cfRule>
  </conditionalFormatting>
  <conditionalFormatting sqref="V7:V13">
    <cfRule type="expression" dxfId="60" priority="260">
      <formula>$V$4="Fin"</formula>
    </cfRule>
  </conditionalFormatting>
  <conditionalFormatting sqref="V14:V15 V38 V43:V44">
    <cfRule type="expression" dxfId="59" priority="259">
      <formula>$V$4="Fin"</formula>
    </cfRule>
  </conditionalFormatting>
  <conditionalFormatting sqref="V18">
    <cfRule type="expression" dxfId="58" priority="258">
      <formula>$V$4="Fin"</formula>
    </cfRule>
  </conditionalFormatting>
  <conditionalFormatting sqref="V19:V25">
    <cfRule type="expression" dxfId="57" priority="257">
      <formula>$V$4="Fin"</formula>
    </cfRule>
  </conditionalFormatting>
  <conditionalFormatting sqref="V26:V27">
    <cfRule type="expression" dxfId="56" priority="256">
      <formula>$V$4="Fin"</formula>
    </cfRule>
  </conditionalFormatting>
  <conditionalFormatting sqref="V30">
    <cfRule type="expression" dxfId="55" priority="255">
      <formula>$V$4="Fin"</formula>
    </cfRule>
  </conditionalFormatting>
  <conditionalFormatting sqref="V31:V37">
    <cfRule type="expression" dxfId="54" priority="254">
      <formula>$V$4="Fin"</formula>
    </cfRule>
  </conditionalFormatting>
  <conditionalFormatting sqref="V40">
    <cfRule type="expression" dxfId="53" priority="252">
      <formula>$V$4="Fin"</formula>
    </cfRule>
    <cfRule type="expression" dxfId="52" priority="205">
      <formula>$V$40=FALSE</formula>
    </cfRule>
  </conditionalFormatting>
  <conditionalFormatting sqref="W4">
    <cfRule type="expression" dxfId="51" priority="310">
      <formula>$W$4="Fin"</formula>
    </cfRule>
    <cfRule type="expression" dxfId="50" priority="311">
      <formula>$W$4="Prev"</formula>
    </cfRule>
    <cfRule type="expression" dxfId="49" priority="312">
      <formula>$W$4="Real"</formula>
    </cfRule>
  </conditionalFormatting>
  <conditionalFormatting sqref="W6 W18 W30">
    <cfRule type="expression" dxfId="48" priority="270">
      <formula>$W$4="Fin"</formula>
    </cfRule>
  </conditionalFormatting>
  <conditionalFormatting sqref="W7:W13 W19:W25 W31:W37">
    <cfRule type="expression" dxfId="47" priority="267">
      <formula>$W$4="Fin"</formula>
    </cfRule>
  </conditionalFormatting>
  <conditionalFormatting sqref="W14:W15 W26:W27 W38 W43:W44">
    <cfRule type="expression" dxfId="46" priority="268">
      <formula>$W$4="Fin"</formula>
    </cfRule>
  </conditionalFormatting>
  <conditionalFormatting sqref="W40">
    <cfRule type="expression" dxfId="45" priority="206">
      <formula>$W$40=FALSE</formula>
    </cfRule>
    <cfRule type="expression" dxfId="44" priority="266">
      <formula>$W$4="Fin"</formula>
    </cfRule>
  </conditionalFormatting>
  <conditionalFormatting sqref="X4">
    <cfRule type="expression" dxfId="43" priority="309">
      <formula>$X$4="Real"</formula>
    </cfRule>
    <cfRule type="expression" dxfId="42" priority="308">
      <formula>$X$4="Prev"</formula>
    </cfRule>
    <cfRule type="expression" dxfId="41" priority="307">
      <formula>$X$4="Fin"</formula>
    </cfRule>
  </conditionalFormatting>
  <conditionalFormatting sqref="X6 X18 X30">
    <cfRule type="expression" dxfId="40" priority="273">
      <formula>$X$4="Fin"</formula>
    </cfRule>
  </conditionalFormatting>
  <conditionalFormatting sqref="X7:X13 X19:X25 X31:X37">
    <cfRule type="expression" dxfId="39" priority="272">
      <formula>$X$4="Fin"</formula>
    </cfRule>
  </conditionalFormatting>
  <conditionalFormatting sqref="X14:X15 X26:X27 X38 X43:X44">
    <cfRule type="expression" dxfId="38" priority="271">
      <formula>$X$4="Fin"</formula>
    </cfRule>
  </conditionalFormatting>
  <conditionalFormatting sqref="X40">
    <cfRule type="expression" dxfId="37" priority="264">
      <formula>$X$4="Fin"</formula>
    </cfRule>
    <cfRule type="expression" dxfId="36" priority="207">
      <formula>$X$40=FALSE</formula>
    </cfRule>
  </conditionalFormatting>
  <conditionalFormatting sqref="Y4">
    <cfRule type="expression" dxfId="35" priority="306">
      <formula>$Y$4="Real"</formula>
    </cfRule>
    <cfRule type="expression" dxfId="34" priority="305">
      <formula>$Y$4="Prev"</formula>
    </cfRule>
    <cfRule type="expression" dxfId="33" priority="304">
      <formula>$Y$4="Fin"</formula>
    </cfRule>
  </conditionalFormatting>
  <conditionalFormatting sqref="Y6 Y18 Y30">
    <cfRule type="expression" dxfId="32" priority="280">
      <formula>$Y$4="Fin"</formula>
    </cfRule>
  </conditionalFormatting>
  <conditionalFormatting sqref="Y7:Y13 Y19:Y25 Y31:Y37">
    <cfRule type="expression" dxfId="31" priority="275">
      <formula>$Y$4="Fin"</formula>
    </cfRule>
  </conditionalFormatting>
  <conditionalFormatting sqref="Y14:Y15 Y26:Y27 Y38 Y43:Y44">
    <cfRule type="expression" dxfId="30" priority="277">
      <formula>$Y$4="Fin"</formula>
    </cfRule>
  </conditionalFormatting>
  <conditionalFormatting sqref="Y40">
    <cfRule type="expression" dxfId="29" priority="208">
      <formula>$Y$40=FALSE</formula>
    </cfRule>
    <cfRule type="expression" dxfId="28" priority="274">
      <formula>$Y$4="Fin"</formula>
    </cfRule>
  </conditionalFormatting>
  <conditionalFormatting sqref="Z4">
    <cfRule type="expression" dxfId="27" priority="303">
      <formula>$Z$4="Real"</formula>
    </cfRule>
    <cfRule type="expression" dxfId="26" priority="302">
      <formula>$Z$4="Prev"</formula>
    </cfRule>
    <cfRule type="expression" dxfId="25" priority="301">
      <formula>$Z$4="Fin"</formula>
    </cfRule>
  </conditionalFormatting>
  <conditionalFormatting sqref="Z6 Z18 Z30">
    <cfRule type="expression" dxfId="24" priority="287">
      <formula>$Z$4="Fin"</formula>
    </cfRule>
  </conditionalFormatting>
  <conditionalFormatting sqref="Z7:Z13 Z19:Z25 Z31:Z37">
    <cfRule type="expression" dxfId="23" priority="286">
      <formula>$Z$4="Fin"</formula>
    </cfRule>
  </conditionalFormatting>
  <conditionalFormatting sqref="Z14:Z15 Z26:Z27 Z38 Z43:Z44">
    <cfRule type="expression" dxfId="22" priority="284">
      <formula>$Z$4="Fin"</formula>
    </cfRule>
  </conditionalFormatting>
  <conditionalFormatting sqref="Z40">
    <cfRule type="expression" dxfId="21" priority="281">
      <formula>$Z$4="Fin"</formula>
    </cfRule>
    <cfRule type="expression" dxfId="20" priority="209">
      <formula>$Z$40=FALSE</formula>
    </cfRule>
  </conditionalFormatting>
  <conditionalFormatting sqref="AA4">
    <cfRule type="expression" dxfId="19" priority="299">
      <formula>$AA$4="Prev"</formula>
    </cfRule>
    <cfRule type="expression" dxfId="18" priority="300">
      <formula>$AA$4="Real"</formula>
    </cfRule>
    <cfRule type="expression" dxfId="17" priority="298">
      <formula>$AA$4="Fin"</formula>
    </cfRule>
  </conditionalFormatting>
  <conditionalFormatting sqref="AA6 AA18 AA30">
    <cfRule type="expression" dxfId="16" priority="4">
      <formula>$AA$4="Fin"</formula>
    </cfRule>
  </conditionalFormatting>
  <conditionalFormatting sqref="AA7:AA13 AA19:AA25 AA31:AA37">
    <cfRule type="expression" dxfId="15" priority="289">
      <formula>$AA$4="Fin"</formula>
    </cfRule>
  </conditionalFormatting>
  <conditionalFormatting sqref="AA14:AA15 AA26:AA27 AA38 AA43:AA44">
    <cfRule type="expression" dxfId="14" priority="288">
      <formula>$AA$4="Fin"</formula>
    </cfRule>
  </conditionalFormatting>
  <conditionalFormatting sqref="AA40">
    <cfRule type="expression" dxfId="13" priority="16">
      <formula>$AA$4="Fin"</formula>
    </cfRule>
    <cfRule type="expression" dxfId="12" priority="15">
      <formula>$AA$40=FALSE</formula>
    </cfRule>
  </conditionalFormatting>
  <conditionalFormatting sqref="AB4:BL4">
    <cfRule type="expression" dxfId="11" priority="12">
      <formula>$AB$4="Fin"</formula>
    </cfRule>
    <cfRule type="expression" dxfId="10" priority="11">
      <formula>$AB$4="Prev"</formula>
    </cfRule>
    <cfRule type="expression" dxfId="9" priority="10">
      <formula>$AB$4="Real"</formula>
    </cfRule>
  </conditionalFormatting>
  <conditionalFormatting sqref="AB6:BL6 AB18:BL18 AB30:BL30">
    <cfRule type="expression" dxfId="8" priority="291">
      <formula>$AB$4="Fin"</formula>
    </cfRule>
  </conditionalFormatting>
  <conditionalFormatting sqref="AB7:BL13 AB19:BL25 AB31:BL37">
    <cfRule type="expression" dxfId="7" priority="13">
      <formula>$AB$4="Fin"</formula>
    </cfRule>
  </conditionalFormatting>
  <conditionalFormatting sqref="AB14:BL15 AB26:BL27 AB38:BL38 AB43:BL44">
    <cfRule type="expression" dxfId="6" priority="3">
      <formula>$AB$4="Fin"</formula>
    </cfRule>
  </conditionalFormatting>
  <conditionalFormatting sqref="AB40:BL40">
    <cfRule type="expression" dxfId="5" priority="5">
      <formula>$AB$40=FALSE</formula>
    </cfRule>
    <cfRule type="expression" dxfId="4" priority="6">
      <formula>$AB$4="Fin"</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O6" sqref="O6"/>
    </sheetView>
  </sheetViews>
  <sheetFormatPr baseColWidth="10" defaultColWidth="9.1796875" defaultRowHeight="13.5" x14ac:dyDescent="0.3"/>
  <cols>
    <col min="1" max="1" width="2.1796875" style="28" customWidth="1"/>
    <col min="2" max="2" width="25" style="28" customWidth="1"/>
    <col min="3" max="3" width="42.81640625" style="28" customWidth="1"/>
    <col min="4" max="4" width="20.7265625" style="28" customWidth="1"/>
    <col min="5" max="7" width="25.7265625" style="28" customWidth="1"/>
    <col min="8" max="8" width="20.7265625" style="28" customWidth="1"/>
    <col min="9" max="12" width="25.7265625" style="28" customWidth="1"/>
    <col min="13" max="13" width="19.26953125" style="28" bestFit="1" customWidth="1"/>
    <col min="14" max="14" width="12.26953125" style="28" bestFit="1" customWidth="1"/>
    <col min="15" max="15" width="26.81640625" style="28" customWidth="1"/>
    <col min="16" max="16384" width="9.1796875" style="28"/>
  </cols>
  <sheetData>
    <row r="2" spans="2:16" ht="21" customHeight="1" x14ac:dyDescent="0.3">
      <c r="B2" s="224" t="s">
        <v>5</v>
      </c>
      <c r="C2" s="225" t="str">
        <f>'Project Infor'!C10</f>
        <v>ZEV-PCE0012-1001</v>
      </c>
      <c r="D2" s="224" t="str">
        <f>'Project Infor'!C11</f>
        <v>Smart Airport en la nueva terminal de Puerto Vallarta</v>
      </c>
      <c r="E2" s="226"/>
      <c r="F2" s="226"/>
      <c r="G2" s="224"/>
      <c r="H2" s="224"/>
      <c r="I2" s="224"/>
      <c r="J2" s="224"/>
    </row>
    <row r="3" spans="2:16" ht="9" customHeight="1" x14ac:dyDescent="0.3">
      <c r="C3" s="29"/>
      <c r="D3" s="29"/>
    </row>
    <row r="4" spans="2:16" ht="15" customHeight="1" x14ac:dyDescent="0.3">
      <c r="C4" s="30"/>
      <c r="D4" s="31"/>
      <c r="E4" s="31"/>
      <c r="F4" s="31"/>
      <c r="G4" s="31"/>
      <c r="H4" s="31"/>
      <c r="I4" s="31"/>
      <c r="J4" s="31"/>
      <c r="K4" s="31"/>
      <c r="L4" s="31"/>
      <c r="M4" s="31"/>
      <c r="N4" s="31"/>
      <c r="O4" s="31"/>
      <c r="P4" s="31"/>
    </row>
    <row r="5" spans="2:16" s="93" customFormat="1" ht="37" customHeight="1" x14ac:dyDescent="0.3">
      <c r="B5" s="172"/>
      <c r="C5" s="212"/>
      <c r="D5" s="213" t="s">
        <v>58</v>
      </c>
      <c r="E5" s="214" t="s">
        <v>59</v>
      </c>
      <c r="F5" s="215" t="s">
        <v>60</v>
      </c>
      <c r="G5" s="214" t="s">
        <v>61</v>
      </c>
      <c r="H5" s="214" t="s">
        <v>62</v>
      </c>
      <c r="I5" s="214" t="s">
        <v>63</v>
      </c>
      <c r="J5" s="214" t="s">
        <v>64</v>
      </c>
      <c r="K5" s="214" t="s">
        <v>65</v>
      </c>
      <c r="L5" s="213" t="s">
        <v>177</v>
      </c>
      <c r="M5" s="216" t="s">
        <v>178</v>
      </c>
      <c r="N5" s="216" t="s">
        <v>67</v>
      </c>
      <c r="O5" s="95"/>
      <c r="P5" s="95"/>
    </row>
    <row r="6" spans="2:16" s="96" customFormat="1" ht="36.75" customHeight="1" x14ac:dyDescent="0.3">
      <c r="B6" s="293" t="s">
        <v>179</v>
      </c>
      <c r="C6" s="294"/>
      <c r="D6" s="210">
        <f>'Cost Overview'!F12</f>
        <v>583896.55000000005</v>
      </c>
      <c r="E6" s="210">
        <f>'Cost Overview'!G12</f>
        <v>367515.14</v>
      </c>
      <c r="F6" s="210">
        <f>'Cost Overview'!H12</f>
        <v>13570</v>
      </c>
      <c r="G6" s="210">
        <f>'Cost Overview'!I12</f>
        <v>18375.759999999998</v>
      </c>
      <c r="H6" s="210">
        <f>'Cost Overview'!J12</f>
        <v>0</v>
      </c>
      <c r="I6" s="210">
        <f>'Cost Overview'!K12</f>
        <v>7400</v>
      </c>
      <c r="J6" s="210">
        <f>'Cost Overview'!L12</f>
        <v>40000</v>
      </c>
      <c r="K6" s="210">
        <f>SUM(E6,G6,H6,I6,J6)</f>
        <v>433290.9</v>
      </c>
      <c r="L6" s="210">
        <f>D6-K6</f>
        <v>150605.65000000002</v>
      </c>
      <c r="M6" s="211">
        <f>IF(D6=0,0,(D6-E6-H6-I6-G6-J6)/D6)</f>
        <v>0.25793207718045263</v>
      </c>
      <c r="N6" s="211">
        <f>IF(D6=0,0,(D6-E6/UTILIZACION-G6/UTILIZACION-H6/UTILIZACION-I6-J6)/D6)</f>
        <v>0.20818773186294187</v>
      </c>
      <c r="O6" s="31"/>
      <c r="P6" s="29"/>
    </row>
    <row r="7" spans="2:16" s="96" customFormat="1" ht="36.75" customHeight="1" x14ac:dyDescent="0.3">
      <c r="B7" s="295" t="s">
        <v>180</v>
      </c>
      <c r="C7" s="295"/>
      <c r="D7" s="217">
        <f>'Cost Overview'!F8</f>
        <v>583896.55000000005</v>
      </c>
      <c r="E7" s="217">
        <f>'Cost Overview'!G8</f>
        <v>367515.14</v>
      </c>
      <c r="F7" s="217">
        <f>'Cost Overview'!H8</f>
        <v>13570</v>
      </c>
      <c r="G7" s="217">
        <f>'Cost Overview'!I8</f>
        <v>18375.759999999998</v>
      </c>
      <c r="H7" s="217">
        <f>'Cost Overview'!J8</f>
        <v>0</v>
      </c>
      <c r="I7" s="217">
        <f>'Cost Overview'!K8</f>
        <v>7400</v>
      </c>
      <c r="J7" s="217">
        <f>'Cost Overview'!L8</f>
        <v>40000</v>
      </c>
      <c r="K7" s="217">
        <f>SUM(E7,G7,H7,I7,J7)</f>
        <v>433290.9</v>
      </c>
      <c r="L7" s="217">
        <f>D7-K7</f>
        <v>150605.65000000002</v>
      </c>
      <c r="M7" s="218">
        <f>IF(D7=0,0,(D7-E7-H7-I7-G7-J7)/D7)</f>
        <v>0.25793207718045263</v>
      </c>
      <c r="N7" s="218">
        <f>IF(D7=0,0,(D7-E7/UTILIZACION-G7/UTILIZACION-H7/UTILIZACION-I7-J7)/D7)</f>
        <v>0.20818773186294187</v>
      </c>
      <c r="O7" s="31"/>
      <c r="P7" s="29"/>
    </row>
    <row r="8" spans="2:16" s="96" customFormat="1" ht="36.75" customHeight="1" x14ac:dyDescent="0.3">
      <c r="B8" s="295" t="s">
        <v>181</v>
      </c>
      <c r="C8" s="295"/>
      <c r="D8" s="217">
        <f>D7</f>
        <v>583896.55000000005</v>
      </c>
      <c r="E8" s="217">
        <f>SUM('Cost Planning'!F40:BN41)</f>
        <v>324095.04999999993</v>
      </c>
      <c r="F8" s="217">
        <f>SUM('Cost Planning'!F9:BN9)</f>
        <v>11850</v>
      </c>
      <c r="G8" s="217">
        <f>SUM('Cost Planning'!G47:BN47)</f>
        <v>18375.759999999998</v>
      </c>
      <c r="H8" s="217">
        <f>SUM('Cost Planning'!G48:BN48)</f>
        <v>0</v>
      </c>
      <c r="I8" s="217">
        <f>SUM('Cost Planning'!F59:BN59)</f>
        <v>7400</v>
      </c>
      <c r="J8" s="217">
        <f>SUM('Cost Planning'!F74:BN74)</f>
        <v>40000</v>
      </c>
      <c r="K8" s="217">
        <f>SUM(E8,G8,H8,I8,J8)</f>
        <v>389870.80999999994</v>
      </c>
      <c r="L8" s="217">
        <f>D8-K8</f>
        <v>194025.74000000011</v>
      </c>
      <c r="M8" s="218">
        <f>IF(D8=0,0,(D8-E8-H8-I8-G8-J8)/D8)</f>
        <v>0.33229471898746465</v>
      </c>
      <c r="N8" s="218">
        <f>IF(D8=0,0,(D8-E8/UTILIZACION-G8/UTILIZACION-H8/UTILIZACION-I8-J8)/D8)</f>
        <v>0.28814756176295481</v>
      </c>
      <c r="O8" s="31"/>
      <c r="P8" s="29"/>
    </row>
    <row r="9" spans="2:16" ht="20.149999999999999" customHeight="1" x14ac:dyDescent="0.3">
      <c r="B9" s="296" t="s">
        <v>182</v>
      </c>
      <c r="C9" s="296"/>
      <c r="D9" s="219">
        <f>IF(AND(D8=0,D7=0),0,IF(D8=0,1,(D8-D7)/D8))</f>
        <v>0</v>
      </c>
      <c r="E9" s="219">
        <f>IF(AND(E8=0,E7=0),0,IF(E8=0,1,(E8-E7)/E8))</f>
        <v>-0.13397332048113691</v>
      </c>
      <c r="F9" s="219">
        <f>IF(AND(F8=0,F7=0),0,IF(F8=0,1,(F8-F7)/F8))</f>
        <v>-0.1451476793248945</v>
      </c>
      <c r="G9" s="219">
        <f>IF(AND(G8=0,G7=0),0,IF(G8=0,1,(G8-G7)/G8))</f>
        <v>0</v>
      </c>
      <c r="H9" s="219">
        <f>IF(AND(H8=0,H7=0),0,IF(H8=0,1,(H8-H7)/H8))</f>
        <v>0</v>
      </c>
      <c r="I9" s="219">
        <f>IF(AND(I8=0,I7=0),0,IF(I8=0,1,(I8-I7)/I8))</f>
        <v>0</v>
      </c>
      <c r="J9" s="219">
        <f>IF(AND(J8=0,J7=0),0,IF(J8=0,1,(J8-J7)/J8))</f>
        <v>0</v>
      </c>
      <c r="K9" s="219">
        <f>IF(AND(K8=0,K7=0),0,IF(K8=0,1,(K8-K7)/K8))</f>
        <v>-0.11137045628012031</v>
      </c>
      <c r="L9" s="219">
        <f>IF(AND(L8=0,L7=0),0,IF(L8=0,1,(L8-L7)/L8))</f>
        <v>0.22378520499393564</v>
      </c>
      <c r="M9" s="220">
        <f>M8-M7</f>
        <v>7.436264180701202E-2</v>
      </c>
      <c r="N9" s="241"/>
      <c r="O9" s="31"/>
      <c r="P9" s="31"/>
    </row>
    <row r="10" spans="2:16" ht="18" customHeight="1" x14ac:dyDescent="0.3">
      <c r="B10" s="221"/>
      <c r="C10" s="221"/>
      <c r="D10" s="222"/>
      <c r="E10" s="222"/>
      <c r="F10" s="222"/>
      <c r="G10" s="222"/>
      <c r="H10" s="222"/>
      <c r="I10" s="222"/>
      <c r="J10" s="222"/>
      <c r="K10" s="222"/>
      <c r="L10" s="222"/>
      <c r="M10" s="223"/>
      <c r="N10" s="221"/>
      <c r="O10" s="31"/>
      <c r="P10" s="31"/>
    </row>
    <row r="11" spans="2:16" s="96" customFormat="1" ht="36.75" customHeight="1" x14ac:dyDescent="0.3">
      <c r="B11" s="294" t="s">
        <v>183</v>
      </c>
      <c r="C11" s="294"/>
      <c r="D11" s="210">
        <f>SUMIF('Monthly View'!$E$4:$BL$4,"Real",'Monthly View'!$E$18:$BL$18)+'Project Infor'!C45</f>
        <v>0</v>
      </c>
      <c r="E11" s="210">
        <f>SUMIF('Monthly View'!$E$4:$BL$4,"Real",'Monthly View'!$E$20:$BL$20)+'Project Infor'!C47</f>
        <v>0</v>
      </c>
      <c r="F11" s="210">
        <f>SUMIF('Monthly View'!$E$4:$BL$4,"Real",'Monthly View'!$E$19:$BL$19)+'Project Infor'!C46</f>
        <v>0</v>
      </c>
      <c r="G11" s="210">
        <f>SUMIF('Monthly View'!$E$4:$BL$4,"Real",'Monthly View'!$E$21:$BL$21)</f>
        <v>0</v>
      </c>
      <c r="H11" s="210">
        <f>SUMIF('Monthly View'!$E$4:$BL$4,"Real",'Monthly View'!$E$22:$BL$22)</f>
        <v>0</v>
      </c>
      <c r="I11" s="210">
        <f>SUMIF('Monthly View'!$E$4:$BL$4,"Real",'Monthly View'!$E$23:$BL$23)+'Project Infor'!C48</f>
        <v>0</v>
      </c>
      <c r="J11" s="210">
        <f>SUMIF('Monthly View'!$E$4:$BL$4,"Real",'Monthly View'!$E$24:$BL$24)+'Project Infor'!C49</f>
        <v>0</v>
      </c>
      <c r="K11" s="210">
        <f>SUM(E11,G11,H11,I11,J11)</f>
        <v>0</v>
      </c>
      <c r="L11" s="210">
        <f>D11-K11</f>
        <v>0</v>
      </c>
      <c r="M11" s="211">
        <f>IF(D11=0,0,(D11-E11-H11-I11-G11-J11)/D11)</f>
        <v>0</v>
      </c>
      <c r="N11" s="209">
        <f>IF(D11=0,0,(D11-E11/UTILIZACION-G11/UTILIZACION-H11/UTILIZACION-I11-J11)/D11)</f>
        <v>0</v>
      </c>
      <c r="O11" s="31"/>
      <c r="P11" s="29"/>
    </row>
    <row r="12" spans="2:16" ht="20.149999999999999" customHeight="1" x14ac:dyDescent="0.3">
      <c r="B12" s="292" t="s">
        <v>184</v>
      </c>
      <c r="C12" s="292"/>
      <c r="D12" s="173">
        <f>IF(D8=0,0,D11/D8)</f>
        <v>0</v>
      </c>
      <c r="E12" s="173">
        <f>IF(E8=0,0,E11/E8)</f>
        <v>0</v>
      </c>
      <c r="F12" s="173">
        <f>IF(F8=0,0,F11/F8)</f>
        <v>0</v>
      </c>
      <c r="G12" s="173"/>
      <c r="H12" s="173"/>
      <c r="I12" s="173"/>
      <c r="J12" s="173"/>
      <c r="K12" s="173"/>
      <c r="L12" s="173"/>
      <c r="M12" s="174"/>
      <c r="N12" s="175"/>
      <c r="O12" s="31"/>
      <c r="P12" s="31"/>
    </row>
    <row r="17" spans="2:16" ht="20.149999999999999" customHeight="1" x14ac:dyDescent="0.3">
      <c r="B17" s="72" t="s">
        <v>185</v>
      </c>
      <c r="C17" s="72"/>
      <c r="D17" s="72"/>
      <c r="E17" s="31"/>
      <c r="F17" s="31"/>
      <c r="G17" s="31"/>
      <c r="H17" s="31"/>
      <c r="I17" s="31"/>
      <c r="J17" s="31"/>
      <c r="K17" s="31"/>
      <c r="L17" s="31"/>
      <c r="M17" s="31"/>
      <c r="N17" s="31"/>
      <c r="O17" s="31"/>
      <c r="P17" s="31"/>
    </row>
    <row r="18" spans="2:16" ht="285.75" customHeight="1" x14ac:dyDescent="0.3">
      <c r="B18" s="289" t="s">
        <v>306</v>
      </c>
      <c r="C18" s="290"/>
      <c r="D18" s="290"/>
      <c r="E18" s="290"/>
      <c r="F18" s="290"/>
      <c r="G18" s="290"/>
      <c r="H18" s="290"/>
      <c r="I18" s="290"/>
      <c r="J18" s="291"/>
      <c r="K18" s="31"/>
      <c r="L18" s="31"/>
      <c r="M18" s="31"/>
      <c r="N18" s="31"/>
      <c r="O18" s="31"/>
      <c r="P18" s="31"/>
    </row>
  </sheetData>
  <mergeCells count="7">
    <mergeCell ref="B18:J18"/>
    <mergeCell ref="B12:C12"/>
    <mergeCell ref="B6:C6"/>
    <mergeCell ref="B7:C7"/>
    <mergeCell ref="B8:C8"/>
    <mergeCell ref="B11:C11"/>
    <mergeCell ref="B9:C9"/>
  </mergeCells>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topLeftCell="A17" zoomScale="85" zoomScaleNormal="85" workbookViewId="0">
      <selection activeCell="B18" sqref="B18"/>
    </sheetView>
  </sheetViews>
  <sheetFormatPr baseColWidth="10" defaultColWidth="11.453125" defaultRowHeight="13.5" x14ac:dyDescent="0.25"/>
  <cols>
    <col min="1" max="1" width="3.26953125" style="100" customWidth="1"/>
    <col min="2" max="2" width="195.7265625" style="100" customWidth="1"/>
    <col min="3" max="16384" width="11.453125" style="100"/>
  </cols>
  <sheetData>
    <row r="1" spans="2:4" ht="19.5" customHeight="1" x14ac:dyDescent="0.25"/>
    <row r="2" spans="2:4" ht="27.75" customHeight="1" x14ac:dyDescent="0.25">
      <c r="B2" s="310" t="s">
        <v>186</v>
      </c>
      <c r="C2" s="310"/>
      <c r="D2" s="310"/>
    </row>
    <row r="3" spans="2:4" ht="19.5" customHeight="1" x14ac:dyDescent="0.25"/>
    <row r="4" spans="2:4" ht="24" customHeight="1" x14ac:dyDescent="0.25">
      <c r="B4" s="182" t="s">
        <v>187</v>
      </c>
    </row>
    <row r="5" spans="2:4" ht="24" customHeight="1" x14ac:dyDescent="0.25">
      <c r="B5" s="183" t="s">
        <v>188</v>
      </c>
    </row>
    <row r="6" spans="2:4" ht="24" customHeight="1" x14ac:dyDescent="0.25">
      <c r="B6" s="183" t="s">
        <v>189</v>
      </c>
    </row>
    <row r="7" spans="2:4" ht="45" customHeight="1" x14ac:dyDescent="0.25">
      <c r="B7" s="183" t="s">
        <v>190</v>
      </c>
    </row>
    <row r="8" spans="2:4" ht="30" customHeight="1" x14ac:dyDescent="0.25">
      <c r="B8" s="183" t="s">
        <v>191</v>
      </c>
    </row>
    <row r="9" spans="2:4" ht="25" customHeight="1" x14ac:dyDescent="0.25">
      <c r="B9" s="183" t="s">
        <v>192</v>
      </c>
    </row>
    <row r="10" spans="2:4" ht="24" customHeight="1" x14ac:dyDescent="0.25">
      <c r="B10" s="184"/>
    </row>
    <row r="11" spans="2:4" ht="24" customHeight="1" x14ac:dyDescent="0.25">
      <c r="B11" s="182" t="s">
        <v>193</v>
      </c>
    </row>
    <row r="12" spans="2:4" ht="24" customHeight="1" x14ac:dyDescent="0.25">
      <c r="B12" s="183" t="s">
        <v>194</v>
      </c>
    </row>
    <row r="13" spans="2:4" ht="24" customHeight="1" x14ac:dyDescent="0.25">
      <c r="B13" s="183" t="s">
        <v>195</v>
      </c>
    </row>
    <row r="14" spans="2:4" ht="54" customHeight="1" x14ac:dyDescent="0.25">
      <c r="B14" s="183" t="s">
        <v>196</v>
      </c>
    </row>
    <row r="15" spans="2:4" ht="54" customHeight="1" x14ac:dyDescent="0.25">
      <c r="B15" s="183" t="s">
        <v>197</v>
      </c>
    </row>
    <row r="16" spans="2:4" ht="34.5" customHeight="1" x14ac:dyDescent="0.25">
      <c r="B16" s="183" t="s">
        <v>198</v>
      </c>
    </row>
    <row r="17" spans="2:2" ht="54.75" customHeight="1" x14ac:dyDescent="0.25">
      <c r="B17" s="183" t="s">
        <v>199</v>
      </c>
    </row>
    <row r="18" spans="2:2" ht="51.75" customHeight="1" x14ac:dyDescent="0.25">
      <c r="B18" s="183" t="s">
        <v>200</v>
      </c>
    </row>
    <row r="19" spans="2:2" ht="24" customHeight="1" x14ac:dyDescent="0.25"/>
    <row r="20" spans="2:2" ht="24" customHeight="1" x14ac:dyDescent="0.25">
      <c r="B20" s="182" t="s">
        <v>201</v>
      </c>
    </row>
    <row r="21" spans="2:2" ht="24" customHeight="1" x14ac:dyDescent="0.25">
      <c r="B21" s="183" t="s">
        <v>202</v>
      </c>
    </row>
    <row r="22" spans="2:2" ht="24" customHeight="1" x14ac:dyDescent="0.25">
      <c r="B22" s="183" t="s">
        <v>203</v>
      </c>
    </row>
    <row r="23" spans="2:2" ht="36" customHeight="1" x14ac:dyDescent="0.25">
      <c r="B23" s="183" t="s">
        <v>204</v>
      </c>
    </row>
    <row r="24" spans="2:2" ht="125.25" customHeight="1" x14ac:dyDescent="0.25">
      <c r="B24" s="183" t="s">
        <v>205</v>
      </c>
    </row>
    <row r="25" spans="2:2" ht="42.75" customHeight="1" x14ac:dyDescent="0.25">
      <c r="B25" s="183" t="s">
        <v>206</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55" zoomScaleNormal="55" workbookViewId="0">
      <selection activeCell="B8" sqref="B8:I22"/>
    </sheetView>
  </sheetViews>
  <sheetFormatPr baseColWidth="10" defaultColWidth="9.1796875" defaultRowHeight="13.5" x14ac:dyDescent="0.3"/>
  <cols>
    <col min="1" max="1" width="2.1796875" style="256" customWidth="1"/>
    <col min="2" max="2" width="20.453125" style="256" customWidth="1"/>
    <col min="3" max="3" width="25.26953125" style="256" customWidth="1"/>
    <col min="4" max="4" width="23.7265625" style="256" customWidth="1"/>
    <col min="5" max="5" width="71.453125" style="256" customWidth="1"/>
    <col min="6" max="6" width="20.7265625" style="256" customWidth="1"/>
    <col min="7" max="7" width="10.7265625" style="256" customWidth="1"/>
    <col min="8" max="8" width="20.81640625" style="256" customWidth="1"/>
    <col min="9" max="9" width="24.1796875" style="256" customWidth="1"/>
    <col min="10" max="11" width="28.453125" style="256" customWidth="1"/>
    <col min="12" max="12" width="28" style="256" customWidth="1"/>
    <col min="13" max="13" width="16.7265625" style="256" customWidth="1"/>
    <col min="14" max="14" width="33.81640625" style="256" customWidth="1"/>
    <col min="15" max="15" width="28.81640625" style="256" bestFit="1" customWidth="1"/>
    <col min="16" max="16" width="11.7265625" style="256" customWidth="1"/>
    <col min="17" max="17" width="3.453125" style="256" customWidth="1"/>
    <col min="18" max="18" width="9.1796875" style="256" customWidth="1"/>
    <col min="19" max="19" width="14.26953125" style="256" customWidth="1"/>
    <col min="20" max="20" width="11.81640625" style="256" customWidth="1"/>
    <col min="21" max="23" width="9.1796875" style="256" customWidth="1"/>
    <col min="24" max="16384" width="9.1796875" style="256"/>
  </cols>
  <sheetData>
    <row r="2" spans="2:24" ht="21" customHeight="1" x14ac:dyDescent="0.3">
      <c r="B2" s="257" t="s">
        <v>5</v>
      </c>
      <c r="C2" s="258" t="str">
        <f>'Project Infor'!C10</f>
        <v>ZEV-PCE0012-1001</v>
      </c>
      <c r="D2" s="257" t="str">
        <f>'Project Infor'!C11</f>
        <v>Smart Airport en la nueva terminal de Puerto Vallarta</v>
      </c>
      <c r="E2" s="259"/>
      <c r="F2" s="259"/>
      <c r="G2" s="259"/>
      <c r="H2" s="259"/>
    </row>
    <row r="3" spans="2:24" ht="9" customHeight="1" x14ac:dyDescent="0.3">
      <c r="D3" s="260"/>
      <c r="E3" s="260"/>
      <c r="F3" s="260"/>
      <c r="G3" s="260"/>
    </row>
    <row r="4" spans="2:24" ht="15" customHeight="1" thickBot="1" x14ac:dyDescent="0.35">
      <c r="D4" s="261"/>
      <c r="E4" s="262"/>
      <c r="F4" s="263"/>
      <c r="G4" s="263"/>
      <c r="H4" s="263"/>
      <c r="I4" s="263"/>
      <c r="J4" s="263"/>
      <c r="K4" s="263"/>
      <c r="N4" s="263"/>
      <c r="O4" s="263"/>
      <c r="P4" s="263"/>
      <c r="Q4" s="263"/>
    </row>
    <row r="5" spans="2:24" ht="37" customHeight="1" thickBot="1" x14ac:dyDescent="0.35">
      <c r="B5" s="264" t="s">
        <v>207</v>
      </c>
      <c r="C5" s="264"/>
      <c r="D5" s="264"/>
      <c r="E5" s="265">
        <f>'Cost Overview'!F8</f>
        <v>583896.55000000005</v>
      </c>
      <c r="F5" s="312" t="s">
        <v>208</v>
      </c>
      <c r="G5" s="312"/>
      <c r="H5" s="312"/>
      <c r="I5" s="312"/>
      <c r="J5" s="266">
        <f>E5-F41</f>
        <v>583896.55000000005</v>
      </c>
      <c r="K5" s="266"/>
      <c r="N5" s="267"/>
      <c r="O5" s="267"/>
      <c r="P5" s="267"/>
      <c r="Q5" s="263"/>
    </row>
    <row r="6" spans="2:24" ht="20.149999999999999" customHeight="1" x14ac:dyDescent="0.3">
      <c r="D6" s="261"/>
      <c r="E6" s="263"/>
      <c r="F6" s="263"/>
      <c r="G6" s="263"/>
      <c r="H6" s="263"/>
      <c r="I6" s="263"/>
      <c r="J6" s="263"/>
      <c r="K6" s="263"/>
      <c r="L6" s="261"/>
      <c r="M6" s="263"/>
      <c r="N6" s="263"/>
      <c r="O6" s="263"/>
      <c r="P6" s="263"/>
      <c r="Q6" s="263"/>
    </row>
    <row r="7" spans="2:24" s="268" customFormat="1" ht="31.5" customHeight="1" x14ac:dyDescent="0.3">
      <c r="B7" s="252" t="s">
        <v>209</v>
      </c>
      <c r="C7" s="252" t="s">
        <v>210</v>
      </c>
      <c r="D7" s="252" t="s">
        <v>211</v>
      </c>
      <c r="E7" s="252" t="s">
        <v>212</v>
      </c>
      <c r="F7" s="253" t="s">
        <v>213</v>
      </c>
      <c r="G7" s="253" t="s">
        <v>214</v>
      </c>
      <c r="H7" s="252" t="s">
        <v>215</v>
      </c>
      <c r="I7" s="252" t="s">
        <v>216</v>
      </c>
      <c r="J7" s="252" t="s">
        <v>217</v>
      </c>
      <c r="K7" s="252" t="s">
        <v>218</v>
      </c>
      <c r="L7" s="252" t="s">
        <v>219</v>
      </c>
      <c r="M7" s="253" t="s">
        <v>220</v>
      </c>
      <c r="N7" s="253" t="s">
        <v>221</v>
      </c>
      <c r="O7" s="253" t="s">
        <v>222</v>
      </c>
      <c r="P7" s="253" t="s">
        <v>223</v>
      </c>
      <c r="Q7" s="263"/>
      <c r="R7" s="256"/>
      <c r="S7" s="256"/>
      <c r="T7" s="256"/>
      <c r="U7" s="256"/>
      <c r="V7" s="256"/>
      <c r="W7" s="256"/>
      <c r="X7" s="256"/>
    </row>
    <row r="8" spans="2:24" s="269" customFormat="1" ht="20.149999999999999" customHeight="1" x14ac:dyDescent="0.3">
      <c r="B8" s="207"/>
      <c r="C8" s="234"/>
      <c r="D8" s="4" t="str">
        <f t="shared" ref="D8:D40" si="0">IF(C8=0," ","Z2")</f>
        <v xml:space="preserve"> </v>
      </c>
      <c r="E8" s="4"/>
      <c r="F8" s="5"/>
      <c r="G8" s="5"/>
      <c r="H8" s="15"/>
      <c r="I8" s="5" t="str">
        <f>IF(F8=0," ",F8+F8*H8)</f>
        <v xml:space="preserve"> </v>
      </c>
      <c r="J8" s="16"/>
      <c r="K8" s="16"/>
      <c r="L8" s="5"/>
      <c r="M8" s="62"/>
      <c r="N8" s="5"/>
      <c r="O8" s="5"/>
      <c r="P8" s="5"/>
      <c r="Q8" s="263"/>
      <c r="R8" s="256"/>
      <c r="S8" s="256"/>
      <c r="T8" s="256"/>
      <c r="U8" s="256"/>
      <c r="V8" s="256"/>
      <c r="W8" s="256"/>
      <c r="X8" s="256"/>
    </row>
    <row r="9" spans="2:24" s="269" customFormat="1" ht="20.149999999999999" customHeight="1" x14ac:dyDescent="0.3">
      <c r="B9" s="207"/>
      <c r="C9" s="62"/>
      <c r="D9" s="4" t="str">
        <f t="shared" si="0"/>
        <v xml:space="preserve"> </v>
      </c>
      <c r="E9" s="4"/>
      <c r="F9" s="5"/>
      <c r="G9" s="5"/>
      <c r="H9" s="15"/>
      <c r="I9" s="5" t="str">
        <f t="shared" ref="I9:I40" si="1">IF(F9=0," ",F9+F9*H9)</f>
        <v xml:space="preserve"> </v>
      </c>
      <c r="J9" s="16"/>
      <c r="K9" s="16"/>
      <c r="L9" s="5"/>
      <c r="M9" s="62"/>
      <c r="N9" s="5"/>
      <c r="O9" s="5"/>
      <c r="P9" s="5"/>
      <c r="Q9" s="263"/>
      <c r="R9" s="256"/>
      <c r="S9" s="256"/>
      <c r="T9" s="256"/>
      <c r="U9" s="256"/>
      <c r="V9" s="256"/>
      <c r="W9" s="256"/>
      <c r="X9" s="256"/>
    </row>
    <row r="10" spans="2:24" s="269" customFormat="1" ht="20.149999999999999" customHeight="1" x14ac:dyDescent="0.3">
      <c r="B10" s="207"/>
      <c r="C10" s="62"/>
      <c r="D10" s="4" t="str">
        <f t="shared" si="0"/>
        <v xml:space="preserve"> </v>
      </c>
      <c r="E10" s="4"/>
      <c r="F10" s="5"/>
      <c r="G10" s="5"/>
      <c r="H10" s="15"/>
      <c r="I10" s="5" t="str">
        <f t="shared" si="1"/>
        <v xml:space="preserve"> </v>
      </c>
      <c r="J10" s="16"/>
      <c r="K10" s="16"/>
      <c r="L10" s="5"/>
      <c r="M10" s="62"/>
      <c r="N10" s="5"/>
      <c r="O10" s="5"/>
      <c r="P10" s="5"/>
      <c r="Q10" s="263"/>
      <c r="R10" s="256"/>
      <c r="S10" s="256"/>
      <c r="T10" s="256"/>
      <c r="U10" s="256"/>
      <c r="V10" s="256"/>
      <c r="W10" s="256"/>
      <c r="X10" s="256"/>
    </row>
    <row r="11" spans="2:24" s="269" customFormat="1" ht="20.149999999999999" customHeight="1" x14ac:dyDescent="0.3">
      <c r="B11" s="207"/>
      <c r="C11" s="62"/>
      <c r="D11" s="4" t="str">
        <f t="shared" si="0"/>
        <v xml:space="preserve"> </v>
      </c>
      <c r="E11" s="4"/>
      <c r="F11" s="5"/>
      <c r="G11" s="5"/>
      <c r="H11" s="15"/>
      <c r="I11" s="5" t="str">
        <f t="shared" si="1"/>
        <v xml:space="preserve"> </v>
      </c>
      <c r="J11" s="16"/>
      <c r="K11" s="16"/>
      <c r="L11" s="5"/>
      <c r="M11" s="62"/>
      <c r="N11" s="5"/>
      <c r="O11" s="5"/>
      <c r="P11" s="5"/>
      <c r="Q11" s="263"/>
      <c r="R11" s="256"/>
      <c r="S11" s="256"/>
      <c r="T11" s="256"/>
      <c r="U11" s="256"/>
      <c r="V11" s="256"/>
      <c r="W11" s="256"/>
      <c r="X11" s="256"/>
    </row>
    <row r="12" spans="2:24" s="269" customFormat="1" ht="20.149999999999999" customHeight="1" x14ac:dyDescent="0.3">
      <c r="B12" s="207"/>
      <c r="C12" s="62"/>
      <c r="D12" s="4" t="str">
        <f t="shared" si="0"/>
        <v xml:space="preserve"> </v>
      </c>
      <c r="E12" s="4"/>
      <c r="F12" s="5"/>
      <c r="G12" s="5"/>
      <c r="H12" s="15"/>
      <c r="I12" s="5" t="str">
        <f t="shared" si="1"/>
        <v xml:space="preserve"> </v>
      </c>
      <c r="J12" s="16"/>
      <c r="K12" s="16"/>
      <c r="L12" s="5"/>
      <c r="M12" s="62"/>
      <c r="N12" s="5"/>
      <c r="O12" s="5"/>
      <c r="P12" s="5"/>
      <c r="Q12" s="263"/>
      <c r="R12" s="256"/>
      <c r="S12" s="256"/>
      <c r="T12" s="256"/>
      <c r="U12" s="256"/>
      <c r="V12" s="256"/>
      <c r="W12" s="256"/>
      <c r="X12" s="256"/>
    </row>
    <row r="13" spans="2:24" s="269" customFormat="1" ht="20.149999999999999" customHeight="1" x14ac:dyDescent="0.3">
      <c r="B13" s="207"/>
      <c r="C13" s="62"/>
      <c r="D13" s="4" t="str">
        <f t="shared" si="0"/>
        <v xml:space="preserve"> </v>
      </c>
      <c r="E13" s="4"/>
      <c r="F13" s="5"/>
      <c r="G13" s="5"/>
      <c r="H13" s="15"/>
      <c r="I13" s="5" t="str">
        <f t="shared" si="1"/>
        <v xml:space="preserve"> </v>
      </c>
      <c r="J13" s="16"/>
      <c r="K13" s="16"/>
      <c r="L13" s="5"/>
      <c r="M13" s="62"/>
      <c r="N13" s="5"/>
      <c r="O13" s="5"/>
      <c r="P13" s="5"/>
      <c r="Q13" s="263"/>
      <c r="R13" s="256"/>
      <c r="S13" s="256"/>
      <c r="T13" s="256"/>
      <c r="U13" s="256"/>
      <c r="V13" s="256"/>
      <c r="W13" s="256"/>
      <c r="X13" s="256"/>
    </row>
    <row r="14" spans="2:24" s="269" customFormat="1" ht="20.149999999999999" customHeight="1" x14ac:dyDescent="0.3">
      <c r="B14" s="207"/>
      <c r="C14" s="62"/>
      <c r="D14" s="4" t="str">
        <f t="shared" si="0"/>
        <v xml:space="preserve"> </v>
      </c>
      <c r="E14" s="4"/>
      <c r="F14" s="5"/>
      <c r="G14" s="5"/>
      <c r="H14" s="15"/>
      <c r="I14" s="5" t="str">
        <f t="shared" si="1"/>
        <v xml:space="preserve"> </v>
      </c>
      <c r="J14" s="16"/>
      <c r="K14" s="16"/>
      <c r="L14" s="5"/>
      <c r="M14" s="62"/>
      <c r="N14" s="5"/>
      <c r="O14" s="5"/>
      <c r="P14" s="5"/>
      <c r="Q14" s="263"/>
      <c r="R14" s="256"/>
      <c r="S14" s="256"/>
      <c r="T14" s="256"/>
      <c r="U14" s="256"/>
      <c r="V14" s="256"/>
      <c r="W14" s="256"/>
      <c r="X14" s="256"/>
    </row>
    <row r="15" spans="2:24" s="269" customFormat="1" ht="20.149999999999999" customHeight="1" x14ac:dyDescent="0.3">
      <c r="B15" s="207"/>
      <c r="C15" s="62"/>
      <c r="D15" s="4" t="str">
        <f t="shared" si="0"/>
        <v xml:space="preserve"> </v>
      </c>
      <c r="E15" s="4"/>
      <c r="F15" s="5"/>
      <c r="G15" s="5"/>
      <c r="H15" s="15"/>
      <c r="I15" s="5" t="str">
        <f t="shared" si="1"/>
        <v xml:space="preserve"> </v>
      </c>
      <c r="J15" s="16"/>
      <c r="K15" s="16"/>
      <c r="L15" s="5"/>
      <c r="M15" s="62"/>
      <c r="N15" s="5"/>
      <c r="O15" s="5"/>
      <c r="P15" s="5"/>
      <c r="Q15" s="263"/>
      <c r="R15" s="256"/>
      <c r="S15" s="256"/>
      <c r="T15" s="256"/>
      <c r="U15" s="256"/>
      <c r="V15" s="256"/>
      <c r="W15" s="256"/>
      <c r="X15" s="256"/>
    </row>
    <row r="16" spans="2:24" s="269" customFormat="1" ht="20.149999999999999" customHeight="1" x14ac:dyDescent="0.3">
      <c r="B16" s="207"/>
      <c r="C16" s="62"/>
      <c r="D16" s="4" t="str">
        <f t="shared" si="0"/>
        <v xml:space="preserve"> </v>
      </c>
      <c r="E16" s="4"/>
      <c r="F16" s="5"/>
      <c r="G16" s="5"/>
      <c r="H16" s="15"/>
      <c r="I16" s="5" t="str">
        <f t="shared" si="1"/>
        <v xml:space="preserve"> </v>
      </c>
      <c r="J16" s="16"/>
      <c r="K16" s="16"/>
      <c r="L16" s="5"/>
      <c r="M16" s="62"/>
      <c r="N16" s="5"/>
      <c r="O16" s="5"/>
      <c r="P16" s="5"/>
      <c r="Q16" s="263"/>
      <c r="R16" s="256"/>
      <c r="S16" s="256"/>
      <c r="T16" s="256"/>
      <c r="U16" s="256"/>
      <c r="V16" s="256"/>
      <c r="W16" s="256"/>
      <c r="X16" s="256"/>
    </row>
    <row r="17" spans="2:24" s="269" customFormat="1" ht="20.149999999999999" customHeight="1" x14ac:dyDescent="0.3">
      <c r="B17" s="207"/>
      <c r="C17" s="62"/>
      <c r="D17" s="4" t="str">
        <f t="shared" si="0"/>
        <v xml:space="preserve"> </v>
      </c>
      <c r="E17" s="4"/>
      <c r="F17" s="5"/>
      <c r="G17" s="5"/>
      <c r="H17" s="15"/>
      <c r="I17" s="5" t="str">
        <f t="shared" si="1"/>
        <v xml:space="preserve"> </v>
      </c>
      <c r="J17" s="16"/>
      <c r="K17" s="16"/>
      <c r="L17" s="5"/>
      <c r="M17" s="62"/>
      <c r="N17" s="5"/>
      <c r="O17" s="5"/>
      <c r="P17" s="5"/>
      <c r="Q17" s="263"/>
      <c r="R17" s="256"/>
      <c r="S17" s="256"/>
      <c r="T17" s="256"/>
      <c r="U17" s="256"/>
      <c r="V17" s="256"/>
      <c r="W17" s="256"/>
      <c r="X17" s="256"/>
    </row>
    <row r="18" spans="2:24" s="269" customFormat="1" ht="20.149999999999999" customHeight="1" x14ac:dyDescent="0.3">
      <c r="B18" s="207"/>
      <c r="C18" s="62"/>
      <c r="D18" s="4" t="str">
        <f t="shared" si="0"/>
        <v xml:space="preserve"> </v>
      </c>
      <c r="E18" s="4"/>
      <c r="F18" s="5"/>
      <c r="G18" s="5"/>
      <c r="H18" s="15"/>
      <c r="I18" s="5" t="str">
        <f t="shared" si="1"/>
        <v xml:space="preserve"> </v>
      </c>
      <c r="J18" s="16"/>
      <c r="K18" s="16"/>
      <c r="L18" s="5"/>
      <c r="M18" s="62"/>
      <c r="N18" s="5"/>
      <c r="O18" s="5"/>
      <c r="P18" s="5"/>
      <c r="Q18" s="263"/>
      <c r="R18" s="256"/>
      <c r="S18" s="256"/>
      <c r="T18" s="256"/>
      <c r="U18" s="256"/>
      <c r="V18" s="256"/>
      <c r="W18" s="256"/>
      <c r="X18" s="256"/>
    </row>
    <row r="19" spans="2:24" s="269" customFormat="1" ht="20.149999999999999" customHeight="1" x14ac:dyDescent="0.3">
      <c r="B19" s="207"/>
      <c r="C19" s="62"/>
      <c r="D19" s="4" t="str">
        <f t="shared" si="0"/>
        <v xml:space="preserve"> </v>
      </c>
      <c r="E19" s="4"/>
      <c r="F19" s="5"/>
      <c r="G19" s="5"/>
      <c r="H19" s="15"/>
      <c r="I19" s="5" t="str">
        <f t="shared" si="1"/>
        <v xml:space="preserve"> </v>
      </c>
      <c r="J19" s="16"/>
      <c r="K19" s="16"/>
      <c r="L19" s="5"/>
      <c r="M19" s="62"/>
      <c r="N19" s="5"/>
      <c r="O19" s="5"/>
      <c r="P19" s="5"/>
      <c r="Q19" s="263"/>
      <c r="R19" s="256"/>
      <c r="S19" s="256"/>
      <c r="T19" s="256"/>
      <c r="U19" s="256"/>
      <c r="V19" s="256"/>
      <c r="W19" s="256"/>
      <c r="X19" s="256"/>
    </row>
    <row r="20" spans="2:24" s="269" customFormat="1" ht="20.149999999999999" customHeight="1" x14ac:dyDescent="0.3">
      <c r="B20" s="207"/>
      <c r="C20" s="62"/>
      <c r="D20" s="4" t="str">
        <f t="shared" si="0"/>
        <v xml:space="preserve"> </v>
      </c>
      <c r="E20" s="4"/>
      <c r="F20" s="5"/>
      <c r="G20" s="5"/>
      <c r="H20" s="15"/>
      <c r="I20" s="5" t="str">
        <f t="shared" si="1"/>
        <v xml:space="preserve"> </v>
      </c>
      <c r="J20" s="16"/>
      <c r="K20" s="16"/>
      <c r="L20" s="5"/>
      <c r="M20" s="62"/>
      <c r="N20" s="5"/>
      <c r="O20" s="5"/>
      <c r="P20" s="5"/>
      <c r="Q20" s="263"/>
      <c r="R20" s="256"/>
      <c r="S20" s="256"/>
      <c r="T20" s="256"/>
      <c r="U20" s="256"/>
      <c r="V20" s="256"/>
      <c r="W20" s="256"/>
      <c r="X20" s="256"/>
    </row>
    <row r="21" spans="2:24" s="269" customFormat="1" ht="20.149999999999999" customHeight="1" x14ac:dyDescent="0.3">
      <c r="B21" s="208"/>
      <c r="C21" s="202"/>
      <c r="D21" s="203" t="str">
        <f t="shared" si="0"/>
        <v xml:space="preserve"> </v>
      </c>
      <c r="E21" s="203"/>
      <c r="F21" s="204"/>
      <c r="G21" s="204"/>
      <c r="H21" s="205"/>
      <c r="I21" s="204" t="str">
        <f t="shared" si="1"/>
        <v xml:space="preserve"> </v>
      </c>
      <c r="J21" s="206"/>
      <c r="K21" s="206"/>
      <c r="L21" s="204"/>
      <c r="M21" s="202"/>
      <c r="N21" s="204"/>
      <c r="O21" s="204"/>
      <c r="P21" s="204"/>
      <c r="Q21" s="263"/>
      <c r="R21" s="256"/>
      <c r="S21" s="256"/>
      <c r="T21" s="256"/>
      <c r="U21" s="256"/>
      <c r="V21" s="256"/>
      <c r="W21" s="256"/>
      <c r="X21" s="256"/>
    </row>
    <row r="22" spans="2:24" s="269" customFormat="1" ht="20.149999999999999" customHeight="1" x14ac:dyDescent="0.3">
      <c r="B22" s="207"/>
      <c r="C22" s="62"/>
      <c r="D22" s="4" t="str">
        <f t="shared" si="0"/>
        <v xml:space="preserve"> </v>
      </c>
      <c r="E22" s="4"/>
      <c r="F22" s="5"/>
      <c r="G22" s="5"/>
      <c r="H22" s="15"/>
      <c r="I22" s="5" t="str">
        <f t="shared" si="1"/>
        <v xml:space="preserve"> </v>
      </c>
      <c r="J22" s="16"/>
      <c r="K22" s="16"/>
      <c r="L22" s="5"/>
      <c r="M22" s="62"/>
      <c r="N22" s="5"/>
      <c r="O22" s="5"/>
      <c r="P22" s="5"/>
      <c r="Q22" s="263"/>
      <c r="R22" s="256"/>
      <c r="S22" s="256"/>
      <c r="T22" s="256"/>
      <c r="U22" s="256"/>
      <c r="V22" s="256"/>
      <c r="W22" s="256"/>
      <c r="X22" s="256"/>
    </row>
    <row r="23" spans="2:24" s="269" customFormat="1" ht="20.149999999999999" customHeight="1" x14ac:dyDescent="0.3">
      <c r="B23" s="207"/>
      <c r="C23" s="62"/>
      <c r="D23" s="4" t="str">
        <f t="shared" si="0"/>
        <v xml:space="preserve"> </v>
      </c>
      <c r="E23" s="4"/>
      <c r="F23" s="5"/>
      <c r="G23" s="5"/>
      <c r="H23" s="15"/>
      <c r="I23" s="5" t="str">
        <f t="shared" si="1"/>
        <v xml:space="preserve"> </v>
      </c>
      <c r="J23" s="16"/>
      <c r="K23" s="16"/>
      <c r="L23" s="5"/>
      <c r="M23" s="62"/>
      <c r="N23" s="5"/>
      <c r="O23" s="5"/>
      <c r="P23" s="5"/>
      <c r="Q23" s="263"/>
      <c r="R23" s="256"/>
      <c r="S23" s="256"/>
      <c r="T23" s="256"/>
      <c r="U23" s="256"/>
      <c r="V23" s="256"/>
      <c r="W23" s="256"/>
      <c r="X23" s="256"/>
    </row>
    <row r="24" spans="2:24" s="269" customFormat="1" ht="20.149999999999999" customHeight="1" x14ac:dyDescent="0.3">
      <c r="B24" s="207"/>
      <c r="C24" s="62"/>
      <c r="D24" s="4" t="str">
        <f t="shared" si="0"/>
        <v xml:space="preserve"> </v>
      </c>
      <c r="E24" s="4"/>
      <c r="F24" s="5"/>
      <c r="G24" s="5"/>
      <c r="H24" s="15"/>
      <c r="I24" s="5" t="str">
        <f t="shared" si="1"/>
        <v xml:space="preserve"> </v>
      </c>
      <c r="J24" s="16"/>
      <c r="K24" s="16"/>
      <c r="L24" s="5"/>
      <c r="M24" s="62"/>
      <c r="N24" s="5"/>
      <c r="O24" s="5"/>
      <c r="P24" s="5"/>
      <c r="Q24" s="263"/>
      <c r="R24" s="256"/>
      <c r="S24" s="256"/>
      <c r="T24" s="256"/>
      <c r="U24" s="256"/>
      <c r="V24" s="256"/>
      <c r="W24" s="256"/>
      <c r="X24" s="256"/>
    </row>
    <row r="25" spans="2:24" s="269" customFormat="1" ht="20.149999999999999" customHeight="1" x14ac:dyDescent="0.3">
      <c r="B25" s="207"/>
      <c r="C25" s="62"/>
      <c r="D25" s="4" t="str">
        <f t="shared" si="0"/>
        <v xml:space="preserve"> </v>
      </c>
      <c r="E25" s="4"/>
      <c r="F25" s="5"/>
      <c r="G25" s="5"/>
      <c r="H25" s="15"/>
      <c r="I25" s="5" t="str">
        <f t="shared" si="1"/>
        <v xml:space="preserve"> </v>
      </c>
      <c r="J25" s="16"/>
      <c r="K25" s="16"/>
      <c r="L25" s="5"/>
      <c r="M25" s="62"/>
      <c r="N25" s="5"/>
      <c r="O25" s="5"/>
      <c r="P25" s="5"/>
      <c r="Q25" s="263"/>
      <c r="R25" s="256"/>
      <c r="S25" s="256"/>
      <c r="T25" s="256"/>
      <c r="U25" s="256"/>
      <c r="V25" s="256"/>
      <c r="W25" s="256"/>
      <c r="X25" s="256"/>
    </row>
    <row r="26" spans="2:24" s="269" customFormat="1" ht="20.149999999999999" customHeight="1" x14ac:dyDescent="0.3">
      <c r="B26" s="207"/>
      <c r="C26" s="62"/>
      <c r="D26" s="4" t="str">
        <f t="shared" si="0"/>
        <v xml:space="preserve"> </v>
      </c>
      <c r="E26" s="4"/>
      <c r="F26" s="5"/>
      <c r="G26" s="5"/>
      <c r="H26" s="15"/>
      <c r="I26" s="5" t="str">
        <f t="shared" si="1"/>
        <v xml:space="preserve"> </v>
      </c>
      <c r="J26" s="16"/>
      <c r="K26" s="16"/>
      <c r="L26" s="5"/>
      <c r="M26" s="62"/>
      <c r="N26" s="5"/>
      <c r="O26" s="5"/>
      <c r="P26" s="5"/>
      <c r="Q26" s="263"/>
      <c r="R26" s="256"/>
      <c r="S26" s="256"/>
      <c r="T26" s="256"/>
      <c r="U26" s="256"/>
      <c r="V26" s="256"/>
      <c r="W26" s="256"/>
      <c r="X26" s="256"/>
    </row>
    <row r="27" spans="2:24" s="269" customFormat="1" ht="20.149999999999999" customHeight="1" x14ac:dyDescent="0.3">
      <c r="B27" s="207"/>
      <c r="C27" s="62"/>
      <c r="D27" s="4" t="str">
        <f t="shared" si="0"/>
        <v xml:space="preserve"> </v>
      </c>
      <c r="E27" s="4"/>
      <c r="F27" s="5"/>
      <c r="G27" s="5"/>
      <c r="H27" s="15"/>
      <c r="I27" s="5" t="str">
        <f t="shared" si="1"/>
        <v xml:space="preserve"> </v>
      </c>
      <c r="J27" s="16"/>
      <c r="K27" s="16"/>
      <c r="L27" s="5"/>
      <c r="M27" s="62"/>
      <c r="N27" s="5"/>
      <c r="O27" s="5"/>
      <c r="P27" s="5"/>
      <c r="Q27" s="263"/>
      <c r="R27" s="256"/>
      <c r="S27" s="256"/>
      <c r="T27" s="256"/>
      <c r="U27" s="256"/>
      <c r="V27" s="256"/>
      <c r="W27" s="256"/>
      <c r="X27" s="256"/>
    </row>
    <row r="28" spans="2:24" s="269" customFormat="1" ht="20.149999999999999" customHeight="1" x14ac:dyDescent="0.3">
      <c r="B28" s="207"/>
      <c r="C28" s="62"/>
      <c r="D28" s="4" t="str">
        <f t="shared" si="0"/>
        <v xml:space="preserve"> </v>
      </c>
      <c r="E28" s="4"/>
      <c r="F28" s="5"/>
      <c r="G28" s="5"/>
      <c r="H28" s="15"/>
      <c r="I28" s="5" t="str">
        <f t="shared" si="1"/>
        <v xml:space="preserve"> </v>
      </c>
      <c r="J28" s="16"/>
      <c r="K28" s="16"/>
      <c r="L28" s="5"/>
      <c r="M28" s="62"/>
      <c r="N28" s="5"/>
      <c r="O28" s="5"/>
      <c r="P28" s="5"/>
      <c r="Q28" s="263"/>
      <c r="R28" s="256"/>
      <c r="S28" s="256"/>
      <c r="T28" s="256"/>
      <c r="U28" s="256"/>
      <c r="V28" s="256"/>
      <c r="W28" s="256"/>
      <c r="X28" s="256"/>
    </row>
    <row r="29" spans="2:24" s="269" customFormat="1" ht="20.149999999999999" customHeight="1" x14ac:dyDescent="0.3">
      <c r="B29" s="207"/>
      <c r="C29" s="62"/>
      <c r="D29" s="4" t="str">
        <f t="shared" si="0"/>
        <v xml:space="preserve"> </v>
      </c>
      <c r="E29" s="4"/>
      <c r="F29" s="5"/>
      <c r="G29" s="5"/>
      <c r="H29" s="15"/>
      <c r="I29" s="5" t="str">
        <f t="shared" si="1"/>
        <v xml:space="preserve"> </v>
      </c>
      <c r="J29" s="16"/>
      <c r="K29" s="16"/>
      <c r="L29" s="5"/>
      <c r="M29" s="62"/>
      <c r="N29" s="5"/>
      <c r="O29" s="5"/>
      <c r="P29" s="5"/>
      <c r="Q29" s="263"/>
      <c r="R29" s="256"/>
      <c r="S29" s="256"/>
      <c r="T29" s="256"/>
      <c r="U29" s="256"/>
      <c r="V29" s="256"/>
      <c r="W29" s="256"/>
      <c r="X29" s="256"/>
    </row>
    <row r="30" spans="2:24" s="269" customFormat="1" ht="20.149999999999999" customHeight="1" x14ac:dyDescent="0.3">
      <c r="B30" s="207"/>
      <c r="C30" s="62"/>
      <c r="D30" s="4" t="str">
        <f t="shared" si="0"/>
        <v xml:space="preserve"> </v>
      </c>
      <c r="E30" s="4"/>
      <c r="F30" s="5"/>
      <c r="G30" s="5"/>
      <c r="H30" s="15"/>
      <c r="I30" s="5" t="str">
        <f t="shared" si="1"/>
        <v xml:space="preserve"> </v>
      </c>
      <c r="J30" s="16"/>
      <c r="K30" s="16"/>
      <c r="L30" s="5"/>
      <c r="M30" s="62"/>
      <c r="N30" s="5"/>
      <c r="O30" s="5"/>
      <c r="P30" s="5"/>
      <c r="Q30" s="263"/>
      <c r="R30" s="256"/>
      <c r="S30" s="256"/>
      <c r="T30" s="256"/>
      <c r="U30" s="256"/>
      <c r="V30" s="256"/>
      <c r="W30" s="256"/>
      <c r="X30" s="256"/>
    </row>
    <row r="31" spans="2:24" s="269" customFormat="1" ht="20.149999999999999" customHeight="1" x14ac:dyDescent="0.3">
      <c r="B31" s="207"/>
      <c r="C31" s="62"/>
      <c r="D31" s="4" t="str">
        <f t="shared" si="0"/>
        <v xml:space="preserve"> </v>
      </c>
      <c r="E31" s="4"/>
      <c r="F31" s="5"/>
      <c r="G31" s="5"/>
      <c r="H31" s="15"/>
      <c r="I31" s="5" t="str">
        <f t="shared" si="1"/>
        <v xml:space="preserve"> </v>
      </c>
      <c r="J31" s="16"/>
      <c r="K31" s="16"/>
      <c r="L31" s="5"/>
      <c r="M31" s="62"/>
      <c r="N31" s="5"/>
      <c r="O31" s="5"/>
      <c r="P31" s="5"/>
      <c r="Q31" s="263"/>
      <c r="R31" s="256"/>
      <c r="S31" s="256"/>
      <c r="T31" s="256"/>
      <c r="U31" s="256"/>
      <c r="V31" s="256"/>
      <c r="W31" s="256"/>
      <c r="X31" s="256"/>
    </row>
    <row r="32" spans="2:24" s="269" customFormat="1" ht="20.149999999999999" customHeight="1" x14ac:dyDescent="0.3">
      <c r="B32" s="207"/>
      <c r="C32" s="62"/>
      <c r="D32" s="4" t="str">
        <f t="shared" si="0"/>
        <v xml:space="preserve"> </v>
      </c>
      <c r="E32" s="4"/>
      <c r="F32" s="5"/>
      <c r="G32" s="5"/>
      <c r="H32" s="15"/>
      <c r="I32" s="5" t="str">
        <f t="shared" si="1"/>
        <v xml:space="preserve"> </v>
      </c>
      <c r="J32" s="16"/>
      <c r="K32" s="16"/>
      <c r="L32" s="5"/>
      <c r="M32" s="62"/>
      <c r="N32" s="5"/>
      <c r="O32" s="5"/>
      <c r="P32" s="5"/>
      <c r="Q32" s="263"/>
      <c r="R32" s="256"/>
      <c r="S32" s="256"/>
      <c r="T32" s="256"/>
      <c r="U32" s="256"/>
      <c r="V32" s="256"/>
      <c r="W32" s="256"/>
      <c r="X32" s="256"/>
    </row>
    <row r="33" spans="2:24" s="269" customFormat="1" ht="20.149999999999999" customHeight="1" x14ac:dyDescent="0.3">
      <c r="B33" s="207"/>
      <c r="C33" s="62"/>
      <c r="D33" s="4" t="str">
        <f t="shared" si="0"/>
        <v xml:space="preserve"> </v>
      </c>
      <c r="E33" s="4"/>
      <c r="F33" s="5"/>
      <c r="G33" s="5"/>
      <c r="H33" s="15"/>
      <c r="I33" s="5" t="str">
        <f t="shared" si="1"/>
        <v xml:space="preserve"> </v>
      </c>
      <c r="J33" s="16"/>
      <c r="K33" s="16"/>
      <c r="L33" s="5"/>
      <c r="M33" s="62"/>
      <c r="N33" s="5"/>
      <c r="O33" s="5"/>
      <c r="P33" s="5"/>
      <c r="Q33" s="263"/>
      <c r="R33" s="256"/>
      <c r="S33" s="256"/>
      <c r="T33" s="256"/>
      <c r="U33" s="256"/>
      <c r="V33" s="256"/>
      <c r="W33" s="256"/>
      <c r="X33" s="256"/>
    </row>
    <row r="34" spans="2:24" s="269" customFormat="1" ht="20.149999999999999" customHeight="1" x14ac:dyDescent="0.3">
      <c r="B34" s="207"/>
      <c r="C34" s="62"/>
      <c r="D34" s="4" t="str">
        <f t="shared" si="0"/>
        <v xml:space="preserve"> </v>
      </c>
      <c r="E34" s="4"/>
      <c r="F34" s="5"/>
      <c r="G34" s="5"/>
      <c r="H34" s="15"/>
      <c r="I34" s="5" t="str">
        <f t="shared" si="1"/>
        <v xml:space="preserve"> </v>
      </c>
      <c r="J34" s="16"/>
      <c r="K34" s="16"/>
      <c r="L34" s="5"/>
      <c r="M34" s="62"/>
      <c r="N34" s="5"/>
      <c r="O34" s="5"/>
      <c r="P34" s="5"/>
      <c r="Q34" s="263"/>
      <c r="R34" s="256"/>
      <c r="S34" s="256"/>
      <c r="T34" s="256"/>
      <c r="U34" s="256"/>
      <c r="V34" s="256"/>
      <c r="W34" s="256"/>
      <c r="X34" s="256"/>
    </row>
    <row r="35" spans="2:24" s="269" customFormat="1" ht="20.149999999999999" customHeight="1" x14ac:dyDescent="0.3">
      <c r="B35" s="207"/>
      <c r="C35" s="62"/>
      <c r="D35" s="4" t="str">
        <f t="shared" si="0"/>
        <v xml:space="preserve"> </v>
      </c>
      <c r="E35" s="4"/>
      <c r="F35" s="5"/>
      <c r="G35" s="5"/>
      <c r="H35" s="15"/>
      <c r="I35" s="5" t="str">
        <f t="shared" si="1"/>
        <v xml:space="preserve"> </v>
      </c>
      <c r="J35" s="16"/>
      <c r="K35" s="16"/>
      <c r="L35" s="5"/>
      <c r="M35" s="62"/>
      <c r="N35" s="5"/>
      <c r="O35" s="5"/>
      <c r="P35" s="5"/>
      <c r="Q35" s="263"/>
      <c r="R35" s="256"/>
      <c r="S35" s="256"/>
      <c r="T35" s="256"/>
      <c r="U35" s="256"/>
      <c r="V35" s="256"/>
      <c r="W35" s="256"/>
      <c r="X35" s="256"/>
    </row>
    <row r="36" spans="2:24" s="269" customFormat="1" ht="20.149999999999999" customHeight="1" x14ac:dyDescent="0.3">
      <c r="B36" s="207"/>
      <c r="C36" s="62"/>
      <c r="D36" s="4" t="str">
        <f t="shared" si="0"/>
        <v xml:space="preserve"> </v>
      </c>
      <c r="E36" s="4"/>
      <c r="F36" s="5"/>
      <c r="G36" s="5"/>
      <c r="H36" s="15"/>
      <c r="I36" s="5" t="str">
        <f t="shared" si="1"/>
        <v xml:space="preserve"> </v>
      </c>
      <c r="J36" s="16"/>
      <c r="K36" s="16"/>
      <c r="L36" s="5"/>
      <c r="M36" s="62"/>
      <c r="N36" s="5"/>
      <c r="O36" s="5"/>
      <c r="P36" s="5"/>
      <c r="Q36" s="263"/>
      <c r="R36" s="256"/>
      <c r="S36" s="256"/>
      <c r="T36" s="256"/>
      <c r="U36" s="256"/>
      <c r="V36" s="256"/>
      <c r="W36" s="256"/>
      <c r="X36" s="256"/>
    </row>
    <row r="37" spans="2:24" s="269" customFormat="1" ht="20.149999999999999" customHeight="1" x14ac:dyDescent="0.3">
      <c r="B37" s="207"/>
      <c r="C37" s="62"/>
      <c r="D37" s="4" t="str">
        <f>IF(C37=0," ","Z2")</f>
        <v xml:space="preserve"> </v>
      </c>
      <c r="E37" s="4"/>
      <c r="F37" s="5"/>
      <c r="G37" s="5"/>
      <c r="H37" s="15"/>
      <c r="I37" s="5" t="str">
        <f t="shared" si="1"/>
        <v xml:space="preserve"> </v>
      </c>
      <c r="J37" s="16"/>
      <c r="K37" s="16"/>
      <c r="L37" s="5"/>
      <c r="M37" s="62"/>
      <c r="N37" s="5"/>
      <c r="O37" s="5"/>
      <c r="P37" s="5"/>
      <c r="Q37" s="263"/>
      <c r="R37" s="256"/>
      <c r="S37" s="256"/>
      <c r="T37" s="256"/>
      <c r="U37" s="256"/>
      <c r="V37" s="256"/>
      <c r="W37" s="256"/>
      <c r="X37" s="256"/>
    </row>
    <row r="38" spans="2:24" s="269" customFormat="1" ht="20.149999999999999" customHeight="1" x14ac:dyDescent="0.3">
      <c r="B38" s="208"/>
      <c r="C38" s="202"/>
      <c r="D38" s="203" t="str">
        <f t="shared" si="0"/>
        <v xml:space="preserve"> </v>
      </c>
      <c r="E38" s="203"/>
      <c r="F38" s="204"/>
      <c r="G38" s="204"/>
      <c r="H38" s="205"/>
      <c r="I38" s="204" t="str">
        <f t="shared" si="1"/>
        <v xml:space="preserve"> </v>
      </c>
      <c r="J38" s="206"/>
      <c r="K38" s="206"/>
      <c r="L38" s="204"/>
      <c r="M38" s="202"/>
      <c r="N38" s="204"/>
      <c r="O38" s="204"/>
      <c r="P38" s="204"/>
      <c r="Q38" s="263"/>
      <c r="R38" s="256"/>
      <c r="S38" s="256"/>
      <c r="T38" s="256"/>
      <c r="U38" s="256"/>
      <c r="V38" s="256"/>
      <c r="W38" s="256"/>
      <c r="X38" s="256"/>
    </row>
    <row r="39" spans="2:24" s="269" customFormat="1" ht="20.149999999999999" customHeight="1" x14ac:dyDescent="0.3">
      <c r="B39" s="207"/>
      <c r="C39" s="62"/>
      <c r="D39" s="4" t="str">
        <f t="shared" si="0"/>
        <v xml:space="preserve"> </v>
      </c>
      <c r="E39" s="4"/>
      <c r="F39" s="5"/>
      <c r="G39" s="5"/>
      <c r="H39" s="15"/>
      <c r="I39" s="5" t="str">
        <f t="shared" si="1"/>
        <v xml:space="preserve"> </v>
      </c>
      <c r="J39" s="16"/>
      <c r="K39" s="16"/>
      <c r="L39" s="5"/>
      <c r="M39" s="62"/>
      <c r="N39" s="5"/>
      <c r="O39" s="5"/>
      <c r="P39" s="5"/>
      <c r="Q39" s="263"/>
      <c r="R39" s="256"/>
      <c r="S39" s="256"/>
      <c r="T39" s="256"/>
      <c r="U39" s="256"/>
      <c r="V39" s="256"/>
      <c r="W39" s="256"/>
      <c r="X39" s="256"/>
    </row>
    <row r="40" spans="2:24" s="269" customFormat="1" ht="20.149999999999999" customHeight="1" x14ac:dyDescent="0.3">
      <c r="B40" s="201"/>
      <c r="C40" s="229"/>
      <c r="D40" s="230" t="str">
        <f t="shared" si="0"/>
        <v xml:space="preserve"> </v>
      </c>
      <c r="E40" s="230"/>
      <c r="F40" s="231"/>
      <c r="G40" s="231"/>
      <c r="H40" s="232"/>
      <c r="I40" s="231" t="str">
        <f t="shared" si="1"/>
        <v xml:space="preserve"> </v>
      </c>
      <c r="J40" s="233"/>
      <c r="K40" s="233"/>
      <c r="L40" s="231"/>
      <c r="M40" s="229"/>
      <c r="N40" s="231"/>
      <c r="O40" s="231"/>
      <c r="P40" s="231"/>
      <c r="Q40" s="263"/>
      <c r="R40" s="256"/>
      <c r="S40" s="256"/>
      <c r="T40" s="256"/>
      <c r="U40" s="256"/>
      <c r="V40" s="256"/>
      <c r="W40" s="256"/>
      <c r="X40" s="256"/>
    </row>
    <row r="41" spans="2:24" s="270" customFormat="1" ht="20.149999999999999" customHeight="1" x14ac:dyDescent="0.3">
      <c r="B41" s="311" t="s">
        <v>224</v>
      </c>
      <c r="C41" s="311"/>
      <c r="D41" s="311"/>
      <c r="E41" s="311"/>
      <c r="F41" s="271">
        <f>SUM(F8:F40)</f>
        <v>0</v>
      </c>
      <c r="G41" s="271"/>
      <c r="H41" s="271"/>
      <c r="I41" s="271">
        <f>SUM(I8:I40)</f>
        <v>0</v>
      </c>
      <c r="J41" s="272"/>
      <c r="K41" s="272"/>
      <c r="L41" s="272"/>
      <c r="M41" s="272"/>
      <c r="N41" s="271"/>
      <c r="O41" s="271"/>
      <c r="P41" s="271"/>
      <c r="Q41" s="260"/>
      <c r="R41" s="256"/>
      <c r="S41" s="256"/>
      <c r="T41" s="256"/>
      <c r="U41" s="256"/>
      <c r="V41" s="256"/>
      <c r="W41" s="256"/>
      <c r="X41" s="256"/>
    </row>
    <row r="42" spans="2:24" ht="20.149999999999999" customHeight="1" x14ac:dyDescent="0.3">
      <c r="D42" s="261"/>
      <c r="E42" s="263"/>
      <c r="F42" s="263"/>
      <c r="G42" s="263"/>
      <c r="H42" s="263"/>
      <c r="I42" s="263"/>
      <c r="J42" s="263"/>
      <c r="K42" s="263"/>
      <c r="L42" s="261"/>
      <c r="M42" s="263"/>
      <c r="N42" s="263"/>
      <c r="O42" s="263"/>
      <c r="P42" s="263"/>
      <c r="Q42" s="263"/>
    </row>
    <row r="43" spans="2:24" s="273" customFormat="1" ht="20.149999999999999" customHeight="1" x14ac:dyDescent="0.35">
      <c r="D43" s="274"/>
      <c r="E43" s="274"/>
      <c r="F43" s="274"/>
      <c r="G43" s="274"/>
      <c r="H43" s="274"/>
      <c r="I43" s="274"/>
      <c r="J43" s="274"/>
      <c r="K43" s="274"/>
      <c r="L43" s="274"/>
      <c r="M43" s="274"/>
      <c r="N43" s="274"/>
      <c r="O43" s="274"/>
      <c r="P43" s="274"/>
      <c r="Q43" s="274"/>
      <c r="R43" s="256"/>
      <c r="S43" s="256"/>
      <c r="T43" s="256"/>
      <c r="U43" s="256"/>
      <c r="V43" s="256"/>
      <c r="W43" s="256"/>
      <c r="X43" s="256"/>
    </row>
    <row r="44" spans="2:24" s="273" customFormat="1" ht="20.149999999999999" customHeight="1" x14ac:dyDescent="0.35">
      <c r="D44" s="274"/>
      <c r="E44" s="274"/>
      <c r="F44" s="274"/>
      <c r="G44" s="274"/>
      <c r="H44" s="274"/>
      <c r="I44" s="274"/>
      <c r="J44" s="274"/>
      <c r="K44" s="274"/>
      <c r="L44" s="274"/>
      <c r="M44" s="274"/>
      <c r="N44" s="274"/>
      <c r="O44" s="274"/>
      <c r="P44" s="274"/>
      <c r="Q44" s="274"/>
      <c r="R44" s="256"/>
      <c r="S44" s="256"/>
      <c r="T44" s="256"/>
      <c r="U44" s="256"/>
      <c r="V44" s="256"/>
      <c r="W44" s="256"/>
    </row>
    <row r="45" spans="2:24" s="273" customFormat="1" ht="20.149999999999999" customHeight="1" x14ac:dyDescent="0.35">
      <c r="D45" s="274"/>
      <c r="E45" s="274"/>
      <c r="F45" s="274"/>
      <c r="G45" s="274"/>
      <c r="H45" s="274"/>
      <c r="I45" s="274"/>
      <c r="J45" s="274"/>
      <c r="K45" s="274"/>
      <c r="L45" s="274"/>
      <c r="M45" s="274"/>
      <c r="N45" s="274"/>
      <c r="O45" s="274"/>
      <c r="P45" s="274"/>
      <c r="Q45" s="274"/>
      <c r="R45" s="256"/>
      <c r="S45" s="256"/>
      <c r="T45" s="256"/>
      <c r="U45" s="256"/>
      <c r="V45" s="256"/>
      <c r="W45" s="256"/>
    </row>
    <row r="46" spans="2:24" s="273" customFormat="1" ht="20.149999999999999" customHeight="1" x14ac:dyDescent="0.35">
      <c r="D46" s="274"/>
      <c r="E46" s="274"/>
      <c r="F46" s="274"/>
      <c r="G46" s="274"/>
      <c r="H46" s="274"/>
      <c r="I46" s="274"/>
      <c r="J46" s="274"/>
      <c r="K46" s="274"/>
      <c r="L46" s="274"/>
      <c r="M46" s="274"/>
      <c r="N46" s="274"/>
      <c r="O46" s="274"/>
      <c r="P46" s="274"/>
      <c r="Q46" s="274"/>
      <c r="R46" s="256"/>
      <c r="S46" s="256"/>
      <c r="T46" s="256"/>
      <c r="U46" s="256"/>
      <c r="V46" s="256"/>
      <c r="W46" s="256"/>
    </row>
    <row r="47" spans="2:24" ht="20.149999999999999" customHeight="1" x14ac:dyDescent="0.3">
      <c r="D47" s="263"/>
      <c r="E47" s="263"/>
      <c r="F47" s="263"/>
      <c r="G47" s="263"/>
      <c r="H47" s="263"/>
      <c r="I47" s="263"/>
      <c r="J47" s="263"/>
      <c r="K47" s="263"/>
      <c r="L47" s="263"/>
      <c r="M47" s="263"/>
      <c r="N47" s="263"/>
      <c r="O47" s="263"/>
      <c r="P47" s="263"/>
      <c r="Q47" s="263"/>
    </row>
    <row r="48" spans="2:24" ht="20.149999999999999" customHeight="1" x14ac:dyDescent="0.3"/>
    <row r="50" spans="2:19" ht="20.149999999999999" customHeight="1" x14ac:dyDescent="0.3">
      <c r="B50" s="19" t="s">
        <v>225</v>
      </c>
      <c r="C50" s="19"/>
      <c r="D50" s="19"/>
      <c r="E50" s="263"/>
      <c r="F50" s="263"/>
      <c r="G50" s="263"/>
      <c r="H50" s="263"/>
      <c r="I50" s="263"/>
      <c r="J50" s="263"/>
      <c r="K50" s="263"/>
      <c r="L50" s="19"/>
      <c r="M50" s="263"/>
      <c r="N50" s="263"/>
      <c r="O50" s="263"/>
      <c r="P50" s="263"/>
      <c r="Q50" s="263"/>
      <c r="R50" s="263"/>
      <c r="S50" s="263"/>
    </row>
    <row r="51" spans="2:19" ht="285.75" customHeight="1" x14ac:dyDescent="0.3">
      <c r="B51" s="289" t="s">
        <v>87</v>
      </c>
      <c r="C51" s="290"/>
      <c r="D51" s="290"/>
      <c r="E51" s="290"/>
      <c r="F51" s="290"/>
      <c r="G51" s="290"/>
      <c r="H51" s="290"/>
      <c r="I51" s="290"/>
      <c r="J51" s="291"/>
      <c r="K51" s="275"/>
      <c r="L51" s="275"/>
      <c r="M51" s="275"/>
      <c r="N51" s="263"/>
      <c r="O51" s="263"/>
      <c r="P51" s="263"/>
      <c r="Q51" s="263"/>
      <c r="R51" s="263"/>
      <c r="S51" s="263"/>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55" zoomScaleNormal="55" workbookViewId="0">
      <selection activeCell="O5" sqref="O5:U13"/>
    </sheetView>
  </sheetViews>
  <sheetFormatPr baseColWidth="10" defaultColWidth="9.1796875" defaultRowHeight="13.5" x14ac:dyDescent="0.3"/>
  <cols>
    <col min="1" max="1" width="2.1796875" style="28" customWidth="1"/>
    <col min="2" max="2" width="20.453125" style="28" customWidth="1"/>
    <col min="3" max="3" width="23.453125" style="28" bestFit="1" customWidth="1"/>
    <col min="4" max="28" width="17.7265625" style="28" customWidth="1"/>
    <col min="29" max="16384" width="9.1796875" style="28"/>
  </cols>
  <sheetData>
    <row r="2" spans="2:40" ht="21" customHeight="1" x14ac:dyDescent="0.3">
      <c r="B2" s="224" t="s">
        <v>5</v>
      </c>
      <c r="C2" s="225" t="str">
        <f>'Project Infor'!C10</f>
        <v>ZEV-PCE0012-1001</v>
      </c>
      <c r="D2" s="224" t="str">
        <f>'Project Infor'!C11</f>
        <v>Smart Airport en la nueva terminal de Puerto Vallarta</v>
      </c>
      <c r="E2" s="226"/>
      <c r="F2" s="226"/>
      <c r="G2" s="226"/>
      <c r="H2" s="226"/>
      <c r="I2" s="226"/>
      <c r="J2" s="226"/>
    </row>
    <row r="3" spans="2:40" ht="21" customHeight="1" x14ac:dyDescent="0.3"/>
    <row r="4" spans="2:40" s="93" customFormat="1" ht="25" customHeight="1" x14ac:dyDescent="0.3">
      <c r="B4" s="153" t="s">
        <v>226</v>
      </c>
      <c r="C4" s="154">
        <v>44197</v>
      </c>
      <c r="D4" s="154">
        <f t="shared" ref="D4:N4" si="0">EOMONTH(C4,1)</f>
        <v>44255</v>
      </c>
      <c r="E4" s="154">
        <f t="shared" si="0"/>
        <v>44286</v>
      </c>
      <c r="F4" s="154">
        <f t="shared" si="0"/>
        <v>44316</v>
      </c>
      <c r="G4" s="154">
        <f t="shared" si="0"/>
        <v>44347</v>
      </c>
      <c r="H4" s="154">
        <f t="shared" si="0"/>
        <v>44377</v>
      </c>
      <c r="I4" s="154">
        <f t="shared" si="0"/>
        <v>44408</v>
      </c>
      <c r="J4" s="154">
        <f t="shared" si="0"/>
        <v>44439</v>
      </c>
      <c r="K4" s="154">
        <f t="shared" si="0"/>
        <v>44469</v>
      </c>
      <c r="L4" s="154">
        <f t="shared" si="0"/>
        <v>44500</v>
      </c>
      <c r="M4" s="154">
        <f t="shared" si="0"/>
        <v>44530</v>
      </c>
      <c r="N4" s="154">
        <f t="shared" si="0"/>
        <v>44561</v>
      </c>
      <c r="O4" s="154">
        <f t="shared" ref="O4" si="1">EOMONTH(N4,1)</f>
        <v>44592</v>
      </c>
      <c r="P4" s="154">
        <f t="shared" ref="P4" si="2">EOMONTH(O4,1)</f>
        <v>44620</v>
      </c>
      <c r="Q4" s="154">
        <f t="shared" ref="Q4" si="3">EOMONTH(P4,1)</f>
        <v>44651</v>
      </c>
      <c r="R4" s="154">
        <f t="shared" ref="R4" si="4">EOMONTH(Q4,1)</f>
        <v>44681</v>
      </c>
      <c r="S4" s="154">
        <f t="shared" ref="S4" si="5">EOMONTH(R4,1)</f>
        <v>44712</v>
      </c>
      <c r="T4" s="154">
        <f t="shared" ref="T4" si="6">EOMONTH(S4,1)</f>
        <v>44742</v>
      </c>
      <c r="U4" s="154">
        <f t="shared" ref="U4" si="7">EOMONTH(T4,1)</f>
        <v>44773</v>
      </c>
      <c r="V4" s="154">
        <f t="shared" ref="V4" si="8">EOMONTH(U4,1)</f>
        <v>44804</v>
      </c>
      <c r="W4" s="154">
        <f t="shared" ref="W4" si="9">EOMONTH(V4,1)</f>
        <v>44834</v>
      </c>
      <c r="X4" s="154">
        <f t="shared" ref="X4" si="10">EOMONTH(W4,1)</f>
        <v>44865</v>
      </c>
      <c r="Y4" s="154">
        <f t="shared" ref="Y4" si="11">EOMONTH(X4,1)</f>
        <v>44895</v>
      </c>
      <c r="Z4" s="154">
        <f t="shared" ref="Z4" si="12">EOMONTH(Y4,1)</f>
        <v>44926</v>
      </c>
      <c r="AC4" s="28"/>
      <c r="AD4" s="28"/>
      <c r="AE4" s="28"/>
      <c r="AF4" s="28"/>
      <c r="AG4" s="28"/>
      <c r="AH4" s="28"/>
      <c r="AI4" s="28"/>
      <c r="AJ4" s="28"/>
      <c r="AK4" s="28"/>
      <c r="AL4" s="28"/>
      <c r="AM4" s="28"/>
      <c r="AN4" s="28"/>
    </row>
    <row r="5" spans="2:40" s="74" customFormat="1" ht="25" customHeight="1" x14ac:dyDescent="0.3">
      <c r="B5" s="199">
        <v>44197</v>
      </c>
      <c r="C5" s="200"/>
      <c r="D5" s="200"/>
      <c r="E5" s="200"/>
      <c r="F5" s="200"/>
      <c r="G5" s="200"/>
      <c r="H5" s="200"/>
      <c r="I5" s="200"/>
      <c r="J5" s="200"/>
      <c r="K5" s="200"/>
      <c r="L5" s="200"/>
      <c r="M5" s="200"/>
      <c r="N5" s="200"/>
      <c r="O5" s="200"/>
      <c r="P5" s="200"/>
      <c r="Q5" s="200"/>
      <c r="R5" s="200"/>
      <c r="S5" s="200"/>
      <c r="T5" s="200"/>
      <c r="U5" s="200"/>
      <c r="V5" s="200"/>
      <c r="W5" s="200"/>
      <c r="X5" s="200"/>
      <c r="Y5" s="200"/>
      <c r="Z5" s="200"/>
      <c r="AC5" s="28"/>
      <c r="AD5" s="28"/>
      <c r="AE5" s="28"/>
      <c r="AF5" s="28"/>
      <c r="AG5" s="28"/>
      <c r="AH5" s="28"/>
      <c r="AI5" s="28"/>
      <c r="AJ5" s="28"/>
      <c r="AK5" s="28"/>
      <c r="AL5" s="28"/>
      <c r="AM5" s="28"/>
      <c r="AN5" s="28"/>
    </row>
    <row r="6" spans="2:40" s="74" customFormat="1" ht="25" customHeight="1" x14ac:dyDescent="0.3">
      <c r="B6" s="199">
        <f>EOMONTH(B5,1)</f>
        <v>44255</v>
      </c>
      <c r="C6" s="200"/>
      <c r="D6" s="200"/>
      <c r="E6" s="200"/>
      <c r="F6" s="200"/>
      <c r="G6" s="200"/>
      <c r="H6" s="200"/>
      <c r="I6" s="200"/>
      <c r="J6" s="200"/>
      <c r="K6" s="200"/>
      <c r="L6" s="200"/>
      <c r="M6" s="200"/>
      <c r="N6" s="200"/>
      <c r="O6" s="200"/>
      <c r="P6" s="200"/>
      <c r="Q6" s="200"/>
      <c r="R6" s="200"/>
      <c r="S6" s="200"/>
      <c r="T6" s="200"/>
      <c r="U6" s="200"/>
      <c r="V6" s="200"/>
      <c r="W6" s="200"/>
      <c r="X6" s="200"/>
      <c r="Y6" s="200"/>
      <c r="Z6" s="200"/>
      <c r="AC6" s="28"/>
      <c r="AD6" s="28"/>
      <c r="AE6" s="28"/>
      <c r="AF6" s="28"/>
      <c r="AG6" s="28"/>
      <c r="AH6" s="28"/>
      <c r="AI6" s="28"/>
      <c r="AJ6" s="28"/>
      <c r="AK6" s="28"/>
      <c r="AL6" s="28"/>
      <c r="AM6" s="28"/>
      <c r="AN6" s="28"/>
    </row>
    <row r="7" spans="2:40" s="74" customFormat="1" ht="25" customHeight="1" x14ac:dyDescent="0.3">
      <c r="B7" s="199">
        <f t="shared" ref="B7:B16" si="13">EOMONTH(B6,1)</f>
        <v>44286</v>
      </c>
      <c r="C7" s="200"/>
      <c r="D7" s="200"/>
      <c r="E7" s="200"/>
      <c r="F7" s="200"/>
      <c r="G7" s="200"/>
      <c r="H7" s="200"/>
      <c r="I7" s="200"/>
      <c r="J7" s="200"/>
      <c r="K7" s="200"/>
      <c r="L7" s="200"/>
      <c r="M7" s="200"/>
      <c r="N7" s="200"/>
      <c r="O7" s="200"/>
      <c r="P7" s="200"/>
      <c r="Q7" s="200"/>
      <c r="R7" s="200"/>
      <c r="S7" s="200"/>
      <c r="T7" s="200"/>
      <c r="U7" s="200"/>
      <c r="V7" s="200"/>
      <c r="W7" s="200"/>
      <c r="X7" s="200"/>
      <c r="Y7" s="200"/>
      <c r="Z7" s="200"/>
      <c r="AC7" s="28"/>
      <c r="AD7" s="28"/>
      <c r="AE7" s="28"/>
      <c r="AF7" s="28"/>
      <c r="AG7" s="28"/>
      <c r="AH7" s="28"/>
      <c r="AI7" s="28"/>
      <c r="AJ7" s="28"/>
      <c r="AK7" s="28"/>
      <c r="AL7" s="28"/>
      <c r="AM7" s="28"/>
      <c r="AN7" s="28"/>
    </row>
    <row r="8" spans="2:40" s="74" customFormat="1" ht="25" customHeight="1" x14ac:dyDescent="0.3">
      <c r="B8" s="199">
        <f t="shared" si="13"/>
        <v>44316</v>
      </c>
      <c r="C8" s="200"/>
      <c r="D8" s="200"/>
      <c r="E8" s="200"/>
      <c r="F8" s="200"/>
      <c r="G8" s="200"/>
      <c r="H8" s="200"/>
      <c r="I8" s="200"/>
      <c r="J8" s="200"/>
      <c r="K8" s="200"/>
      <c r="L8" s="200"/>
      <c r="M8" s="200"/>
      <c r="N8" s="200"/>
      <c r="O8" s="200"/>
      <c r="P8" s="200"/>
      <c r="Q8" s="200"/>
      <c r="R8" s="200"/>
      <c r="S8" s="200"/>
      <c r="T8" s="200"/>
      <c r="U8" s="200"/>
      <c r="V8" s="200"/>
      <c r="W8" s="200"/>
      <c r="X8" s="200"/>
      <c r="Y8" s="200"/>
      <c r="Z8" s="200"/>
      <c r="AC8" s="28"/>
      <c r="AD8" s="28"/>
      <c r="AE8" s="28"/>
      <c r="AF8" s="28"/>
      <c r="AG8" s="28"/>
      <c r="AH8" s="28"/>
      <c r="AI8" s="28"/>
      <c r="AJ8" s="28"/>
      <c r="AK8" s="28"/>
      <c r="AL8" s="28"/>
      <c r="AM8" s="28"/>
      <c r="AN8" s="28"/>
    </row>
    <row r="9" spans="2:40" ht="25" customHeight="1" x14ac:dyDescent="0.3">
      <c r="B9" s="199">
        <f t="shared" si="13"/>
        <v>44347</v>
      </c>
      <c r="C9" s="200"/>
      <c r="D9" s="200"/>
      <c r="E9" s="200"/>
      <c r="F9" s="200"/>
      <c r="G9" s="200"/>
      <c r="H9" s="200"/>
      <c r="I9" s="200"/>
      <c r="J9" s="200"/>
      <c r="K9" s="200"/>
      <c r="L9" s="200"/>
      <c r="M9" s="200"/>
      <c r="N9" s="200"/>
      <c r="O9" s="200"/>
      <c r="P9" s="200"/>
      <c r="Q9" s="200"/>
      <c r="R9" s="200"/>
      <c r="S9" s="200"/>
      <c r="T9" s="200"/>
      <c r="U9" s="200"/>
      <c r="V9" s="200"/>
      <c r="W9" s="200"/>
      <c r="X9" s="200"/>
      <c r="Y9" s="200"/>
      <c r="Z9" s="200"/>
    </row>
    <row r="10" spans="2:40" ht="25" customHeight="1" x14ac:dyDescent="0.3">
      <c r="B10" s="199">
        <f t="shared" si="13"/>
        <v>44377</v>
      </c>
      <c r="C10" s="200"/>
      <c r="D10" s="200"/>
      <c r="E10" s="200"/>
      <c r="F10" s="200"/>
      <c r="G10" s="200"/>
      <c r="H10" s="200"/>
      <c r="I10" s="200"/>
      <c r="J10" s="200"/>
      <c r="K10" s="200"/>
      <c r="L10" s="200"/>
      <c r="M10" s="200"/>
      <c r="N10" s="200"/>
      <c r="O10" s="200"/>
      <c r="P10" s="200"/>
      <c r="Q10" s="200"/>
      <c r="R10" s="200"/>
      <c r="S10" s="200"/>
      <c r="T10" s="200"/>
      <c r="U10" s="200"/>
      <c r="V10" s="200"/>
      <c r="W10" s="200"/>
      <c r="X10" s="200"/>
      <c r="Y10" s="200"/>
      <c r="Z10" s="200"/>
    </row>
    <row r="11" spans="2:40" ht="25" customHeight="1" x14ac:dyDescent="0.3">
      <c r="B11" s="199">
        <f t="shared" si="13"/>
        <v>44408</v>
      </c>
      <c r="C11" s="200"/>
      <c r="D11" s="200"/>
      <c r="E11" s="200"/>
      <c r="F11" s="200"/>
      <c r="G11" s="200"/>
      <c r="H11" s="200"/>
      <c r="I11" s="200"/>
      <c r="J11" s="200"/>
      <c r="K11" s="200"/>
      <c r="L11" s="200"/>
      <c r="M11" s="200"/>
      <c r="N11" s="200"/>
      <c r="O11" s="200"/>
      <c r="P11" s="200"/>
      <c r="Q11" s="200"/>
      <c r="R11" s="200"/>
      <c r="S11" s="200"/>
      <c r="T11" s="200"/>
      <c r="U11" s="200"/>
      <c r="V11" s="200"/>
      <c r="W11" s="200"/>
      <c r="X11" s="200"/>
      <c r="Y11" s="200"/>
      <c r="Z11" s="200"/>
    </row>
    <row r="12" spans="2:40" ht="25" customHeight="1" x14ac:dyDescent="0.3">
      <c r="B12" s="199">
        <f t="shared" si="13"/>
        <v>44439</v>
      </c>
      <c r="C12" s="200"/>
      <c r="D12" s="200"/>
      <c r="E12" s="200"/>
      <c r="F12" s="200"/>
      <c r="G12" s="200"/>
      <c r="H12" s="200"/>
      <c r="I12" s="200"/>
      <c r="J12" s="200"/>
      <c r="K12" s="200"/>
      <c r="L12" s="200"/>
      <c r="M12" s="200"/>
      <c r="N12" s="200"/>
      <c r="O12" s="200"/>
      <c r="P12" s="200"/>
      <c r="Q12" s="200"/>
      <c r="R12" s="200"/>
      <c r="S12" s="200"/>
      <c r="T12" s="200"/>
      <c r="U12" s="200"/>
      <c r="V12" s="200"/>
      <c r="W12" s="200"/>
      <c r="X12" s="200"/>
      <c r="Y12" s="200"/>
      <c r="Z12" s="200"/>
    </row>
    <row r="13" spans="2:40" s="74" customFormat="1" ht="25" customHeight="1" x14ac:dyDescent="0.3">
      <c r="B13" s="199">
        <f t="shared" si="13"/>
        <v>44469</v>
      </c>
      <c r="C13" s="200"/>
      <c r="D13" s="200"/>
      <c r="E13" s="200"/>
      <c r="F13" s="200"/>
      <c r="G13" s="200"/>
      <c r="H13" s="200"/>
      <c r="I13" s="200"/>
      <c r="J13" s="200"/>
      <c r="K13" s="200"/>
      <c r="L13" s="200"/>
      <c r="M13" s="200"/>
      <c r="N13" s="200"/>
      <c r="O13" s="200"/>
      <c r="P13" s="200"/>
      <c r="Q13" s="200"/>
      <c r="R13" s="200"/>
      <c r="S13" s="200"/>
      <c r="T13" s="200"/>
      <c r="U13" s="200"/>
      <c r="V13" s="200"/>
      <c r="W13" s="200"/>
      <c r="X13" s="200"/>
      <c r="Y13" s="200"/>
      <c r="Z13" s="200"/>
      <c r="AC13" s="28"/>
      <c r="AD13" s="28"/>
      <c r="AE13" s="28"/>
      <c r="AF13" s="28"/>
      <c r="AG13" s="28"/>
      <c r="AH13" s="28"/>
      <c r="AI13" s="28"/>
      <c r="AJ13" s="28"/>
      <c r="AK13" s="28"/>
      <c r="AL13" s="28"/>
      <c r="AM13" s="28"/>
      <c r="AN13" s="28"/>
    </row>
    <row r="14" spans="2:40" s="74" customFormat="1" ht="25" customHeight="1" x14ac:dyDescent="0.3">
      <c r="B14" s="199">
        <f t="shared" si="13"/>
        <v>44500</v>
      </c>
      <c r="C14" s="200"/>
      <c r="D14" s="200"/>
      <c r="E14" s="200"/>
      <c r="F14" s="200"/>
      <c r="G14" s="200"/>
      <c r="H14" s="200"/>
      <c r="I14" s="200"/>
      <c r="J14" s="200"/>
      <c r="K14" s="200"/>
      <c r="L14" s="200"/>
      <c r="M14" s="200"/>
      <c r="N14" s="200"/>
      <c r="O14" s="200"/>
      <c r="P14" s="200"/>
      <c r="Q14" s="200"/>
      <c r="R14" s="200"/>
      <c r="S14" s="200"/>
      <c r="T14" s="200"/>
      <c r="U14" s="200"/>
      <c r="V14" s="200"/>
      <c r="W14" s="200"/>
      <c r="X14" s="200"/>
      <c r="Y14" s="200"/>
      <c r="Z14" s="200"/>
      <c r="AC14" s="28"/>
      <c r="AD14" s="28"/>
      <c r="AE14" s="28"/>
      <c r="AF14" s="28"/>
      <c r="AG14" s="28"/>
      <c r="AH14" s="28"/>
      <c r="AI14" s="28"/>
      <c r="AJ14" s="28"/>
      <c r="AK14" s="28"/>
      <c r="AL14" s="28"/>
      <c r="AM14" s="28"/>
      <c r="AN14" s="28"/>
    </row>
    <row r="15" spans="2:40" s="74" customFormat="1" ht="25" customHeight="1" x14ac:dyDescent="0.3">
      <c r="B15" s="199">
        <f t="shared" si="13"/>
        <v>44530</v>
      </c>
      <c r="C15" s="200"/>
      <c r="D15" s="200"/>
      <c r="E15" s="200"/>
      <c r="F15" s="200"/>
      <c r="G15" s="200"/>
      <c r="H15" s="200"/>
      <c r="I15" s="200"/>
      <c r="J15" s="200"/>
      <c r="K15" s="200"/>
      <c r="L15" s="200"/>
      <c r="M15" s="200"/>
      <c r="N15" s="200"/>
      <c r="O15" s="200"/>
      <c r="P15" s="200"/>
      <c r="Q15" s="200"/>
      <c r="R15" s="200"/>
      <c r="S15" s="200"/>
      <c r="T15" s="200"/>
      <c r="U15" s="200"/>
      <c r="V15" s="200"/>
      <c r="W15" s="200"/>
      <c r="X15" s="200"/>
      <c r="Y15" s="200"/>
      <c r="Z15" s="200"/>
      <c r="AC15" s="28"/>
      <c r="AD15" s="28"/>
      <c r="AE15" s="28"/>
      <c r="AF15" s="28"/>
      <c r="AG15" s="28"/>
      <c r="AH15" s="28"/>
      <c r="AI15" s="28"/>
      <c r="AJ15" s="28"/>
      <c r="AK15" s="28"/>
      <c r="AL15" s="28"/>
      <c r="AM15" s="28"/>
      <c r="AN15" s="28"/>
    </row>
    <row r="16" spans="2:40" s="74" customFormat="1" ht="25" customHeight="1" x14ac:dyDescent="0.3">
      <c r="B16" s="199">
        <f t="shared" si="13"/>
        <v>44561</v>
      </c>
      <c r="C16" s="200"/>
      <c r="D16" s="200"/>
      <c r="E16" s="200"/>
      <c r="F16" s="200"/>
      <c r="G16" s="200"/>
      <c r="H16" s="200"/>
      <c r="I16" s="200"/>
      <c r="J16" s="200"/>
      <c r="K16" s="200"/>
      <c r="L16" s="200"/>
      <c r="M16" s="200"/>
      <c r="N16" s="200"/>
      <c r="O16" s="200"/>
      <c r="P16" s="200"/>
      <c r="Q16" s="200"/>
      <c r="R16" s="200"/>
      <c r="S16" s="200"/>
      <c r="T16" s="200"/>
      <c r="U16" s="200"/>
      <c r="V16" s="200"/>
      <c r="W16" s="200"/>
      <c r="X16" s="200"/>
      <c r="Y16" s="200"/>
      <c r="Z16" s="200"/>
      <c r="AC16" s="28"/>
      <c r="AD16" s="28"/>
      <c r="AE16" s="28"/>
      <c r="AF16" s="28"/>
      <c r="AG16" s="28"/>
      <c r="AH16" s="28"/>
      <c r="AI16" s="28"/>
      <c r="AJ16" s="28"/>
      <c r="AK16" s="28"/>
      <c r="AL16" s="28"/>
      <c r="AM16" s="28"/>
      <c r="AN16" s="28"/>
    </row>
    <row r="17" spans="2:28" ht="25" customHeight="1" x14ac:dyDescent="0.3"/>
    <row r="18" spans="2:28" ht="25" customHeight="1" x14ac:dyDescent="0.3"/>
    <row r="19" spans="2:28" ht="20.149999999999999" customHeight="1" x14ac:dyDescent="0.3">
      <c r="B19" s="72" t="s">
        <v>227</v>
      </c>
      <c r="C19" s="72"/>
      <c r="D19" s="72"/>
      <c r="E19" s="31"/>
      <c r="F19" s="31"/>
      <c r="G19" s="31"/>
      <c r="H19" s="31"/>
      <c r="I19" s="31"/>
      <c r="J19" s="31"/>
      <c r="K19" s="72"/>
      <c r="L19" s="31"/>
      <c r="M19" s="31"/>
      <c r="N19" s="31"/>
      <c r="O19" s="31"/>
      <c r="P19" s="31"/>
      <c r="Q19" s="31"/>
      <c r="R19" s="31"/>
      <c r="S19" s="31"/>
      <c r="T19" s="31"/>
      <c r="U19" s="31"/>
      <c r="V19" s="31"/>
      <c r="W19" s="72"/>
      <c r="X19" s="31"/>
      <c r="Y19" s="31"/>
      <c r="Z19" s="31"/>
      <c r="AA19" s="31"/>
      <c r="AB19" s="31"/>
    </row>
    <row r="20" spans="2:28" ht="285.75" customHeight="1" x14ac:dyDescent="0.3">
      <c r="B20" s="289" t="s">
        <v>87</v>
      </c>
      <c r="C20" s="290"/>
      <c r="D20" s="290"/>
      <c r="E20" s="290"/>
      <c r="F20" s="290"/>
      <c r="G20" s="290"/>
      <c r="H20" s="290"/>
      <c r="I20" s="290"/>
      <c r="J20" s="291"/>
      <c r="K20" s="181"/>
      <c r="L20" s="181"/>
      <c r="M20" s="31"/>
      <c r="N20" s="31"/>
      <c r="O20" s="31"/>
      <c r="P20" s="31"/>
      <c r="Q20" s="31"/>
      <c r="R20" s="31"/>
      <c r="S20" s="31"/>
      <c r="T20" s="31"/>
      <c r="U20" s="31"/>
      <c r="V20" s="31"/>
      <c r="W20" s="181"/>
      <c r="X20" s="181"/>
      <c r="Y20" s="31"/>
      <c r="Z20" s="31"/>
      <c r="AA20" s="31"/>
      <c r="AB20" s="31"/>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zoomScale="55" zoomScaleNormal="55" workbookViewId="0">
      <selection activeCell="K12" sqref="K12"/>
    </sheetView>
  </sheetViews>
  <sheetFormatPr baseColWidth="10" defaultColWidth="9.1796875" defaultRowHeight="13.5" x14ac:dyDescent="0.3"/>
  <cols>
    <col min="1" max="1" width="2.1796875" style="28" customWidth="1"/>
    <col min="2" max="2" width="39.81640625" style="28" bestFit="1" customWidth="1"/>
    <col min="3" max="3" width="25.26953125" style="28" customWidth="1"/>
    <col min="4" max="4" width="27.54296875" style="28" customWidth="1"/>
    <col min="5" max="5" width="71.453125" style="28" customWidth="1"/>
    <col min="6" max="6" width="20.7265625" style="28" customWidth="1"/>
    <col min="7" max="7" width="10.7265625" style="28" customWidth="1"/>
    <col min="8" max="8" width="20.81640625" style="28" customWidth="1"/>
    <col min="9" max="9" width="24.1796875" style="28" customWidth="1"/>
    <col min="10" max="10" width="38.26953125" style="28" customWidth="1"/>
    <col min="11" max="11" width="28" style="28" customWidth="1"/>
    <col min="12" max="12" width="16.7265625" style="28" customWidth="1"/>
    <col min="13" max="13" width="33.81640625" style="28" customWidth="1"/>
    <col min="14" max="14" width="28.81640625" style="28" bestFit="1" customWidth="1"/>
    <col min="15" max="15" width="11.7265625" style="28" customWidth="1"/>
    <col min="16" max="16" width="3.453125" style="28" customWidth="1"/>
    <col min="17" max="17" width="9.1796875" style="28" customWidth="1"/>
    <col min="18" max="18" width="14.26953125" style="28" customWidth="1"/>
    <col min="19" max="19" width="11.81640625" style="28" customWidth="1"/>
    <col min="20" max="22" width="9.1796875" style="28" customWidth="1"/>
    <col min="23" max="16384" width="9.1796875" style="28"/>
  </cols>
  <sheetData>
    <row r="2" spans="2:23" ht="21" customHeight="1" x14ac:dyDescent="0.3">
      <c r="B2" s="102" t="s">
        <v>5</v>
      </c>
      <c r="C2" s="117" t="str">
        <f>'Project Infor'!C10</f>
        <v>ZEV-PCE0012-1001</v>
      </c>
      <c r="D2" s="224" t="str">
        <f>'Project Infor'!C11</f>
        <v>Smart Airport en la nueva terminal de Puerto Vallarta</v>
      </c>
      <c r="E2" s="226"/>
      <c r="F2" s="226"/>
      <c r="G2" s="226"/>
      <c r="H2" s="226"/>
    </row>
    <row r="3" spans="2:23" ht="9" customHeight="1" x14ac:dyDescent="0.3">
      <c r="D3" s="29"/>
      <c r="E3" s="29"/>
      <c r="F3" s="29"/>
      <c r="G3" s="29"/>
    </row>
    <row r="4" spans="2:23" ht="30.75" customHeight="1" x14ac:dyDescent="0.3">
      <c r="B4" s="84" t="s">
        <v>218</v>
      </c>
      <c r="C4" s="301" t="s">
        <v>228</v>
      </c>
      <c r="D4" s="301"/>
      <c r="E4" s="29"/>
      <c r="F4" s="318" t="s">
        <v>229</v>
      </c>
      <c r="G4" s="319"/>
      <c r="H4" s="244" t="s">
        <v>230</v>
      </c>
      <c r="I4" s="244" t="s">
        <v>231</v>
      </c>
      <c r="J4" s="244" t="s">
        <v>232</v>
      </c>
      <c r="K4" s="318" t="s">
        <v>233</v>
      </c>
      <c r="L4" s="318"/>
      <c r="M4" s="318"/>
      <c r="N4" s="318"/>
    </row>
    <row r="5" spans="2:23" ht="18" customHeight="1" x14ac:dyDescent="0.3">
      <c r="B5" s="84" t="s">
        <v>234</v>
      </c>
      <c r="C5" s="316" t="s">
        <v>235</v>
      </c>
      <c r="D5" s="316"/>
      <c r="E5" s="29"/>
      <c r="F5" s="316" t="s">
        <v>236</v>
      </c>
      <c r="G5" s="316"/>
      <c r="H5" s="246">
        <v>0.5</v>
      </c>
      <c r="I5" s="247">
        <v>5000</v>
      </c>
      <c r="J5" s="236" t="s">
        <v>235</v>
      </c>
      <c r="K5" s="316"/>
      <c r="L5" s="316"/>
      <c r="M5" s="316"/>
      <c r="N5" s="316"/>
    </row>
    <row r="6" spans="2:23" ht="18" customHeight="1" x14ac:dyDescent="0.3">
      <c r="B6" s="84" t="s">
        <v>237</v>
      </c>
      <c r="C6" s="316" t="s">
        <v>238</v>
      </c>
      <c r="D6" s="316"/>
      <c r="E6" s="29"/>
      <c r="F6" s="316" t="s">
        <v>239</v>
      </c>
      <c r="G6" s="316"/>
      <c r="H6" s="246">
        <v>0.1</v>
      </c>
      <c r="I6" s="247">
        <v>1000</v>
      </c>
      <c r="J6" s="236"/>
      <c r="K6" s="316"/>
      <c r="L6" s="316"/>
      <c r="M6" s="316"/>
      <c r="N6" s="316"/>
    </row>
    <row r="7" spans="2:23" ht="18" customHeight="1" x14ac:dyDescent="0.3">
      <c r="B7" s="84" t="s">
        <v>240</v>
      </c>
      <c r="C7" s="317">
        <v>10000</v>
      </c>
      <c r="D7" s="317"/>
      <c r="E7" s="245" t="s">
        <v>241</v>
      </c>
      <c r="F7" s="316" t="s">
        <v>242</v>
      </c>
      <c r="G7" s="316"/>
      <c r="H7" s="246">
        <v>0.2</v>
      </c>
      <c r="I7" s="247">
        <v>2000</v>
      </c>
      <c r="J7" s="236"/>
      <c r="K7" s="316"/>
      <c r="L7" s="316"/>
      <c r="M7" s="316"/>
      <c r="N7" s="316"/>
    </row>
    <row r="8" spans="2:23" ht="18" customHeight="1" x14ac:dyDescent="0.3">
      <c r="D8" s="29"/>
      <c r="E8" s="29"/>
      <c r="F8" s="316" t="s">
        <v>243</v>
      </c>
      <c r="G8" s="316"/>
      <c r="H8" s="246">
        <v>0.1</v>
      </c>
      <c r="I8" s="247">
        <v>1000</v>
      </c>
      <c r="J8" s="236"/>
      <c r="K8" s="316"/>
      <c r="L8" s="316"/>
      <c r="M8" s="316"/>
      <c r="N8" s="316"/>
    </row>
    <row r="9" spans="2:23" ht="18" customHeight="1" x14ac:dyDescent="0.3">
      <c r="D9" s="29"/>
      <c r="E9" s="63"/>
      <c r="F9" s="316" t="s">
        <v>244</v>
      </c>
      <c r="G9" s="316"/>
      <c r="H9" s="246">
        <v>0.1</v>
      </c>
      <c r="I9" s="247">
        <v>1000</v>
      </c>
      <c r="J9" s="236"/>
      <c r="K9" s="316"/>
      <c r="L9" s="316"/>
      <c r="M9" s="316"/>
      <c r="N9" s="316"/>
      <c r="O9" s="31"/>
      <c r="P9" s="31"/>
    </row>
    <row r="10" spans="2:23" ht="23.25" customHeight="1" x14ac:dyDescent="0.3">
      <c r="C10" s="320" t="s">
        <v>208</v>
      </c>
      <c r="D10" s="320"/>
      <c r="M10" s="31"/>
      <c r="N10" s="31"/>
      <c r="O10" s="31"/>
      <c r="P10" s="31"/>
    </row>
    <row r="11" spans="2:23" ht="20.149999999999999" customHeight="1" x14ac:dyDescent="0.3">
      <c r="D11" s="30"/>
      <c r="F11" s="31"/>
      <c r="G11" s="31"/>
      <c r="H11" s="31"/>
      <c r="I11" s="31"/>
      <c r="J11" s="31"/>
      <c r="K11" s="30"/>
      <c r="L11" s="31"/>
      <c r="M11" s="31"/>
      <c r="N11" s="31"/>
      <c r="O11" s="31"/>
      <c r="P11" s="31"/>
    </row>
    <row r="12" spans="2:23" s="93" customFormat="1" ht="31.5" customHeight="1" x14ac:dyDescent="0.3">
      <c r="B12" s="49" t="s">
        <v>209</v>
      </c>
      <c r="C12" s="49" t="s">
        <v>210</v>
      </c>
      <c r="D12" s="49" t="s">
        <v>245</v>
      </c>
      <c r="E12" s="49" t="s">
        <v>212</v>
      </c>
      <c r="F12" s="50" t="s">
        <v>213</v>
      </c>
      <c r="G12" s="50" t="s">
        <v>214</v>
      </c>
      <c r="H12" s="49" t="s">
        <v>215</v>
      </c>
      <c r="I12" s="49" t="s">
        <v>216</v>
      </c>
      <c r="J12" s="49" t="s">
        <v>218</v>
      </c>
      <c r="K12" s="49" t="s">
        <v>246</v>
      </c>
      <c r="L12" s="50" t="s">
        <v>220</v>
      </c>
      <c r="M12" s="50" t="s">
        <v>221</v>
      </c>
      <c r="N12" s="50" t="s">
        <v>222</v>
      </c>
      <c r="O12" s="50" t="s">
        <v>223</v>
      </c>
      <c r="P12" s="31"/>
      <c r="Q12" s="28"/>
      <c r="R12" s="28"/>
      <c r="S12" s="28"/>
      <c r="T12" s="28"/>
      <c r="U12" s="28"/>
      <c r="V12" s="28"/>
      <c r="W12" s="28"/>
    </row>
    <row r="13" spans="2:23" s="74" customFormat="1" ht="20.149999999999999" customHeight="1" x14ac:dyDescent="0.3">
      <c r="B13" s="207" t="s">
        <v>247</v>
      </c>
      <c r="C13" s="234">
        <v>44286</v>
      </c>
      <c r="D13" s="4" t="s">
        <v>236</v>
      </c>
      <c r="E13" s="4" t="s">
        <v>248</v>
      </c>
      <c r="F13" s="5">
        <v>3000</v>
      </c>
      <c r="G13" s="5" t="s">
        <v>249</v>
      </c>
      <c r="H13" s="15">
        <v>0.21</v>
      </c>
      <c r="I13" s="5">
        <f>IF(F13=0," ",F13+F13*H13)</f>
        <v>3630</v>
      </c>
      <c r="J13" s="16" t="s">
        <v>250</v>
      </c>
      <c r="K13" s="5"/>
      <c r="L13" s="62"/>
      <c r="M13" s="5" t="s">
        <v>251</v>
      </c>
      <c r="N13" s="5"/>
      <c r="O13" s="5"/>
      <c r="P13" s="31"/>
      <c r="Q13" s="28"/>
      <c r="R13" s="28"/>
      <c r="S13" s="28"/>
      <c r="T13" s="28"/>
      <c r="U13" s="28"/>
      <c r="V13" s="28"/>
      <c r="W13" s="28"/>
    </row>
    <row r="14" spans="2:23" s="74" customFormat="1" ht="20.149999999999999" customHeight="1" x14ac:dyDescent="0.3">
      <c r="B14" s="207"/>
      <c r="C14" s="62"/>
      <c r="D14" s="4" t="str">
        <f t="shared" ref="D14:D45" si="0">IF(C14=0," ","Z2")</f>
        <v xml:space="preserve"> </v>
      </c>
      <c r="E14" s="4"/>
      <c r="F14" s="5"/>
      <c r="G14" s="5"/>
      <c r="H14" s="15"/>
      <c r="I14" s="5" t="str">
        <f t="shared" ref="I14:I45" si="1">IF(F14=0," ",F14+F14*H14)</f>
        <v xml:space="preserve"> </v>
      </c>
      <c r="J14" s="16"/>
      <c r="K14" s="5"/>
      <c r="L14" s="62"/>
      <c r="M14" s="5"/>
      <c r="N14" s="5"/>
      <c r="O14" s="5"/>
      <c r="P14" s="31"/>
      <c r="Q14" s="28"/>
      <c r="R14" s="28"/>
      <c r="S14" s="28"/>
      <c r="T14" s="28"/>
      <c r="U14" s="28"/>
      <c r="V14" s="28"/>
      <c r="W14" s="28"/>
    </row>
    <row r="15" spans="2:23" s="74" customFormat="1" ht="20.149999999999999" customHeight="1" x14ac:dyDescent="0.3">
      <c r="B15" s="207"/>
      <c r="C15" s="62"/>
      <c r="D15" s="4" t="str">
        <f t="shared" si="0"/>
        <v xml:space="preserve"> </v>
      </c>
      <c r="E15" s="4"/>
      <c r="F15" s="5"/>
      <c r="G15" s="5"/>
      <c r="H15" s="15"/>
      <c r="I15" s="5" t="str">
        <f t="shared" si="1"/>
        <v xml:space="preserve"> </v>
      </c>
      <c r="J15" s="16"/>
      <c r="K15" s="5"/>
      <c r="L15" s="62"/>
      <c r="M15" s="5"/>
      <c r="N15" s="5"/>
      <c r="O15" s="5"/>
      <c r="P15" s="31"/>
      <c r="Q15" s="28"/>
      <c r="R15" s="28"/>
      <c r="S15" s="28"/>
      <c r="T15" s="28"/>
      <c r="U15" s="28"/>
      <c r="V15" s="28"/>
      <c r="W15" s="28"/>
    </row>
    <row r="16" spans="2:23" s="74" customFormat="1" ht="20.149999999999999" customHeight="1" x14ac:dyDescent="0.3">
      <c r="B16" s="207"/>
      <c r="C16" s="62"/>
      <c r="D16" s="4" t="str">
        <f t="shared" si="0"/>
        <v xml:space="preserve"> </v>
      </c>
      <c r="E16" s="4"/>
      <c r="F16" s="5"/>
      <c r="G16" s="5"/>
      <c r="H16" s="15"/>
      <c r="I16" s="5" t="str">
        <f t="shared" si="1"/>
        <v xml:space="preserve"> </v>
      </c>
      <c r="J16" s="16"/>
      <c r="K16" s="5"/>
      <c r="L16" s="62"/>
      <c r="M16" s="5"/>
      <c r="N16" s="5"/>
      <c r="O16" s="5"/>
      <c r="P16" s="31"/>
      <c r="Q16" s="28"/>
      <c r="R16" s="28"/>
      <c r="S16" s="28"/>
      <c r="T16" s="28"/>
      <c r="U16" s="28"/>
      <c r="V16" s="28"/>
      <c r="W16" s="28"/>
    </row>
    <row r="17" spans="2:23" s="74" customFormat="1" ht="20.149999999999999" customHeight="1" x14ac:dyDescent="0.3">
      <c r="B17" s="207"/>
      <c r="C17" s="62"/>
      <c r="D17" s="4" t="str">
        <f t="shared" si="0"/>
        <v xml:space="preserve"> </v>
      </c>
      <c r="E17" s="4"/>
      <c r="F17" s="5"/>
      <c r="G17" s="5"/>
      <c r="H17" s="15"/>
      <c r="I17" s="5" t="str">
        <f t="shared" si="1"/>
        <v xml:space="preserve"> </v>
      </c>
      <c r="J17" s="16"/>
      <c r="K17" s="5"/>
      <c r="L17" s="62"/>
      <c r="M17" s="5"/>
      <c r="N17" s="5"/>
      <c r="O17" s="5"/>
      <c r="P17" s="31"/>
      <c r="Q17" s="28"/>
      <c r="R17" s="28"/>
      <c r="S17" s="28"/>
      <c r="T17" s="28"/>
      <c r="U17" s="28"/>
      <c r="V17" s="28"/>
      <c r="W17" s="28"/>
    </row>
    <row r="18" spans="2:23" s="74" customFormat="1" ht="20.149999999999999" customHeight="1" x14ac:dyDescent="0.3">
      <c r="B18" s="207"/>
      <c r="C18" s="62"/>
      <c r="D18" s="4" t="str">
        <f t="shared" si="0"/>
        <v xml:space="preserve"> </v>
      </c>
      <c r="E18" s="4"/>
      <c r="F18" s="5"/>
      <c r="G18" s="5"/>
      <c r="H18" s="15"/>
      <c r="I18" s="5" t="str">
        <f t="shared" si="1"/>
        <v xml:space="preserve"> </v>
      </c>
      <c r="J18" s="16"/>
      <c r="K18" s="5"/>
      <c r="L18" s="62"/>
      <c r="M18" s="5"/>
      <c r="N18" s="5"/>
      <c r="O18" s="5"/>
      <c r="P18" s="31"/>
      <c r="Q18" s="28"/>
      <c r="R18" s="28"/>
      <c r="S18" s="28"/>
      <c r="T18" s="28"/>
      <c r="U18" s="28"/>
      <c r="V18" s="28"/>
      <c r="W18" s="28"/>
    </row>
    <row r="19" spans="2:23" s="74" customFormat="1" ht="20.149999999999999" customHeight="1" x14ac:dyDescent="0.3">
      <c r="B19" s="207"/>
      <c r="C19" s="62"/>
      <c r="D19" s="4" t="str">
        <f t="shared" si="0"/>
        <v xml:space="preserve"> </v>
      </c>
      <c r="E19" s="4"/>
      <c r="F19" s="5"/>
      <c r="G19" s="5"/>
      <c r="H19" s="15"/>
      <c r="I19" s="5" t="str">
        <f t="shared" si="1"/>
        <v xml:space="preserve"> </v>
      </c>
      <c r="J19" s="16"/>
      <c r="K19" s="5"/>
      <c r="L19" s="62"/>
      <c r="M19" s="5"/>
      <c r="N19" s="5"/>
      <c r="O19" s="5"/>
      <c r="P19" s="31"/>
      <c r="Q19" s="28"/>
      <c r="R19" s="28"/>
      <c r="S19" s="28"/>
      <c r="T19" s="28"/>
      <c r="U19" s="28"/>
      <c r="V19" s="28"/>
      <c r="W19" s="28"/>
    </row>
    <row r="20" spans="2:23" s="74" customFormat="1" ht="20.149999999999999" customHeight="1" x14ac:dyDescent="0.3">
      <c r="B20" s="207"/>
      <c r="C20" s="62"/>
      <c r="D20" s="4" t="str">
        <f t="shared" si="0"/>
        <v xml:space="preserve"> </v>
      </c>
      <c r="E20" s="4"/>
      <c r="F20" s="5"/>
      <c r="G20" s="5"/>
      <c r="H20" s="15"/>
      <c r="I20" s="5" t="str">
        <f t="shared" si="1"/>
        <v xml:space="preserve"> </v>
      </c>
      <c r="J20" s="16"/>
      <c r="K20" s="5"/>
      <c r="L20" s="62"/>
      <c r="M20" s="5"/>
      <c r="N20" s="5"/>
      <c r="O20" s="5"/>
      <c r="P20" s="31"/>
      <c r="Q20" s="28"/>
      <c r="R20" s="28"/>
      <c r="S20" s="28"/>
      <c r="T20" s="28"/>
      <c r="U20" s="28"/>
      <c r="V20" s="28"/>
      <c r="W20" s="28"/>
    </row>
    <row r="21" spans="2:23" s="74" customFormat="1" ht="20.149999999999999" customHeight="1" x14ac:dyDescent="0.3">
      <c r="B21" s="207"/>
      <c r="C21" s="62"/>
      <c r="D21" s="4" t="str">
        <f t="shared" si="0"/>
        <v xml:space="preserve"> </v>
      </c>
      <c r="E21" s="4"/>
      <c r="F21" s="5"/>
      <c r="G21" s="5"/>
      <c r="H21" s="15"/>
      <c r="I21" s="5" t="str">
        <f t="shared" si="1"/>
        <v xml:space="preserve"> </v>
      </c>
      <c r="J21" s="16"/>
      <c r="K21" s="5"/>
      <c r="L21" s="62"/>
      <c r="M21" s="5"/>
      <c r="N21" s="5"/>
      <c r="O21" s="5"/>
      <c r="P21" s="31"/>
      <c r="Q21" s="28"/>
      <c r="R21" s="28"/>
      <c r="S21" s="28"/>
      <c r="T21" s="28"/>
      <c r="U21" s="28"/>
      <c r="V21" s="28"/>
      <c r="W21" s="28"/>
    </row>
    <row r="22" spans="2:23" s="74" customFormat="1" ht="20.149999999999999" customHeight="1" x14ac:dyDescent="0.3">
      <c r="B22" s="207"/>
      <c r="C22" s="62"/>
      <c r="D22" s="4" t="str">
        <f t="shared" si="0"/>
        <v xml:space="preserve"> </v>
      </c>
      <c r="E22" s="4"/>
      <c r="F22" s="5"/>
      <c r="G22" s="5"/>
      <c r="H22" s="15"/>
      <c r="I22" s="5" t="str">
        <f t="shared" si="1"/>
        <v xml:space="preserve"> </v>
      </c>
      <c r="J22" s="16"/>
      <c r="K22" s="5"/>
      <c r="L22" s="62"/>
      <c r="M22" s="5"/>
      <c r="N22" s="5"/>
      <c r="O22" s="5"/>
      <c r="P22" s="31"/>
      <c r="Q22" s="28"/>
      <c r="R22" s="28"/>
      <c r="S22" s="28"/>
      <c r="T22" s="28"/>
      <c r="U22" s="28"/>
      <c r="V22" s="28"/>
      <c r="W22" s="28"/>
    </row>
    <row r="23" spans="2:23" s="74" customFormat="1" ht="20.149999999999999" customHeight="1" x14ac:dyDescent="0.3">
      <c r="B23" s="207"/>
      <c r="C23" s="62"/>
      <c r="D23" s="4" t="str">
        <f t="shared" si="0"/>
        <v xml:space="preserve"> </v>
      </c>
      <c r="E23" s="4"/>
      <c r="F23" s="5"/>
      <c r="G23" s="5"/>
      <c r="H23" s="15"/>
      <c r="I23" s="5" t="str">
        <f t="shared" si="1"/>
        <v xml:space="preserve"> </v>
      </c>
      <c r="J23" s="16"/>
      <c r="K23" s="5"/>
      <c r="L23" s="62"/>
      <c r="M23" s="5"/>
      <c r="N23" s="5"/>
      <c r="O23" s="5"/>
      <c r="P23" s="31"/>
      <c r="Q23" s="28"/>
      <c r="R23" s="28"/>
      <c r="S23" s="28"/>
      <c r="T23" s="28"/>
      <c r="U23" s="28"/>
      <c r="V23" s="28"/>
      <c r="W23" s="28"/>
    </row>
    <row r="24" spans="2:23" s="74" customFormat="1" ht="20.149999999999999" customHeight="1" x14ac:dyDescent="0.3">
      <c r="B24" s="207"/>
      <c r="C24" s="62"/>
      <c r="D24" s="4" t="str">
        <f t="shared" si="0"/>
        <v xml:space="preserve"> </v>
      </c>
      <c r="E24" s="4"/>
      <c r="F24" s="5"/>
      <c r="G24" s="5"/>
      <c r="H24" s="15"/>
      <c r="I24" s="5" t="str">
        <f t="shared" si="1"/>
        <v xml:space="preserve"> </v>
      </c>
      <c r="J24" s="16"/>
      <c r="K24" s="5"/>
      <c r="L24" s="62"/>
      <c r="M24" s="5"/>
      <c r="N24" s="5"/>
      <c r="O24" s="5"/>
      <c r="P24" s="31"/>
      <c r="Q24" s="28"/>
      <c r="R24" s="28"/>
      <c r="S24" s="28"/>
      <c r="T24" s="28"/>
      <c r="U24" s="28"/>
      <c r="V24" s="28"/>
      <c r="W24" s="28"/>
    </row>
    <row r="25" spans="2:23" s="74" customFormat="1" ht="20.149999999999999" customHeight="1" x14ac:dyDescent="0.3">
      <c r="B25" s="207"/>
      <c r="C25" s="62"/>
      <c r="D25" s="4" t="str">
        <f t="shared" si="0"/>
        <v xml:space="preserve"> </v>
      </c>
      <c r="E25" s="4"/>
      <c r="F25" s="5"/>
      <c r="G25" s="5"/>
      <c r="H25" s="15"/>
      <c r="I25" s="5" t="str">
        <f t="shared" si="1"/>
        <v xml:space="preserve"> </v>
      </c>
      <c r="J25" s="16"/>
      <c r="K25" s="5"/>
      <c r="L25" s="62"/>
      <c r="M25" s="5"/>
      <c r="N25" s="5"/>
      <c r="O25" s="5"/>
      <c r="P25" s="31"/>
      <c r="Q25" s="28"/>
      <c r="R25" s="28"/>
      <c r="S25" s="28"/>
      <c r="T25" s="28"/>
      <c r="U25" s="28"/>
      <c r="V25" s="28"/>
      <c r="W25" s="28"/>
    </row>
    <row r="26" spans="2:23" s="74" customFormat="1" ht="20.149999999999999" customHeight="1" x14ac:dyDescent="0.3">
      <c r="B26" s="208"/>
      <c r="C26" s="202"/>
      <c r="D26" s="203" t="str">
        <f t="shared" si="0"/>
        <v xml:space="preserve"> </v>
      </c>
      <c r="E26" s="203"/>
      <c r="F26" s="204"/>
      <c r="G26" s="204"/>
      <c r="H26" s="205"/>
      <c r="I26" s="204" t="str">
        <f t="shared" si="1"/>
        <v xml:space="preserve"> </v>
      </c>
      <c r="J26" s="206"/>
      <c r="K26" s="204"/>
      <c r="L26" s="202"/>
      <c r="M26" s="204"/>
      <c r="N26" s="204"/>
      <c r="O26" s="204"/>
      <c r="P26" s="31"/>
      <c r="Q26" s="28"/>
      <c r="R26" s="28"/>
      <c r="S26" s="28"/>
      <c r="T26" s="28"/>
      <c r="U26" s="28"/>
      <c r="V26" s="28"/>
      <c r="W26" s="28"/>
    </row>
    <row r="27" spans="2:23" s="74" customFormat="1" ht="20.149999999999999" customHeight="1" x14ac:dyDescent="0.3">
      <c r="B27" s="207"/>
      <c r="C27" s="62"/>
      <c r="D27" s="4" t="str">
        <f t="shared" si="0"/>
        <v xml:space="preserve"> </v>
      </c>
      <c r="E27" s="4"/>
      <c r="F27" s="5"/>
      <c r="G27" s="5"/>
      <c r="H27" s="15"/>
      <c r="I27" s="5" t="str">
        <f t="shared" si="1"/>
        <v xml:space="preserve"> </v>
      </c>
      <c r="J27" s="16"/>
      <c r="K27" s="5"/>
      <c r="L27" s="62"/>
      <c r="M27" s="5"/>
      <c r="N27" s="5"/>
      <c r="O27" s="5"/>
      <c r="P27" s="31"/>
      <c r="Q27" s="28"/>
      <c r="R27" s="28"/>
      <c r="S27" s="28"/>
      <c r="T27" s="28"/>
      <c r="U27" s="28"/>
      <c r="V27" s="28"/>
      <c r="W27" s="28"/>
    </row>
    <row r="28" spans="2:23" s="74" customFormat="1" ht="20.149999999999999" customHeight="1" x14ac:dyDescent="0.3">
      <c r="B28" s="207"/>
      <c r="C28" s="62"/>
      <c r="D28" s="4" t="str">
        <f t="shared" si="0"/>
        <v xml:space="preserve"> </v>
      </c>
      <c r="E28" s="4"/>
      <c r="F28" s="5"/>
      <c r="G28" s="5"/>
      <c r="H28" s="15"/>
      <c r="I28" s="5" t="str">
        <f t="shared" si="1"/>
        <v xml:space="preserve"> </v>
      </c>
      <c r="J28" s="16"/>
      <c r="K28" s="5"/>
      <c r="L28" s="62"/>
      <c r="M28" s="5"/>
      <c r="N28" s="5"/>
      <c r="O28" s="5"/>
      <c r="P28" s="31"/>
      <c r="Q28" s="28"/>
      <c r="R28" s="28"/>
      <c r="S28" s="28"/>
      <c r="T28" s="28"/>
      <c r="U28" s="28"/>
      <c r="V28" s="28"/>
      <c r="W28" s="28"/>
    </row>
    <row r="29" spans="2:23" s="74" customFormat="1" ht="20.149999999999999" customHeight="1" x14ac:dyDescent="0.3">
      <c r="B29" s="207"/>
      <c r="C29" s="62"/>
      <c r="D29" s="4" t="str">
        <f t="shared" si="0"/>
        <v xml:space="preserve"> </v>
      </c>
      <c r="E29" s="4"/>
      <c r="F29" s="5"/>
      <c r="G29" s="5"/>
      <c r="H29" s="15"/>
      <c r="I29" s="5" t="str">
        <f t="shared" si="1"/>
        <v xml:space="preserve"> </v>
      </c>
      <c r="J29" s="16"/>
      <c r="K29" s="5"/>
      <c r="L29" s="62"/>
      <c r="M29" s="5"/>
      <c r="N29" s="5"/>
      <c r="O29" s="5"/>
      <c r="P29" s="31"/>
      <c r="Q29" s="28"/>
      <c r="R29" s="28"/>
      <c r="S29" s="28"/>
      <c r="T29" s="28"/>
      <c r="U29" s="28"/>
      <c r="V29" s="28"/>
      <c r="W29" s="28"/>
    </row>
    <row r="30" spans="2:23" s="74" customFormat="1" ht="20.149999999999999" customHeight="1" x14ac:dyDescent="0.3">
      <c r="B30" s="207"/>
      <c r="C30" s="62"/>
      <c r="D30" s="4" t="str">
        <f t="shared" si="0"/>
        <v xml:space="preserve"> </v>
      </c>
      <c r="E30" s="4"/>
      <c r="F30" s="5"/>
      <c r="G30" s="5"/>
      <c r="H30" s="15"/>
      <c r="I30" s="5" t="str">
        <f t="shared" si="1"/>
        <v xml:space="preserve"> </v>
      </c>
      <c r="J30" s="16"/>
      <c r="K30" s="5"/>
      <c r="L30" s="62"/>
      <c r="M30" s="5"/>
      <c r="N30" s="5"/>
      <c r="O30" s="5"/>
      <c r="P30" s="31"/>
      <c r="Q30" s="28"/>
      <c r="R30" s="28"/>
      <c r="S30" s="28"/>
      <c r="T30" s="28"/>
      <c r="U30" s="28"/>
      <c r="V30" s="28"/>
      <c r="W30" s="28"/>
    </row>
    <row r="31" spans="2:23" s="74" customFormat="1" ht="20.149999999999999" customHeight="1" x14ac:dyDescent="0.3">
      <c r="B31" s="207"/>
      <c r="C31" s="62"/>
      <c r="D31" s="4" t="str">
        <f t="shared" si="0"/>
        <v xml:space="preserve"> </v>
      </c>
      <c r="E31" s="4"/>
      <c r="F31" s="5"/>
      <c r="G31" s="5"/>
      <c r="H31" s="15"/>
      <c r="I31" s="5" t="str">
        <f t="shared" si="1"/>
        <v xml:space="preserve"> </v>
      </c>
      <c r="J31" s="16"/>
      <c r="K31" s="5"/>
      <c r="L31" s="62"/>
      <c r="M31" s="5"/>
      <c r="N31" s="5"/>
      <c r="O31" s="5"/>
      <c r="P31" s="31"/>
      <c r="Q31" s="28"/>
      <c r="R31" s="28"/>
      <c r="S31" s="28"/>
      <c r="T31" s="28"/>
      <c r="U31" s="28"/>
      <c r="V31" s="28"/>
      <c r="W31" s="28"/>
    </row>
    <row r="32" spans="2:23" s="74" customFormat="1" ht="20.149999999999999" customHeight="1" x14ac:dyDescent="0.3">
      <c r="B32" s="207"/>
      <c r="C32" s="62"/>
      <c r="D32" s="4" t="str">
        <f t="shared" si="0"/>
        <v xml:space="preserve"> </v>
      </c>
      <c r="E32" s="4"/>
      <c r="F32" s="5"/>
      <c r="G32" s="5"/>
      <c r="H32" s="15"/>
      <c r="I32" s="5" t="str">
        <f t="shared" si="1"/>
        <v xml:space="preserve"> </v>
      </c>
      <c r="J32" s="16"/>
      <c r="K32" s="5"/>
      <c r="L32" s="62"/>
      <c r="M32" s="5"/>
      <c r="N32" s="5"/>
      <c r="O32" s="5"/>
      <c r="P32" s="31"/>
      <c r="Q32" s="28"/>
      <c r="R32" s="28"/>
      <c r="S32" s="28"/>
      <c r="T32" s="28"/>
      <c r="U32" s="28"/>
      <c r="V32" s="28"/>
      <c r="W32" s="28"/>
    </row>
    <row r="33" spans="2:23" s="74" customFormat="1" ht="20.149999999999999" customHeight="1" x14ac:dyDescent="0.3">
      <c r="B33" s="207"/>
      <c r="C33" s="62"/>
      <c r="D33" s="4" t="str">
        <f t="shared" si="0"/>
        <v xml:space="preserve"> </v>
      </c>
      <c r="E33" s="4"/>
      <c r="F33" s="5"/>
      <c r="G33" s="5"/>
      <c r="H33" s="15"/>
      <c r="I33" s="5" t="str">
        <f t="shared" si="1"/>
        <v xml:space="preserve"> </v>
      </c>
      <c r="J33" s="16"/>
      <c r="K33" s="5"/>
      <c r="L33" s="62"/>
      <c r="M33" s="5"/>
      <c r="N33" s="5"/>
      <c r="O33" s="5"/>
      <c r="P33" s="31"/>
      <c r="Q33" s="28"/>
      <c r="R33" s="28"/>
      <c r="S33" s="28"/>
      <c r="T33" s="28"/>
      <c r="U33" s="28"/>
      <c r="V33" s="28"/>
      <c r="W33" s="28"/>
    </row>
    <row r="34" spans="2:23" s="74" customFormat="1" ht="20.149999999999999" customHeight="1" x14ac:dyDescent="0.3">
      <c r="B34" s="207"/>
      <c r="C34" s="62"/>
      <c r="D34" s="4" t="str">
        <f t="shared" si="0"/>
        <v xml:space="preserve"> </v>
      </c>
      <c r="E34" s="4"/>
      <c r="F34" s="5"/>
      <c r="G34" s="5"/>
      <c r="H34" s="15"/>
      <c r="I34" s="5" t="str">
        <f t="shared" si="1"/>
        <v xml:space="preserve"> </v>
      </c>
      <c r="J34" s="16"/>
      <c r="K34" s="5"/>
      <c r="L34" s="62"/>
      <c r="M34" s="5"/>
      <c r="N34" s="5"/>
      <c r="O34" s="5"/>
      <c r="P34" s="31"/>
      <c r="Q34" s="28"/>
      <c r="R34" s="28"/>
      <c r="S34" s="28"/>
      <c r="T34" s="28"/>
      <c r="U34" s="28"/>
      <c r="V34" s="28"/>
      <c r="W34" s="28"/>
    </row>
    <row r="35" spans="2:23" s="74" customFormat="1" ht="20.149999999999999" customHeight="1" x14ac:dyDescent="0.3">
      <c r="B35" s="207"/>
      <c r="C35" s="62"/>
      <c r="D35" s="4" t="str">
        <f t="shared" si="0"/>
        <v xml:space="preserve"> </v>
      </c>
      <c r="E35" s="4"/>
      <c r="F35" s="5"/>
      <c r="G35" s="5"/>
      <c r="H35" s="15"/>
      <c r="I35" s="5" t="str">
        <f t="shared" si="1"/>
        <v xml:space="preserve"> </v>
      </c>
      <c r="J35" s="16"/>
      <c r="K35" s="5"/>
      <c r="L35" s="62"/>
      <c r="M35" s="5"/>
      <c r="N35" s="5"/>
      <c r="O35" s="5"/>
      <c r="P35" s="31"/>
      <c r="Q35" s="28"/>
      <c r="R35" s="28"/>
      <c r="S35" s="28"/>
      <c r="T35" s="28"/>
      <c r="U35" s="28"/>
      <c r="V35" s="28"/>
      <c r="W35" s="28"/>
    </row>
    <row r="36" spans="2:23" s="74" customFormat="1" ht="20.149999999999999" customHeight="1" x14ac:dyDescent="0.3">
      <c r="B36" s="207"/>
      <c r="C36" s="62"/>
      <c r="D36" s="4" t="str">
        <f t="shared" si="0"/>
        <v xml:space="preserve"> </v>
      </c>
      <c r="E36" s="4"/>
      <c r="F36" s="5"/>
      <c r="G36" s="5"/>
      <c r="H36" s="15"/>
      <c r="I36" s="5" t="str">
        <f t="shared" si="1"/>
        <v xml:space="preserve"> </v>
      </c>
      <c r="J36" s="16"/>
      <c r="K36" s="5"/>
      <c r="L36" s="62"/>
      <c r="M36" s="5"/>
      <c r="N36" s="5"/>
      <c r="O36" s="5"/>
      <c r="P36" s="31"/>
      <c r="Q36" s="28"/>
      <c r="R36" s="28"/>
      <c r="S36" s="28"/>
      <c r="T36" s="28"/>
      <c r="U36" s="28"/>
      <c r="V36" s="28"/>
      <c r="W36" s="28"/>
    </row>
    <row r="37" spans="2:23" s="74" customFormat="1" ht="20.149999999999999" customHeight="1" x14ac:dyDescent="0.3">
      <c r="B37" s="207"/>
      <c r="C37" s="62"/>
      <c r="D37" s="4" t="str">
        <f t="shared" si="0"/>
        <v xml:space="preserve"> </v>
      </c>
      <c r="E37" s="4"/>
      <c r="F37" s="5"/>
      <c r="G37" s="5"/>
      <c r="H37" s="15"/>
      <c r="I37" s="5" t="str">
        <f t="shared" si="1"/>
        <v xml:space="preserve"> </v>
      </c>
      <c r="J37" s="16"/>
      <c r="K37" s="5"/>
      <c r="L37" s="62"/>
      <c r="M37" s="5"/>
      <c r="N37" s="5"/>
      <c r="O37" s="5"/>
      <c r="P37" s="31"/>
      <c r="Q37" s="28"/>
      <c r="R37" s="28"/>
      <c r="S37" s="28"/>
      <c r="T37" s="28"/>
      <c r="U37" s="28"/>
      <c r="V37" s="28"/>
      <c r="W37" s="28"/>
    </row>
    <row r="38" spans="2:23" s="74" customFormat="1" ht="20.149999999999999" customHeight="1" x14ac:dyDescent="0.3">
      <c r="B38" s="207"/>
      <c r="C38" s="62"/>
      <c r="D38" s="4" t="str">
        <f t="shared" si="0"/>
        <v xml:space="preserve"> </v>
      </c>
      <c r="E38" s="4"/>
      <c r="F38" s="5"/>
      <c r="G38" s="5"/>
      <c r="H38" s="15"/>
      <c r="I38" s="5" t="str">
        <f t="shared" si="1"/>
        <v xml:space="preserve"> </v>
      </c>
      <c r="J38" s="16"/>
      <c r="K38" s="5"/>
      <c r="L38" s="62"/>
      <c r="M38" s="5"/>
      <c r="N38" s="5"/>
      <c r="O38" s="5"/>
      <c r="P38" s="31"/>
      <c r="Q38" s="28"/>
      <c r="R38" s="28"/>
      <c r="S38" s="28"/>
      <c r="T38" s="28"/>
      <c r="U38" s="28"/>
      <c r="V38" s="28"/>
      <c r="W38" s="28"/>
    </row>
    <row r="39" spans="2:23" s="74" customFormat="1" ht="20.149999999999999" customHeight="1" x14ac:dyDescent="0.3">
      <c r="B39" s="207"/>
      <c r="C39" s="62"/>
      <c r="D39" s="4" t="str">
        <f t="shared" si="0"/>
        <v xml:space="preserve"> </v>
      </c>
      <c r="E39" s="4"/>
      <c r="F39" s="5"/>
      <c r="G39" s="5"/>
      <c r="H39" s="15"/>
      <c r="I39" s="5" t="str">
        <f t="shared" si="1"/>
        <v xml:space="preserve"> </v>
      </c>
      <c r="J39" s="16"/>
      <c r="K39" s="5"/>
      <c r="L39" s="62"/>
      <c r="M39" s="5"/>
      <c r="N39" s="5"/>
      <c r="O39" s="5"/>
      <c r="P39" s="31"/>
      <c r="Q39" s="28"/>
      <c r="R39" s="28"/>
      <c r="S39" s="28"/>
      <c r="T39" s="28"/>
      <c r="U39" s="28"/>
      <c r="V39" s="28"/>
      <c r="W39" s="28"/>
    </row>
    <row r="40" spans="2:23" s="74" customFormat="1" ht="20.149999999999999" customHeight="1" x14ac:dyDescent="0.3">
      <c r="B40" s="207"/>
      <c r="C40" s="62"/>
      <c r="D40" s="4" t="str">
        <f t="shared" si="0"/>
        <v xml:space="preserve"> </v>
      </c>
      <c r="E40" s="4"/>
      <c r="F40" s="5"/>
      <c r="G40" s="5"/>
      <c r="H40" s="15"/>
      <c r="I40" s="5" t="str">
        <f t="shared" si="1"/>
        <v xml:space="preserve"> </v>
      </c>
      <c r="J40" s="16"/>
      <c r="K40" s="5"/>
      <c r="L40" s="62"/>
      <c r="M40" s="5"/>
      <c r="N40" s="5"/>
      <c r="O40" s="5"/>
      <c r="P40" s="31"/>
      <c r="Q40" s="28"/>
      <c r="R40" s="28"/>
      <c r="S40" s="28"/>
      <c r="T40" s="28"/>
      <c r="U40" s="28"/>
      <c r="V40" s="28"/>
      <c r="W40" s="28"/>
    </row>
    <row r="41" spans="2:23" s="74" customFormat="1" ht="20.149999999999999" customHeight="1" x14ac:dyDescent="0.3">
      <c r="B41" s="207"/>
      <c r="C41" s="62"/>
      <c r="D41" s="4" t="str">
        <f t="shared" si="0"/>
        <v xml:space="preserve"> </v>
      </c>
      <c r="E41" s="4"/>
      <c r="F41" s="5"/>
      <c r="G41" s="5"/>
      <c r="H41" s="15"/>
      <c r="I41" s="5" t="str">
        <f t="shared" si="1"/>
        <v xml:space="preserve"> </v>
      </c>
      <c r="J41" s="16"/>
      <c r="K41" s="5"/>
      <c r="L41" s="62"/>
      <c r="M41" s="5"/>
      <c r="N41" s="5"/>
      <c r="O41" s="5"/>
      <c r="P41" s="31"/>
      <c r="Q41" s="28"/>
      <c r="R41" s="28"/>
      <c r="S41" s="28"/>
      <c r="T41" s="28"/>
      <c r="U41" s="28"/>
      <c r="V41" s="28"/>
      <c r="W41" s="28"/>
    </row>
    <row r="42" spans="2:23" s="74" customFormat="1" ht="20.149999999999999" customHeight="1" x14ac:dyDescent="0.3">
      <c r="B42" s="207"/>
      <c r="C42" s="62"/>
      <c r="D42" s="4" t="str">
        <f>IF(C42=0," ","Z2")</f>
        <v xml:space="preserve"> </v>
      </c>
      <c r="E42" s="4"/>
      <c r="F42" s="5"/>
      <c r="G42" s="5"/>
      <c r="H42" s="15"/>
      <c r="I42" s="5" t="str">
        <f t="shared" si="1"/>
        <v xml:space="preserve"> </v>
      </c>
      <c r="J42" s="16"/>
      <c r="K42" s="5"/>
      <c r="L42" s="62"/>
      <c r="M42" s="5"/>
      <c r="N42" s="5"/>
      <c r="O42" s="5"/>
      <c r="P42" s="31"/>
      <c r="Q42" s="28"/>
      <c r="R42" s="28"/>
      <c r="S42" s="28"/>
      <c r="T42" s="28"/>
      <c r="U42" s="28"/>
      <c r="V42" s="28"/>
      <c r="W42" s="28"/>
    </row>
    <row r="43" spans="2:23" s="74" customFormat="1" ht="20.149999999999999" customHeight="1" x14ac:dyDescent="0.3">
      <c r="B43" s="208"/>
      <c r="C43" s="202"/>
      <c r="D43" s="203" t="str">
        <f t="shared" si="0"/>
        <v xml:space="preserve"> </v>
      </c>
      <c r="E43" s="203"/>
      <c r="F43" s="204"/>
      <c r="G43" s="204"/>
      <c r="H43" s="205"/>
      <c r="I43" s="204" t="str">
        <f t="shared" si="1"/>
        <v xml:space="preserve"> </v>
      </c>
      <c r="J43" s="206"/>
      <c r="K43" s="204"/>
      <c r="L43" s="202"/>
      <c r="M43" s="204"/>
      <c r="N43" s="204"/>
      <c r="O43" s="204"/>
      <c r="P43" s="31"/>
      <c r="Q43" s="28"/>
      <c r="R43" s="28"/>
      <c r="S43" s="28"/>
      <c r="T43" s="28"/>
      <c r="U43" s="28"/>
      <c r="V43" s="28"/>
      <c r="W43" s="28"/>
    </row>
    <row r="44" spans="2:23" s="74" customFormat="1" ht="20.149999999999999" customHeight="1" x14ac:dyDescent="0.3">
      <c r="B44" s="207"/>
      <c r="C44" s="62"/>
      <c r="D44" s="4" t="str">
        <f t="shared" si="0"/>
        <v xml:space="preserve"> </v>
      </c>
      <c r="E44" s="4"/>
      <c r="F44" s="5"/>
      <c r="G44" s="5"/>
      <c r="H44" s="15"/>
      <c r="I44" s="5" t="str">
        <f t="shared" si="1"/>
        <v xml:space="preserve"> </v>
      </c>
      <c r="J44" s="16"/>
      <c r="K44" s="5"/>
      <c r="L44" s="62"/>
      <c r="M44" s="5"/>
      <c r="N44" s="5"/>
      <c r="O44" s="5"/>
      <c r="P44" s="31"/>
      <c r="Q44" s="28"/>
      <c r="R44" s="28"/>
      <c r="S44" s="28"/>
      <c r="T44" s="28"/>
      <c r="U44" s="28"/>
      <c r="V44" s="28"/>
      <c r="W44" s="28"/>
    </row>
    <row r="45" spans="2:23" s="74" customFormat="1" ht="20.149999999999999" customHeight="1" x14ac:dyDescent="0.3">
      <c r="B45" s="201"/>
      <c r="C45" s="229"/>
      <c r="D45" s="230" t="str">
        <f t="shared" si="0"/>
        <v xml:space="preserve"> </v>
      </c>
      <c r="E45" s="230"/>
      <c r="F45" s="231"/>
      <c r="G45" s="231"/>
      <c r="H45" s="232"/>
      <c r="I45" s="231" t="str">
        <f t="shared" si="1"/>
        <v xml:space="preserve"> </v>
      </c>
      <c r="J45" s="233"/>
      <c r="K45" s="231"/>
      <c r="L45" s="229"/>
      <c r="M45" s="231"/>
      <c r="N45" s="231"/>
      <c r="O45" s="231"/>
      <c r="P45" s="31"/>
      <c r="Q45" s="28"/>
      <c r="R45" s="28"/>
      <c r="S45" s="28"/>
      <c r="T45" s="28"/>
      <c r="U45" s="28"/>
      <c r="V45" s="28"/>
      <c r="W45" s="28"/>
    </row>
    <row r="46" spans="2:23" s="96" customFormat="1" ht="20.149999999999999" customHeight="1" x14ac:dyDescent="0.3">
      <c r="B46" s="313" t="s">
        <v>224</v>
      </c>
      <c r="C46" s="313"/>
      <c r="D46" s="313"/>
      <c r="E46" s="313"/>
      <c r="F46" s="227">
        <f>SUM(F13:F45)</f>
        <v>3000</v>
      </c>
      <c r="G46" s="227"/>
      <c r="H46" s="227"/>
      <c r="I46" s="227">
        <f>SUM(I13:I45)</f>
        <v>3630</v>
      </c>
      <c r="J46" s="228"/>
      <c r="K46" s="228"/>
      <c r="L46" s="228"/>
      <c r="M46" s="227"/>
      <c r="N46" s="227"/>
      <c r="O46" s="227"/>
      <c r="P46" s="29"/>
      <c r="Q46" s="28"/>
      <c r="R46" s="28"/>
      <c r="S46" s="28"/>
      <c r="T46" s="28"/>
      <c r="U46" s="28"/>
      <c r="V46" s="28"/>
      <c r="W46" s="28"/>
    </row>
    <row r="47" spans="2:23" ht="20.149999999999999" customHeight="1" x14ac:dyDescent="0.3">
      <c r="D47" s="30"/>
      <c r="E47" s="31"/>
      <c r="F47" s="31"/>
      <c r="G47" s="31"/>
      <c r="H47" s="31"/>
      <c r="I47" s="31"/>
      <c r="J47" s="31"/>
      <c r="K47" s="30"/>
      <c r="L47" s="31"/>
      <c r="M47" s="31"/>
      <c r="N47" s="31"/>
      <c r="O47" s="31"/>
      <c r="P47" s="31"/>
    </row>
    <row r="48" spans="2:23" s="59" customFormat="1" ht="20.149999999999999" customHeight="1" x14ac:dyDescent="0.35">
      <c r="D48" s="60"/>
      <c r="E48" s="60"/>
      <c r="F48" s="60"/>
      <c r="G48" s="60"/>
      <c r="H48" s="60"/>
      <c r="I48" s="60"/>
      <c r="J48" s="60"/>
      <c r="K48" s="60"/>
      <c r="L48" s="60"/>
      <c r="M48" s="60"/>
      <c r="N48" s="60"/>
      <c r="O48" s="60"/>
      <c r="P48" s="60"/>
      <c r="Q48" s="28"/>
      <c r="R48" s="28"/>
      <c r="S48" s="28"/>
      <c r="T48" s="28"/>
      <c r="U48" s="28"/>
      <c r="V48" s="28"/>
      <c r="W48" s="28"/>
    </row>
    <row r="49" spans="2:22" s="59" customFormat="1" ht="20.149999999999999" customHeight="1" x14ac:dyDescent="0.35">
      <c r="D49" s="60"/>
      <c r="E49" s="60"/>
      <c r="F49" s="60"/>
      <c r="G49" s="60"/>
      <c r="H49" s="60"/>
      <c r="I49" s="60"/>
      <c r="J49" s="60"/>
      <c r="K49" s="60"/>
      <c r="L49" s="60"/>
      <c r="M49" s="60"/>
      <c r="N49" s="60"/>
      <c r="O49" s="60"/>
      <c r="P49" s="60"/>
      <c r="Q49" s="28"/>
      <c r="R49" s="28"/>
      <c r="S49" s="28"/>
      <c r="T49" s="28"/>
      <c r="U49" s="28"/>
      <c r="V49" s="28"/>
    </row>
    <row r="50" spans="2:22" s="59" customFormat="1" ht="20.149999999999999" customHeight="1" x14ac:dyDescent="0.35">
      <c r="D50" s="60"/>
      <c r="E50" s="60"/>
      <c r="F50" s="60"/>
      <c r="G50" s="60"/>
      <c r="H50" s="60"/>
      <c r="I50" s="60"/>
      <c r="J50" s="60"/>
      <c r="K50" s="60"/>
      <c r="L50" s="60"/>
      <c r="M50" s="60"/>
      <c r="N50" s="60"/>
      <c r="O50" s="60"/>
      <c r="P50" s="60"/>
      <c r="Q50" s="28"/>
      <c r="R50" s="28"/>
      <c r="S50" s="28"/>
      <c r="T50" s="28"/>
      <c r="U50" s="28"/>
      <c r="V50" s="28"/>
    </row>
    <row r="51" spans="2:22" s="59" customFormat="1" ht="20.149999999999999" customHeight="1" x14ac:dyDescent="0.35">
      <c r="D51" s="60"/>
      <c r="E51" s="60"/>
      <c r="F51" s="60"/>
      <c r="G51" s="60"/>
      <c r="H51" s="60"/>
      <c r="I51" s="60"/>
      <c r="J51" s="60"/>
      <c r="K51" s="60"/>
      <c r="L51" s="60"/>
      <c r="M51" s="60"/>
      <c r="N51" s="60"/>
      <c r="O51" s="60"/>
      <c r="P51" s="60"/>
      <c r="Q51" s="28"/>
      <c r="R51" s="28"/>
      <c r="S51" s="28"/>
      <c r="T51" s="28"/>
      <c r="U51" s="28"/>
      <c r="V51" s="28"/>
    </row>
    <row r="52" spans="2:22" ht="20.149999999999999" customHeight="1" x14ac:dyDescent="0.3">
      <c r="D52" s="31"/>
      <c r="E52" s="31"/>
      <c r="F52" s="31"/>
      <c r="G52" s="31"/>
      <c r="H52" s="31"/>
      <c r="I52" s="31"/>
      <c r="J52" s="31"/>
      <c r="K52" s="31"/>
      <c r="L52" s="31"/>
      <c r="M52" s="31"/>
      <c r="N52" s="31"/>
      <c r="O52" s="31"/>
      <c r="P52" s="31"/>
    </row>
    <row r="53" spans="2:22" ht="20.149999999999999" customHeight="1" x14ac:dyDescent="0.3"/>
    <row r="55" spans="2:22" ht="20.149999999999999" customHeight="1" x14ac:dyDescent="0.3">
      <c r="B55" s="72" t="s">
        <v>252</v>
      </c>
      <c r="C55" s="72"/>
      <c r="D55" s="72"/>
      <c r="E55" s="31"/>
      <c r="F55" s="31"/>
      <c r="G55" s="31"/>
      <c r="H55" s="31"/>
      <c r="I55" s="31"/>
      <c r="J55" s="31"/>
      <c r="K55" s="72"/>
      <c r="L55" s="31"/>
      <c r="M55" s="31"/>
      <c r="N55" s="31"/>
      <c r="O55" s="31"/>
      <c r="P55" s="31"/>
      <c r="Q55" s="31"/>
      <c r="R55" s="31"/>
    </row>
    <row r="56" spans="2:22" ht="285.75" customHeight="1" x14ac:dyDescent="0.3">
      <c r="B56" s="314" t="s">
        <v>87</v>
      </c>
      <c r="C56" s="315"/>
      <c r="D56" s="315"/>
      <c r="E56" s="315"/>
      <c r="F56" s="315"/>
      <c r="G56" s="315"/>
      <c r="H56" s="315"/>
      <c r="I56" s="315"/>
      <c r="J56" s="181"/>
      <c r="K56" s="181"/>
      <c r="L56" s="181"/>
      <c r="M56" s="31"/>
      <c r="N56" s="31"/>
      <c r="O56" s="31"/>
      <c r="P56" s="31"/>
      <c r="Q56" s="31"/>
      <c r="R56" s="31"/>
    </row>
  </sheetData>
  <autoFilter ref="B12:E12" xr:uid="{F0215733-3491-41E7-AEDA-44D9E214180D}"/>
  <mergeCells count="19">
    <mergeCell ref="K9:N9"/>
    <mergeCell ref="F6:G6"/>
    <mergeCell ref="F7:G7"/>
    <mergeCell ref="F8:G8"/>
    <mergeCell ref="F9:G9"/>
    <mergeCell ref="K4:N4"/>
    <mergeCell ref="K5:N5"/>
    <mergeCell ref="K6:N6"/>
    <mergeCell ref="K7:N7"/>
    <mergeCell ref="K8:N8"/>
    <mergeCell ref="B46:E46"/>
    <mergeCell ref="B56:I56"/>
    <mergeCell ref="C4:D4"/>
    <mergeCell ref="C5:D5"/>
    <mergeCell ref="C6:D6"/>
    <mergeCell ref="C7:D7"/>
    <mergeCell ref="F5:G5"/>
    <mergeCell ref="F4:G4"/>
    <mergeCell ref="C10:D10"/>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70" zoomScaleNormal="70" workbookViewId="0">
      <selection activeCell="L9" sqref="L9"/>
    </sheetView>
  </sheetViews>
  <sheetFormatPr baseColWidth="10" defaultColWidth="9.1796875" defaultRowHeight="13.5" x14ac:dyDescent="0.25"/>
  <cols>
    <col min="1" max="1" width="2.1796875" style="100" customWidth="1"/>
    <col min="2" max="2" width="25.7265625" style="100" customWidth="1"/>
    <col min="3" max="3" width="28.453125" style="100" customWidth="1"/>
    <col min="4" max="28" width="14.7265625" style="100" customWidth="1"/>
    <col min="29" max="29" width="11.26953125" style="100" customWidth="1"/>
    <col min="30" max="16384" width="9.1796875" style="100"/>
  </cols>
  <sheetData>
    <row r="2" spans="1:41" ht="21" customHeight="1" x14ac:dyDescent="0.25">
      <c r="B2" s="26" t="s">
        <v>5</v>
      </c>
      <c r="C2" s="117" t="str">
        <f>'Project Infor'!C10</f>
        <v>ZEV-PCE0012-1001</v>
      </c>
      <c r="D2" s="224" t="str">
        <f>'Project Infor'!C11</f>
        <v>Smart Airport en la nueva terminal de Puerto Vallarta</v>
      </c>
      <c r="E2" s="103"/>
      <c r="F2" s="103"/>
      <c r="G2" s="103"/>
      <c r="H2" s="103"/>
      <c r="I2" s="103"/>
      <c r="J2" s="103"/>
      <c r="K2" s="103"/>
    </row>
    <row r="3" spans="1:41" ht="9" customHeight="1" x14ac:dyDescent="0.25">
      <c r="B3" s="71"/>
      <c r="C3" s="71"/>
      <c r="D3" s="71"/>
      <c r="E3" s="71"/>
    </row>
    <row r="4" spans="1:41" ht="15" customHeight="1" x14ac:dyDescent="0.25">
      <c r="B4" s="105"/>
      <c r="C4" s="105"/>
      <c r="D4" s="106"/>
      <c r="E4" s="106"/>
      <c r="F4" s="106"/>
      <c r="G4" s="106"/>
      <c r="H4" s="106"/>
      <c r="I4" s="106"/>
      <c r="J4" s="106"/>
      <c r="K4" s="106"/>
      <c r="L4" s="106"/>
      <c r="M4" s="106"/>
    </row>
    <row r="5" spans="1:41" ht="20.149999999999999" customHeight="1" x14ac:dyDescent="0.25">
      <c r="B5" s="321" t="s">
        <v>253</v>
      </c>
      <c r="C5" s="321"/>
      <c r="D5" s="322" t="s">
        <v>263</v>
      </c>
      <c r="E5" s="322"/>
      <c r="F5" s="322"/>
      <c r="G5" s="322"/>
      <c r="H5" s="106"/>
      <c r="I5" s="106"/>
      <c r="J5" s="106"/>
      <c r="K5" s="106"/>
      <c r="L5" s="106"/>
      <c r="M5" s="106"/>
      <c r="N5" s="106"/>
      <c r="O5" s="106"/>
      <c r="P5" s="106"/>
      <c r="Q5" s="106"/>
      <c r="R5" s="106"/>
    </row>
    <row r="6" spans="1:41" s="110" customFormat="1" ht="35.15" customHeight="1" x14ac:dyDescent="0.25">
      <c r="B6" s="239" t="s">
        <v>255</v>
      </c>
      <c r="C6" s="239" t="s">
        <v>256</v>
      </c>
      <c r="D6" s="250">
        <f>'Project Infor'!$C$8</f>
        <v>45962</v>
      </c>
      <c r="E6" s="250">
        <f t="shared" ref="E6:AB6" si="0">EOMONTH(D6,1)</f>
        <v>46022</v>
      </c>
      <c r="F6" s="250">
        <f t="shared" si="0"/>
        <v>46053</v>
      </c>
      <c r="G6" s="250">
        <f t="shared" si="0"/>
        <v>46081</v>
      </c>
      <c r="H6" s="250">
        <f t="shared" si="0"/>
        <v>46112</v>
      </c>
      <c r="I6" s="250">
        <f t="shared" si="0"/>
        <v>46142</v>
      </c>
      <c r="J6" s="250">
        <f t="shared" si="0"/>
        <v>46173</v>
      </c>
      <c r="K6" s="250">
        <f t="shared" si="0"/>
        <v>46203</v>
      </c>
      <c r="L6" s="250">
        <f t="shared" si="0"/>
        <v>46234</v>
      </c>
      <c r="M6" s="250">
        <f t="shared" si="0"/>
        <v>46265</v>
      </c>
      <c r="N6" s="250">
        <f t="shared" si="0"/>
        <v>46295</v>
      </c>
      <c r="O6" s="250">
        <f t="shared" si="0"/>
        <v>46326</v>
      </c>
      <c r="P6" s="250">
        <f t="shared" si="0"/>
        <v>46356</v>
      </c>
      <c r="Q6" s="250">
        <f t="shared" si="0"/>
        <v>46387</v>
      </c>
      <c r="R6" s="250">
        <f t="shared" si="0"/>
        <v>46418</v>
      </c>
      <c r="S6" s="250">
        <f t="shared" si="0"/>
        <v>46446</v>
      </c>
      <c r="T6" s="250">
        <f t="shared" si="0"/>
        <v>46477</v>
      </c>
      <c r="U6" s="250">
        <f t="shared" si="0"/>
        <v>46507</v>
      </c>
      <c r="V6" s="250">
        <f t="shared" si="0"/>
        <v>46538</v>
      </c>
      <c r="W6" s="250">
        <f t="shared" si="0"/>
        <v>46568</v>
      </c>
      <c r="X6" s="250">
        <f t="shared" si="0"/>
        <v>46599</v>
      </c>
      <c r="Y6" s="250">
        <f t="shared" si="0"/>
        <v>46630</v>
      </c>
      <c r="Z6" s="250">
        <f t="shared" si="0"/>
        <v>46660</v>
      </c>
      <c r="AA6" s="250">
        <f t="shared" si="0"/>
        <v>46691</v>
      </c>
      <c r="AB6" s="250">
        <f t="shared" si="0"/>
        <v>46721</v>
      </c>
      <c r="AD6" s="100"/>
      <c r="AE6" s="100"/>
      <c r="AF6" s="100"/>
      <c r="AG6" s="100"/>
      <c r="AH6" s="100"/>
      <c r="AI6" s="100"/>
      <c r="AJ6" s="100"/>
      <c r="AK6" s="100"/>
      <c r="AL6" s="100"/>
      <c r="AM6" s="100"/>
      <c r="AN6" s="100"/>
      <c r="AO6" s="100"/>
    </row>
    <row r="7" spans="1:41" s="111" customFormat="1" ht="20.149999999999999" customHeight="1" x14ac:dyDescent="0.25">
      <c r="B7" s="249">
        <v>8.5</v>
      </c>
      <c r="C7" s="277" t="str">
        <f>IF(B7=0,"",CONCATENATE("Jornadas de ",B7," horas: "))</f>
        <v xml:space="preserve">Jornadas de 8,5 horas: </v>
      </c>
      <c r="D7" s="251">
        <v>16</v>
      </c>
      <c r="E7" s="251">
        <v>16</v>
      </c>
      <c r="F7" s="251">
        <v>16</v>
      </c>
      <c r="G7" s="251">
        <v>16</v>
      </c>
      <c r="H7" s="251"/>
      <c r="I7" s="251"/>
      <c r="J7" s="251">
        <v>16</v>
      </c>
      <c r="K7" s="251"/>
      <c r="L7" s="251"/>
      <c r="M7" s="251"/>
      <c r="N7" s="251"/>
      <c r="O7" s="251"/>
      <c r="P7" s="251"/>
      <c r="Q7" s="251"/>
      <c r="R7" s="251"/>
      <c r="S7" s="251"/>
      <c r="T7" s="251"/>
      <c r="U7" s="251"/>
      <c r="V7" s="251"/>
      <c r="W7" s="251"/>
      <c r="X7" s="251"/>
      <c r="Y7" s="251"/>
      <c r="Z7" s="251"/>
      <c r="AA7" s="251"/>
      <c r="AB7" s="251"/>
      <c r="AD7" s="100"/>
      <c r="AE7" s="100"/>
      <c r="AF7" s="100"/>
      <c r="AG7" s="100"/>
      <c r="AH7" s="100"/>
      <c r="AI7" s="100"/>
      <c r="AJ7" s="100"/>
      <c r="AK7" s="100"/>
      <c r="AL7" s="100"/>
      <c r="AM7" s="100"/>
      <c r="AN7" s="100"/>
      <c r="AO7" s="100"/>
    </row>
    <row r="8" spans="1:41" s="111" customFormat="1" ht="20.149999999999999" customHeight="1" x14ac:dyDescent="0.25">
      <c r="B8" s="249">
        <v>7</v>
      </c>
      <c r="C8" s="277" t="str">
        <f t="shared" ref="C8:C11" si="1">IF(B8=0,"",CONCATENATE("Jornadas de ",B8," horas: "))</f>
        <v xml:space="preserve">Jornadas de 7 horas: </v>
      </c>
      <c r="D8" s="251">
        <v>3</v>
      </c>
      <c r="E8" s="251">
        <v>2</v>
      </c>
      <c r="F8" s="251">
        <v>1</v>
      </c>
      <c r="G8" s="251">
        <v>4</v>
      </c>
      <c r="H8" s="251">
        <v>22</v>
      </c>
      <c r="I8" s="251">
        <v>22</v>
      </c>
      <c r="J8" s="251">
        <v>5</v>
      </c>
      <c r="K8" s="251"/>
      <c r="L8" s="251"/>
      <c r="M8" s="251"/>
      <c r="N8" s="251"/>
      <c r="O8" s="251"/>
      <c r="P8" s="251"/>
      <c r="Q8" s="251"/>
      <c r="R8" s="251"/>
      <c r="S8" s="251"/>
      <c r="T8" s="251"/>
      <c r="U8" s="251"/>
      <c r="V8" s="251"/>
      <c r="W8" s="251"/>
      <c r="X8" s="251"/>
      <c r="Y8" s="251"/>
      <c r="Z8" s="251"/>
      <c r="AA8" s="251"/>
      <c r="AB8" s="251"/>
      <c r="AD8" s="100"/>
      <c r="AE8" s="100"/>
      <c r="AF8" s="100"/>
      <c r="AG8" s="100"/>
      <c r="AH8" s="100"/>
      <c r="AI8" s="100"/>
      <c r="AJ8" s="100"/>
      <c r="AK8" s="100"/>
      <c r="AL8" s="100"/>
      <c r="AM8" s="100"/>
      <c r="AN8" s="100"/>
      <c r="AO8" s="100"/>
    </row>
    <row r="9" spans="1:41" s="111" customFormat="1" ht="20.149999999999999" customHeight="1" x14ac:dyDescent="0.25">
      <c r="B9" s="249">
        <v>6</v>
      </c>
      <c r="C9" s="277" t="str">
        <f t="shared" si="1"/>
        <v xml:space="preserve">Jornadas de 6 horas: </v>
      </c>
      <c r="D9" s="251">
        <v>1</v>
      </c>
      <c r="E9" s="251">
        <v>3</v>
      </c>
      <c r="F9" s="251">
        <v>1</v>
      </c>
      <c r="G9" s="251">
        <v>2</v>
      </c>
      <c r="H9" s="251"/>
      <c r="I9" s="251"/>
      <c r="J9" s="251">
        <v>9</v>
      </c>
      <c r="K9" s="251"/>
      <c r="L9" s="251"/>
      <c r="M9" s="251"/>
      <c r="N9" s="251"/>
      <c r="O9" s="251"/>
      <c r="P9" s="251"/>
      <c r="Q9" s="251"/>
      <c r="R9" s="251"/>
      <c r="S9" s="251"/>
      <c r="T9" s="251"/>
      <c r="U9" s="251"/>
      <c r="V9" s="251"/>
      <c r="W9" s="251"/>
      <c r="X9" s="251"/>
      <c r="Y9" s="251"/>
      <c r="Z9" s="251"/>
      <c r="AA9" s="251"/>
      <c r="AB9" s="251"/>
      <c r="AD9" s="100"/>
      <c r="AE9" s="100"/>
      <c r="AF9" s="100"/>
      <c r="AG9" s="100"/>
      <c r="AH9" s="100"/>
      <c r="AI9" s="100"/>
      <c r="AJ9" s="100"/>
      <c r="AK9" s="100"/>
      <c r="AL9" s="100"/>
      <c r="AM9" s="100"/>
      <c r="AN9" s="100"/>
      <c r="AO9" s="100"/>
    </row>
    <row r="10" spans="1:41" s="111" customFormat="1" ht="20.149999999999999" customHeight="1" x14ac:dyDescent="0.25">
      <c r="B10" s="249">
        <v>7.25</v>
      </c>
      <c r="C10" s="277" t="str">
        <f t="shared" si="1"/>
        <v xml:space="preserve">Jornadas de 7,25 horas: </v>
      </c>
      <c r="D10" s="251"/>
      <c r="E10" s="251"/>
      <c r="F10" s="251"/>
      <c r="G10" s="251"/>
      <c r="H10" s="251"/>
      <c r="I10" s="251"/>
      <c r="J10" s="251"/>
      <c r="K10" s="251"/>
      <c r="L10" s="251"/>
      <c r="M10" s="251"/>
      <c r="N10" s="251"/>
      <c r="O10" s="251"/>
      <c r="P10" s="251"/>
      <c r="Q10" s="251"/>
      <c r="R10" s="251"/>
      <c r="S10" s="251"/>
      <c r="T10" s="251"/>
      <c r="U10" s="251"/>
      <c r="V10" s="251"/>
      <c r="W10" s="251"/>
      <c r="X10" s="251"/>
      <c r="Y10" s="251"/>
      <c r="Z10" s="251"/>
      <c r="AA10" s="251"/>
      <c r="AB10" s="251"/>
      <c r="AD10" s="100"/>
      <c r="AE10" s="100"/>
      <c r="AF10" s="100"/>
      <c r="AG10" s="100"/>
      <c r="AH10" s="100"/>
      <c r="AI10" s="100"/>
      <c r="AJ10" s="100"/>
      <c r="AK10" s="100"/>
      <c r="AL10" s="100"/>
      <c r="AM10" s="100"/>
      <c r="AN10" s="100"/>
      <c r="AO10" s="100"/>
    </row>
    <row r="11" spans="1:41" s="111" customFormat="1" ht="20.149999999999999" customHeight="1" x14ac:dyDescent="0.25">
      <c r="B11" s="249">
        <v>5.25</v>
      </c>
      <c r="C11" s="277" t="str">
        <f t="shared" si="1"/>
        <v xml:space="preserve">Jornadas de 5,25 horas: </v>
      </c>
      <c r="D11" s="251">
        <v>2</v>
      </c>
      <c r="E11" s="251"/>
      <c r="F11" s="251">
        <v>2</v>
      </c>
      <c r="G11" s="251"/>
      <c r="H11" s="251"/>
      <c r="I11" s="251"/>
      <c r="J11" s="251"/>
      <c r="K11" s="251"/>
      <c r="L11" s="251"/>
      <c r="M11" s="251"/>
      <c r="N11" s="251"/>
      <c r="O11" s="251"/>
      <c r="P11" s="251"/>
      <c r="Q11" s="251"/>
      <c r="R11" s="251"/>
      <c r="S11" s="251"/>
      <c r="T11" s="251"/>
      <c r="U11" s="251"/>
      <c r="V11" s="251"/>
      <c r="W11" s="251"/>
      <c r="X11" s="251"/>
      <c r="Y11" s="251"/>
      <c r="Z11" s="251"/>
      <c r="AA11" s="251"/>
      <c r="AB11" s="251"/>
      <c r="AD11" s="100"/>
      <c r="AE11" s="100"/>
      <c r="AF11" s="100"/>
      <c r="AG11" s="100"/>
      <c r="AH11" s="100"/>
      <c r="AI11" s="100"/>
      <c r="AJ11" s="100"/>
      <c r="AK11" s="100"/>
      <c r="AL11" s="100"/>
      <c r="AM11" s="100"/>
      <c r="AN11" s="100"/>
      <c r="AO11" s="100"/>
    </row>
    <row r="12" spans="1:41" s="111" customFormat="1" ht="20.149999999999999" customHeight="1" x14ac:dyDescent="0.25">
      <c r="B12" s="278"/>
      <c r="C12" s="278" t="s">
        <v>257</v>
      </c>
      <c r="D12" s="279">
        <f>SUMPRODUCT(D7:D11,$B$7:$B$11)</f>
        <v>173.5</v>
      </c>
      <c r="E12" s="279">
        <f>SUMPRODUCT(E7:E11,$B$7:$B$11)</f>
        <v>168</v>
      </c>
      <c r="F12" s="279">
        <f t="shared" ref="F12" si="2">SUMPRODUCT(F7:F11,$B$7:$B$11)</f>
        <v>159.5</v>
      </c>
      <c r="G12" s="279">
        <f t="shared" ref="G12" si="3">SUMPRODUCT(G7:G11,$B$7:$B$11)</f>
        <v>176</v>
      </c>
      <c r="H12" s="279">
        <f t="shared" ref="H12" si="4">SUMPRODUCT(H7:H11,$B$7:$B$11)</f>
        <v>154</v>
      </c>
      <c r="I12" s="279">
        <f>SUMPRODUCT(I7:I11,$B$7:$B$11)</f>
        <v>154</v>
      </c>
      <c r="J12" s="279">
        <f t="shared" ref="J12" si="5">SUMPRODUCT(J7:J11,$B$7:$B$11)</f>
        <v>225</v>
      </c>
      <c r="K12" s="279">
        <f t="shared" ref="K12" si="6">SUMPRODUCT(K7:K11,$B$7:$B$11)</f>
        <v>0</v>
      </c>
      <c r="L12" s="279">
        <f>SUMPRODUCT(L7:L11,$B$7:$B$11)</f>
        <v>0</v>
      </c>
      <c r="M12" s="279">
        <f t="shared" ref="M12" si="7">SUMPRODUCT(M7:M11,$B$7:$B$11)</f>
        <v>0</v>
      </c>
      <c r="N12" s="279">
        <f t="shared" ref="N12" si="8">SUMPRODUCT(N7:N11,$B$7:$B$11)</f>
        <v>0</v>
      </c>
      <c r="O12" s="279">
        <f t="shared" ref="O12" si="9">SUMPRODUCT(O7:O11,$B$7:$B$11)</f>
        <v>0</v>
      </c>
      <c r="P12" s="279">
        <f t="shared" ref="P12" si="10">SUMPRODUCT(P7:P11,$B$7:$B$11)</f>
        <v>0</v>
      </c>
      <c r="Q12" s="279">
        <f t="shared" ref="Q12" si="11">SUMPRODUCT(Q7:Q11,$B$7:$B$11)</f>
        <v>0</v>
      </c>
      <c r="R12" s="279">
        <f t="shared" ref="R12" si="12">SUMPRODUCT(R7:R11,$B$7:$B$11)</f>
        <v>0</v>
      </c>
      <c r="S12" s="279">
        <f t="shared" ref="S12" si="13">SUMPRODUCT(S7:S11,$B$7:$B$11)</f>
        <v>0</v>
      </c>
      <c r="T12" s="279">
        <f t="shared" ref="T12" si="14">SUMPRODUCT(T7:T11,$B$7:$B$11)</f>
        <v>0</v>
      </c>
      <c r="U12" s="279">
        <f t="shared" ref="U12" si="15">SUMPRODUCT(U7:U11,$B$7:$B$11)</f>
        <v>0</v>
      </c>
      <c r="V12" s="279">
        <f t="shared" ref="V12" si="16">SUMPRODUCT(V7:V11,$B$7:$B$11)</f>
        <v>0</v>
      </c>
      <c r="W12" s="279">
        <f t="shared" ref="W12" si="17">SUMPRODUCT(W7:W11,$B$7:$B$11)</f>
        <v>0</v>
      </c>
      <c r="X12" s="279">
        <f t="shared" ref="X12" si="18">SUMPRODUCT(X7:X11,$B$7:$B$11)</f>
        <v>0</v>
      </c>
      <c r="Y12" s="279">
        <f t="shared" ref="Y12" si="19">SUMPRODUCT(Y7:Y11,$B$7:$B$11)</f>
        <v>0</v>
      </c>
      <c r="Z12" s="279">
        <f t="shared" ref="Z12" si="20">SUMPRODUCT(Z7:Z11,$B$7:$B$11)</f>
        <v>0</v>
      </c>
      <c r="AA12" s="279">
        <f t="shared" ref="AA12" si="21">SUMPRODUCT(AA7:AA11,$B$7:$B$11)</f>
        <v>0</v>
      </c>
      <c r="AB12" s="279">
        <f>SUMPRODUCT(AB7:AB11,$B$7:$B$11)</f>
        <v>0</v>
      </c>
    </row>
    <row r="13" spans="1:41" s="111" customFormat="1" ht="20.149999999999999" customHeight="1" x14ac:dyDescent="0.25">
      <c r="B13" s="190"/>
      <c r="C13" s="190"/>
      <c r="D13" s="190"/>
      <c r="E13" s="190"/>
      <c r="F13" s="190"/>
      <c r="G13" s="190"/>
      <c r="H13" s="190"/>
      <c r="I13" s="190"/>
      <c r="J13" s="190"/>
      <c r="K13" s="190"/>
      <c r="L13" s="190"/>
      <c r="M13" s="190"/>
      <c r="N13" s="190"/>
      <c r="O13" s="190"/>
      <c r="P13" s="190"/>
      <c r="Q13" s="190"/>
      <c r="R13" s="190"/>
      <c r="S13" s="190"/>
      <c r="T13" s="190"/>
      <c r="U13" s="190"/>
      <c r="V13" s="190"/>
      <c r="W13" s="190"/>
      <c r="X13" s="190"/>
      <c r="Y13" s="190"/>
      <c r="Z13" s="190"/>
      <c r="AA13" s="190"/>
      <c r="AB13" s="190"/>
    </row>
    <row r="14" spans="1:41" x14ac:dyDescent="0.25">
      <c r="A14" s="111"/>
      <c r="D14" s="106"/>
      <c r="E14" s="106"/>
      <c r="F14" s="106"/>
      <c r="G14" s="106"/>
      <c r="H14" s="106"/>
      <c r="I14" s="106"/>
      <c r="J14" s="106"/>
      <c r="K14" s="106"/>
      <c r="L14" s="106"/>
      <c r="M14" s="106"/>
    </row>
    <row r="15" spans="1:41" ht="20.149999999999999" customHeight="1" x14ac:dyDescent="0.25">
      <c r="B15" s="321" t="s">
        <v>258</v>
      </c>
      <c r="C15" s="321"/>
      <c r="D15" s="322" t="s">
        <v>254</v>
      </c>
      <c r="E15" s="322"/>
      <c r="F15" s="322"/>
      <c r="G15" s="322"/>
      <c r="H15" s="106"/>
      <c r="I15" s="106"/>
      <c r="J15" s="106"/>
      <c r="K15" s="106"/>
      <c r="L15" s="106"/>
      <c r="M15" s="106"/>
      <c r="N15" s="106"/>
      <c r="O15" s="106"/>
      <c r="P15" s="106"/>
      <c r="Q15" s="106"/>
      <c r="R15" s="106"/>
    </row>
    <row r="16" spans="1:41" s="110" customFormat="1" ht="35.15" customHeight="1" x14ac:dyDescent="0.25">
      <c r="B16" s="239" t="s">
        <v>255</v>
      </c>
      <c r="C16" s="239" t="s">
        <v>256</v>
      </c>
      <c r="D16" s="250">
        <f>'Project Infor'!$C$8</f>
        <v>45962</v>
      </c>
      <c r="E16" s="250">
        <f t="shared" ref="E16" si="22">EOMONTH(D16,1)</f>
        <v>46022</v>
      </c>
      <c r="F16" s="250">
        <f t="shared" ref="F16" si="23">EOMONTH(E16,1)</f>
        <v>46053</v>
      </c>
      <c r="G16" s="250">
        <f t="shared" ref="G16" si="24">EOMONTH(F16,1)</f>
        <v>46081</v>
      </c>
      <c r="H16" s="250">
        <f t="shared" ref="H16" si="25">EOMONTH(G16,1)</f>
        <v>46112</v>
      </c>
      <c r="I16" s="250">
        <f t="shared" ref="I16" si="26">EOMONTH(H16,1)</f>
        <v>46142</v>
      </c>
      <c r="J16" s="250">
        <f t="shared" ref="J16" si="27">EOMONTH(I16,1)</f>
        <v>46173</v>
      </c>
      <c r="K16" s="250">
        <f t="shared" ref="K16" si="28">EOMONTH(J16,1)</f>
        <v>46203</v>
      </c>
      <c r="L16" s="250">
        <f t="shared" ref="L16" si="29">EOMONTH(K16,1)</f>
        <v>46234</v>
      </c>
      <c r="M16" s="250">
        <f t="shared" ref="M16" si="30">EOMONTH(L16,1)</f>
        <v>46265</v>
      </c>
      <c r="N16" s="250">
        <f t="shared" ref="N16" si="31">EOMONTH(M16,1)</f>
        <v>46295</v>
      </c>
      <c r="O16" s="250">
        <f t="shared" ref="O16" si="32">EOMONTH(N16,1)</f>
        <v>46326</v>
      </c>
      <c r="P16" s="250">
        <f t="shared" ref="P16" si="33">EOMONTH(O16,1)</f>
        <v>46356</v>
      </c>
      <c r="Q16" s="250">
        <f t="shared" ref="Q16" si="34">EOMONTH(P16,1)</f>
        <v>46387</v>
      </c>
      <c r="R16" s="250">
        <f t="shared" ref="R16" si="35">EOMONTH(Q16,1)</f>
        <v>46418</v>
      </c>
      <c r="S16" s="250">
        <f t="shared" ref="S16" si="36">EOMONTH(R16,1)</f>
        <v>46446</v>
      </c>
      <c r="T16" s="250">
        <f t="shared" ref="T16" si="37">EOMONTH(S16,1)</f>
        <v>46477</v>
      </c>
      <c r="U16" s="250">
        <f t="shared" ref="U16" si="38">EOMONTH(T16,1)</f>
        <v>46507</v>
      </c>
      <c r="V16" s="250">
        <f t="shared" ref="V16" si="39">EOMONTH(U16,1)</f>
        <v>46538</v>
      </c>
      <c r="W16" s="250">
        <f t="shared" ref="W16" si="40">EOMONTH(V16,1)</f>
        <v>46568</v>
      </c>
      <c r="X16" s="250">
        <f t="shared" ref="X16" si="41">EOMONTH(W16,1)</f>
        <v>46599</v>
      </c>
      <c r="Y16" s="250">
        <f t="shared" ref="Y16" si="42">EOMONTH(X16,1)</f>
        <v>46630</v>
      </c>
      <c r="Z16" s="250">
        <f t="shared" ref="Z16" si="43">EOMONTH(Y16,1)</f>
        <v>46660</v>
      </c>
      <c r="AA16" s="250">
        <f t="shared" ref="AA16" si="44">EOMONTH(Z16,1)</f>
        <v>46691</v>
      </c>
      <c r="AB16" s="250">
        <f t="shared" ref="AB16" si="45">EOMONTH(AA16,1)</f>
        <v>46721</v>
      </c>
      <c r="AD16" s="100"/>
      <c r="AE16" s="100"/>
      <c r="AF16" s="100"/>
      <c r="AG16" s="100"/>
      <c r="AH16" s="100"/>
      <c r="AI16" s="100"/>
      <c r="AJ16" s="100"/>
      <c r="AK16" s="100"/>
      <c r="AL16" s="100"/>
      <c r="AM16" s="100"/>
      <c r="AN16" s="100"/>
      <c r="AO16" s="100"/>
    </row>
    <row r="17" spans="1:41" s="111" customFormat="1" ht="20.149999999999999" customHeight="1" x14ac:dyDescent="0.25">
      <c r="B17" s="249">
        <v>8</v>
      </c>
      <c r="C17" s="277" t="str">
        <f>IF(B17=0,"",CONCATENATE("Jornadas de ",B17," horas: "))</f>
        <v xml:space="preserve">Jornadas de 8 horas: </v>
      </c>
      <c r="D17" s="251">
        <v>16</v>
      </c>
      <c r="E17" s="251"/>
      <c r="F17" s="251"/>
      <c r="G17" s="251"/>
      <c r="H17" s="251"/>
      <c r="I17" s="251"/>
      <c r="J17" s="251"/>
      <c r="K17" s="251"/>
      <c r="L17" s="251"/>
      <c r="M17" s="251"/>
      <c r="N17" s="251"/>
      <c r="O17" s="251"/>
      <c r="P17" s="251"/>
      <c r="Q17" s="251"/>
      <c r="R17" s="251"/>
      <c r="S17" s="251"/>
      <c r="T17" s="251"/>
      <c r="U17" s="251"/>
      <c r="V17" s="251"/>
      <c r="W17" s="251"/>
      <c r="X17" s="251"/>
      <c r="Y17" s="251"/>
      <c r="Z17" s="251"/>
      <c r="AA17" s="251"/>
      <c r="AB17" s="251"/>
      <c r="AD17" s="100"/>
      <c r="AE17" s="100"/>
      <c r="AF17" s="100"/>
      <c r="AG17" s="100"/>
      <c r="AH17" s="100"/>
      <c r="AI17" s="100"/>
      <c r="AJ17" s="100"/>
      <c r="AK17" s="100"/>
      <c r="AL17" s="100"/>
      <c r="AM17" s="100"/>
      <c r="AN17" s="100"/>
      <c r="AO17" s="100"/>
    </row>
    <row r="18" spans="1:41" s="111" customFormat="1" ht="20.149999999999999" customHeight="1" x14ac:dyDescent="0.25">
      <c r="B18" s="249">
        <v>6</v>
      </c>
      <c r="C18" s="277" t="str">
        <f t="shared" ref="C18:C21" si="46">IF(B18=0,"",CONCATENATE("Jornadas de ",B18," horas: "))</f>
        <v xml:space="preserve">Jornadas de 6 horas: </v>
      </c>
      <c r="D18" s="251">
        <v>3</v>
      </c>
      <c r="E18" s="251"/>
      <c r="F18" s="251"/>
      <c r="G18" s="251"/>
      <c r="H18" s="251"/>
      <c r="I18" s="251"/>
      <c r="J18" s="251"/>
      <c r="K18" s="251"/>
      <c r="L18" s="251"/>
      <c r="M18" s="251"/>
      <c r="N18" s="251"/>
      <c r="O18" s="251"/>
      <c r="P18" s="251"/>
      <c r="Q18" s="251"/>
      <c r="R18" s="251"/>
      <c r="S18" s="251"/>
      <c r="T18" s="251"/>
      <c r="U18" s="251"/>
      <c r="V18" s="251"/>
      <c r="W18" s="251"/>
      <c r="X18" s="251"/>
      <c r="Y18" s="251"/>
      <c r="Z18" s="251"/>
      <c r="AA18" s="251"/>
      <c r="AB18" s="251"/>
      <c r="AD18" s="100"/>
      <c r="AE18" s="100"/>
      <c r="AF18" s="100"/>
      <c r="AG18" s="100"/>
      <c r="AH18" s="100"/>
      <c r="AI18" s="100"/>
      <c r="AJ18" s="100"/>
      <c r="AK18" s="100"/>
      <c r="AL18" s="100"/>
      <c r="AM18" s="100"/>
      <c r="AN18" s="100"/>
      <c r="AO18" s="100"/>
    </row>
    <row r="19" spans="1:41" s="111" customFormat="1" ht="20.149999999999999" customHeight="1" x14ac:dyDescent="0.25">
      <c r="B19" s="249"/>
      <c r="C19" s="277" t="str">
        <f t="shared" si="46"/>
        <v/>
      </c>
      <c r="D19" s="251"/>
      <c r="E19" s="251"/>
      <c r="F19" s="251"/>
      <c r="G19" s="251"/>
      <c r="H19" s="251"/>
      <c r="I19" s="251"/>
      <c r="J19" s="251"/>
      <c r="K19" s="251"/>
      <c r="L19" s="251"/>
      <c r="M19" s="251"/>
      <c r="N19" s="251"/>
      <c r="O19" s="251"/>
      <c r="P19" s="251"/>
      <c r="Q19" s="251"/>
      <c r="R19" s="251"/>
      <c r="S19" s="251"/>
      <c r="T19" s="251"/>
      <c r="U19" s="251"/>
      <c r="V19" s="251"/>
      <c r="W19" s="251"/>
      <c r="X19" s="251"/>
      <c r="Y19" s="251"/>
      <c r="Z19" s="251"/>
      <c r="AA19" s="251"/>
      <c r="AB19" s="251"/>
      <c r="AD19" s="100"/>
      <c r="AE19" s="100"/>
      <c r="AF19" s="100"/>
      <c r="AG19" s="100"/>
      <c r="AH19" s="100"/>
      <c r="AI19" s="100"/>
      <c r="AJ19" s="100"/>
      <c r="AK19" s="100"/>
      <c r="AL19" s="100"/>
      <c r="AM19" s="100"/>
      <c r="AN19" s="100"/>
      <c r="AO19" s="100"/>
    </row>
    <row r="20" spans="1:41" s="111" customFormat="1" ht="20.149999999999999" customHeight="1" x14ac:dyDescent="0.25">
      <c r="B20" s="249"/>
      <c r="C20" s="277"/>
      <c r="D20" s="251"/>
      <c r="E20" s="251"/>
      <c r="F20" s="251"/>
      <c r="G20" s="251"/>
      <c r="H20" s="251"/>
      <c r="I20" s="251"/>
      <c r="J20" s="251"/>
      <c r="K20" s="251"/>
      <c r="L20" s="251"/>
      <c r="M20" s="251"/>
      <c r="N20" s="251"/>
      <c r="O20" s="251"/>
      <c r="P20" s="251"/>
      <c r="Q20" s="251"/>
      <c r="R20" s="251"/>
      <c r="S20" s="251"/>
      <c r="T20" s="251"/>
      <c r="U20" s="251"/>
      <c r="V20" s="251"/>
      <c r="W20" s="251"/>
      <c r="X20" s="251"/>
      <c r="Y20" s="251"/>
      <c r="Z20" s="251"/>
      <c r="AA20" s="251"/>
      <c r="AB20" s="251"/>
      <c r="AD20" s="100"/>
      <c r="AE20" s="100"/>
      <c r="AF20" s="100"/>
      <c r="AG20" s="100"/>
      <c r="AH20" s="100"/>
      <c r="AI20" s="100"/>
      <c r="AJ20" s="100"/>
      <c r="AK20" s="100"/>
      <c r="AL20" s="100"/>
      <c r="AM20" s="100"/>
      <c r="AN20" s="100"/>
      <c r="AO20" s="100"/>
    </row>
    <row r="21" spans="1:41" s="111" customFormat="1" ht="20.149999999999999" customHeight="1" x14ac:dyDescent="0.25">
      <c r="B21" s="249"/>
      <c r="C21" s="277" t="str">
        <f t="shared" si="46"/>
        <v/>
      </c>
      <c r="D21" s="251"/>
      <c r="E21" s="251"/>
      <c r="F21" s="251"/>
      <c r="G21" s="251"/>
      <c r="H21" s="251"/>
      <c r="I21" s="251"/>
      <c r="J21" s="251"/>
      <c r="K21" s="251"/>
      <c r="L21" s="251"/>
      <c r="M21" s="251"/>
      <c r="N21" s="251"/>
      <c r="O21" s="251"/>
      <c r="P21" s="251"/>
      <c r="Q21" s="251"/>
      <c r="R21" s="251"/>
      <c r="S21" s="251"/>
      <c r="T21" s="251"/>
      <c r="U21" s="251"/>
      <c r="V21" s="251"/>
      <c r="W21" s="251"/>
      <c r="X21" s="251"/>
      <c r="Y21" s="251"/>
      <c r="Z21" s="251"/>
      <c r="AA21" s="251"/>
      <c r="AB21" s="251"/>
      <c r="AD21" s="100"/>
      <c r="AE21" s="100"/>
      <c r="AF21" s="100"/>
      <c r="AG21" s="100"/>
      <c r="AH21" s="100"/>
      <c r="AI21" s="100"/>
      <c r="AJ21" s="100"/>
      <c r="AK21" s="100"/>
      <c r="AL21" s="100"/>
      <c r="AM21" s="100"/>
      <c r="AN21" s="100"/>
      <c r="AO21" s="100"/>
    </row>
    <row r="22" spans="1:41" s="111" customFormat="1" ht="20.149999999999999" customHeight="1" x14ac:dyDescent="0.25">
      <c r="B22" s="278"/>
      <c r="C22" s="278" t="s">
        <v>257</v>
      </c>
      <c r="D22" s="279">
        <f t="shared" ref="D22:AB22" si="47">SUMPRODUCT(D17:D21,$B$17:$B$21)</f>
        <v>146</v>
      </c>
      <c r="E22" s="279">
        <f t="shared" si="47"/>
        <v>0</v>
      </c>
      <c r="F22" s="279">
        <f t="shared" si="47"/>
        <v>0</v>
      </c>
      <c r="G22" s="279">
        <f t="shared" si="47"/>
        <v>0</v>
      </c>
      <c r="H22" s="279">
        <f t="shared" si="47"/>
        <v>0</v>
      </c>
      <c r="I22" s="279">
        <f t="shared" si="47"/>
        <v>0</v>
      </c>
      <c r="J22" s="279">
        <f t="shared" si="47"/>
        <v>0</v>
      </c>
      <c r="K22" s="279">
        <f t="shared" si="47"/>
        <v>0</v>
      </c>
      <c r="L22" s="279">
        <f t="shared" si="47"/>
        <v>0</v>
      </c>
      <c r="M22" s="279">
        <f t="shared" si="47"/>
        <v>0</v>
      </c>
      <c r="N22" s="279">
        <f t="shared" si="47"/>
        <v>0</v>
      </c>
      <c r="O22" s="279">
        <f t="shared" si="47"/>
        <v>0</v>
      </c>
      <c r="P22" s="279">
        <f t="shared" si="47"/>
        <v>0</v>
      </c>
      <c r="Q22" s="279">
        <f t="shared" si="47"/>
        <v>0</v>
      </c>
      <c r="R22" s="279">
        <f t="shared" si="47"/>
        <v>0</v>
      </c>
      <c r="S22" s="279">
        <f t="shared" si="47"/>
        <v>0</v>
      </c>
      <c r="T22" s="279">
        <f t="shared" si="47"/>
        <v>0</v>
      </c>
      <c r="U22" s="279">
        <f t="shared" si="47"/>
        <v>0</v>
      </c>
      <c r="V22" s="279">
        <f t="shared" si="47"/>
        <v>0</v>
      </c>
      <c r="W22" s="279">
        <f t="shared" si="47"/>
        <v>0</v>
      </c>
      <c r="X22" s="279">
        <f t="shared" si="47"/>
        <v>0</v>
      </c>
      <c r="Y22" s="279">
        <f t="shared" si="47"/>
        <v>0</v>
      </c>
      <c r="Z22" s="279">
        <f t="shared" si="47"/>
        <v>0</v>
      </c>
      <c r="AA22" s="279">
        <f t="shared" si="47"/>
        <v>0</v>
      </c>
      <c r="AB22" s="279">
        <f t="shared" si="47"/>
        <v>0</v>
      </c>
    </row>
    <row r="23" spans="1:41" s="111" customFormat="1" ht="20.149999999999999" customHeight="1" x14ac:dyDescent="0.25">
      <c r="B23" s="190"/>
      <c r="C23" s="190"/>
      <c r="D23" s="190"/>
      <c r="E23" s="190"/>
      <c r="F23" s="190"/>
      <c r="G23" s="190"/>
      <c r="H23" s="190"/>
      <c r="I23" s="190"/>
      <c r="J23" s="190"/>
      <c r="K23" s="190"/>
      <c r="L23" s="190"/>
      <c r="M23" s="190"/>
      <c r="N23" s="190"/>
      <c r="O23" s="190"/>
      <c r="P23" s="190"/>
      <c r="Q23" s="190"/>
      <c r="R23" s="190"/>
      <c r="S23" s="190"/>
      <c r="T23" s="190"/>
      <c r="U23" s="190"/>
      <c r="V23" s="190"/>
      <c r="W23" s="190"/>
      <c r="X23" s="190"/>
      <c r="Y23" s="190"/>
      <c r="Z23" s="190"/>
      <c r="AA23" s="190"/>
      <c r="AB23" s="190"/>
    </row>
    <row r="24" spans="1:41" x14ac:dyDescent="0.25">
      <c r="A24" s="111"/>
      <c r="D24" s="106"/>
      <c r="E24" s="106"/>
      <c r="F24" s="106"/>
      <c r="G24" s="106"/>
      <c r="H24" s="106"/>
      <c r="I24" s="106"/>
      <c r="J24" s="106"/>
      <c r="K24" s="106"/>
      <c r="L24" s="106"/>
      <c r="M24" s="106"/>
    </row>
    <row r="25" spans="1:41" ht="20.149999999999999" customHeight="1" x14ac:dyDescent="0.25">
      <c r="B25" s="321" t="s">
        <v>259</v>
      </c>
      <c r="C25" s="321"/>
      <c r="D25" s="322" t="s">
        <v>254</v>
      </c>
      <c r="E25" s="322"/>
      <c r="F25" s="322"/>
      <c r="G25" s="322"/>
      <c r="H25" s="106"/>
      <c r="I25" s="106"/>
      <c r="J25" s="106"/>
      <c r="K25" s="106"/>
      <c r="L25" s="106"/>
      <c r="M25" s="106"/>
      <c r="N25" s="106"/>
      <c r="O25" s="106"/>
      <c r="P25" s="106"/>
      <c r="Q25" s="106"/>
      <c r="R25" s="106"/>
    </row>
    <row r="26" spans="1:41" s="110" customFormat="1" ht="35.15" customHeight="1" x14ac:dyDescent="0.25">
      <c r="B26" s="239" t="s">
        <v>255</v>
      </c>
      <c r="C26" s="239" t="s">
        <v>256</v>
      </c>
      <c r="D26" s="250">
        <f>'Project Infor'!$C$8</f>
        <v>45962</v>
      </c>
      <c r="E26" s="250">
        <f t="shared" ref="E26" si="48">EOMONTH(D26,1)</f>
        <v>46022</v>
      </c>
      <c r="F26" s="250">
        <f t="shared" ref="F26" si="49">EOMONTH(E26,1)</f>
        <v>46053</v>
      </c>
      <c r="G26" s="250">
        <f t="shared" ref="G26" si="50">EOMONTH(F26,1)</f>
        <v>46081</v>
      </c>
      <c r="H26" s="250">
        <f t="shared" ref="H26" si="51">EOMONTH(G26,1)</f>
        <v>46112</v>
      </c>
      <c r="I26" s="250">
        <f t="shared" ref="I26" si="52">EOMONTH(H26,1)</f>
        <v>46142</v>
      </c>
      <c r="J26" s="250">
        <f t="shared" ref="J26" si="53">EOMONTH(I26,1)</f>
        <v>46173</v>
      </c>
      <c r="K26" s="250">
        <f t="shared" ref="K26" si="54">EOMONTH(J26,1)</f>
        <v>46203</v>
      </c>
      <c r="L26" s="250">
        <f t="shared" ref="L26" si="55">EOMONTH(K26,1)</f>
        <v>46234</v>
      </c>
      <c r="M26" s="250">
        <f t="shared" ref="M26" si="56">EOMONTH(L26,1)</f>
        <v>46265</v>
      </c>
      <c r="N26" s="250">
        <f t="shared" ref="N26" si="57">EOMONTH(M26,1)</f>
        <v>46295</v>
      </c>
      <c r="O26" s="250">
        <f t="shared" ref="O26" si="58">EOMONTH(N26,1)</f>
        <v>46326</v>
      </c>
      <c r="P26" s="250">
        <f t="shared" ref="P26" si="59">EOMONTH(O26,1)</f>
        <v>46356</v>
      </c>
      <c r="Q26" s="250">
        <f t="shared" ref="Q26" si="60">EOMONTH(P26,1)</f>
        <v>46387</v>
      </c>
      <c r="R26" s="250">
        <f t="shared" ref="R26" si="61">EOMONTH(Q26,1)</f>
        <v>46418</v>
      </c>
      <c r="S26" s="250">
        <f t="shared" ref="S26" si="62">EOMONTH(R26,1)</f>
        <v>46446</v>
      </c>
      <c r="T26" s="250">
        <f t="shared" ref="T26" si="63">EOMONTH(S26,1)</f>
        <v>46477</v>
      </c>
      <c r="U26" s="250">
        <f t="shared" ref="U26" si="64">EOMONTH(T26,1)</f>
        <v>46507</v>
      </c>
      <c r="V26" s="250">
        <f t="shared" ref="V26" si="65">EOMONTH(U26,1)</f>
        <v>46538</v>
      </c>
      <c r="W26" s="250">
        <f t="shared" ref="W26" si="66">EOMONTH(V26,1)</f>
        <v>46568</v>
      </c>
      <c r="X26" s="250">
        <f t="shared" ref="X26" si="67">EOMONTH(W26,1)</f>
        <v>46599</v>
      </c>
      <c r="Y26" s="250">
        <f t="shared" ref="Y26" si="68">EOMONTH(X26,1)</f>
        <v>46630</v>
      </c>
      <c r="Z26" s="250">
        <f t="shared" ref="Z26" si="69">EOMONTH(Y26,1)</f>
        <v>46660</v>
      </c>
      <c r="AA26" s="250">
        <f t="shared" ref="AA26" si="70">EOMONTH(Z26,1)</f>
        <v>46691</v>
      </c>
      <c r="AB26" s="250">
        <f t="shared" ref="AB26" si="71">EOMONTH(AA26,1)</f>
        <v>46721</v>
      </c>
      <c r="AD26" s="100"/>
      <c r="AE26" s="100"/>
      <c r="AF26" s="100"/>
      <c r="AG26" s="100"/>
      <c r="AH26" s="100"/>
      <c r="AI26" s="100"/>
      <c r="AJ26" s="100"/>
      <c r="AK26" s="100"/>
      <c r="AL26" s="100"/>
      <c r="AM26" s="100"/>
      <c r="AN26" s="100"/>
      <c r="AO26" s="100"/>
    </row>
    <row r="27" spans="1:41" s="111" customFormat="1" ht="20.149999999999999" customHeight="1" x14ac:dyDescent="0.25">
      <c r="B27" s="249">
        <v>7</v>
      </c>
      <c r="C27" s="277" t="str">
        <f>IF(B27=0,"",CONCATENATE("Jornadas de ",B27," horas: "))</f>
        <v xml:space="preserve">Jornadas de 7 horas: </v>
      </c>
      <c r="D27" s="251">
        <v>22</v>
      </c>
      <c r="E27" s="251">
        <v>20</v>
      </c>
      <c r="F27" s="251">
        <v>21</v>
      </c>
      <c r="G27" s="251">
        <v>21</v>
      </c>
      <c r="H27" s="251">
        <v>22</v>
      </c>
      <c r="I27" s="251">
        <v>22</v>
      </c>
      <c r="J27" s="251">
        <v>22</v>
      </c>
      <c r="K27" s="251">
        <v>21</v>
      </c>
      <c r="L27" s="251">
        <v>22</v>
      </c>
      <c r="M27" s="251">
        <v>16</v>
      </c>
      <c r="N27" s="251"/>
      <c r="O27" s="251"/>
      <c r="P27" s="251"/>
      <c r="Q27" s="251"/>
      <c r="R27" s="251"/>
      <c r="S27" s="251"/>
      <c r="T27" s="251"/>
      <c r="U27" s="251"/>
      <c r="V27" s="251"/>
      <c r="W27" s="251"/>
      <c r="X27" s="251"/>
      <c r="Y27" s="251"/>
      <c r="Z27" s="251"/>
      <c r="AA27" s="251"/>
      <c r="AB27" s="251"/>
      <c r="AD27" s="100"/>
      <c r="AE27" s="100"/>
      <c r="AF27" s="100"/>
      <c r="AG27" s="100"/>
      <c r="AH27" s="100"/>
      <c r="AI27" s="100"/>
      <c r="AJ27" s="100"/>
      <c r="AK27" s="100"/>
      <c r="AL27" s="100"/>
      <c r="AM27" s="100"/>
      <c r="AN27" s="100"/>
      <c r="AO27" s="100"/>
    </row>
    <row r="28" spans="1:41" s="111" customFormat="1" ht="20.149999999999999" customHeight="1" x14ac:dyDescent="0.25">
      <c r="B28" s="249"/>
      <c r="C28" s="277" t="str">
        <f t="shared" ref="C28:C31" si="72">IF(B28=0,"",CONCATENATE("Jornadas de ",B28," horas: "))</f>
        <v/>
      </c>
      <c r="D28" s="251"/>
      <c r="E28" s="251"/>
      <c r="F28" s="251"/>
      <c r="G28" s="251"/>
      <c r="H28" s="251"/>
      <c r="I28" s="251"/>
      <c r="J28" s="251"/>
      <c r="K28" s="251"/>
      <c r="L28" s="251"/>
      <c r="M28" s="251"/>
      <c r="N28" s="251"/>
      <c r="O28" s="251"/>
      <c r="P28" s="251"/>
      <c r="Q28" s="251"/>
      <c r="R28" s="251"/>
      <c r="S28" s="251"/>
      <c r="T28" s="251"/>
      <c r="U28" s="251"/>
      <c r="V28" s="251"/>
      <c r="W28" s="251"/>
      <c r="X28" s="251"/>
      <c r="Y28" s="251"/>
      <c r="Z28" s="251"/>
      <c r="AA28" s="251"/>
      <c r="AB28" s="251"/>
      <c r="AD28" s="100"/>
      <c r="AE28" s="100"/>
      <c r="AF28" s="100"/>
      <c r="AG28" s="100"/>
      <c r="AH28" s="100"/>
      <c r="AI28" s="100"/>
      <c r="AJ28" s="100"/>
      <c r="AK28" s="100"/>
      <c r="AL28" s="100"/>
      <c r="AM28" s="100"/>
      <c r="AN28" s="100"/>
      <c r="AO28" s="100"/>
    </row>
    <row r="29" spans="1:41" s="111" customFormat="1" ht="20.149999999999999" customHeight="1" x14ac:dyDescent="0.25">
      <c r="B29" s="249"/>
      <c r="C29" s="277" t="str">
        <f t="shared" si="72"/>
        <v/>
      </c>
      <c r="D29" s="251"/>
      <c r="E29" s="251"/>
      <c r="F29" s="251"/>
      <c r="G29" s="251"/>
      <c r="H29" s="251"/>
      <c r="I29" s="251"/>
      <c r="J29" s="251"/>
      <c r="K29" s="251"/>
      <c r="L29" s="251"/>
      <c r="M29" s="251"/>
      <c r="N29" s="251"/>
      <c r="O29" s="251"/>
      <c r="P29" s="251"/>
      <c r="Q29" s="251"/>
      <c r="R29" s="251"/>
      <c r="S29" s="251"/>
      <c r="T29" s="251"/>
      <c r="U29" s="251"/>
      <c r="V29" s="251"/>
      <c r="W29" s="251"/>
      <c r="X29" s="251"/>
      <c r="Y29" s="251"/>
      <c r="Z29" s="251"/>
      <c r="AA29" s="251"/>
      <c r="AB29" s="251"/>
      <c r="AD29" s="100"/>
      <c r="AE29" s="100"/>
      <c r="AF29" s="100"/>
      <c r="AG29" s="100"/>
      <c r="AH29" s="100"/>
      <c r="AI29" s="100"/>
      <c r="AJ29" s="100"/>
      <c r="AK29" s="100"/>
      <c r="AL29" s="100"/>
      <c r="AM29" s="100"/>
      <c r="AN29" s="100"/>
      <c r="AO29" s="100"/>
    </row>
    <row r="30" spans="1:41" s="111" customFormat="1" ht="20.149999999999999" customHeight="1" x14ac:dyDescent="0.25">
      <c r="B30" s="249"/>
      <c r="C30" s="277"/>
      <c r="D30" s="251"/>
      <c r="E30" s="251"/>
      <c r="F30" s="251"/>
      <c r="G30" s="251"/>
      <c r="H30" s="251"/>
      <c r="I30" s="251"/>
      <c r="J30" s="251"/>
      <c r="K30" s="251"/>
      <c r="L30" s="251"/>
      <c r="M30" s="251"/>
      <c r="N30" s="251"/>
      <c r="O30" s="251"/>
      <c r="P30" s="251"/>
      <c r="Q30" s="251"/>
      <c r="R30" s="251"/>
      <c r="S30" s="251"/>
      <c r="T30" s="251"/>
      <c r="U30" s="251"/>
      <c r="V30" s="251"/>
      <c r="W30" s="251"/>
      <c r="X30" s="251"/>
      <c r="Y30" s="251"/>
      <c r="Z30" s="251"/>
      <c r="AA30" s="251"/>
      <c r="AB30" s="251"/>
      <c r="AD30" s="100"/>
      <c r="AE30" s="100"/>
      <c r="AF30" s="100"/>
      <c r="AG30" s="100"/>
      <c r="AH30" s="100"/>
      <c r="AI30" s="100"/>
      <c r="AJ30" s="100"/>
      <c r="AK30" s="100"/>
      <c r="AL30" s="100"/>
      <c r="AM30" s="100"/>
      <c r="AN30" s="100"/>
      <c r="AO30" s="100"/>
    </row>
    <row r="31" spans="1:41" s="111" customFormat="1" ht="20.149999999999999" customHeight="1" x14ac:dyDescent="0.25">
      <c r="B31" s="249"/>
      <c r="C31" s="277" t="str">
        <f t="shared" si="72"/>
        <v/>
      </c>
      <c r="D31" s="251"/>
      <c r="E31" s="251"/>
      <c r="F31" s="251"/>
      <c r="G31" s="251"/>
      <c r="H31" s="251"/>
      <c r="I31" s="251"/>
      <c r="J31" s="251"/>
      <c r="K31" s="251"/>
      <c r="L31" s="251"/>
      <c r="M31" s="251"/>
      <c r="N31" s="251"/>
      <c r="O31" s="251"/>
      <c r="P31" s="251"/>
      <c r="Q31" s="251"/>
      <c r="R31" s="251"/>
      <c r="S31" s="251"/>
      <c r="T31" s="251"/>
      <c r="U31" s="251"/>
      <c r="V31" s="251"/>
      <c r="W31" s="251"/>
      <c r="X31" s="251"/>
      <c r="Y31" s="251"/>
      <c r="Z31" s="251"/>
      <c r="AA31" s="251"/>
      <c r="AB31" s="251"/>
      <c r="AD31" s="100"/>
      <c r="AE31" s="100"/>
      <c r="AF31" s="100"/>
      <c r="AG31" s="100"/>
      <c r="AH31" s="100"/>
      <c r="AI31" s="100"/>
      <c r="AJ31" s="100"/>
      <c r="AK31" s="100"/>
      <c r="AL31" s="100"/>
      <c r="AM31" s="100"/>
      <c r="AN31" s="100"/>
      <c r="AO31" s="100"/>
    </row>
    <row r="32" spans="1:41" s="111" customFormat="1" ht="20.149999999999999" customHeight="1" x14ac:dyDescent="0.25">
      <c r="B32" s="278"/>
      <c r="C32" s="278" t="s">
        <v>257</v>
      </c>
      <c r="D32" s="279">
        <f t="shared" ref="D32:AB32" si="73">SUMPRODUCT(D27:D31,$B$27:$B$31)</f>
        <v>154</v>
      </c>
      <c r="E32" s="279">
        <f t="shared" si="73"/>
        <v>140</v>
      </c>
      <c r="F32" s="279">
        <f t="shared" si="73"/>
        <v>147</v>
      </c>
      <c r="G32" s="279">
        <f t="shared" si="73"/>
        <v>147</v>
      </c>
      <c r="H32" s="279">
        <f t="shared" si="73"/>
        <v>154</v>
      </c>
      <c r="I32" s="279">
        <f t="shared" si="73"/>
        <v>154</v>
      </c>
      <c r="J32" s="279">
        <f t="shared" si="73"/>
        <v>154</v>
      </c>
      <c r="K32" s="279">
        <f t="shared" si="73"/>
        <v>147</v>
      </c>
      <c r="L32" s="279">
        <f t="shared" si="73"/>
        <v>154</v>
      </c>
      <c r="M32" s="279">
        <f t="shared" si="73"/>
        <v>112</v>
      </c>
      <c r="N32" s="279">
        <f t="shared" si="73"/>
        <v>0</v>
      </c>
      <c r="O32" s="279">
        <f t="shared" si="73"/>
        <v>0</v>
      </c>
      <c r="P32" s="279">
        <f t="shared" si="73"/>
        <v>0</v>
      </c>
      <c r="Q32" s="279">
        <f t="shared" si="73"/>
        <v>0</v>
      </c>
      <c r="R32" s="279">
        <f t="shared" si="73"/>
        <v>0</v>
      </c>
      <c r="S32" s="279">
        <f t="shared" si="73"/>
        <v>0</v>
      </c>
      <c r="T32" s="279">
        <f t="shared" si="73"/>
        <v>0</v>
      </c>
      <c r="U32" s="279">
        <f t="shared" si="73"/>
        <v>0</v>
      </c>
      <c r="V32" s="279">
        <f t="shared" si="73"/>
        <v>0</v>
      </c>
      <c r="W32" s="279">
        <f t="shared" si="73"/>
        <v>0</v>
      </c>
      <c r="X32" s="279">
        <f t="shared" si="73"/>
        <v>0</v>
      </c>
      <c r="Y32" s="279">
        <f t="shared" si="73"/>
        <v>0</v>
      </c>
      <c r="Z32" s="279">
        <f t="shared" si="73"/>
        <v>0</v>
      </c>
      <c r="AA32" s="279">
        <f t="shared" si="73"/>
        <v>0</v>
      </c>
      <c r="AB32" s="279">
        <f t="shared" si="73"/>
        <v>0</v>
      </c>
    </row>
    <row r="33" spans="1:41" s="111" customFormat="1" ht="20.149999999999999" customHeight="1" x14ac:dyDescent="0.25">
      <c r="B33" s="190"/>
      <c r="C33" s="190"/>
      <c r="D33" s="190"/>
      <c r="E33" s="190"/>
      <c r="F33" s="190"/>
      <c r="G33" s="190"/>
      <c r="H33" s="190"/>
      <c r="I33" s="190"/>
      <c r="J33" s="190"/>
      <c r="K33" s="190"/>
      <c r="L33" s="190"/>
      <c r="M33" s="190"/>
      <c r="N33" s="190"/>
      <c r="O33" s="190"/>
      <c r="P33" s="190"/>
      <c r="Q33" s="190"/>
      <c r="R33" s="190"/>
      <c r="S33" s="190"/>
      <c r="T33" s="190"/>
      <c r="U33" s="190"/>
      <c r="V33" s="190"/>
      <c r="W33" s="190"/>
      <c r="X33" s="190"/>
      <c r="Y33" s="190"/>
      <c r="Z33" s="190"/>
      <c r="AA33" s="190"/>
      <c r="AB33" s="190"/>
    </row>
    <row r="34" spans="1:41" x14ac:dyDescent="0.25">
      <c r="A34" s="111"/>
      <c r="D34" s="106"/>
      <c r="E34" s="106"/>
      <c r="F34" s="106"/>
      <c r="G34" s="106"/>
      <c r="H34" s="106"/>
      <c r="I34" s="106"/>
      <c r="J34" s="106"/>
      <c r="K34" s="106"/>
      <c r="L34" s="106"/>
      <c r="M34" s="106"/>
    </row>
    <row r="35" spans="1:41" ht="20.149999999999999" customHeight="1" x14ac:dyDescent="0.25">
      <c r="B35" s="321" t="s">
        <v>260</v>
      </c>
      <c r="C35" s="321"/>
      <c r="D35" s="322" t="s">
        <v>254</v>
      </c>
      <c r="E35" s="322"/>
      <c r="F35" s="322"/>
      <c r="G35" s="322"/>
      <c r="H35" s="106"/>
      <c r="I35" s="106"/>
      <c r="J35" s="106"/>
      <c r="K35" s="106"/>
      <c r="L35" s="106"/>
      <c r="M35" s="106"/>
      <c r="N35" s="106"/>
      <c r="O35" s="106"/>
      <c r="P35" s="106"/>
      <c r="Q35" s="106"/>
      <c r="R35" s="106"/>
    </row>
    <row r="36" spans="1:41" s="110" customFormat="1" ht="35.15" customHeight="1" x14ac:dyDescent="0.25">
      <c r="B36" s="239" t="s">
        <v>255</v>
      </c>
      <c r="C36" s="239" t="s">
        <v>256</v>
      </c>
      <c r="D36" s="250">
        <f>'Project Infor'!$C$8</f>
        <v>45962</v>
      </c>
      <c r="E36" s="250">
        <f t="shared" ref="E36" si="74">EOMONTH(D36,1)</f>
        <v>46022</v>
      </c>
      <c r="F36" s="250">
        <f t="shared" ref="F36" si="75">EOMONTH(E36,1)</f>
        <v>46053</v>
      </c>
      <c r="G36" s="250">
        <f t="shared" ref="G36" si="76">EOMONTH(F36,1)</f>
        <v>46081</v>
      </c>
      <c r="H36" s="250">
        <f t="shared" ref="H36" si="77">EOMONTH(G36,1)</f>
        <v>46112</v>
      </c>
      <c r="I36" s="250">
        <f t="shared" ref="I36" si="78">EOMONTH(H36,1)</f>
        <v>46142</v>
      </c>
      <c r="J36" s="250">
        <f t="shared" ref="J36" si="79">EOMONTH(I36,1)</f>
        <v>46173</v>
      </c>
      <c r="K36" s="250">
        <f t="shared" ref="K36" si="80">EOMONTH(J36,1)</f>
        <v>46203</v>
      </c>
      <c r="L36" s="250">
        <f t="shared" ref="L36" si="81">EOMONTH(K36,1)</f>
        <v>46234</v>
      </c>
      <c r="M36" s="250">
        <f t="shared" ref="M36" si="82">EOMONTH(L36,1)</f>
        <v>46265</v>
      </c>
      <c r="N36" s="250">
        <f t="shared" ref="N36" si="83">EOMONTH(M36,1)</f>
        <v>46295</v>
      </c>
      <c r="O36" s="250">
        <f t="shared" ref="O36" si="84">EOMONTH(N36,1)</f>
        <v>46326</v>
      </c>
      <c r="P36" s="250">
        <f t="shared" ref="P36" si="85">EOMONTH(O36,1)</f>
        <v>46356</v>
      </c>
      <c r="Q36" s="250">
        <f t="shared" ref="Q36" si="86">EOMONTH(P36,1)</f>
        <v>46387</v>
      </c>
      <c r="R36" s="250">
        <f t="shared" ref="R36" si="87">EOMONTH(Q36,1)</f>
        <v>46418</v>
      </c>
      <c r="S36" s="250">
        <f t="shared" ref="S36" si="88">EOMONTH(R36,1)</f>
        <v>46446</v>
      </c>
      <c r="T36" s="250">
        <f t="shared" ref="T36" si="89">EOMONTH(S36,1)</f>
        <v>46477</v>
      </c>
      <c r="U36" s="250">
        <f t="shared" ref="U36" si="90">EOMONTH(T36,1)</f>
        <v>46507</v>
      </c>
      <c r="V36" s="250">
        <f t="shared" ref="V36" si="91">EOMONTH(U36,1)</f>
        <v>46538</v>
      </c>
      <c r="W36" s="250">
        <f t="shared" ref="W36" si="92">EOMONTH(V36,1)</f>
        <v>46568</v>
      </c>
      <c r="X36" s="250">
        <f t="shared" ref="X36" si="93">EOMONTH(W36,1)</f>
        <v>46599</v>
      </c>
      <c r="Y36" s="250">
        <f t="shared" ref="Y36" si="94">EOMONTH(X36,1)</f>
        <v>46630</v>
      </c>
      <c r="Z36" s="250">
        <f t="shared" ref="Z36" si="95">EOMONTH(Y36,1)</f>
        <v>46660</v>
      </c>
      <c r="AA36" s="250">
        <f t="shared" ref="AA36" si="96">EOMONTH(Z36,1)</f>
        <v>46691</v>
      </c>
      <c r="AB36" s="250">
        <f t="shared" ref="AB36" si="97">EOMONTH(AA36,1)</f>
        <v>46721</v>
      </c>
      <c r="AD36" s="100"/>
      <c r="AE36" s="100"/>
      <c r="AF36" s="100"/>
      <c r="AG36" s="100"/>
      <c r="AH36" s="100"/>
      <c r="AI36" s="100"/>
      <c r="AJ36" s="100"/>
      <c r="AK36" s="100"/>
      <c r="AL36" s="100"/>
      <c r="AM36" s="100"/>
      <c r="AN36" s="100"/>
      <c r="AO36" s="100"/>
    </row>
    <row r="37" spans="1:41" s="111" customFormat="1" ht="20.149999999999999" customHeight="1" x14ac:dyDescent="0.25">
      <c r="B37" s="249">
        <v>7</v>
      </c>
      <c r="C37" s="277" t="str">
        <f>IF(B37=0,"",CONCATENATE("Jornadas de ",B37," horas: "))</f>
        <v xml:space="preserve">Jornadas de 7 horas: </v>
      </c>
      <c r="D37" s="251">
        <v>22</v>
      </c>
      <c r="E37" s="251">
        <v>20</v>
      </c>
      <c r="F37" s="251"/>
      <c r="G37" s="251"/>
      <c r="H37" s="251"/>
      <c r="I37" s="251"/>
      <c r="J37" s="251"/>
      <c r="K37" s="251"/>
      <c r="L37" s="251"/>
      <c r="M37" s="251"/>
      <c r="N37" s="251"/>
      <c r="O37" s="251"/>
      <c r="P37" s="251"/>
      <c r="Q37" s="251"/>
      <c r="R37" s="251"/>
      <c r="S37" s="251"/>
      <c r="T37" s="251"/>
      <c r="U37" s="251"/>
      <c r="V37" s="251"/>
      <c r="W37" s="251"/>
      <c r="X37" s="251"/>
      <c r="Y37" s="251"/>
      <c r="Z37" s="251"/>
      <c r="AA37" s="251"/>
      <c r="AB37" s="251"/>
      <c r="AD37" s="100"/>
      <c r="AE37" s="100"/>
      <c r="AF37" s="100"/>
      <c r="AG37" s="100"/>
      <c r="AH37" s="100"/>
      <c r="AI37" s="100"/>
      <c r="AJ37" s="100"/>
      <c r="AK37" s="100"/>
      <c r="AL37" s="100"/>
      <c r="AM37" s="100"/>
      <c r="AN37" s="100"/>
      <c r="AO37" s="100"/>
    </row>
    <row r="38" spans="1:41" s="111" customFormat="1" ht="20.149999999999999" customHeight="1" x14ac:dyDescent="0.25">
      <c r="B38" s="249"/>
      <c r="C38" s="277" t="str">
        <f t="shared" ref="C38:C41" si="98">IF(B38=0,"",CONCATENATE("Jornadas de ",B38," horas: "))</f>
        <v/>
      </c>
      <c r="D38" s="251"/>
      <c r="E38" s="251"/>
      <c r="F38" s="251"/>
      <c r="G38" s="251"/>
      <c r="H38" s="251"/>
      <c r="I38" s="251"/>
      <c r="J38" s="251"/>
      <c r="K38" s="251"/>
      <c r="L38" s="251"/>
      <c r="M38" s="251"/>
      <c r="N38" s="251"/>
      <c r="O38" s="251"/>
      <c r="P38" s="251"/>
      <c r="Q38" s="251"/>
      <c r="R38" s="251"/>
      <c r="S38" s="251"/>
      <c r="T38" s="251"/>
      <c r="U38" s="251"/>
      <c r="V38" s="251"/>
      <c r="W38" s="251"/>
      <c r="X38" s="251"/>
      <c r="Y38" s="251"/>
      <c r="Z38" s="251"/>
      <c r="AA38" s="251"/>
      <c r="AB38" s="251"/>
      <c r="AD38" s="100"/>
      <c r="AE38" s="100"/>
      <c r="AF38" s="100"/>
      <c r="AG38" s="100"/>
      <c r="AH38" s="100"/>
      <c r="AI38" s="100"/>
      <c r="AJ38" s="100"/>
      <c r="AK38" s="100"/>
      <c r="AL38" s="100"/>
      <c r="AM38" s="100"/>
      <c r="AN38" s="100"/>
      <c r="AO38" s="100"/>
    </row>
    <row r="39" spans="1:41" s="111" customFormat="1" ht="20.149999999999999" customHeight="1" x14ac:dyDescent="0.25">
      <c r="B39" s="249"/>
      <c r="C39" s="277" t="str">
        <f t="shared" si="98"/>
        <v/>
      </c>
      <c r="D39" s="251"/>
      <c r="E39" s="251"/>
      <c r="F39" s="251"/>
      <c r="G39" s="251"/>
      <c r="H39" s="251"/>
      <c r="I39" s="251"/>
      <c r="J39" s="251"/>
      <c r="K39" s="251"/>
      <c r="L39" s="251"/>
      <c r="M39" s="251"/>
      <c r="N39" s="251"/>
      <c r="O39" s="251"/>
      <c r="P39" s="251"/>
      <c r="Q39" s="251"/>
      <c r="R39" s="251"/>
      <c r="S39" s="251"/>
      <c r="T39" s="251"/>
      <c r="U39" s="251"/>
      <c r="V39" s="251"/>
      <c r="W39" s="251"/>
      <c r="X39" s="251"/>
      <c r="Y39" s="251"/>
      <c r="Z39" s="251"/>
      <c r="AA39" s="251"/>
      <c r="AB39" s="251"/>
      <c r="AD39" s="100"/>
      <c r="AE39" s="100"/>
      <c r="AF39" s="100"/>
      <c r="AG39" s="100"/>
      <c r="AH39" s="100"/>
      <c r="AI39" s="100"/>
      <c r="AJ39" s="100"/>
      <c r="AK39" s="100"/>
      <c r="AL39" s="100"/>
      <c r="AM39" s="100"/>
      <c r="AN39" s="100"/>
      <c r="AO39" s="100"/>
    </row>
    <row r="40" spans="1:41" s="111" customFormat="1" ht="20.149999999999999" customHeight="1" x14ac:dyDescent="0.25">
      <c r="B40" s="249"/>
      <c r="C40" s="277"/>
      <c r="D40" s="251"/>
      <c r="E40" s="251"/>
      <c r="F40" s="251"/>
      <c r="G40" s="251"/>
      <c r="H40" s="251"/>
      <c r="I40" s="251"/>
      <c r="J40" s="251"/>
      <c r="K40" s="251"/>
      <c r="L40" s="251"/>
      <c r="M40" s="251"/>
      <c r="N40" s="251"/>
      <c r="O40" s="251"/>
      <c r="P40" s="251"/>
      <c r="Q40" s="251"/>
      <c r="R40" s="251"/>
      <c r="S40" s="251"/>
      <c r="T40" s="251"/>
      <c r="U40" s="251"/>
      <c r="V40" s="251"/>
      <c r="W40" s="251"/>
      <c r="X40" s="251"/>
      <c r="Y40" s="251"/>
      <c r="Z40" s="251"/>
      <c r="AA40" s="251"/>
      <c r="AB40" s="251"/>
      <c r="AD40" s="100"/>
      <c r="AE40" s="100"/>
      <c r="AF40" s="100"/>
      <c r="AG40" s="100"/>
      <c r="AH40" s="100"/>
      <c r="AI40" s="100"/>
      <c r="AJ40" s="100"/>
      <c r="AK40" s="100"/>
      <c r="AL40" s="100"/>
      <c r="AM40" s="100"/>
      <c r="AN40" s="100"/>
      <c r="AO40" s="100"/>
    </row>
    <row r="41" spans="1:41" s="111" customFormat="1" ht="20.149999999999999" customHeight="1" x14ac:dyDescent="0.25">
      <c r="B41" s="248"/>
      <c r="C41" s="280" t="str">
        <f t="shared" si="98"/>
        <v/>
      </c>
      <c r="D41" s="276"/>
      <c r="E41" s="276"/>
      <c r="F41" s="276"/>
      <c r="G41" s="276"/>
      <c r="H41" s="276"/>
      <c r="I41" s="276"/>
      <c r="J41" s="276"/>
      <c r="K41" s="276"/>
      <c r="L41" s="276"/>
      <c r="M41" s="276"/>
      <c r="N41" s="276"/>
      <c r="O41" s="276"/>
      <c r="P41" s="276"/>
      <c r="Q41" s="276"/>
      <c r="R41" s="276"/>
      <c r="S41" s="276"/>
      <c r="T41" s="276"/>
      <c r="U41" s="276"/>
      <c r="V41" s="276"/>
      <c r="W41" s="276"/>
      <c r="X41" s="276"/>
      <c r="Y41" s="276"/>
      <c r="Z41" s="276"/>
      <c r="AA41" s="276"/>
      <c r="AB41" s="276"/>
      <c r="AD41" s="100"/>
      <c r="AE41" s="100"/>
      <c r="AF41" s="100"/>
      <c r="AG41" s="100"/>
      <c r="AH41" s="100"/>
      <c r="AI41" s="100"/>
      <c r="AJ41" s="100"/>
      <c r="AK41" s="100"/>
      <c r="AL41" s="100"/>
      <c r="AM41" s="100"/>
      <c r="AN41" s="100"/>
      <c r="AO41" s="100"/>
    </row>
    <row r="42" spans="1:41" s="111" customFormat="1" ht="20.149999999999999" customHeight="1" x14ac:dyDescent="0.25">
      <c r="B42" s="278"/>
      <c r="C42" s="278" t="s">
        <v>257</v>
      </c>
      <c r="D42" s="279">
        <f t="shared" ref="D42:AB42" si="99">SUMPRODUCT(D37:D41,$B$37:$B$41)</f>
        <v>154</v>
      </c>
      <c r="E42" s="279">
        <f t="shared" si="99"/>
        <v>140</v>
      </c>
      <c r="F42" s="279">
        <f t="shared" si="99"/>
        <v>0</v>
      </c>
      <c r="G42" s="279">
        <f t="shared" si="99"/>
        <v>0</v>
      </c>
      <c r="H42" s="279">
        <f t="shared" si="99"/>
        <v>0</v>
      </c>
      <c r="I42" s="279">
        <f t="shared" si="99"/>
        <v>0</v>
      </c>
      <c r="J42" s="279">
        <f t="shared" si="99"/>
        <v>0</v>
      </c>
      <c r="K42" s="279">
        <f t="shared" si="99"/>
        <v>0</v>
      </c>
      <c r="L42" s="279">
        <f t="shared" si="99"/>
        <v>0</v>
      </c>
      <c r="M42" s="279">
        <f t="shared" si="99"/>
        <v>0</v>
      </c>
      <c r="N42" s="279">
        <f t="shared" si="99"/>
        <v>0</v>
      </c>
      <c r="O42" s="279">
        <f t="shared" si="99"/>
        <v>0</v>
      </c>
      <c r="P42" s="279">
        <f t="shared" si="99"/>
        <v>0</v>
      </c>
      <c r="Q42" s="279">
        <f t="shared" si="99"/>
        <v>0</v>
      </c>
      <c r="R42" s="279">
        <f t="shared" si="99"/>
        <v>0</v>
      </c>
      <c r="S42" s="279">
        <f t="shared" si="99"/>
        <v>0</v>
      </c>
      <c r="T42" s="279">
        <f t="shared" si="99"/>
        <v>0</v>
      </c>
      <c r="U42" s="279">
        <f t="shared" si="99"/>
        <v>0</v>
      </c>
      <c r="V42" s="279">
        <f t="shared" si="99"/>
        <v>0</v>
      </c>
      <c r="W42" s="279">
        <f t="shared" si="99"/>
        <v>0</v>
      </c>
      <c r="X42" s="279">
        <f t="shared" si="99"/>
        <v>0</v>
      </c>
      <c r="Y42" s="279">
        <f t="shared" si="99"/>
        <v>0</v>
      </c>
      <c r="Z42" s="279">
        <f t="shared" si="99"/>
        <v>0</v>
      </c>
      <c r="AA42" s="279">
        <f t="shared" si="99"/>
        <v>0</v>
      </c>
      <c r="AB42" s="279">
        <f t="shared" si="99"/>
        <v>0</v>
      </c>
    </row>
    <row r="43" spans="1:41" s="111" customFormat="1" ht="20.149999999999999" customHeight="1" x14ac:dyDescent="0.25">
      <c r="B43" s="190"/>
      <c r="C43" s="190"/>
      <c r="D43" s="190"/>
      <c r="E43" s="190"/>
      <c r="F43" s="190"/>
      <c r="G43" s="190"/>
      <c r="H43" s="190"/>
      <c r="I43" s="190"/>
      <c r="J43" s="190"/>
      <c r="K43" s="190"/>
      <c r="L43" s="190"/>
      <c r="M43" s="190"/>
      <c r="N43" s="190"/>
      <c r="O43" s="190"/>
      <c r="P43" s="190"/>
      <c r="Q43" s="190"/>
      <c r="R43" s="190"/>
      <c r="S43" s="190"/>
      <c r="T43" s="190"/>
      <c r="U43" s="190"/>
      <c r="V43" s="190"/>
      <c r="W43" s="190"/>
      <c r="X43" s="190"/>
      <c r="Y43" s="190"/>
      <c r="Z43" s="190"/>
      <c r="AA43" s="190"/>
      <c r="AB43" s="190"/>
    </row>
    <row r="44" spans="1:41" x14ac:dyDescent="0.25">
      <c r="A44" s="111"/>
      <c r="D44" s="106"/>
      <c r="E44" s="106"/>
      <c r="F44" s="106"/>
      <c r="G44" s="106"/>
      <c r="H44" s="106"/>
      <c r="I44" s="106"/>
      <c r="J44" s="106"/>
      <c r="K44" s="106"/>
      <c r="L44" s="106"/>
      <c r="M44" s="106"/>
    </row>
    <row r="45" spans="1:41" ht="20.149999999999999" customHeight="1" x14ac:dyDescent="0.25">
      <c r="B45" s="321" t="s">
        <v>261</v>
      </c>
      <c r="C45" s="321"/>
      <c r="D45" s="322" t="s">
        <v>254</v>
      </c>
      <c r="E45" s="322"/>
      <c r="F45" s="322"/>
      <c r="G45" s="322"/>
      <c r="H45" s="106"/>
      <c r="I45" s="106"/>
      <c r="J45" s="106"/>
      <c r="K45" s="106"/>
      <c r="L45" s="106"/>
      <c r="M45" s="106"/>
      <c r="N45" s="106"/>
      <c r="O45" s="106"/>
      <c r="P45" s="106"/>
      <c r="Q45" s="106"/>
      <c r="R45" s="106"/>
    </row>
    <row r="46" spans="1:41" s="110" customFormat="1" ht="35.15" customHeight="1" x14ac:dyDescent="0.25">
      <c r="B46" s="239" t="s">
        <v>255</v>
      </c>
      <c r="C46" s="239" t="s">
        <v>256</v>
      </c>
      <c r="D46" s="250">
        <f>'Project Infor'!$C$8</f>
        <v>45962</v>
      </c>
      <c r="E46" s="250">
        <f t="shared" ref="E46" si="100">EOMONTH(D46,1)</f>
        <v>46022</v>
      </c>
      <c r="F46" s="250">
        <f t="shared" ref="F46" si="101">EOMONTH(E46,1)</f>
        <v>46053</v>
      </c>
      <c r="G46" s="250">
        <f t="shared" ref="G46" si="102">EOMONTH(F46,1)</f>
        <v>46081</v>
      </c>
      <c r="H46" s="250">
        <f t="shared" ref="H46" si="103">EOMONTH(G46,1)</f>
        <v>46112</v>
      </c>
      <c r="I46" s="250">
        <f t="shared" ref="I46" si="104">EOMONTH(H46,1)</f>
        <v>46142</v>
      </c>
      <c r="J46" s="250">
        <f t="shared" ref="J46" si="105">EOMONTH(I46,1)</f>
        <v>46173</v>
      </c>
      <c r="K46" s="250">
        <f t="shared" ref="K46" si="106">EOMONTH(J46,1)</f>
        <v>46203</v>
      </c>
      <c r="L46" s="250">
        <f t="shared" ref="L46" si="107">EOMONTH(K46,1)</f>
        <v>46234</v>
      </c>
      <c r="M46" s="250">
        <f t="shared" ref="M46" si="108">EOMONTH(L46,1)</f>
        <v>46265</v>
      </c>
      <c r="N46" s="250">
        <f t="shared" ref="N46" si="109">EOMONTH(M46,1)</f>
        <v>46295</v>
      </c>
      <c r="O46" s="250">
        <f t="shared" ref="O46" si="110">EOMONTH(N46,1)</f>
        <v>46326</v>
      </c>
      <c r="P46" s="250">
        <f t="shared" ref="P46" si="111">EOMONTH(O46,1)</f>
        <v>46356</v>
      </c>
      <c r="Q46" s="250">
        <f t="shared" ref="Q46" si="112">EOMONTH(P46,1)</f>
        <v>46387</v>
      </c>
      <c r="R46" s="250">
        <f t="shared" ref="R46" si="113">EOMONTH(Q46,1)</f>
        <v>46418</v>
      </c>
      <c r="S46" s="250">
        <f t="shared" ref="S46" si="114">EOMONTH(R46,1)</f>
        <v>46446</v>
      </c>
      <c r="T46" s="250">
        <f t="shared" ref="T46" si="115">EOMONTH(S46,1)</f>
        <v>46477</v>
      </c>
      <c r="U46" s="250">
        <f t="shared" ref="U46" si="116">EOMONTH(T46,1)</f>
        <v>46507</v>
      </c>
      <c r="V46" s="250">
        <f t="shared" ref="V46" si="117">EOMONTH(U46,1)</f>
        <v>46538</v>
      </c>
      <c r="W46" s="250">
        <f t="shared" ref="W46" si="118">EOMONTH(V46,1)</f>
        <v>46568</v>
      </c>
      <c r="X46" s="250">
        <f t="shared" ref="X46" si="119">EOMONTH(W46,1)</f>
        <v>46599</v>
      </c>
      <c r="Y46" s="250">
        <f t="shared" ref="Y46" si="120">EOMONTH(X46,1)</f>
        <v>46630</v>
      </c>
      <c r="Z46" s="250">
        <f t="shared" ref="Z46" si="121">EOMONTH(Y46,1)</f>
        <v>46660</v>
      </c>
      <c r="AA46" s="250">
        <f t="shared" ref="AA46" si="122">EOMONTH(Z46,1)</f>
        <v>46691</v>
      </c>
      <c r="AB46" s="250">
        <f t="shared" ref="AB46" si="123">EOMONTH(AA46,1)</f>
        <v>46721</v>
      </c>
      <c r="AD46" s="100"/>
      <c r="AE46" s="100"/>
      <c r="AF46" s="100"/>
      <c r="AG46" s="100"/>
      <c r="AH46" s="100"/>
      <c r="AI46" s="100"/>
      <c r="AJ46" s="100"/>
      <c r="AK46" s="100"/>
      <c r="AL46" s="100"/>
      <c r="AM46" s="100"/>
      <c r="AN46" s="100"/>
      <c r="AO46" s="100"/>
    </row>
    <row r="47" spans="1:41" s="111" customFormat="1" ht="20.149999999999999" customHeight="1" x14ac:dyDescent="0.25">
      <c r="B47" s="249">
        <v>7</v>
      </c>
      <c r="C47" s="277" t="str">
        <f>IF(B47=0,"",CONCATENATE("Jornadas de ",B47," horas: "))</f>
        <v xml:space="preserve">Jornadas de 7 horas: </v>
      </c>
      <c r="D47" s="251">
        <v>22</v>
      </c>
      <c r="E47" s="251">
        <v>20</v>
      </c>
      <c r="F47" s="251"/>
      <c r="G47" s="251"/>
      <c r="H47" s="251"/>
      <c r="I47" s="251"/>
      <c r="J47" s="251"/>
      <c r="K47" s="251"/>
      <c r="L47" s="251"/>
      <c r="M47" s="251"/>
      <c r="N47" s="251"/>
      <c r="O47" s="251"/>
      <c r="P47" s="251"/>
      <c r="Q47" s="251"/>
      <c r="R47" s="251"/>
      <c r="S47" s="251"/>
      <c r="T47" s="251"/>
      <c r="U47" s="251"/>
      <c r="V47" s="251"/>
      <c r="W47" s="251"/>
      <c r="X47" s="251"/>
      <c r="Y47" s="251"/>
      <c r="Z47" s="251"/>
      <c r="AA47" s="251"/>
      <c r="AB47" s="251"/>
      <c r="AD47" s="100"/>
      <c r="AE47" s="100"/>
      <c r="AF47" s="100"/>
      <c r="AG47" s="100"/>
      <c r="AH47" s="100"/>
      <c r="AI47" s="100"/>
      <c r="AJ47" s="100"/>
      <c r="AK47" s="100"/>
      <c r="AL47" s="100"/>
      <c r="AM47" s="100"/>
      <c r="AN47" s="100"/>
      <c r="AO47" s="100"/>
    </row>
    <row r="48" spans="1:41" s="111" customFormat="1" ht="20.149999999999999" customHeight="1" x14ac:dyDescent="0.25">
      <c r="B48" s="249"/>
      <c r="C48" s="277" t="str">
        <f t="shared" ref="C48:C51" si="124">IF(B48=0,"",CONCATENATE("Jornadas de ",B48," horas: "))</f>
        <v/>
      </c>
      <c r="D48" s="251"/>
      <c r="E48" s="251"/>
      <c r="F48" s="251"/>
      <c r="G48" s="251"/>
      <c r="H48" s="251"/>
      <c r="I48" s="251"/>
      <c r="J48" s="251"/>
      <c r="K48" s="251"/>
      <c r="L48" s="251"/>
      <c r="M48" s="251"/>
      <c r="N48" s="251"/>
      <c r="O48" s="251"/>
      <c r="P48" s="251"/>
      <c r="Q48" s="251"/>
      <c r="R48" s="251"/>
      <c r="S48" s="251"/>
      <c r="T48" s="251"/>
      <c r="U48" s="251"/>
      <c r="V48" s="251"/>
      <c r="W48" s="251"/>
      <c r="X48" s="251"/>
      <c r="Y48" s="251"/>
      <c r="Z48" s="251"/>
      <c r="AA48" s="251"/>
      <c r="AB48" s="251"/>
      <c r="AD48" s="100"/>
      <c r="AE48" s="100"/>
      <c r="AF48" s="100"/>
      <c r="AG48" s="100"/>
      <c r="AH48" s="100"/>
      <c r="AI48" s="100"/>
      <c r="AJ48" s="100"/>
      <c r="AK48" s="100"/>
      <c r="AL48" s="100"/>
      <c r="AM48" s="100"/>
      <c r="AN48" s="100"/>
      <c r="AO48" s="100"/>
    </row>
    <row r="49" spans="1:41" s="111" customFormat="1" ht="20.149999999999999" customHeight="1" x14ac:dyDescent="0.25">
      <c r="B49" s="249"/>
      <c r="C49" s="277" t="str">
        <f t="shared" si="124"/>
        <v/>
      </c>
      <c r="D49" s="251"/>
      <c r="E49" s="251"/>
      <c r="F49" s="251"/>
      <c r="G49" s="251"/>
      <c r="H49" s="251"/>
      <c r="I49" s="251"/>
      <c r="J49" s="251"/>
      <c r="K49" s="251"/>
      <c r="L49" s="251"/>
      <c r="M49" s="251"/>
      <c r="N49" s="251"/>
      <c r="O49" s="251"/>
      <c r="P49" s="251"/>
      <c r="Q49" s="251"/>
      <c r="R49" s="251"/>
      <c r="S49" s="251"/>
      <c r="T49" s="251"/>
      <c r="U49" s="251"/>
      <c r="V49" s="251"/>
      <c r="W49" s="251"/>
      <c r="X49" s="251"/>
      <c r="Y49" s="251"/>
      <c r="Z49" s="251"/>
      <c r="AA49" s="251"/>
      <c r="AB49" s="251"/>
      <c r="AD49" s="100"/>
      <c r="AE49" s="100"/>
      <c r="AF49" s="100"/>
      <c r="AG49" s="100"/>
      <c r="AH49" s="100"/>
      <c r="AI49" s="100"/>
      <c r="AJ49" s="100"/>
      <c r="AK49" s="100"/>
      <c r="AL49" s="100"/>
      <c r="AM49" s="100"/>
      <c r="AN49" s="100"/>
      <c r="AO49" s="100"/>
    </row>
    <row r="50" spans="1:41" s="111" customFormat="1" ht="20.149999999999999" customHeight="1" x14ac:dyDescent="0.25">
      <c r="B50" s="249"/>
      <c r="C50" s="277"/>
      <c r="D50" s="251"/>
      <c r="E50" s="251"/>
      <c r="F50" s="251"/>
      <c r="G50" s="251"/>
      <c r="H50" s="251"/>
      <c r="I50" s="251"/>
      <c r="J50" s="251"/>
      <c r="K50" s="251"/>
      <c r="L50" s="251"/>
      <c r="M50" s="251"/>
      <c r="N50" s="251"/>
      <c r="O50" s="251"/>
      <c r="P50" s="251"/>
      <c r="Q50" s="251"/>
      <c r="R50" s="251"/>
      <c r="S50" s="251"/>
      <c r="T50" s="251"/>
      <c r="U50" s="251"/>
      <c r="V50" s="251"/>
      <c r="W50" s="251"/>
      <c r="X50" s="251"/>
      <c r="Y50" s="251"/>
      <c r="Z50" s="251"/>
      <c r="AA50" s="251"/>
      <c r="AB50" s="251"/>
      <c r="AD50" s="100"/>
      <c r="AE50" s="100"/>
      <c r="AF50" s="100"/>
      <c r="AG50" s="100"/>
      <c r="AH50" s="100"/>
      <c r="AI50" s="100"/>
      <c r="AJ50" s="100"/>
      <c r="AK50" s="100"/>
      <c r="AL50" s="100"/>
      <c r="AM50" s="100"/>
      <c r="AN50" s="100"/>
      <c r="AO50" s="100"/>
    </row>
    <row r="51" spans="1:41" s="111" customFormat="1" ht="20.149999999999999" customHeight="1" x14ac:dyDescent="0.25">
      <c r="B51" s="249"/>
      <c r="C51" s="277" t="str">
        <f t="shared" si="124"/>
        <v/>
      </c>
      <c r="D51" s="251"/>
      <c r="E51" s="251"/>
      <c r="F51" s="251"/>
      <c r="G51" s="251"/>
      <c r="H51" s="251"/>
      <c r="I51" s="251"/>
      <c r="J51" s="251"/>
      <c r="K51" s="251"/>
      <c r="L51" s="251"/>
      <c r="M51" s="251"/>
      <c r="N51" s="251"/>
      <c r="O51" s="251"/>
      <c r="P51" s="251"/>
      <c r="Q51" s="251"/>
      <c r="R51" s="251"/>
      <c r="S51" s="251"/>
      <c r="T51" s="251"/>
      <c r="U51" s="251"/>
      <c r="V51" s="251"/>
      <c r="W51" s="251"/>
      <c r="X51" s="251"/>
      <c r="Y51" s="251"/>
      <c r="Z51" s="251"/>
      <c r="AA51" s="251"/>
      <c r="AB51" s="251"/>
      <c r="AD51" s="100"/>
      <c r="AE51" s="100"/>
      <c r="AF51" s="100"/>
      <c r="AG51" s="100"/>
      <c r="AH51" s="100"/>
      <c r="AI51" s="100"/>
      <c r="AJ51" s="100"/>
      <c r="AK51" s="100"/>
      <c r="AL51" s="100"/>
      <c r="AM51" s="100"/>
      <c r="AN51" s="100"/>
      <c r="AO51" s="100"/>
    </row>
    <row r="52" spans="1:41" s="111" customFormat="1" ht="20.149999999999999" customHeight="1" x14ac:dyDescent="0.25">
      <c r="B52" s="278"/>
      <c r="C52" s="278" t="s">
        <v>257</v>
      </c>
      <c r="D52" s="279">
        <f>SUMPRODUCT(D47:D51,$B$47:$B$51)</f>
        <v>154</v>
      </c>
      <c r="E52" s="279">
        <f t="shared" ref="E52:AB52" si="125">SUMPRODUCT(E47:E51,$B$47:$B$51)</f>
        <v>140</v>
      </c>
      <c r="F52" s="279">
        <f t="shared" si="125"/>
        <v>0</v>
      </c>
      <c r="G52" s="279">
        <f t="shared" si="125"/>
        <v>0</v>
      </c>
      <c r="H52" s="279">
        <f t="shared" si="125"/>
        <v>0</v>
      </c>
      <c r="I52" s="279">
        <f t="shared" si="125"/>
        <v>0</v>
      </c>
      <c r="J52" s="279">
        <f t="shared" si="125"/>
        <v>0</v>
      </c>
      <c r="K52" s="279">
        <f t="shared" si="125"/>
        <v>0</v>
      </c>
      <c r="L52" s="279">
        <f t="shared" si="125"/>
        <v>0</v>
      </c>
      <c r="M52" s="279">
        <f>SUMPRODUCT(M47:M51,$B$47:$B$51)</f>
        <v>0</v>
      </c>
      <c r="N52" s="279">
        <f t="shared" si="125"/>
        <v>0</v>
      </c>
      <c r="O52" s="279">
        <f t="shared" si="125"/>
        <v>0</v>
      </c>
      <c r="P52" s="279">
        <f t="shared" si="125"/>
        <v>0</v>
      </c>
      <c r="Q52" s="279">
        <f t="shared" si="125"/>
        <v>0</v>
      </c>
      <c r="R52" s="279">
        <f t="shared" si="125"/>
        <v>0</v>
      </c>
      <c r="S52" s="279">
        <f>SUMPRODUCT(S47:S51,$B$47:$B$51)</f>
        <v>0</v>
      </c>
      <c r="T52" s="279">
        <f t="shared" si="125"/>
        <v>0</v>
      </c>
      <c r="U52" s="279">
        <f>SUMPRODUCT(U47:U51,$B$47:$B$51)</f>
        <v>0</v>
      </c>
      <c r="V52" s="279">
        <f t="shared" si="125"/>
        <v>0</v>
      </c>
      <c r="W52" s="279">
        <f t="shared" si="125"/>
        <v>0</v>
      </c>
      <c r="X52" s="279">
        <f t="shared" si="125"/>
        <v>0</v>
      </c>
      <c r="Y52" s="279">
        <f t="shared" si="125"/>
        <v>0</v>
      </c>
      <c r="Z52" s="279">
        <f t="shared" si="125"/>
        <v>0</v>
      </c>
      <c r="AA52" s="279">
        <f>SUMPRODUCT(AA47:AA51,$B$47:$B$51)</f>
        <v>0</v>
      </c>
      <c r="AB52" s="279">
        <f t="shared" si="125"/>
        <v>0</v>
      </c>
    </row>
    <row r="53" spans="1:41" s="111" customFormat="1" ht="20.149999999999999" customHeight="1" x14ac:dyDescent="0.25">
      <c r="B53" s="190"/>
      <c r="C53" s="190"/>
      <c r="D53" s="190"/>
      <c r="E53" s="190"/>
      <c r="F53" s="190"/>
      <c r="G53" s="190"/>
      <c r="H53" s="190"/>
      <c r="I53" s="190"/>
      <c r="J53" s="190"/>
      <c r="K53" s="190"/>
      <c r="L53" s="190"/>
      <c r="M53" s="190"/>
      <c r="N53" s="190"/>
      <c r="O53" s="190"/>
      <c r="P53" s="190"/>
      <c r="Q53" s="190"/>
      <c r="R53" s="190"/>
      <c r="S53" s="190"/>
      <c r="T53" s="190"/>
      <c r="U53" s="190"/>
      <c r="V53" s="190"/>
      <c r="W53" s="190"/>
      <c r="X53" s="190"/>
      <c r="Y53" s="190"/>
      <c r="Z53" s="190"/>
      <c r="AA53" s="190"/>
      <c r="AB53" s="190"/>
    </row>
    <row r="54" spans="1:41" x14ac:dyDescent="0.25">
      <c r="A54" s="111"/>
      <c r="D54" s="106"/>
      <c r="E54" s="106"/>
      <c r="F54" s="106"/>
      <c r="G54" s="106"/>
      <c r="H54" s="106"/>
      <c r="I54" s="106"/>
      <c r="J54" s="106"/>
      <c r="K54" s="106"/>
      <c r="L54" s="106"/>
      <c r="M54" s="106"/>
    </row>
    <row r="55" spans="1:41" ht="20.149999999999999" customHeight="1" x14ac:dyDescent="0.25">
      <c r="B55" s="321" t="s">
        <v>262</v>
      </c>
      <c r="C55" s="321"/>
      <c r="D55" s="322" t="s">
        <v>254</v>
      </c>
      <c r="E55" s="322"/>
      <c r="F55" s="322"/>
      <c r="G55" s="322"/>
      <c r="H55" s="106"/>
      <c r="I55" s="106"/>
      <c r="J55" s="106"/>
      <c r="K55" s="106"/>
      <c r="L55" s="106"/>
      <c r="M55" s="106"/>
      <c r="N55" s="106"/>
      <c r="O55" s="106"/>
      <c r="P55" s="106"/>
      <c r="Q55" s="106"/>
      <c r="R55" s="106"/>
    </row>
    <row r="56" spans="1:41" s="110" customFormat="1" ht="35.15" customHeight="1" x14ac:dyDescent="0.25">
      <c r="B56" s="239" t="s">
        <v>255</v>
      </c>
      <c r="C56" s="239" t="s">
        <v>256</v>
      </c>
      <c r="D56" s="250">
        <f>'Project Infor'!$C$8</f>
        <v>45962</v>
      </c>
      <c r="E56" s="250">
        <f t="shared" ref="E56" si="126">EOMONTH(D56,1)</f>
        <v>46022</v>
      </c>
      <c r="F56" s="250">
        <f t="shared" ref="F56" si="127">EOMONTH(E56,1)</f>
        <v>46053</v>
      </c>
      <c r="G56" s="250">
        <f t="shared" ref="G56" si="128">EOMONTH(F56,1)</f>
        <v>46081</v>
      </c>
      <c r="H56" s="250">
        <f t="shared" ref="H56" si="129">EOMONTH(G56,1)</f>
        <v>46112</v>
      </c>
      <c r="I56" s="250">
        <f t="shared" ref="I56" si="130">EOMONTH(H56,1)</f>
        <v>46142</v>
      </c>
      <c r="J56" s="250">
        <f t="shared" ref="J56" si="131">EOMONTH(I56,1)</f>
        <v>46173</v>
      </c>
      <c r="K56" s="250">
        <f t="shared" ref="K56" si="132">EOMONTH(J56,1)</f>
        <v>46203</v>
      </c>
      <c r="L56" s="250">
        <f t="shared" ref="L56" si="133">EOMONTH(K56,1)</f>
        <v>46234</v>
      </c>
      <c r="M56" s="250">
        <f t="shared" ref="M56" si="134">EOMONTH(L56,1)</f>
        <v>46265</v>
      </c>
      <c r="N56" s="250">
        <f t="shared" ref="N56" si="135">EOMONTH(M56,1)</f>
        <v>46295</v>
      </c>
      <c r="O56" s="250">
        <f t="shared" ref="O56" si="136">EOMONTH(N56,1)</f>
        <v>46326</v>
      </c>
      <c r="P56" s="250">
        <f t="shared" ref="P56" si="137">EOMONTH(O56,1)</f>
        <v>46356</v>
      </c>
      <c r="Q56" s="250">
        <f t="shared" ref="Q56" si="138">EOMONTH(P56,1)</f>
        <v>46387</v>
      </c>
      <c r="R56" s="250">
        <f t="shared" ref="R56" si="139">EOMONTH(Q56,1)</f>
        <v>46418</v>
      </c>
      <c r="S56" s="250">
        <f t="shared" ref="S56" si="140">EOMONTH(R56,1)</f>
        <v>46446</v>
      </c>
      <c r="T56" s="250">
        <f t="shared" ref="T56" si="141">EOMONTH(S56,1)</f>
        <v>46477</v>
      </c>
      <c r="U56" s="250">
        <f t="shared" ref="U56" si="142">EOMONTH(T56,1)</f>
        <v>46507</v>
      </c>
      <c r="V56" s="250">
        <f t="shared" ref="V56" si="143">EOMONTH(U56,1)</f>
        <v>46538</v>
      </c>
      <c r="W56" s="250">
        <f t="shared" ref="W56" si="144">EOMONTH(V56,1)</f>
        <v>46568</v>
      </c>
      <c r="X56" s="250">
        <f t="shared" ref="X56" si="145">EOMONTH(W56,1)</f>
        <v>46599</v>
      </c>
      <c r="Y56" s="250">
        <f t="shared" ref="Y56" si="146">EOMONTH(X56,1)</f>
        <v>46630</v>
      </c>
      <c r="Z56" s="250">
        <f t="shared" ref="Z56" si="147">EOMONTH(Y56,1)</f>
        <v>46660</v>
      </c>
      <c r="AA56" s="250">
        <f t="shared" ref="AA56" si="148">EOMONTH(Z56,1)</f>
        <v>46691</v>
      </c>
      <c r="AB56" s="250">
        <f t="shared" ref="AB56" si="149">EOMONTH(AA56,1)</f>
        <v>46721</v>
      </c>
      <c r="AD56" s="100"/>
      <c r="AE56" s="100"/>
      <c r="AF56" s="100"/>
      <c r="AG56" s="100"/>
      <c r="AH56" s="100"/>
      <c r="AI56" s="100"/>
      <c r="AJ56" s="100"/>
      <c r="AK56" s="100"/>
      <c r="AL56" s="100"/>
      <c r="AM56" s="100"/>
      <c r="AN56" s="100"/>
      <c r="AO56" s="100"/>
    </row>
    <row r="57" spans="1:41" s="111" customFormat="1" ht="20.149999999999999" customHeight="1" x14ac:dyDescent="0.25">
      <c r="B57" s="249"/>
      <c r="C57" s="277"/>
      <c r="D57" s="251"/>
      <c r="E57" s="251"/>
      <c r="F57" s="251"/>
      <c r="G57" s="251"/>
      <c r="H57" s="251"/>
      <c r="I57" s="251"/>
      <c r="J57" s="251"/>
      <c r="K57" s="251"/>
      <c r="L57" s="251"/>
      <c r="M57" s="251"/>
      <c r="N57" s="251"/>
      <c r="O57" s="251"/>
      <c r="P57" s="251"/>
      <c r="Q57" s="251"/>
      <c r="R57" s="251"/>
      <c r="S57" s="251"/>
      <c r="T57" s="251"/>
      <c r="U57" s="251"/>
      <c r="V57" s="251"/>
      <c r="W57" s="251"/>
      <c r="X57" s="251"/>
      <c r="Y57" s="251"/>
      <c r="Z57" s="251"/>
      <c r="AA57" s="251"/>
      <c r="AB57" s="251"/>
      <c r="AD57" s="100"/>
      <c r="AE57" s="100"/>
      <c r="AF57" s="100"/>
      <c r="AG57" s="100"/>
      <c r="AH57" s="100"/>
      <c r="AI57" s="100"/>
      <c r="AJ57" s="100"/>
      <c r="AK57" s="100"/>
      <c r="AL57" s="100"/>
      <c r="AM57" s="100"/>
      <c r="AN57" s="100"/>
      <c r="AO57" s="100"/>
    </row>
    <row r="58" spans="1:41" s="111" customFormat="1" ht="20.149999999999999" customHeight="1" x14ac:dyDescent="0.25">
      <c r="B58" s="249"/>
      <c r="C58" s="277" t="str">
        <f t="shared" ref="C58:C61" si="150">IF(B58=0,"",CONCATENATE("Jornadas de ",B58," horas: "))</f>
        <v/>
      </c>
      <c r="D58" s="251"/>
      <c r="E58" s="251"/>
      <c r="F58" s="251"/>
      <c r="G58" s="251"/>
      <c r="H58" s="251"/>
      <c r="I58" s="251"/>
      <c r="J58" s="251"/>
      <c r="K58" s="251"/>
      <c r="L58" s="251"/>
      <c r="M58" s="251"/>
      <c r="N58" s="251"/>
      <c r="O58" s="251"/>
      <c r="P58" s="251"/>
      <c r="Q58" s="251"/>
      <c r="R58" s="251"/>
      <c r="S58" s="251"/>
      <c r="T58" s="251"/>
      <c r="U58" s="251"/>
      <c r="V58" s="251"/>
      <c r="W58" s="251"/>
      <c r="X58" s="251"/>
      <c r="Y58" s="251"/>
      <c r="Z58" s="251"/>
      <c r="AA58" s="251"/>
      <c r="AB58" s="251"/>
      <c r="AD58" s="100"/>
      <c r="AE58" s="100"/>
      <c r="AF58" s="100"/>
      <c r="AG58" s="100"/>
      <c r="AH58" s="100"/>
      <c r="AI58" s="100"/>
      <c r="AJ58" s="100"/>
      <c r="AK58" s="100"/>
      <c r="AL58" s="100"/>
      <c r="AM58" s="100"/>
      <c r="AN58" s="100"/>
      <c r="AO58" s="100"/>
    </row>
    <row r="59" spans="1:41" s="111" customFormat="1" ht="20.149999999999999" customHeight="1" x14ac:dyDescent="0.25">
      <c r="B59" s="249"/>
      <c r="C59" s="277" t="str">
        <f t="shared" si="150"/>
        <v/>
      </c>
      <c r="D59" s="251"/>
      <c r="E59" s="251"/>
      <c r="F59" s="251"/>
      <c r="G59" s="251"/>
      <c r="H59" s="251"/>
      <c r="I59" s="251"/>
      <c r="J59" s="251"/>
      <c r="K59" s="251"/>
      <c r="L59" s="251"/>
      <c r="M59" s="251"/>
      <c r="N59" s="251"/>
      <c r="O59" s="251"/>
      <c r="P59" s="251"/>
      <c r="Q59" s="251"/>
      <c r="R59" s="251"/>
      <c r="S59" s="251"/>
      <c r="T59" s="251"/>
      <c r="U59" s="251"/>
      <c r="V59" s="251"/>
      <c r="W59" s="251"/>
      <c r="X59" s="251"/>
      <c r="Y59" s="251"/>
      <c r="Z59" s="251"/>
      <c r="AA59" s="251"/>
      <c r="AB59" s="251"/>
      <c r="AD59" s="100"/>
      <c r="AE59" s="100"/>
      <c r="AF59" s="100"/>
      <c r="AG59" s="100"/>
      <c r="AH59" s="100"/>
      <c r="AI59" s="100"/>
      <c r="AJ59" s="100"/>
      <c r="AK59" s="100"/>
      <c r="AL59" s="100"/>
      <c r="AM59" s="100"/>
      <c r="AN59" s="100"/>
      <c r="AO59" s="100"/>
    </row>
    <row r="60" spans="1:41" s="111" customFormat="1" ht="20.149999999999999" customHeight="1" x14ac:dyDescent="0.25">
      <c r="B60" s="249"/>
      <c r="C60" s="277"/>
      <c r="D60" s="251"/>
      <c r="E60" s="251"/>
      <c r="F60" s="251"/>
      <c r="G60" s="251"/>
      <c r="H60" s="251"/>
      <c r="I60" s="251"/>
      <c r="J60" s="251"/>
      <c r="K60" s="251"/>
      <c r="L60" s="251"/>
      <c r="M60" s="251"/>
      <c r="N60" s="251"/>
      <c r="O60" s="251"/>
      <c r="P60" s="251"/>
      <c r="Q60" s="251"/>
      <c r="R60" s="251"/>
      <c r="S60" s="251"/>
      <c r="T60" s="251"/>
      <c r="U60" s="251"/>
      <c r="V60" s="251"/>
      <c r="W60" s="251"/>
      <c r="X60" s="251"/>
      <c r="Y60" s="251"/>
      <c r="Z60" s="251"/>
      <c r="AA60" s="251"/>
      <c r="AB60" s="251"/>
      <c r="AD60" s="100"/>
      <c r="AE60" s="100"/>
      <c r="AF60" s="100"/>
      <c r="AG60" s="100"/>
      <c r="AH60" s="100"/>
      <c r="AI60" s="100"/>
      <c r="AJ60" s="100"/>
      <c r="AK60" s="100"/>
      <c r="AL60" s="100"/>
      <c r="AM60" s="100"/>
      <c r="AN60" s="100"/>
      <c r="AO60" s="100"/>
    </row>
    <row r="61" spans="1:41" s="111" customFormat="1" ht="20.149999999999999" customHeight="1" x14ac:dyDescent="0.25">
      <c r="B61" s="249"/>
      <c r="C61" s="277" t="str">
        <f t="shared" si="150"/>
        <v/>
      </c>
      <c r="D61" s="251"/>
      <c r="E61" s="251"/>
      <c r="F61" s="251"/>
      <c r="G61" s="251"/>
      <c r="H61" s="251"/>
      <c r="I61" s="251"/>
      <c r="J61" s="251"/>
      <c r="K61" s="251"/>
      <c r="L61" s="251"/>
      <c r="M61" s="251"/>
      <c r="N61" s="251"/>
      <c r="O61" s="251"/>
      <c r="P61" s="251"/>
      <c r="Q61" s="251"/>
      <c r="R61" s="251"/>
      <c r="S61" s="251"/>
      <c r="T61" s="251"/>
      <c r="U61" s="251"/>
      <c r="V61" s="251"/>
      <c r="W61" s="251"/>
      <c r="X61" s="251"/>
      <c r="Y61" s="251"/>
      <c r="Z61" s="251"/>
      <c r="AA61" s="251"/>
      <c r="AB61" s="251"/>
      <c r="AD61" s="100"/>
      <c r="AE61" s="100"/>
      <c r="AF61" s="100"/>
      <c r="AG61" s="100"/>
      <c r="AH61" s="100"/>
      <c r="AI61" s="100"/>
      <c r="AJ61" s="100"/>
      <c r="AK61" s="100"/>
      <c r="AL61" s="100"/>
      <c r="AM61" s="100"/>
      <c r="AN61" s="100"/>
      <c r="AO61" s="100"/>
    </row>
    <row r="62" spans="1:41" s="111" customFormat="1" ht="20.149999999999999" customHeight="1" x14ac:dyDescent="0.25">
      <c r="B62" s="278"/>
      <c r="C62" s="278" t="s">
        <v>257</v>
      </c>
      <c r="D62" s="279">
        <f>SUMPRODUCT(D57:D61,$B$57:$B$61)</f>
        <v>0</v>
      </c>
      <c r="E62" s="279">
        <f t="shared" ref="E62:AA62" si="151">SUMPRODUCT(E57:E61,$B$57:$B$61)</f>
        <v>0</v>
      </c>
      <c r="F62" s="279">
        <f>SUMPRODUCT(F57:F61,$B$57:$B$61)</f>
        <v>0</v>
      </c>
      <c r="G62" s="279">
        <f t="shared" si="151"/>
        <v>0</v>
      </c>
      <c r="H62" s="279">
        <f t="shared" si="151"/>
        <v>0</v>
      </c>
      <c r="I62" s="279">
        <f t="shared" si="151"/>
        <v>0</v>
      </c>
      <c r="J62" s="279">
        <f t="shared" si="151"/>
        <v>0</v>
      </c>
      <c r="K62" s="279">
        <f>SUMPRODUCT(K57:K61,$B$57:$B$61)</f>
        <v>0</v>
      </c>
      <c r="L62" s="279">
        <f t="shared" si="151"/>
        <v>0</v>
      </c>
      <c r="M62" s="279">
        <f t="shared" si="151"/>
        <v>0</v>
      </c>
      <c r="N62" s="279">
        <f>SUMPRODUCT(N57:N61,$B$57:$B$61)</f>
        <v>0</v>
      </c>
      <c r="O62" s="279">
        <f t="shared" si="151"/>
        <v>0</v>
      </c>
      <c r="P62" s="279">
        <f>SUMPRODUCT(P57:P61,$B$57:$B$61)</f>
        <v>0</v>
      </c>
      <c r="Q62" s="279">
        <f t="shared" si="151"/>
        <v>0</v>
      </c>
      <c r="R62" s="279">
        <f t="shared" si="151"/>
        <v>0</v>
      </c>
      <c r="S62" s="279">
        <f t="shared" si="151"/>
        <v>0</v>
      </c>
      <c r="T62" s="279">
        <f t="shared" si="151"/>
        <v>0</v>
      </c>
      <c r="U62" s="279">
        <f t="shared" si="151"/>
        <v>0</v>
      </c>
      <c r="V62" s="279">
        <f t="shared" si="151"/>
        <v>0</v>
      </c>
      <c r="W62" s="279">
        <f t="shared" si="151"/>
        <v>0</v>
      </c>
      <c r="X62" s="279">
        <f t="shared" si="151"/>
        <v>0</v>
      </c>
      <c r="Y62" s="279">
        <f t="shared" si="151"/>
        <v>0</v>
      </c>
      <c r="Z62" s="279">
        <f>SUMPRODUCT(Z57:Z61,$B$57:$B$61)</f>
        <v>0</v>
      </c>
      <c r="AA62" s="279">
        <f t="shared" si="151"/>
        <v>0</v>
      </c>
      <c r="AB62" s="279">
        <f>SUMPRODUCT(AB57:AB61,$B$57:$B$61)</f>
        <v>0</v>
      </c>
    </row>
    <row r="63" spans="1:41" s="111" customFormat="1" ht="20.149999999999999" customHeight="1" x14ac:dyDescent="0.25">
      <c r="B63" s="190"/>
      <c r="C63" s="190"/>
      <c r="D63" s="190"/>
      <c r="E63" s="190"/>
      <c r="F63" s="190"/>
      <c r="G63" s="190"/>
      <c r="H63" s="190"/>
      <c r="I63" s="190"/>
      <c r="J63" s="190"/>
      <c r="K63" s="190"/>
      <c r="L63" s="190"/>
      <c r="M63" s="190"/>
      <c r="N63" s="190"/>
      <c r="O63" s="190"/>
      <c r="P63" s="190"/>
      <c r="Q63" s="190"/>
      <c r="R63" s="190"/>
      <c r="S63" s="190"/>
      <c r="T63" s="190"/>
      <c r="U63" s="190"/>
      <c r="V63" s="190"/>
      <c r="W63" s="190"/>
      <c r="X63" s="190"/>
      <c r="Y63" s="190"/>
      <c r="Z63" s="190"/>
      <c r="AA63" s="190"/>
      <c r="AB63" s="190"/>
    </row>
    <row r="64" spans="1:41" x14ac:dyDescent="0.25">
      <c r="D64" s="106"/>
      <c r="E64" s="106"/>
      <c r="F64" s="106"/>
      <c r="G64" s="106"/>
      <c r="H64" s="106"/>
      <c r="I64" s="106"/>
      <c r="J64" s="106"/>
      <c r="K64" s="106"/>
      <c r="L64" s="106"/>
      <c r="M64" s="106"/>
    </row>
    <row r="65" spans="4:13" x14ac:dyDescent="0.25">
      <c r="D65" s="106"/>
      <c r="E65" s="106"/>
      <c r="F65" s="106"/>
      <c r="G65" s="106"/>
      <c r="H65" s="106"/>
      <c r="I65" s="106"/>
      <c r="J65" s="106"/>
      <c r="K65" s="106"/>
      <c r="L65" s="106"/>
      <c r="M65" s="106"/>
    </row>
    <row r="66" spans="4:13" x14ac:dyDescent="0.25">
      <c r="F66" s="106"/>
      <c r="G66" s="106"/>
      <c r="H66" s="106"/>
    </row>
    <row r="67" spans="4:13" x14ac:dyDescent="0.25">
      <c r="F67" s="106"/>
      <c r="G67" s="106"/>
      <c r="H67" s="106"/>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baecee92fc6a23d7c0a643ff746a4af3">
  <xsd:schema xmlns:xsd="http://www.w3.org/2001/XMLSchema" xmlns:xs="http://www.w3.org/2001/XMLSchema" xmlns:p="http://schemas.microsoft.com/office/2006/metadata/properties" xmlns:ns2="7dc5af80-ab8f-4cff-b7cb-3463b3238b39" targetNamespace="http://schemas.microsoft.com/office/2006/metadata/properties" ma:root="true" ma:fieldsID="ec4a10ea1a6ac0e8b531773a0b4fa9ce"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E82769-0714-4D10-A15E-4D1316028E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26E8F03-94FF-4994-AD38-2615BDB97036}">
  <ds:schemaRefs>
    <ds:schemaRef ds:uri="http://schemas.openxmlformats.org/package/2006/metadata/core-properties"/>
    <ds:schemaRef ds:uri="http://schemas.microsoft.com/office/2006/metadata/properties"/>
    <ds:schemaRef ds:uri="http://schemas.microsoft.com/office/2006/documentManagement/types"/>
    <ds:schemaRef ds:uri="http://purl.org/dc/dcmitype/"/>
    <ds:schemaRef ds:uri="http://schemas.microsoft.com/office/infopath/2007/PartnerControls"/>
    <ds:schemaRef ds:uri="http://purl.org/dc/terms/"/>
    <ds:schemaRef ds:uri="7dc5af80-ab8f-4cff-b7cb-3463b3238b39"/>
    <ds:schemaRef ds:uri="http://www.w3.org/XML/1998/namespace"/>
    <ds:schemaRef ds:uri="http://purl.org/dc/elements/1.1/"/>
  </ds:schemaRefs>
</ds:datastoreItem>
</file>

<file path=customXml/itemProps3.xml><?xml version="1.0" encoding="utf-8"?>
<ds:datastoreItem xmlns:ds="http://schemas.openxmlformats.org/officeDocument/2006/customXml" ds:itemID="{69E2031B-F3FA-42B6-8826-6D4F98BAE269}">
  <ds:schemaRefs>
    <ds:schemaRef ds:uri="http://schemas.microsoft.com/sharepoint/v3/contenttype/forms"/>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2026-05-12T02:27:11Z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