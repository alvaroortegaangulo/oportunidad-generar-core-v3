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7-rpa-validacion\content\data\output\"/>
    </mc:Choice>
  </mc:AlternateContent>
  <xr:revisionPtr revIDLastSave="0" documentId="13_ncr:1_{A5BED47E-A6D9-45D6-A7AB-8267EF879B79}" xr6:coauthVersionLast="47" xr6:coauthVersionMax="47" xr10:uidLastSave="{00000000-0000-0000-0000-000000000000}"/>
  <bookViews>
    <workbookView xWindow="-110" yWindow="-110" windowWidth="19420" windowHeight="1030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AN40" i="6" a="1"/>
  <c r="AN40" i="6" s="1"/>
  <c r="BE40" i="6" a="1"/>
  <c r="BE40" i="6" s="1"/>
  <c r="BB41" i="6" a="1"/>
  <c r="BB41" i="6" s="1"/>
  <c r="BF40" i="6" a="1"/>
  <c r="BF40" i="6" s="1"/>
  <c r="BL41" i="6" a="1"/>
  <c r="BL41" i="6" s="1"/>
  <c r="AG40" i="6" a="1"/>
  <c r="AG40" i="6" s="1"/>
  <c r="AM41" i="6" a="1"/>
  <c r="AM41" i="6" s="1"/>
  <c r="AX40" i="6" a="1"/>
  <c r="AX40" i="6" s="1"/>
  <c r="AN41" i="6" a="1"/>
  <c r="AN41" i="6" s="1"/>
  <c r="BD41" i="6" a="1"/>
  <c r="BD41" i="6" s="1"/>
  <c r="AY40" i="6" a="1"/>
  <c r="AY40" i="6" s="1"/>
  <c r="BE41" i="6" a="1"/>
  <c r="BE41" i="6" s="1"/>
  <c r="AZ40" i="6" a="1"/>
  <c r="AZ40" i="6" s="1"/>
  <c r="AF41" i="6" a="1"/>
  <c r="AF41" i="6" s="1"/>
  <c r="AW41" i="6" a="1"/>
  <c r="AW41" i="6" s="1"/>
  <c r="AG41" i="6" a="1"/>
  <c r="AG41" i="6" s="1"/>
  <c r="AX41" i="6" a="1"/>
  <c r="AX41" i="6" s="1"/>
  <c r="AR40" i="6" a="1"/>
  <c r="AR40" i="6" s="1"/>
  <c r="BI40" i="6" a="1"/>
  <c r="BI40" i="6" s="1"/>
  <c r="AS40" i="6" a="1"/>
  <c r="AS40" i="6" s="1"/>
  <c r="AI41" i="6" a="1"/>
  <c r="AI41" i="6" s="1"/>
  <c r="AZ41" i="6" a="1"/>
  <c r="AZ41" i="6" s="1"/>
  <c r="AT40" i="6" a="1"/>
  <c r="AT40" i="6" s="1"/>
  <c r="AR41" i="6" a="1"/>
  <c r="AR41" i="6" s="1"/>
  <c r="AE40" i="6" a="1"/>
  <c r="AE40" i="6" s="1"/>
  <c r="AM40" i="6" a="1"/>
  <c r="AM40" i="6" s="1"/>
  <c r="BD40" i="6" a="1"/>
  <c r="BD40" i="6" s="1"/>
  <c r="AT41" i="6" a="1"/>
  <c r="AT41" i="6" s="1"/>
  <c r="BJ41" i="6" a="1"/>
  <c r="BJ41" i="6" s="1"/>
  <c r="AF40" i="6" a="1"/>
  <c r="AF40" i="6" s="1"/>
  <c r="AV40" i="6" a="1"/>
  <c r="AV40" i="6" s="1"/>
  <c r="BM40" i="6" a="1"/>
  <c r="BM40" i="6" s="1"/>
  <c r="AK41" i="6" a="1"/>
  <c r="AK41" i="6" s="1"/>
  <c r="BK41" i="6" a="1"/>
  <c r="BK41" i="6" s="1"/>
  <c r="AL41" i="6" a="1"/>
  <c r="AL41" i="6" s="1"/>
  <c r="AU41" i="6" a="1"/>
  <c r="AU41" i="6" s="1"/>
  <c r="AO40" i="6" a="1"/>
  <c r="AO40" i="6" s="1"/>
  <c r="AW40" i="6" a="1"/>
  <c r="AW40" i="6" s="1"/>
  <c r="BN40" i="6" a="1"/>
  <c r="BN40" i="6" s="1"/>
  <c r="BC41" i="6" a="1"/>
  <c r="BC41" i="6" s="1"/>
  <c r="AH40" i="6" a="1"/>
  <c r="AH40" i="6" s="1"/>
  <c r="BG40" i="6" a="1"/>
  <c r="BG40" i="6" s="1"/>
  <c r="AV41" i="6" a="1"/>
  <c r="AV41" i="6" s="1"/>
  <c r="BM41" i="6" a="1"/>
  <c r="BM41" i="6" s="1"/>
  <c r="AP40" i="6" a="1"/>
  <c r="AP40" i="6" s="1"/>
  <c r="AE41" i="6" a="1"/>
  <c r="AE41" i="6" s="1"/>
  <c r="BN41" i="6" a="1"/>
  <c r="BN41" i="6" s="1"/>
  <c r="AI40" i="6" a="1"/>
  <c r="AI40" i="6" s="1"/>
  <c r="BH40" i="6" a="1"/>
  <c r="BH40" i="6" s="1"/>
  <c r="AO41" i="6" a="1"/>
  <c r="AO41" i="6" s="1"/>
  <c r="BF41" i="6" a="1"/>
  <c r="BF41" i="6" s="1"/>
  <c r="AQ40" i="6" a="1"/>
  <c r="AQ40" i="6" s="1"/>
  <c r="AP41" i="6" a="1"/>
  <c r="AP41" i="6" s="1"/>
  <c r="BG41" i="6" a="1"/>
  <c r="BG41" i="6" s="1"/>
  <c r="AJ40" i="6" a="1"/>
  <c r="AJ40" i="6" s="1"/>
  <c r="BA40" i="6" a="1"/>
  <c r="BA40" i="6" s="1"/>
  <c r="AH41" i="6" a="1"/>
  <c r="AH41" i="6" s="1"/>
  <c r="AY41" i="6" a="1"/>
  <c r="AY41" i="6" s="1"/>
  <c r="BB40" i="6" a="1"/>
  <c r="BB40" i="6" s="1"/>
  <c r="BJ40" i="6" a="1"/>
  <c r="BJ40" i="6" s="1"/>
  <c r="AQ41" i="6" a="1"/>
  <c r="AQ41" i="6" s="1"/>
  <c r="BH41" i="6" a="1"/>
  <c r="BH41" i="6" s="1"/>
  <c r="AK40" i="6" a="1"/>
  <c r="AK40" i="6" s="1"/>
  <c r="BK40" i="6" a="1"/>
  <c r="BK40"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G13" i="9"/>
  <c r="G15" i="9" s="1"/>
  <c r="H9" i="9"/>
  <c r="N8" i="10"/>
  <c r="L7" i="10"/>
  <c r="F15" i="9"/>
  <c r="L9" i="10" l="1"/>
  <c r="I10" i="9"/>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c r="Q8" i="9" l="1"/>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R7" i="9"/>
  <c r="Q40" i="9"/>
  <c r="R6" i="9"/>
  <c r="Q13" i="9"/>
  <c r="Q14" i="9" s="1"/>
  <c r="S12" i="9" l="1"/>
  <c r="S9" i="9"/>
  <c r="S8" i="9"/>
  <c r="S10" i="9"/>
  <c r="S11" i="9"/>
  <c r="T5" i="9"/>
  <c r="T4" i="9" s="1"/>
  <c r="S6" i="9"/>
  <c r="T6" i="9" s="1"/>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11" i="9" l="1"/>
  <c r="T7" i="9"/>
  <c r="T12" i="9"/>
  <c r="T8" i="9"/>
  <c r="T10" i="9"/>
  <c r="U5" i="9"/>
  <c r="U4" i="9" s="1"/>
  <c r="T40" i="9" s="1"/>
  <c r="S13" i="9"/>
  <c r="S15" i="9" s="1"/>
  <c r="S40" i="9"/>
  <c r="T9" i="9"/>
  <c r="R15" i="9"/>
  <c r="M33" i="9"/>
  <c r="L21" i="9"/>
  <c r="M36" i="9"/>
  <c r="L24" i="9"/>
  <c r="M35" i="9"/>
  <c r="L23" i="9"/>
  <c r="L22" i="9"/>
  <c r="M34" i="9"/>
  <c r="K18" i="9"/>
  <c r="K38" i="9"/>
  <c r="K44" i="9"/>
  <c r="AR7" i="6"/>
  <c r="AS8" i="6"/>
  <c r="J26" i="9"/>
  <c r="J27" i="9"/>
  <c r="M32" i="9"/>
  <c r="L20" i="9"/>
  <c r="L30" i="9" a="1"/>
  <c r="L30" i="9" s="1"/>
  <c r="L37" i="9"/>
  <c r="K25" i="9"/>
  <c r="M31" i="9"/>
  <c r="L19" i="9"/>
  <c r="BA43" i="9"/>
  <c r="U7" i="9" l="1"/>
  <c r="U6" i="9"/>
  <c r="S14" i="9"/>
  <c r="U10" i="9"/>
  <c r="U11" i="9"/>
  <c r="U9" i="9"/>
  <c r="V5" i="9"/>
  <c r="V4" i="9" s="1"/>
  <c r="U12" i="9"/>
  <c r="U8" i="9"/>
  <c r="T13" i="9"/>
  <c r="T14" i="9" s="1"/>
  <c r="M19" i="9"/>
  <c r="N31" i="9"/>
  <c r="L25" i="9"/>
  <c r="M23" i="9"/>
  <c r="N35" i="9"/>
  <c r="M20" i="9"/>
  <c r="M37" i="9"/>
  <c r="M30" i="9" a="1"/>
  <c r="M30" i="9" s="1"/>
  <c r="N32" i="9"/>
  <c r="M24" i="9"/>
  <c r="N36" i="9"/>
  <c r="K26" i="9"/>
  <c r="K27" i="9"/>
  <c r="M22" i="9"/>
  <c r="N34" i="9"/>
  <c r="L38" i="9"/>
  <c r="L44" i="9"/>
  <c r="L18" i="9"/>
  <c r="AS7" i="6"/>
  <c r="AT8" i="6"/>
  <c r="N33" i="9"/>
  <c r="M21" i="9"/>
  <c r="BB43" i="9"/>
  <c r="V9" i="9"/>
  <c r="V10" i="9"/>
  <c r="T15" i="9"/>
  <c r="U13" i="9" l="1"/>
  <c r="U14" i="9" s="1"/>
  <c r="V12" i="9"/>
  <c r="V11" i="9"/>
  <c r="V7" i="9"/>
  <c r="V6" i="9"/>
  <c r="U40" i="9"/>
  <c r="W5" i="9"/>
  <c r="W4" i="9" s="1"/>
  <c r="V40" i="9" s="1"/>
  <c r="V8" i="9"/>
  <c r="N21" i="9"/>
  <c r="O33" i="9"/>
  <c r="M44" i="9"/>
  <c r="M18" i="9"/>
  <c r="M38" i="9"/>
  <c r="L27" i="9"/>
  <c r="L26" i="9"/>
  <c r="O36" i="9"/>
  <c r="N24" i="9"/>
  <c r="N37" i="9"/>
  <c r="N30" i="9" a="1"/>
  <c r="N30" i="9" s="1"/>
  <c r="N20" i="9"/>
  <c r="O32" i="9"/>
  <c r="AU8" i="6"/>
  <c r="AT7" i="6"/>
  <c r="M25" i="9"/>
  <c r="N23" i="9"/>
  <c r="O35" i="9"/>
  <c r="N22" i="9"/>
  <c r="O34" i="9"/>
  <c r="N19" i="9"/>
  <c r="O31" i="9"/>
  <c r="BC43" i="9"/>
  <c r="W11" i="9" l="1"/>
  <c r="W7" i="9"/>
  <c r="W8" i="9"/>
  <c r="W6" i="9"/>
  <c r="U15" i="9"/>
  <c r="W9" i="9"/>
  <c r="W10" i="9"/>
  <c r="V13" i="9"/>
  <c r="V15" i="9" s="1"/>
  <c r="X5" i="9"/>
  <c r="X4" i="9" s="1"/>
  <c r="W40" i="9" s="1"/>
  <c r="W12" i="9"/>
  <c r="N25" i="9"/>
  <c r="O22" i="9"/>
  <c r="P34" i="9"/>
  <c r="M27" i="9"/>
  <c r="M26" i="9"/>
  <c r="AV8" i="6"/>
  <c r="AU7" i="6"/>
  <c r="O21" i="9"/>
  <c r="P33" i="9"/>
  <c r="N38" i="9"/>
  <c r="N44" i="9"/>
  <c r="N18" i="9"/>
  <c r="O19" i="9"/>
  <c r="P31" i="9"/>
  <c r="O24" i="9"/>
  <c r="P36" i="9"/>
  <c r="O23" i="9"/>
  <c r="P35" i="9"/>
  <c r="O30" i="9" a="1"/>
  <c r="O30" i="9" s="1"/>
  <c r="O37" i="9"/>
  <c r="P32" i="9"/>
  <c r="O20" i="9"/>
  <c r="BD43" i="9"/>
  <c r="X7" i="9" l="1"/>
  <c r="X12" i="9"/>
  <c r="X8" i="9"/>
  <c r="W13" i="9"/>
  <c r="W15" i="9" s="1"/>
  <c r="X10" i="9"/>
  <c r="V14" i="9"/>
  <c r="X9" i="9"/>
  <c r="X11" i="9"/>
  <c r="X6" i="9"/>
  <c r="Y5" i="9"/>
  <c r="Y4" i="9" s="1"/>
  <c r="O25" i="9"/>
  <c r="N26" i="9"/>
  <c r="N27" i="9"/>
  <c r="P21" i="9"/>
  <c r="Q33" i="9"/>
  <c r="P23" i="9"/>
  <c r="Q35" i="9"/>
  <c r="P22" i="9"/>
  <c r="Q34" i="9"/>
  <c r="P20" i="9"/>
  <c r="P37" i="9"/>
  <c r="Q32" i="9"/>
  <c r="P30" i="9" a="1"/>
  <c r="P30" i="9" s="1"/>
  <c r="O38" i="9"/>
  <c r="O44" i="9"/>
  <c r="O18" i="9"/>
  <c r="AW8" i="6"/>
  <c r="AV7" i="6"/>
  <c r="P24" i="9"/>
  <c r="Q36" i="9"/>
  <c r="P19" i="9"/>
  <c r="Q31" i="9"/>
  <c r="BE43" i="9"/>
  <c r="W14" i="9"/>
  <c r="Z5" i="9"/>
  <c r="Z4" i="9" s="1"/>
  <c r="Y6" i="9" l="1"/>
  <c r="Y12" i="9"/>
  <c r="Y10" i="9"/>
  <c r="Z10" i="9" s="1"/>
  <c r="Y8" i="9"/>
  <c r="Z8" i="9" s="1"/>
  <c r="Y7" i="9"/>
  <c r="Z7" i="9" s="1"/>
  <c r="Y11" i="9"/>
  <c r="Z11" i="9" s="1"/>
  <c r="Y9" i="9"/>
  <c r="X40" i="9"/>
  <c r="X13" i="9"/>
  <c r="X14" i="9" s="1"/>
  <c r="P25" i="9"/>
  <c r="Q24" i="9"/>
  <c r="R36" i="9"/>
  <c r="P18" i="9"/>
  <c r="P38" i="9"/>
  <c r="P44" i="9"/>
  <c r="Q20" i="9"/>
  <c r="R32" i="9"/>
  <c r="Q37" i="9"/>
  <c r="Q30" i="9" a="1"/>
  <c r="Q30" i="9" s="1"/>
  <c r="Q19" i="9"/>
  <c r="R31" i="9"/>
  <c r="Q22" i="9"/>
  <c r="R34" i="9"/>
  <c r="R35" i="9"/>
  <c r="Q23" i="9"/>
  <c r="AX8" i="6"/>
  <c r="AW7" i="6"/>
  <c r="R33" i="9"/>
  <c r="Q21" i="9"/>
  <c r="O26" i="9"/>
  <c r="O27" i="9"/>
  <c r="BF43" i="9"/>
  <c r="Y40" i="9"/>
  <c r="Z12" i="9"/>
  <c r="Z6" i="9"/>
  <c r="AA5" i="9"/>
  <c r="Y13" i="9" l="1"/>
  <c r="Y15" i="9" s="1"/>
  <c r="X15" i="9"/>
  <c r="Z9" i="9"/>
  <c r="AA9" i="9" s="1"/>
  <c r="Q38" i="9"/>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B7" i="9"/>
  <c r="AC7" i="9" s="1"/>
  <c r="AB11" i="9"/>
  <c r="AC11" i="9" s="1"/>
  <c r="AD11" i="9" s="1"/>
  <c r="AB4" i="9"/>
  <c r="AA40" i="9" s="1"/>
  <c r="AB6" i="9"/>
  <c r="AC6" i="9" s="1"/>
  <c r="Z15" i="9"/>
  <c r="AA13" i="9"/>
  <c r="AA14" i="9" s="1"/>
  <c r="AD9" i="9" l="1"/>
  <c r="AD7" i="9"/>
  <c r="AD4" i="9"/>
  <c r="AE5" i="9"/>
  <c r="AD6" i="9"/>
  <c r="AD8" i="9"/>
  <c r="AC13" i="9"/>
  <c r="AC14" i="9" s="1"/>
  <c r="AD12" i="9"/>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E9" i="9" l="1"/>
  <c r="AB15" i="9"/>
  <c r="AE12" i="9"/>
  <c r="AE10" i="9"/>
  <c r="AC15" i="9"/>
  <c r="AC40" i="9"/>
  <c r="AD13" i="9"/>
  <c r="AD14" i="9" s="1"/>
  <c r="AE8" i="9"/>
  <c r="AE6" i="9"/>
  <c r="AE4" i="9"/>
  <c r="AD40" i="9" s="1"/>
  <c r="AF5" i="9"/>
  <c r="AE7" i="9"/>
  <c r="AF7" i="9" s="1"/>
  <c r="AE11" i="9"/>
  <c r="V34" i="9"/>
  <c r="U22" i="9"/>
  <c r="V35" i="9"/>
  <c r="U23" i="9"/>
  <c r="U24" i="9"/>
  <c r="V36" i="9"/>
  <c r="U20" i="9"/>
  <c r="V32" i="9"/>
  <c r="U37" i="9"/>
  <c r="U30" i="9" a="1"/>
  <c r="U30" i="9" s="1"/>
  <c r="S27" i="9"/>
  <c r="S26" i="9"/>
  <c r="BB8" i="6"/>
  <c r="BA7" i="6"/>
  <c r="T25" i="9"/>
  <c r="U19" i="9"/>
  <c r="V31" i="9"/>
  <c r="T44" i="9"/>
  <c r="T18" i="9"/>
  <c r="T38" i="9"/>
  <c r="U21" i="9"/>
  <c r="V33" i="9"/>
  <c r="BJ43" i="9"/>
  <c r="AF11" i="9" l="1"/>
  <c r="AD15" i="9"/>
  <c r="AF4" i="9"/>
  <c r="AE40" i="9" s="1"/>
  <c r="AG5" i="9"/>
  <c r="AF6" i="9"/>
  <c r="AF10" i="9"/>
  <c r="AG10" i="9" s="1"/>
  <c r="AG7" i="9"/>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G11" i="9" l="1"/>
  <c r="AE15" i="9"/>
  <c r="AG6" i="9"/>
  <c r="AH5" i="9"/>
  <c r="AH10" i="9" s="1"/>
  <c r="AG4" i="9"/>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F40" i="9"/>
  <c r="AH8" i="9"/>
  <c r="AG13" i="9"/>
  <c r="AG14" i="9" s="1"/>
  <c r="AH7" i="9"/>
  <c r="AH4" i="9"/>
  <c r="AI5" i="9"/>
  <c r="AG15" i="9"/>
  <c r="AH6" i="9"/>
  <c r="AH9" i="9"/>
  <c r="AI9" i="9" s="1"/>
  <c r="AH12" i="9"/>
  <c r="AH11" i="9"/>
  <c r="Y34" i="9"/>
  <c r="X22" i="9"/>
  <c r="X21" i="9"/>
  <c r="Y33" i="9"/>
  <c r="V27" i="9"/>
  <c r="V26" i="9"/>
  <c r="X23" i="9"/>
  <c r="Y35" i="9"/>
  <c r="W18" i="9"/>
  <c r="W38" i="9"/>
  <c r="W44" i="9"/>
  <c r="W25" i="9"/>
  <c r="Y31" i="9"/>
  <c r="X19" i="9"/>
  <c r="BE8" i="6"/>
  <c r="BD7" i="6"/>
  <c r="X24" i="9"/>
  <c r="Y36" i="9"/>
  <c r="X37" i="9"/>
  <c r="X30" i="9" a="1"/>
  <c r="X30" i="9" s="1"/>
  <c r="Y32" i="9"/>
  <c r="X20" i="9"/>
  <c r="X25" i="9" s="1"/>
  <c r="N7" i="10"/>
  <c r="M7" i="10"/>
  <c r="M9" i="10" s="1"/>
  <c r="AI7" i="9" l="1"/>
  <c r="AI11" i="9"/>
  <c r="AG40" i="9"/>
  <c r="AI6" i="9"/>
  <c r="AI12" i="9"/>
  <c r="AJ5" i="9"/>
  <c r="AJ9" i="9" s="1"/>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J12" i="9"/>
  <c r="AH15" i="9"/>
  <c r="AJ4" i="9"/>
  <c r="AK5" i="9"/>
  <c r="AH40" i="9"/>
  <c r="AJ6" i="9"/>
  <c r="AJ11" i="9"/>
  <c r="AJ7" i="9"/>
  <c r="AK7" i="9" s="1"/>
  <c r="AK9" i="9"/>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K11" i="9" l="1"/>
  <c r="AK12" i="9"/>
  <c r="AI15"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7" i="9" l="1"/>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O10" i="9" s="1"/>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M15" i="9"/>
  <c r="AM40" i="9"/>
  <c r="AP5" i="9"/>
  <c r="AP9" i="9" s="1"/>
  <c r="AO4" i="9"/>
  <c r="AO8" i="9"/>
  <c r="AN13" i="9"/>
  <c r="AN14" i="9" s="1"/>
  <c r="AO6" i="9"/>
  <c r="AN15" i="9"/>
  <c r="AO11" i="9"/>
  <c r="AE19" i="9"/>
  <c r="AF31" i="9"/>
  <c r="AD38" i="9"/>
  <c r="AD18" i="9"/>
  <c r="AD44" i="9"/>
  <c r="AE24" i="9"/>
  <c r="AF36" i="9"/>
  <c r="AD25" i="9"/>
  <c r="BL8" i="6"/>
  <c r="BK7" i="6"/>
  <c r="AE22" i="9"/>
  <c r="AF34" i="9"/>
  <c r="AC26" i="9"/>
  <c r="AC27" i="9"/>
  <c r="AE23" i="9"/>
  <c r="AF35" i="9"/>
  <c r="AF33" i="9"/>
  <c r="AE21" i="9"/>
  <c r="AE20" i="9"/>
  <c r="AF32" i="9"/>
  <c r="AE37" i="9"/>
  <c r="AE30" i="9" a="1"/>
  <c r="AE30" i="9" s="1"/>
  <c r="AP12" i="9" l="1"/>
  <c r="AP4" i="9"/>
  <c r="AO40" i="9" s="1"/>
  <c r="AQ5" i="9"/>
  <c r="AQ9" i="9" s="1"/>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R6" i="9"/>
  <c r="AR9" i="9"/>
  <c r="AH21" i="9"/>
  <c r="AI33" i="9"/>
  <c r="AH37" i="9"/>
  <c r="AH20" i="9"/>
  <c r="AI32" i="9"/>
  <c r="AH30" i="9" a="1"/>
  <c r="AH30" i="9" s="1"/>
  <c r="AH19" i="9"/>
  <c r="AI31" i="9"/>
  <c r="AF27" i="9"/>
  <c r="AF26" i="9"/>
  <c r="AH22" i="9"/>
  <c r="AI34" i="9"/>
  <c r="AH24" i="9"/>
  <c r="AI36" i="9"/>
  <c r="AH23" i="9"/>
  <c r="AI35" i="9"/>
  <c r="AG44" i="9"/>
  <c r="AG18" i="9"/>
  <c r="AG38" i="9"/>
  <c r="AQ15" i="9" l="1"/>
  <c r="AS7" i="9"/>
  <c r="AS10" i="9"/>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9" i="9" l="1"/>
  <c r="AT11" i="9"/>
  <c r="AR15" i="9"/>
  <c r="AR40" i="9"/>
  <c r="AS13" i="9"/>
  <c r="AS15" i="9" s="1"/>
  <c r="AT8" i="9"/>
  <c r="AT12" i="9"/>
  <c r="AT7" i="9"/>
  <c r="AS14"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U6" i="9" l="1"/>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V12" i="9"/>
  <c r="AW5" i="9"/>
  <c r="AV4" i="9"/>
  <c r="AU40" i="9" s="1"/>
  <c r="AL23" i="9"/>
  <c r="AM35" i="9"/>
  <c r="AK18" i="9"/>
  <c r="AK38" i="9"/>
  <c r="AK44" i="9"/>
  <c r="AM32" i="9"/>
  <c r="AL20" i="9"/>
  <c r="AL37" i="9"/>
  <c r="AL30" i="9" a="1"/>
  <c r="AL30" i="9" s="1"/>
  <c r="AL19" i="9"/>
  <c r="AM31" i="9"/>
  <c r="AL21" i="9"/>
  <c r="AM33" i="9"/>
  <c r="AJ27" i="9"/>
  <c r="AJ26" i="9"/>
  <c r="AM36" i="9"/>
  <c r="AL24" i="9"/>
  <c r="AL22" i="9"/>
  <c r="AM34" i="9"/>
  <c r="AU15" i="9" l="1"/>
  <c r="AW12" i="9"/>
  <c r="AW9" i="9"/>
  <c r="AW4" i="9"/>
  <c r="AV40" i="9" s="1"/>
  <c r="AX5" i="9"/>
  <c r="AW10" i="9"/>
  <c r="AX10" i="9" s="1"/>
  <c r="AW8" i="9"/>
  <c r="AV13" i="9"/>
  <c r="AV15" i="9" s="1"/>
  <c r="AW6" i="9"/>
  <c r="AW7" i="9"/>
  <c r="AX7" i="9" s="1"/>
  <c r="AW11" i="9"/>
  <c r="AX11" i="9" s="1"/>
  <c r="AL18" i="9"/>
  <c r="AL38" i="9"/>
  <c r="AL44" i="9"/>
  <c r="AM22" i="9"/>
  <c r="AN34" i="9"/>
  <c r="AN32" i="9"/>
  <c r="AM20" i="9"/>
  <c r="AM37" i="9"/>
  <c r="AM30" i="9" a="1"/>
  <c r="AM30" i="9" s="1"/>
  <c r="AN36" i="9"/>
  <c r="AM24" i="9"/>
  <c r="AK27" i="9"/>
  <c r="AK26" i="9"/>
  <c r="AM19" i="9"/>
  <c r="AN31" i="9"/>
  <c r="AL25" i="9"/>
  <c r="AN35" i="9"/>
  <c r="AM23" i="9"/>
  <c r="AM21" i="9"/>
  <c r="AN33" i="9"/>
  <c r="AV14" i="9" l="1"/>
  <c r="AX12" i="9"/>
  <c r="AX9"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Y10" i="9"/>
  <c r="AZ10" i="9" s="1"/>
  <c r="AY12" i="9"/>
  <c r="AZ12" i="9" s="1"/>
  <c r="AN44" i="9"/>
  <c r="AN18" i="9"/>
  <c r="AN38" i="9"/>
  <c r="AO23" i="9"/>
  <c r="AP35" i="9"/>
  <c r="AO20" i="9"/>
  <c r="AO37" i="9"/>
  <c r="AP32" i="9"/>
  <c r="AO30" i="9" a="1"/>
  <c r="AO30" i="9" s="1"/>
  <c r="AO21" i="9"/>
  <c r="AP33" i="9"/>
  <c r="AM26" i="9"/>
  <c r="AM27" i="9"/>
  <c r="AO19" i="9"/>
  <c r="AP31" i="9"/>
  <c r="AP34" i="9"/>
  <c r="AO22" i="9"/>
  <c r="AN25" i="9"/>
  <c r="AP36" i="9"/>
  <c r="AO24" i="9"/>
  <c r="AX14" i="9" l="1"/>
  <c r="AZ11"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B9" i="9" s="1"/>
  <c r="BA6" i="9"/>
  <c r="AZ14" i="9"/>
  <c r="AZ15" i="9"/>
  <c r="AP25" i="9"/>
  <c r="AQ24" i="9"/>
  <c r="AR36" i="9"/>
  <c r="AQ21" i="9"/>
  <c r="AR33" i="9"/>
  <c r="AP18" i="9"/>
  <c r="AP38" i="9"/>
  <c r="AP44" i="9"/>
  <c r="AQ20" i="9"/>
  <c r="AQ25" i="9" s="1"/>
  <c r="AQ37" i="9"/>
  <c r="AR32" i="9"/>
  <c r="AQ30" i="9" a="1"/>
  <c r="AQ30" i="9" s="1"/>
  <c r="AQ19" i="9"/>
  <c r="AR31" i="9"/>
  <c r="AQ22" i="9"/>
  <c r="AR34" i="9"/>
  <c r="AO26" i="9"/>
  <c r="AO27" i="9"/>
  <c r="AQ23" i="9"/>
  <c r="AR35" i="9"/>
  <c r="BB12" i="9" l="1"/>
  <c r="BB8" i="9"/>
  <c r="BA13" i="9"/>
  <c r="BA14" i="9" s="1"/>
  <c r="BC5" i="9"/>
  <c r="BB4" i="9"/>
  <c r="BA40" i="9" s="1"/>
  <c r="BB6" i="9"/>
  <c r="BA15"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C12" i="9" l="1"/>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B15" i="9" l="1"/>
  <c r="BD11" i="9"/>
  <c r="BC13" i="9"/>
  <c r="BC14" i="9" s="1"/>
  <c r="BD8" i="9"/>
  <c r="AS25" i="9"/>
  <c r="BD4" i="9"/>
  <c r="BC40" i="9" s="1"/>
  <c r="BE5" i="9"/>
  <c r="BE7" i="9" s="1"/>
  <c r="BD6" i="9"/>
  <c r="BD10" i="9"/>
  <c r="BD12" i="9"/>
  <c r="AS18" i="9"/>
  <c r="AS38" i="9"/>
  <c r="AS44" i="9"/>
  <c r="AT20" i="9"/>
  <c r="AU32" i="9"/>
  <c r="AT37" i="9"/>
  <c r="AT30" i="9" a="1"/>
  <c r="AT30" i="9" s="1"/>
  <c r="AT24" i="9"/>
  <c r="AU36" i="9"/>
  <c r="AT19" i="9"/>
  <c r="AU31" i="9"/>
  <c r="AT23" i="9"/>
  <c r="AU35" i="9"/>
  <c r="AT21" i="9"/>
  <c r="AU33" i="9"/>
  <c r="AR27" i="9"/>
  <c r="AR26" i="9"/>
  <c r="AU34" i="9"/>
  <c r="AT22" i="9"/>
  <c r="BE10" i="9" l="1"/>
  <c r="BE9" i="9"/>
  <c r="BC15" i="9"/>
  <c r="BE11"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4" i="9" s="1"/>
  <c r="AU25" i="9"/>
  <c r="BF7" i="9"/>
  <c r="BG7" i="9" s="1"/>
  <c r="BF9" i="9"/>
  <c r="BG9" i="9" s="1"/>
  <c r="BE15" i="9"/>
  <c r="BF6" i="9"/>
  <c r="BF10" i="9"/>
  <c r="AW33" i="9"/>
  <c r="AV21" i="9"/>
  <c r="AW32" i="9"/>
  <c r="AV20" i="9"/>
  <c r="AV37" i="9"/>
  <c r="AV30" i="9" a="1"/>
  <c r="AV30" i="9" s="1"/>
  <c r="AV23" i="9"/>
  <c r="AW35" i="9"/>
  <c r="AV24" i="9"/>
  <c r="AW36" i="9"/>
  <c r="AU18" i="9"/>
  <c r="AU38" i="9"/>
  <c r="AU44" i="9"/>
  <c r="AV19" i="9"/>
  <c r="AW31" i="9"/>
  <c r="AW34" i="9"/>
  <c r="AV22" i="9"/>
  <c r="AT26" i="9"/>
  <c r="AT27" i="9"/>
  <c r="BG11" i="9" l="1"/>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F15" i="9"/>
  <c r="BH12" i="9"/>
  <c r="BH7" i="9"/>
  <c r="BI5" i="9"/>
  <c r="BH4" i="9"/>
  <c r="BG40" i="9" s="1"/>
  <c r="BH8" i="9"/>
  <c r="BG13" i="9"/>
  <c r="BG14" i="9" s="1"/>
  <c r="BH10" i="9"/>
  <c r="BI10" i="9" s="1"/>
  <c r="BH6" i="9"/>
  <c r="BH9" i="9"/>
  <c r="BI9" i="9" s="1"/>
  <c r="AV26" i="9"/>
  <c r="AV27" i="9"/>
  <c r="AY33" i="9"/>
  <c r="AX21" i="9"/>
  <c r="AX24" i="9"/>
  <c r="AY36" i="9"/>
  <c r="AW25" i="9"/>
  <c r="AX23" i="9"/>
  <c r="AY35" i="9"/>
  <c r="AW38" i="9"/>
  <c r="AW18" i="9"/>
  <c r="AW44" i="9"/>
  <c r="AY31" i="9"/>
  <c r="AX19" i="9"/>
  <c r="AX37" i="9"/>
  <c r="AX20" i="9"/>
  <c r="AY32" i="9"/>
  <c r="AX30" i="9" a="1"/>
  <c r="AX30" i="9" s="1"/>
  <c r="AX22" i="9"/>
  <c r="AY34" i="9"/>
  <c r="BI11" i="9" l="1"/>
  <c r="BI12" i="9"/>
  <c r="BI7" i="9"/>
  <c r="BG15" i="9"/>
  <c r="BH13" i="9"/>
  <c r="BH14" i="9" s="1"/>
  <c r="BI8" i="9"/>
  <c r="BI6" i="9"/>
  <c r="BI4" i="9"/>
  <c r="BH40" i="9" s="1"/>
  <c r="BJ5" i="9"/>
  <c r="BJ11" i="9" s="1"/>
  <c r="AZ35" i="9"/>
  <c r="AY23" i="9"/>
  <c r="AY22" i="9"/>
  <c r="AZ34" i="9"/>
  <c r="AZ36" i="9"/>
  <c r="AY24" i="9"/>
  <c r="AX25" i="9"/>
  <c r="AZ33" i="9"/>
  <c r="AY21" i="9"/>
  <c r="AW27" i="9"/>
  <c r="AW26" i="9"/>
  <c r="AX44" i="9"/>
  <c r="AX18" i="9"/>
  <c r="AX38" i="9"/>
  <c r="AY20" i="9"/>
  <c r="AZ32" i="9"/>
  <c r="AY37" i="9"/>
  <c r="AY30" i="9" a="1"/>
  <c r="AY30" i="9" s="1"/>
  <c r="AY19" i="9"/>
  <c r="AZ31" i="9"/>
  <c r="BH15" i="9" l="1"/>
  <c r="BJ7" i="9"/>
  <c r="BJ12" i="9"/>
  <c r="BJ9" i="9"/>
  <c r="BJ10" i="9"/>
  <c r="BK5" i="9"/>
  <c r="BK11"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K12" i="9"/>
  <c r="BI15" i="9"/>
  <c r="BJ13" i="9"/>
  <c r="BJ14" i="9" s="1"/>
  <c r="BK8" i="9"/>
  <c r="BK6" i="9"/>
  <c r="BJ15" i="9"/>
  <c r="BL5" i="9"/>
  <c r="BL4" i="9"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D11" i="10" l="1"/>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M11" i="10" l="1"/>
  <c r="D12" i="10"/>
  <c r="N11" i="10"/>
  <c r="BL13" i="9"/>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<sst xmlns="http://schemas.openxmlformats.org/spreadsheetml/2006/main" count="443" uniqueCount="306">
  <si>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</si>
  <si>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</si>
  <si>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</si>
  <si>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</si>
  <si>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</si>
  <si>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</si>
  <si>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</si>
  <si>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</si>
  <si>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</si>
  <si>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</si>
  <si>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</si>
  <si>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</si>
  <si>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</si>
  <si>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</si>
  <si>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</si>
  <si>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</si>
  <si>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</si>
  <si>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</si>
  <si>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</si>
  <si>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</si>
  <si>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</si>
  <si>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</si>
  <si>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</si>
  <si>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</si>
  <si>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</si>
  <si>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</si>
  <si>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</si>
  <si>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</si>
  <si>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</si>
  <si>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</si>
  <si>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</si>
  <si>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</si>
  <si>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</si>
  <si>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</si>
  <si>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</si>
  <si>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</si>
  <si>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</si>
  <si>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</si>
  <si>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</si>
  <si>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</si>
  <si>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</si>
  <si>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</si>
  <si>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</si>
  <si>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</si>
  <si>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</si>
  <si>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</si>
  <si>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</si>
  <si>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</si>
  <si>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</si>
  <si>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</si>
  <si>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</si>
  <si>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</si>
  <si>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</si>
  <si>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</si>
  <si>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</si>
  <si>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</si>
  <si>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</si>
  <si>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</si>
  <si>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</si>
  <si>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</si>
  <si>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</si>
  <si>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</si>
  <si>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</si>
  <si>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</si>
  <si>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</si>
  <si>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</si>
  <si>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</si>
  <si>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</si>
  <si>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</si>
  <si>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</si>
  <si>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</si>
  <si>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</si>
  <si>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</si>
  <si>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</si>
  <si>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</si>
  <si>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</si>
  <si>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</si>
  <si>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</si>
  <si>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</si>
  <si>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</si>
  <si>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</si>
  <si>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</si>
  <si>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</si>
  <si>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</si>
  <si>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</si>
  <si>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</si>
  <si>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</si>
  <si>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</si>
  <si>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</si>
  <si>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</si>
  <si>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</si>
  <si>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</si>
  <si>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</si>
  <si>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</si>
  <si>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</si>
  <si>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</si>
  <si>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</si>
  <si>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</si>
  <si>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</si>
  <si>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</si>
  <si>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</si>
  <si>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</si>
  <si>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</si>
  <si>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</si>
  <si>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</si>
  <si>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</si>
  <si>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</si>
  <si>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</si>
  <si>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</si>
  <si>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</si>
  <si>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</si>
  <si>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</si>
  <si>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</si>
  <si>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</si>
  <si>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</si>
  <si>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</si>
  <si>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</si>
  <si>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</si>
  <si>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</si>
  <si>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</si>
  <si>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</si>
  <si>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</si>
  <si>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</si>
  <si>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</si>
  <si>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</si>
  <si>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</si>
  <si>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</si>
  <si>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</si>
  <si>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</si>
  <si>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</si>
  <si>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</si>
  <si>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</si>
  <si>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</si>
  <si>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</si>
  <si>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</si>
  <si>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</si>
  <si>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</si>
  <si>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</si>
  <si>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</si>
  <si>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</si>
  <si>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</si>
  <si>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</si>
  <si>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</si>
  <si>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</si>
  <si>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</si>
  <si>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</si>
  <si>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</si>
  <si>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</si>
  <si>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</si>
  <si>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</si>
  <si>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</si>
  <si>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</si>
  <si>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</si>
  <si>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</si>
  <si>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</si>
  <si>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</si>
  <si>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</si>
  <si>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</si>
  <si>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</si>
  <si>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</si>
  <si>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</si>
  <si>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</si>
  <si>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</si>
  <si>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</si>
  <si>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</si>
  <si>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</si>
  <si>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</si>
  <si>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</si>
  <si>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</si>
  <si>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</si>
  <si>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</si>
  <si>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</si>
  <si>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</si>
  <si>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</si>
  <si>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</si>
  <si>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</si>
  <si>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</si>
  <si>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</si>
  <si>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</si>
  <si>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</si>
  <si>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</si>
  <si>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</si>
  <si>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</si>
  <si>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</si>
  <si>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</si>
  <si>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</si>
  <si>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</si>
  <si>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</si>
  <si>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</si>
  <si>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</si>
  <si>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</si>
  <si>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</si>
  <si>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</si>
  <si>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</si>
  <si>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</si>
  <si>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</si>
  <si>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</si>
  <si>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</si>
  <si>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</si>
  <si>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</si>
  <si>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</si>
  <si>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</si>
  <si>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</si>
  <si>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</si>
  <si>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</si>
  <si>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</si>
  <si>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</si>
  <si>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</si>
  <si>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</si>
  <si>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</si>
  <si>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</si>
  <si>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</si>
  <si>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</si>
  <si>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</si>
  <si>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</si>
  <si>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</si>
  <si>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</si>
  <si>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</si>
  <si>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</si>
  <si>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</si>
  <si>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</si>
  <si>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</si>
  <si>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</si>
  <si>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</si>
  <si>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</si>
  <si>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</si>
  <si>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</si>
  <si>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</si>
  <si>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</si>
  <si>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</si>
  <si>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</si>
  <si>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</si>
  <si>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</si>
  <si>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</si>
  <si>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</si>
  <si>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</si>
  <si>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</si>
  <si>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</si>
  <si>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</si>
  <si>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</si>
  <si>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</si>
  <si>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</si>
  <si>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</si>
  <si>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</si>
  <si>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</si>
  <si>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</si>
  <si>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</si>
  <si>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</si>
  <si>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</si>
  <si>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</si>
  <si>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</si>
  <si>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</si>
  <si>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</si>
  <si>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</si>
  <si>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</si>
  <si>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</si>
  <si>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</si>
  <si>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</si>
  <si>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</si>
  <si>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</si>
  <si>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</si>
  <si>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</si>
  <si>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</si>
  <si>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</si>
  <si>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</si>
  <si>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</si>
  <si>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</si>
  <si>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</si>
  <si>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</si>
  <si>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</si>
  <si>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</si>
  <si>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</si>
  <si>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</si>
  <si>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</si>
  <si>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</si>
  <si>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</si>
  <si>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</si>
  <si>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</si>
  <si>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</si>
  <si>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</si>
  <si>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</si>
  <si>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</si>
  <si>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</si>
  <si>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</si>
  <si>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</si>
  <si>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</si>
  <si>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</si>
  <si>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</si>
  <si>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</si>
  <si>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</si>
  <si>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</si>
  <si>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</si>
  <si>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</si>
  <si>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</si>
  <si>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</si>
  <si>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</si>
  <si>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</si>
  <si>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</si>
  <si>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</si>
  <si>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</si>
  <si>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</si>
  <si>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Proveedor Test</t>
  </si>
  <si>
    <t>Trabajos on site</t>
  </si>
  <si>
    <t>PVR-OC-0005647</t>
  </si>
  <si>
    <t>ARIBA-TEST-001</t>
  </si>
  <si>
    <t>RPA_VALIDACION: Generado por RPA: 2026-05-12 00:22:20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PC: detectadas anualidades fuera de calendario CORE. Calendario 2025-11 a 2026-10. Baseline recursos PPO: 367.515,14 EUR. Recursos planificados: 324.095,05 EUR. Pendiente fuera de calendario: 1.720 h / 43.420,09 EUR. Años afectados: 2027, 2028. Revisión requerida por 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</si>
</sst>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1">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8" t="s">
        <v>0</v>
      </c>
      <c r="C3" s="298"/>
      <c r="D3" s="298"/>
    </row>
    <row r="4" spans="2:16" ht="21" customHeight="1" thickBot="1" x14ac:dyDescent="0.35">
      <c r="B4" s="63"/>
      <c r="C4" s="64"/>
      <c r="D4" s="65"/>
      <c r="E4" s="65"/>
      <c r="F4" s="72"/>
      <c r="G4" s="67"/>
    </row>
    <row r="5" spans="2:16" ht="21" customHeight="1" thickBot="1" x14ac:dyDescent="0.35">
      <c r="B5" s="66" t="s">
        <v>1</v>
      </c>
      <c r="C5" s="59">
        <v>46154</v>
      </c>
      <c r="D5" s="67"/>
      <c r="E5" s="65"/>
      <c r="F5" s="72"/>
      <c r="G5" s="67"/>
    </row>
    <row r="6" spans="2:16" ht="18" customHeight="1" x14ac:dyDescent="0.3">
      <c r="B6" s="71" t="s">
        <v>2</v>
      </c>
      <c r="C6" s="191">
        <v>45961</v>
      </c>
      <c r="D6" s="68">
        <v>45961</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271</v>
      </c>
      <c r="D10" s="235"/>
      <c r="H10" s="29"/>
      <c r="I10" s="29"/>
      <c r="J10" s="29"/>
      <c r="K10" s="29"/>
      <c r="L10" s="29"/>
      <c r="M10" s="29"/>
      <c r="N10" s="29"/>
      <c r="O10" s="29"/>
      <c r="P10" s="29"/>
    </row>
    <row r="11" spans="2:16" ht="18" customHeight="1" x14ac:dyDescent="0.3">
      <c r="B11" s="71" t="s">
        <v>6</v>
      </c>
      <c r="C11" s="302" t="s">
        <v>272</v>
      </c>
      <c r="D11" s="302"/>
      <c r="E11" s="302"/>
      <c r="F11" s="302"/>
      <c r="G11" s="302"/>
      <c r="H11" s="29"/>
      <c r="I11" s="29"/>
      <c r="J11" s="29"/>
      <c r="K11" s="29"/>
      <c r="L11" s="29"/>
      <c r="M11" s="29"/>
      <c r="N11" s="29"/>
      <c r="O11" s="29"/>
      <c r="P11" s="29"/>
    </row>
    <row r="12" spans="2:16" ht="18" customHeight="1" x14ac:dyDescent="0.3">
      <c r="B12" s="71" t="s">
        <v>7</v>
      </c>
      <c r="C12" s="299" t="s">
        <v>47</v>
      </c>
      <c r="D12" s="299"/>
      <c r="H12" s="29"/>
      <c r="I12" s="29"/>
      <c r="J12" s="29"/>
      <c r="K12" s="29"/>
      <c r="L12" s="29"/>
      <c r="M12" s="29"/>
      <c r="N12" s="29"/>
      <c r="O12" s="29"/>
      <c r="P12" s="29"/>
    </row>
    <row r="13" spans="2:16" ht="18" customHeight="1" x14ac:dyDescent="0.3">
      <c r="B13" s="71" t="s">
        <v>8</v>
      </c>
      <c r="C13" s="300" t="s">
        <v>273</v>
      </c>
      <c r="D13" s="301"/>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v>461530</v>
      </c>
      <c r="D16" s="16" t="s">
        <v>274</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275</v>
      </c>
      <c r="D18" s="16"/>
      <c r="E18" s="29"/>
      <c r="F18" s="29"/>
      <c r="G18" s="29"/>
      <c r="H18" s="29"/>
      <c r="I18" s="29"/>
      <c r="J18" s="29"/>
      <c r="K18" s="29"/>
      <c r="L18" s="29"/>
      <c r="M18" s="29"/>
      <c r="N18" s="29"/>
      <c r="O18" s="29"/>
      <c r="P18" s="29"/>
    </row>
    <row r="19" spans="2:16" ht="18" customHeight="1" x14ac:dyDescent="0.3">
      <c r="B19" s="71" t="s">
        <v>13</v>
      </c>
      <c r="C19" s="183">
        <v>714603126</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v>3900331</v>
      </c>
      <c r="D22" s="16" t="s">
        <v>276</v>
      </c>
      <c r="E22" s="75"/>
      <c r="F22" s="187"/>
      <c r="G22" s="187"/>
      <c r="H22" s="29"/>
      <c r="I22" s="29"/>
      <c r="J22" s="29"/>
      <c r="K22" s="29"/>
      <c r="L22" s="29"/>
      <c r="M22" s="29"/>
      <c r="N22" s="29"/>
      <c r="O22" s="29"/>
      <c r="P22" s="29"/>
    </row>
    <row r="23" spans="2:16" ht="18" customHeight="1" x14ac:dyDescent="0.3">
      <c r="B23" s="71" t="s">
        <v>17</v>
      </c>
      <c r="C23" s="16">
        <v>3659518</v>
      </c>
      <c r="D23" s="17" t="s">
        <v>277</v>
      </c>
      <c r="E23" s="75"/>
      <c r="F23" s="187"/>
      <c r="G23" s="187"/>
      <c r="H23" s="29"/>
      <c r="I23" s="29"/>
      <c r="J23" s="29"/>
      <c r="K23" s="29"/>
      <c r="L23" s="29"/>
      <c r="M23" s="29"/>
      <c r="N23" s="29"/>
      <c r="O23" s="29"/>
      <c r="P23" s="29"/>
    </row>
    <row r="24" spans="2:16" ht="18" customHeight="1" x14ac:dyDescent="0.3">
      <c r="B24" s="71" t="s">
        <v>18</v>
      </c>
      <c r="C24" s="17">
        <v>458354</v>
      </c>
      <c r="D24" s="184" t="s">
        <v>278</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95"/>
      <c r="C41" s="296"/>
      <c r="D41" s="297"/>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95"/>
      <c r="C57" s="296"/>
      <c r="D57" s="297"/>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267</v>
      </c>
      <c r="C61" s="29"/>
      <c r="D61" s="29"/>
      <c r="E61" s="29"/>
      <c r="F61" s="29"/>
      <c r="G61" s="29"/>
      <c r="H61" s="29"/>
      <c r="I61" s="29"/>
      <c r="J61" s="29"/>
      <c r="K61" s="29"/>
      <c r="L61" s="29"/>
      <c r="M61" s="29"/>
      <c r="N61" s="29"/>
      <c r="O61" s="29"/>
      <c r="P61" s="29"/>
    </row>
    <row r="62" spans="2:16" ht="12.75" hidden="1" customHeight="1" x14ac:dyDescent="0.3">
      <c r="B62" s="26" t="s">
        <v>264</v>
      </c>
      <c r="C62" s="29"/>
      <c r="D62" s="29"/>
      <c r="E62" s="29"/>
      <c r="F62" s="29"/>
      <c r="G62" s="29"/>
      <c r="H62" s="29"/>
      <c r="I62" s="29"/>
      <c r="J62" s="29"/>
      <c r="K62" s="29"/>
      <c r="L62" s="29"/>
      <c r="M62" s="29"/>
      <c r="N62" s="29"/>
      <c r="O62" s="29"/>
      <c r="P62" s="29"/>
    </row>
    <row r="63" spans="2:16" hidden="1" x14ac:dyDescent="0.3">
      <c r="B63" s="26" t="s">
        <v>266</v>
      </c>
    </row>
    <row r="64" spans="2:16" ht="12.75" hidden="1" customHeight="1" x14ac:dyDescent="0.3">
      <c r="B64" s="26" t="s">
        <v>265</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270</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269</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268</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4" t="s">
        <v>50</v>
      </c>
      <c r="C5" s="304"/>
      <c r="D5" s="304"/>
      <c r="E5" s="304"/>
      <c r="F5" s="304"/>
      <c r="G5" s="304"/>
      <c r="H5" s="304"/>
      <c r="I5" s="304"/>
      <c r="J5" s="304"/>
      <c r="K5" s="304"/>
      <c r="L5" s="304"/>
      <c r="M5" s="304"/>
      <c r="N5" s="304"/>
      <c r="O5" s="304"/>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5" t="s">
        <v>68</v>
      </c>
      <c r="C7" s="306"/>
      <c r="D7" s="306"/>
      <c r="E7" s="306"/>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7" t="s">
        <v>69</v>
      </c>
      <c r="C8" s="307"/>
      <c r="D8" s="307"/>
      <c r="E8" s="307"/>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4" t="s">
        <v>70</v>
      </c>
      <c r="C10" s="304"/>
      <c r="D10" s="304"/>
      <c r="E10" s="304"/>
      <c r="F10" s="304"/>
      <c r="G10" s="304"/>
      <c r="H10" s="304"/>
      <c r="I10" s="304"/>
      <c r="J10" s="304"/>
      <c r="K10" s="304"/>
      <c r="L10" s="304"/>
      <c r="M10" s="304"/>
      <c r="N10" s="304"/>
      <c r="O10" s="304"/>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4" t="s">
        <v>77</v>
      </c>
      <c r="C14" s="304"/>
      <c r="D14" s="304"/>
      <c r="E14" s="304"/>
      <c r="F14" s="304"/>
      <c r="G14" s="304"/>
      <c r="H14" s="304"/>
      <c r="I14" s="304"/>
      <c r="J14" s="304"/>
      <c r="K14" s="304"/>
      <c r="L14" s="304"/>
      <c r="M14" s="304"/>
      <c r="N14" s="304"/>
      <c r="O14" s="304"/>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303" t="s">
        <v>84</v>
      </c>
      <c r="C36" s="303"/>
      <c r="D36" s="303"/>
      <c r="E36" s="303"/>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303" t="s">
        <v>85</v>
      </c>
      <c r="C37" s="303"/>
      <c r="D37" s="303"/>
      <c r="E37" s="303"/>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87" t="s">
        <v>87</v>
      </c>
      <c r="C49" s="288"/>
      <c r="D49" s="288"/>
      <c r="E49" s="288"/>
      <c r="F49" s="288"/>
      <c r="G49" s="288"/>
      <c r="H49" s="288"/>
      <c r="I49" s="288"/>
      <c r="J49" s="289"/>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ROUND(F5-SUM(F40:BN41),2)</f>
        <v>43420.09</v>
      </c>
      <c r="J5" s="104"/>
      <c r="K5" s="280" t="str">
        <f>IF(I5&lt;-0.005,"(!) El coste de RECURSOS planificado es mayor que el de la BASELINE","")</f>
        <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Prev</v>
      </c>
      <c r="H7" s="120" t="str">
        <f t="shared" ref="H7:BN7" si="0">IF(H8&gt;EOMONTH(FIN,0),"Fin",IF(H8&gt;FECHA,"Prev","Real"))</f>
        <v>Prev</v>
      </c>
      <c r="I7" s="120" t="str">
        <f t="shared" si="0"/>
        <v>Prev</v>
      </c>
      <c r="J7" s="120" t="str">
        <f t="shared" si="0"/>
        <v>Prev</v>
      </c>
      <c r="K7" s="120" t="str">
        <f t="shared" si="0"/>
        <v>Prev</v>
      </c>
      <c r="L7" s="120" t="str">
        <f t="shared" si="0"/>
        <v>Prev</v>
      </c>
      <c r="M7" s="120" t="str">
        <f t="shared" si="0"/>
        <v>Prev</v>
      </c>
      <c r="N7" s="120" t="str">
        <f t="shared" si="0"/>
        <v>Prev</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128</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129</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130</v>
      </c>
      <c r="C40" s="122"/>
      <c r="D40" s="123"/>
      <c r="E40" s="123"/>
      <c r="F40" s="186">
        <f>'Project Infor'!C47</f>
        <v>0</v>
      </c>
      <c r="G40" s="124" cm="1">
        <f t="array" ref="G40">SUMPRODUCT(($D$10:$D$39="NO")*1,G$10:G$39,Resources!F7:F36)+G42</f>
        <v>400</v>
      </c>
      <c r="H40" s="124" cm="1">
        <f t="array" ref="H40">SUMPRODUCT(($D$10:$D$39="NO")*1,H$10:H$39,Resources!G7:G36)+H42</f>
        <v>400</v>
      </c>
      <c r="I40" s="124" cm="1">
        <f t="array" ref="I40">SUMPRODUCT(($D$10:$D$39="NO")*1,I$10:I$39,Resources!H7:H36)+I42</f>
        <v>1895.2</v>
      </c>
      <c r="J40" s="124" cm="1">
        <f t="array" ref="J40">SUMPRODUCT(($D$10:$D$39="NO")*1,J$10:J$39,Resources!I7:I36)+J42</f>
        <v>1895.2</v>
      </c>
      <c r="K40" s="124" cm="1">
        <f t="array" ref="K40">SUMPRODUCT(($D$10:$D$39="NO")*1,K$10:K$39,Resources!J7:J36)+K42</f>
        <v>1895.2</v>
      </c>
      <c r="L40" s="124" cm="1">
        <f t="array" ref="L40">SUMPRODUCT(($D$10:$D$39="NO")*1,L$10:L$39,Resources!K7:K36)+L42</f>
        <v>1895.2</v>
      </c>
      <c r="M40" s="124" cm="1">
        <f t="array" ref="M40">SUMPRODUCT(($D$10:$D$39="NO")*1,M$10:M$39,Resources!L7:L36)+M42</f>
        <v>1895.2</v>
      </c>
      <c r="N40" s="124" cm="1">
        <f t="array" ref="N40">SUMPRODUCT(($D$10:$D$39="NO")*1,N$10:N$39,Resources!M7:M36)+N42</f>
        <v>1895.2</v>
      </c>
      <c r="O40" s="124" cm="1">
        <f t="array" ref="O40">SUMPRODUCT(($D$10:$D$39="NO")*1,O$10:O$39,Resources!N7:N36)+O42</f>
        <v>1895.2</v>
      </c>
      <c r="P40" s="124" cm="1">
        <f t="array" ref="P40">SUMPRODUCT(($D$10:$D$39="NO")*1,P$10:P$39,Resources!O7:O36)+P42</f>
        <v>1895.2</v>
      </c>
      <c r="Q40" s="124" cm="1">
        <f t="array" ref="Q40">SUMPRODUCT(($D$10:$D$39="NO")*1,Q$10:Q$39,Resources!P7:P36)+Q42</f>
        <v>1895.2</v>
      </c>
      <c r="R40" s="124" cm="1">
        <f t="array" ref="R40">SUMPRODUCT(($D$10:$D$39="NO")*1,R$10:R$39,Resources!Q7:Q36)+R42</f>
        <v>1895.2</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131</v>
      </c>
      <c r="C41" s="127"/>
      <c r="D41" s="128"/>
      <c r="E41" s="128"/>
      <c r="F41" s="124"/>
      <c r="G41" s="124" cm="1">
        <f t="array" ref="G41">SUMPRODUCT(($D$10:$D$39="INTERCO")*1,G$10:G$39,Resources!F7:F36)+G43</f>
        <v>17017.5</v>
      </c>
      <c r="H41" s="124" cm="1">
        <f t="array" ref="H41">SUMPRODUCT(($D$10:$D$39="INTERCO")*1,H$10:H$39,Resources!G7:G36)+H43</f>
        <v>17017.5</v>
      </c>
      <c r="I41" s="124" cm="1">
        <f t="array" ref="I41">SUMPRODUCT(($D$10:$D$39="INTERCO")*1,I$10:I$39,Resources!H7:H36)+I43</f>
        <v>27030.805</v>
      </c>
      <c r="J41" s="124" cm="1">
        <f t="array" ref="J41">SUMPRODUCT(($D$10:$D$39="INTERCO")*1,J$10:J$39,Resources!I7:I36)+J43</f>
        <v>27030.805</v>
      </c>
      <c r="K41" s="124" cm="1">
        <f t="array" ref="K41">SUMPRODUCT(($D$10:$D$39="INTERCO")*1,K$10:K$39,Resources!J7:J36)+K43</f>
        <v>27030.805</v>
      </c>
      <c r="L41" s="124" cm="1">
        <f t="array" ref="L41">SUMPRODUCT(($D$10:$D$39="INTERCO")*1,L$10:L$39,Resources!K7:K36)+L43</f>
        <v>27030.805</v>
      </c>
      <c r="M41" s="124" cm="1">
        <f t="array" ref="M41">SUMPRODUCT(($D$10:$D$39="INTERCO")*1,M$10:M$39,Resources!L7:L36)+M43</f>
        <v>27030.805</v>
      </c>
      <c r="N41" s="124" cm="1">
        <f t="array" ref="N41">SUMPRODUCT(($D$10:$D$39="INTERCO")*1,N$10:N$39,Resources!M7:M36)+N43</f>
        <v>27030.805</v>
      </c>
      <c r="O41" s="124" cm="1">
        <f t="array" ref="O41">SUMPRODUCT(($D$10:$D$39="INTERCO")*1,O$10:O$39,Resources!N7:N36)+O43</f>
        <v>27030.805</v>
      </c>
      <c r="P41" s="124" cm="1">
        <f t="array" ref="P41">SUMPRODUCT(($D$10:$D$39="INTERCO")*1,P$10:P$39,Resources!O7:O36)+P43</f>
        <v>27030.805</v>
      </c>
      <c r="Q41" s="124" cm="1">
        <f t="array" ref="Q41">SUMPRODUCT(($D$10:$D$39="INTERCO")*1,Q$10:Q$39,Resources!P7:P36)+Q43</f>
        <v>27030.805</v>
      </c>
      <c r="R41" s="124" cm="1">
        <f t="array" ref="R41">SUMPRODUCT(($D$10:$D$39="INTERCO")*1,R$10:R$39,Resources!Q7:Q36)+R43</f>
        <v>27030.805</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132</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133</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134</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135</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136</v>
      </c>
      <c r="C48" s="139" t="s">
        <v>137</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138</v>
      </c>
      <c r="E50" s="115"/>
      <c r="F50" s="116">
        <f>'Cost Overview'!K8</f>
        <v>7400</v>
      </c>
      <c r="G50" s="240" t="s">
        <v>127</v>
      </c>
      <c r="H50" s="117"/>
      <c r="I50" s="118">
        <f>ROUND(F50-SUM(F59:BN59),2)</f>
        <v>0</v>
      </c>
      <c r="J50" s="104"/>
      <c r="K50" s="280" t="str">
        <f>IF(I50&lt;-0.005,"(!) El coste de GASTOS planificado es mayor que el de la BASELINE","")</f>
        <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139</v>
      </c>
      <c r="C52" s="237" t="s">
        <v>140</v>
      </c>
      <c r="D52" s="237" t="s">
        <v>141</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143</v>
      </c>
      <c r="C53" t="s">
        <v>298</v>
      </c>
      <c r="D53" t="s">
        <v>299</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144</v>
      </c>
      <c r="C54" t="s">
        <v>300</v>
      </c>
      <c r="D54" t="s">
        <v>299</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145</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146</v>
      </c>
      <c r="E61" s="115"/>
      <c r="F61" s="116">
        <f>'Cost Overview'!L8</f>
        <v>40000</v>
      </c>
      <c r="G61" s="241" t="s">
        <v>127</v>
      </c>
      <c r="H61" s="143"/>
      <c r="I61" s="118">
        <f>ROUND(F61-SUM(F74:BN74),2)</f>
        <v>0</v>
      </c>
      <c r="J61" s="104"/>
      <c r="K61" s="280" t="str">
        <f>IF(I61&lt;-0.005,"(!) El coste de COMPRAS planificado es mayor que el de la BASELINE","")</f>
        <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147</v>
      </c>
      <c r="C63" s="237" t="s">
        <v>148</v>
      </c>
      <c r="D63" s="237" t="s">
        <v>149</v>
      </c>
      <c r="E63" s="237" t="s">
        <v>150</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301</v>
      </c>
      <c r="C64" t="s">
        <v>302</v>
      </c>
      <c r="D64" t="s">
        <v>303</v>
      </c>
      <c r="E64" t="s">
        <v>304</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151</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152</v>
      </c>
    </row>
    <row r="86" spans="2:2" ht="14" x14ac:dyDescent="0.3">
      <c r="B86" s="26" t="s">
        <v>143</v>
      </c>
    </row>
    <row r="87" spans="2:2" ht="14" x14ac:dyDescent="0.3">
      <c r="B87" s="26" t="s">
        <v>153</v>
      </c>
    </row>
    <row r="88" spans="2:2" ht="14" x14ac:dyDescent="0.3">
      <c r="B88" s="26" t="s">
        <v>154</v>
      </c>
    </row>
    <row r="89" spans="2:2" ht="14" x14ac:dyDescent="0.3">
      <c r="B89" s="26" t="s">
        <v>142</v>
      </c>
    </row>
    <row r="90" spans="2:2" ht="14" x14ac:dyDescent="0.3">
      <c r="B90" s="26" t="s">
        <v>155</v>
      </c>
    </row>
    <row r="91" spans="2:2" ht="14" x14ac:dyDescent="0.3">
      <c r="B91" s="26" t="s">
        <v>144</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Prev</v>
      </c>
      <c r="F4" s="150" t="str">
        <f t="shared" si="0"/>
        <v>Prev</v>
      </c>
      <c r="G4" s="150" t="str">
        <f>IF(G5&gt;EOMONTH(FIN,0),"Fin",IF(G5&gt;FECHA,"Prev","Real"))</f>
        <v>Prev</v>
      </c>
      <c r="H4" s="150" t="str">
        <f t="shared" si="0"/>
        <v>Prev</v>
      </c>
      <c r="I4" s="150" t="str">
        <f>IF(I5&gt;EOMONTH(FIN,0),"Fin",IF(I5&gt;FECHA,"Prev","Real"))</f>
        <v>Prev</v>
      </c>
      <c r="J4" s="150" t="str">
        <f t="shared" si="0"/>
        <v>Prev</v>
      </c>
      <c r="K4" s="150" t="str">
        <f t="shared" si="0"/>
        <v>Prev</v>
      </c>
      <c r="L4" s="150" t="str">
        <f t="shared" si="0"/>
        <v>Prev</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156</v>
      </c>
      <c r="C5" s="237"/>
      <c r="D5" s="151" t="s">
        <v>157</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158</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159</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160</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161</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162</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163</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164</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165</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166</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167</v>
      </c>
      <c r="C18" s="282"/>
      <c r="D18" s="156"/>
      <c r="E18" s="156">
        <f ca="1">E30-D30</f>
        <v>50423.281817423354</v>
      </c>
      <c r="F18" s="156">
        <f ca="1">F30-E30</f>
        <v>50423.281817423354</v>
      </c>
      <c r="G18" s="156">
        <f t="shared" ref="G18:AA18" ca="1" si="130">G30-F30</f>
        <v>39977.479268045456</v>
      </c>
      <c r="H18" s="156">
        <f t="shared" ca="1" si="130"/>
        <v>39977.479268045456</v>
      </c>
      <c r="I18" s="156">
        <f t="shared" ca="1" si="130"/>
        <v>39977.479268045427</v>
      </c>
      <c r="J18" s="156">
        <f t="shared" ca="1" si="130"/>
        <v>39977.479268045456</v>
      </c>
      <c r="K18" s="156">
        <f t="shared" ca="1" si="130"/>
        <v>39977.479268045427</v>
      </c>
      <c r="L18" s="156">
        <f t="shared" ca="1" si="130"/>
        <v>39977.479268045456</v>
      </c>
      <c r="M18" s="156">
        <f t="shared" ca="1" si="130"/>
        <v>39977.479268045456</v>
      </c>
      <c r="N18" s="156">
        <f t="shared" ca="1" si="130"/>
        <v>39977.479268045456</v>
      </c>
      <c r="O18" s="156">
        <f t="shared" ca="1" si="130"/>
        <v>39977.479268045456</v>
      </c>
      <c r="P18" s="156">
        <f t="shared" ca="1" si="130"/>
        <v>123252.67295274429</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-58512.285283834673</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159</v>
      </c>
      <c r="C20" s="283"/>
      <c r="D20" s="158"/>
      <c r="E20" s="158">
        <f t="shared" si="168"/>
        <v>17417.5</v>
      </c>
      <c r="F20" s="158">
        <f t="shared" ref="F20:AA20" si="170">F32-E32</f>
        <v>17417.5</v>
      </c>
      <c r="G20" s="158">
        <f t="shared" si="170"/>
        <v>28926.004999999997</v>
      </c>
      <c r="H20" s="158">
        <f t="shared" si="170"/>
        <v>28926.005000000012</v>
      </c>
      <c r="I20" s="158">
        <f t="shared" si="170"/>
        <v>28926.005000000005</v>
      </c>
      <c r="J20" s="158">
        <f t="shared" si="170"/>
        <v>28926.005000000005</v>
      </c>
      <c r="K20" s="158">
        <f t="shared" si="170"/>
        <v>28926.005000000005</v>
      </c>
      <c r="L20" s="158">
        <f t="shared" si="170"/>
        <v>28926.005000000005</v>
      </c>
      <c r="M20" s="158">
        <f t="shared" si="170"/>
        <v>28926.005000000005</v>
      </c>
      <c r="N20" s="158">
        <f>N32-M32</f>
        <v>28926.005000000005</v>
      </c>
      <c r="O20" s="158">
        <f t="shared" si="170"/>
        <v>28926.005000000005</v>
      </c>
      <c r="P20" s="158">
        <f t="shared" si="170"/>
        <v>28926.005000000005</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160</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161</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162</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163</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37417.5</v>
      </c>
      <c r="F25" s="157">
        <f t="shared" ref="F25:AA25" si="175">SUM(F20:F24)</f>
        <v>37417.5</v>
      </c>
      <c r="G25" s="157">
        <f t="shared" si="175"/>
        <v>29666.004999999997</v>
      </c>
      <c r="H25" s="157">
        <f t="shared" si="175"/>
        <v>29666.005000000012</v>
      </c>
      <c r="I25" s="157">
        <f t="shared" si="175"/>
        <v>29666.005000000005</v>
      </c>
      <c r="J25" s="157">
        <f t="shared" si="175"/>
        <v>29666.005000000005</v>
      </c>
      <c r="K25" s="157">
        <f t="shared" si="175"/>
        <v>29666.005000000005</v>
      </c>
      <c r="L25" s="157">
        <f t="shared" si="175"/>
        <v>29666.005000000005</v>
      </c>
      <c r="M25" s="157">
        <f t="shared" si="175"/>
        <v>29666.005000000005</v>
      </c>
      <c r="N25" s="157">
        <f t="shared" si="175"/>
        <v>29666.005000000005</v>
      </c>
      <c r="O25" s="157">
        <f t="shared" si="175"/>
        <v>29666.005000000005</v>
      </c>
      <c r="P25" s="157">
        <f t="shared" si="175"/>
        <v>48041.764999999999</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164</v>
      </c>
      <c r="C26" s="285"/>
      <c r="D26" s="159"/>
      <c r="E26" s="159">
        <f ca="1">E18-E25</f>
        <v>13005.781817423354</v>
      </c>
      <c r="F26" s="163">
        <f t="shared" ref="F26:Z26" ca="1" si="177">F18-F25</f>
        <v>13005.781817423354</v>
      </c>
      <c r="G26" s="163">
        <f t="shared" ca="1" si="177"/>
        <v>10311.474268045458</v>
      </c>
      <c r="H26" s="163">
        <f t="shared" ca="1" si="177"/>
        <v>10311.474268045444</v>
      </c>
      <c r="I26" s="163">
        <f t="shared" ca="1" si="177"/>
        <v>10311.474268045422</v>
      </c>
      <c r="J26" s="163">
        <f t="shared" ca="1" si="177"/>
        <v>10311.474268045451</v>
      </c>
      <c r="K26" s="163">
        <f t="shared" ca="1" si="177"/>
        <v>10311.474268045422</v>
      </c>
      <c r="L26" s="163">
        <f t="shared" ca="1" si="177"/>
        <v>10311.474268045451</v>
      </c>
      <c r="M26" s="163">
        <f t="shared" ca="1" si="177"/>
        <v>10311.474268045451</v>
      </c>
      <c r="N26" s="163">
        <f t="shared" ca="1" si="177"/>
        <v>10311.474268045451</v>
      </c>
      <c r="O26" s="163">
        <f t="shared" ca="1" si="177"/>
        <v>10311.474268045451</v>
      </c>
      <c r="P26" s="163">
        <f t="shared" ca="1" si="177"/>
        <v>75210.907952744295</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-58512.285283834673</v>
      </c>
    </row>
    <row r="27" spans="2:77" s="72" customFormat="1" ht="25" customHeight="1" x14ac:dyDescent="0.3">
      <c r="B27" s="285" t="s">
        <v>165</v>
      </c>
      <c r="C27" s="285"/>
      <c r="D27" s="160"/>
      <c r="E27" s="160">
        <f ca="1">IF(E18=0,0,(E18-SUM(E20,E21,E22,E23,E24))/E18)</f>
        <v>0.25793207718045263</v>
      </c>
      <c r="F27" s="160">
        <f t="shared" ref="F27:Z27" ca="1" si="179">IF(F18=0,0,(F18-SUM(F20,F21,F22,F23,F24))/F18)</f>
        <v>0.25793207718045263</v>
      </c>
      <c r="G27" s="160">
        <f t="shared" ca="1" si="179"/>
        <v>0.25793207718045297</v>
      </c>
      <c r="H27" s="160">
        <f t="shared" ca="1" si="179"/>
        <v>0.25793207718045258</v>
      </c>
      <c r="I27" s="160">
        <f t="shared" ca="1" si="179"/>
        <v>0.25793207718045225</v>
      </c>
      <c r="J27" s="160">
        <f t="shared" ca="1" si="179"/>
        <v>0.25793207718045275</v>
      </c>
      <c r="K27" s="160">
        <f t="shared" ca="1" si="179"/>
        <v>0.25793207718045225</v>
      </c>
      <c r="L27" s="160">
        <f t="shared" ca="1" si="179"/>
        <v>0.25793207718045275</v>
      </c>
      <c r="M27" s="160">
        <f t="shared" ca="1" si="179"/>
        <v>0.25793207718045275</v>
      </c>
      <c r="N27" s="160">
        <f t="shared" ca="1" si="179"/>
        <v>0.25793207718045275</v>
      </c>
      <c r="O27" s="160">
        <f t="shared" ca="1" si="179"/>
        <v>0.25793207718045275</v>
      </c>
      <c r="P27" s="160">
        <f t="shared" ca="1" si="179"/>
        <v>0.61021725655865122</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168</v>
      </c>
      <c r="C29" s="237"/>
      <c r="D29" s="151" t="s">
        <v>169</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170</v>
      </c>
      <c r="C30" s="282"/>
      <c r="D30" s="156">
        <f>'Project Infor'!C45</f>
        <v>0</v>
      </c>
      <c r="E30" s="156" cm="1">
        <f t="array" aca="1" ref="E30" ca="1">IF(E40,E40,E6*((E32+E33+E34+E35+E36)/(IF(E14&lt;margendirectofinal,E6-E14,pedidobaselineactual-margendirectofinal))))</f>
        <v>50423.281817423354</v>
      </c>
      <c r="F30" s="156" cm="1">
        <f t="array" aca="1" ref="F30" ca="1">IF(F40,F40,F6*((F32+F33+F34+F35+F36)/(IF(F14&lt;margendirectofinal,F6-F14,pedidobaselineactual-margendirectofinal))))</f>
        <v>100846.56363484671</v>
      </c>
      <c r="G30" s="156" cm="1">
        <f t="array" aca="1" ref="G30" ca="1">IF(G40,G40,G6*((G32+G33+G34+G35+G36)/(IF(G14&lt;margendirectofinal,G6-G14,pedidobaselineactual-margendirectofinal))))</f>
        <v>140824.04290289216</v>
      </c>
      <c r="H30" s="156" cm="1">
        <f t="array" aca="1" ref="H30" ca="1">IF(H40,H40,H6*((H32+H33+H34+H35+H36)/(IF(H14&lt;margendirectofinal,H6-H14,pedidobaselineactual-margendirectofinal))))</f>
        <v>180801.52217093762</v>
      </c>
      <c r="I30" s="156" cm="1">
        <f t="array" aca="1" ref="I30" ca="1">IF(I40,I40,I6*((I32+I33+I34+I35+I36)/(IF(I14&lt;margendirectofinal,I6-I14,pedidobaselineactual-margendirectofinal))))</f>
        <v>220779.00143898305</v>
      </c>
      <c r="J30" s="156" cm="1">
        <f t="array" aca="1" ref="J30" ca="1">IF(J40,J40,J6*((J32+J33+J34+J35+J36)/(IF(J14&lt;margendirectofinal,J6-J14,pedidobaselineactual-margendirectofinal))))</f>
        <v>260756.4807070285</v>
      </c>
      <c r="K30" s="156" cm="1">
        <f t="array" aca="1" ref="K30" ca="1">IF(K40,K40,K6*((K32+K33+K34+K35+K36)/(IF(K14&lt;margendirectofinal,K6-K14,pedidobaselineactual-margendirectofinal))))</f>
        <v>300733.95997507393</v>
      </c>
      <c r="L30" s="156" cm="1">
        <f t="array" aca="1" ref="L30" ca="1">IF(L40,L40,L6*((L32+L33+L34+L35+L36)/(IF(L14&lt;margendirectofinal,L6-L14,pedidobaselineactual-margendirectofinal))))</f>
        <v>340711.43924311938</v>
      </c>
      <c r="M30" s="156" cm="1">
        <f t="array" aca="1" ref="M30" ca="1">IF(M40,M40,M6*((M32+M33+M34+M35+M36)/(IF(M14&lt;margendirectofinal,M6-M14,pedidobaselineactual-margendirectofinal))))</f>
        <v>380688.91851116484</v>
      </c>
      <c r="N30" s="156" cm="1">
        <f t="array" aca="1" ref="N30" ca="1">IF(N40,N40,N6*((N32+N33+N34+N35+N36)/(IF(N14&lt;margendirectofinal,N6-N14,pedidobaselineactual-margendirectofinal))))</f>
        <v>420666.3977792103</v>
      </c>
      <c r="O30" s="156" cm="1">
        <f t="array" aca="1" ref="O30" ca="1">IF(O40,O40,O6*((O32+O33+O34+O35+O36)/(IF(O14&lt;margendirectofinal,O6-O14,pedidobaselineactual-margendirectofinal))))</f>
        <v>460643.87704725575</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525384.26471616537</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171</v>
      </c>
      <c r="C32" s="283"/>
      <c r="D32" s="164">
        <f>'Project Infor'!C47</f>
        <v>0</v>
      </c>
      <c r="E32" s="164">
        <f>D32+LOOKUP(E$5,'Cost Planning'!$G$8:$BN$8,'Cost Planning'!$G$40:$BN$40)+LOOKUP(E$5,'Cost Planning'!$G$8:$BN$8,'Cost Planning'!$G$41:$BN$41)</f>
        <v>17417.5</v>
      </c>
      <c r="F32" s="164">
        <f>E32+LOOKUP(F$5,'Cost Planning'!$G$8:$BN$8,'Cost Planning'!$G$40:$BN$40)+LOOKUP(F$5,'Cost Planning'!$G$8:$BN$8,'Cost Planning'!$G$41:$BN$41)</f>
        <v>34835</v>
      </c>
      <c r="G32" s="164">
        <f>F32+LOOKUP(G$5,'Cost Planning'!$G$8:$BN$8,'Cost Planning'!$G$40:$BN$40)+LOOKUP(G$5,'Cost Planning'!$G$8:$BN$8,'Cost Planning'!$G$41:$BN$41)</f>
        <v>63761.004999999997</v>
      </c>
      <c r="H32" s="164">
        <f>G32+LOOKUP(H$5,'Cost Planning'!$G$8:$BN$8,'Cost Planning'!$G$40:$BN$40)+LOOKUP(H$5,'Cost Planning'!$G$8:$BN$8,'Cost Planning'!$G$41:$BN$41)</f>
        <v>92687.010000000009</v>
      </c>
      <c r="I32" s="164">
        <f>H32+LOOKUP(I$5,'Cost Planning'!$G$8:$BN$8,'Cost Planning'!$G$40:$BN$40)+LOOKUP(I$5,'Cost Planning'!$G$8:$BN$8,'Cost Planning'!$G$41:$BN$41)</f>
        <v>121613.01500000001</v>
      </c>
      <c r="J32" s="164">
        <f>I32+LOOKUP(J$5,'Cost Planning'!$G$8:$BN$8,'Cost Planning'!$G$40:$BN$40)+LOOKUP(J$5,'Cost Planning'!$G$8:$BN$8,'Cost Planning'!$G$41:$BN$41)</f>
        <v>150539.02000000002</v>
      </c>
      <c r="K32" s="164">
        <f>J32+LOOKUP(K$5,'Cost Planning'!$G$8:$BN$8,'Cost Planning'!$G$40:$BN$40)+LOOKUP(K$5,'Cost Planning'!$G$8:$BN$8,'Cost Planning'!$G$41:$BN$41)</f>
        <v>179465.02500000002</v>
      </c>
      <c r="L32" s="164">
        <f>K32+LOOKUP(L$5,'Cost Planning'!$G$8:$BN$8,'Cost Planning'!$G$40:$BN$40)+LOOKUP(L$5,'Cost Planning'!$G$8:$BN$8,'Cost Planning'!$G$41:$BN$41)</f>
        <v>208391.03000000003</v>
      </c>
      <c r="M32" s="164">
        <f>L32+LOOKUP(M$5,'Cost Planning'!$G$8:$BN$8,'Cost Planning'!$G$40:$BN$40)+LOOKUP(M$5,'Cost Planning'!$G$8:$BN$8,'Cost Planning'!$G$41:$BN$41)</f>
        <v>237317.03500000003</v>
      </c>
      <c r="N32" s="164">
        <f>M32+LOOKUP(N$5,'Cost Planning'!$G$8:$BN$8,'Cost Planning'!$G$40:$BN$40)+LOOKUP(N$5,'Cost Planning'!$G$8:$BN$8,'Cost Planning'!$G$41:$BN$41)</f>
        <v>266243.04000000004</v>
      </c>
      <c r="O32" s="164">
        <f>N32+LOOKUP(O$5,'Cost Planning'!$G$8:$BN$8,'Cost Planning'!$G$40:$BN$40)+LOOKUP(O$5,'Cost Planning'!$G$8:$BN$8,'Cost Planning'!$G$41:$BN$41)</f>
        <v>295169.04500000004</v>
      </c>
      <c r="P32" s="164">
        <f>O32+LOOKUP(P$5,'Cost Planning'!$G$8:$BN$8,'Cost Planning'!$G$40:$BN$40)+LOOKUP(P$5,'Cost Planning'!$G$8:$BN$8,'Cost Planning'!$G$41:$BN$41)</f>
        <v>324095.05000000005</v>
      </c>
      <c r="Q32" s="164">
        <f>P32+LOOKUP(Q$5,'Cost Planning'!$G$8:$BN$8,'Cost Planning'!$G$40:$BN$40)+LOOKUP(Q$5,'Cost Planning'!$G$8:$BN$8,'Cost Planning'!$G$41:$BN$41)</f>
        <v>324095.05000000005</v>
      </c>
      <c r="R32" s="164">
        <f>Q32+LOOKUP(R$5,'Cost Planning'!$G$8:$BN$8,'Cost Planning'!$G$40:$BN$40)+LOOKUP(R$5,'Cost Planning'!$G$8:$BN$8,'Cost Planning'!$G$41:$BN$41)</f>
        <v>324095.05000000005</v>
      </c>
      <c r="S32" s="164">
        <f>R32+LOOKUP(S$5,'Cost Planning'!$G$8:$BN$8,'Cost Planning'!$G$40:$BN$40)+LOOKUP(S$5,'Cost Planning'!$G$8:$BN$8,'Cost Planning'!$G$41:$BN$41)</f>
        <v>324095.05000000005</v>
      </c>
      <c r="T32" s="164">
        <f>S32+LOOKUP(T$5,'Cost Planning'!$G$8:$BN$8,'Cost Planning'!$G$40:$BN$40)+LOOKUP(T$5,'Cost Planning'!$G$8:$BN$8,'Cost Planning'!$G$41:$BN$41)</f>
        <v>324095.05000000005</v>
      </c>
      <c r="U32" s="164">
        <f>T32+LOOKUP(U$5,'Cost Planning'!$G$8:$BN$8,'Cost Planning'!$G$40:$BN$40)+LOOKUP(U$5,'Cost Planning'!$G$8:$BN$8,'Cost Planning'!$G$41:$BN$41)</f>
        <v>324095.05000000005</v>
      </c>
      <c r="V32" s="164">
        <f>U32+LOOKUP(V$5,'Cost Planning'!$G$8:$BN$8,'Cost Planning'!$G$40:$BN$40)+LOOKUP(V$5,'Cost Planning'!$G$8:$BN$8,'Cost Planning'!$G$41:$BN$41)</f>
        <v>324095.05000000005</v>
      </c>
      <c r="W32" s="164">
        <f>V32+LOOKUP(W$5,'Cost Planning'!$G$8:$BN$8,'Cost Planning'!$G$40:$BN$40)+LOOKUP(W$5,'Cost Planning'!$G$8:$BN$8,'Cost Planning'!$G$41:$BN$41)</f>
        <v>324095.05000000005</v>
      </c>
      <c r="X32" s="164">
        <f>W32+LOOKUP(X$5,'Cost Planning'!$G$8:$BN$8,'Cost Planning'!$G$40:$BN$40)+LOOKUP(X$5,'Cost Planning'!$G$8:$BN$8,'Cost Planning'!$G$41:$BN$41)</f>
        <v>324095.05000000005</v>
      </c>
      <c r="Y32" s="164">
        <f>X32+LOOKUP(Y$5,'Cost Planning'!$G$8:$BN$8,'Cost Planning'!$G$40:$BN$40)+LOOKUP(Y$5,'Cost Planning'!$G$8:$BN$8,'Cost Planning'!$G$41:$BN$41)</f>
        <v>324095.05000000005</v>
      </c>
      <c r="Z32" s="164">
        <f>Y32+LOOKUP(Z$5,'Cost Planning'!$G$8:$BN$8,'Cost Planning'!$G$40:$BN$40)+LOOKUP(Z$5,'Cost Planning'!$G$8:$BN$8,'Cost Planning'!$G$41:$BN$41)</f>
        <v>324095.05000000005</v>
      </c>
      <c r="AA32" s="164">
        <f>Z32+LOOKUP(AA$5,'Cost Planning'!$G$8:$BN$8,'Cost Planning'!$G$40:$BN$40)+LOOKUP(AA$5,'Cost Planning'!$G$8:$BN$8,'Cost Planning'!$G$41:$BN$41)</f>
        <v>324095.05000000005</v>
      </c>
      <c r="AB32" s="164">
        <f>AA32+LOOKUP(AB$5,'Cost Planning'!$G$8:$BN$8,'Cost Planning'!$G$40:$BN$40)+LOOKUP(AB$5,'Cost Planning'!$G$8:$BN$8,'Cost Planning'!$G$41:$BN$41)</f>
        <v>324095.05000000005</v>
      </c>
      <c r="AC32" s="164">
        <f>AB32+LOOKUP(AC$5,'Cost Planning'!$G$8:$BN$8,'Cost Planning'!$G$40:$BN$40)+LOOKUP(AC$5,'Cost Planning'!$G$8:$BN$8,'Cost Planning'!$G$41:$BN$41)</f>
        <v>324095.05000000005</v>
      </c>
      <c r="AD32" s="164">
        <f>AC32+LOOKUP(AD$5,'Cost Planning'!$G$8:$BN$8,'Cost Planning'!$G$40:$BN$40)+LOOKUP(AD$5,'Cost Planning'!$G$8:$BN$8,'Cost Planning'!$G$41:$BN$41)</f>
        <v>324095.05000000005</v>
      </c>
      <c r="AE32" s="164">
        <f>AD32+LOOKUP(AE$5,'Cost Planning'!$G$8:$BN$8,'Cost Planning'!$G$40:$BN$40)+LOOKUP(AE$5,'Cost Planning'!$G$8:$BN$8,'Cost Planning'!$G$41:$BN$41)</f>
        <v>324095.05000000005</v>
      </c>
      <c r="AF32" s="164">
        <f>AE32+LOOKUP(AF$5,'Cost Planning'!$G$8:$BN$8,'Cost Planning'!$G$40:$BN$40)+LOOKUP(AF$5,'Cost Planning'!$G$8:$BN$8,'Cost Planning'!$G$41:$BN$41)</f>
        <v>324095.05000000005</v>
      </c>
      <c r="AG32" s="164">
        <f>AF32+LOOKUP(AG$5,'Cost Planning'!$G$8:$BN$8,'Cost Planning'!$G$40:$BN$40)+LOOKUP(AG$5,'Cost Planning'!$G$8:$BN$8,'Cost Planning'!$G$41:$BN$41)</f>
        <v>324095.05000000005</v>
      </c>
      <c r="AH32" s="164">
        <f>AG32+LOOKUP(AH$5,'Cost Planning'!$G$8:$BN$8,'Cost Planning'!$G$40:$BN$40)+LOOKUP(AH$5,'Cost Planning'!$G$8:$BN$8,'Cost Planning'!$G$41:$BN$41)</f>
        <v>324095.05000000005</v>
      </c>
      <c r="AI32" s="164">
        <f>AH32+LOOKUP(AI$5,'Cost Planning'!$G$8:$BN$8,'Cost Planning'!$G$40:$BN$40)+LOOKUP(AI$5,'Cost Planning'!$G$8:$BN$8,'Cost Planning'!$G$41:$BN$41)</f>
        <v>324095.05000000005</v>
      </c>
      <c r="AJ32" s="164">
        <f>AI32+LOOKUP(AJ$5,'Cost Planning'!$G$8:$BN$8,'Cost Planning'!$G$40:$BN$40)+LOOKUP(AJ$5,'Cost Planning'!$G$8:$BN$8,'Cost Planning'!$G$41:$BN$41)</f>
        <v>324095.05000000005</v>
      </c>
      <c r="AK32" s="164">
        <f>AJ32+LOOKUP(AK$5,'Cost Planning'!$G$8:$BN$8,'Cost Planning'!$G$40:$BN$40)+LOOKUP(AK$5,'Cost Planning'!$G$8:$BN$8,'Cost Planning'!$G$41:$BN$41)</f>
        <v>324095.05000000005</v>
      </c>
      <c r="AL32" s="164">
        <f>AK32+LOOKUP(AL$5,'Cost Planning'!$G$8:$BN$8,'Cost Planning'!$G$40:$BN$40)+LOOKUP(AL$5,'Cost Planning'!$G$8:$BN$8,'Cost Planning'!$G$41:$BN$41)</f>
        <v>324095.05000000005</v>
      </c>
      <c r="AM32" s="164">
        <f>AL32+LOOKUP(AM$5,'Cost Planning'!$G$8:$BN$8,'Cost Planning'!$G$40:$BN$40)+LOOKUP(AM$5,'Cost Planning'!$G$8:$BN$8,'Cost Planning'!$G$41:$BN$41)</f>
        <v>324095.05000000005</v>
      </c>
      <c r="AN32" s="164">
        <f>AM32+LOOKUP(AN$5,'Cost Planning'!$G$8:$BN$8,'Cost Planning'!$G$40:$BN$40)+LOOKUP(AN$5,'Cost Planning'!$G$8:$BN$8,'Cost Planning'!$G$41:$BN$41)</f>
        <v>324095.05000000005</v>
      </c>
      <c r="AO32" s="164">
        <f>AN32+LOOKUP(AO$5,'Cost Planning'!$G$8:$BN$8,'Cost Planning'!$G$40:$BN$40)+LOOKUP(AO$5,'Cost Planning'!$G$8:$BN$8,'Cost Planning'!$G$41:$BN$41)</f>
        <v>324095.05000000005</v>
      </c>
      <c r="AP32" s="164">
        <f>AO32+LOOKUP(AP$5,'Cost Planning'!$G$8:$BN$8,'Cost Planning'!$G$40:$BN$40)+LOOKUP(AP$5,'Cost Planning'!$G$8:$BN$8,'Cost Planning'!$G$41:$BN$41)</f>
        <v>324095.05000000005</v>
      </c>
      <c r="AQ32" s="164">
        <f>AP32+LOOKUP(AQ$5,'Cost Planning'!$G$8:$BN$8,'Cost Planning'!$G$40:$BN$40)+LOOKUP(AQ$5,'Cost Planning'!$G$8:$BN$8,'Cost Planning'!$G$41:$BN$41)</f>
        <v>324095.05000000005</v>
      </c>
      <c r="AR32" s="164">
        <f>AQ32+LOOKUP(AR$5,'Cost Planning'!$G$8:$BN$8,'Cost Planning'!$G$40:$BN$40)+LOOKUP(AR$5,'Cost Planning'!$G$8:$BN$8,'Cost Planning'!$G$41:$BN$41)</f>
        <v>324095.05000000005</v>
      </c>
      <c r="AS32" s="164">
        <f>AR32+LOOKUP(AS$5,'Cost Planning'!$G$8:$BN$8,'Cost Planning'!$G$40:$BN$40)+LOOKUP(AS$5,'Cost Planning'!$G$8:$BN$8,'Cost Planning'!$G$41:$BN$41)</f>
        <v>324095.05000000005</v>
      </c>
      <c r="AT32" s="164">
        <f>AS32+LOOKUP(AT$5,'Cost Planning'!$G$8:$BN$8,'Cost Planning'!$G$40:$BN$40)+LOOKUP(AT$5,'Cost Planning'!$G$8:$BN$8,'Cost Planning'!$G$41:$BN$41)</f>
        <v>324095.05000000005</v>
      </c>
      <c r="AU32" s="164">
        <f>AT32+LOOKUP(AU$5,'Cost Planning'!$G$8:$BN$8,'Cost Planning'!$G$40:$BN$40)+LOOKUP(AU$5,'Cost Planning'!$G$8:$BN$8,'Cost Planning'!$G$41:$BN$41)</f>
        <v>324095.05000000005</v>
      </c>
      <c r="AV32" s="164">
        <f>AU32+LOOKUP(AV$5,'Cost Planning'!$G$8:$BN$8,'Cost Planning'!$G$40:$BN$40)+LOOKUP(AV$5,'Cost Planning'!$G$8:$BN$8,'Cost Planning'!$G$41:$BN$41)</f>
        <v>324095.05000000005</v>
      </c>
      <c r="AW32" s="164">
        <f>AV32+LOOKUP(AW$5,'Cost Planning'!$G$8:$BN$8,'Cost Planning'!$G$40:$BN$40)+LOOKUP(AW$5,'Cost Planning'!$G$8:$BN$8,'Cost Planning'!$G$41:$BN$41)</f>
        <v>324095.05000000005</v>
      </c>
      <c r="AX32" s="164">
        <f>AW32+LOOKUP(AX$5,'Cost Planning'!$G$8:$BN$8,'Cost Planning'!$G$40:$BN$40)+LOOKUP(AX$5,'Cost Planning'!$G$8:$BN$8,'Cost Planning'!$G$41:$BN$41)</f>
        <v>324095.05000000005</v>
      </c>
      <c r="AY32" s="164">
        <f>AX32+LOOKUP(AY$5,'Cost Planning'!$G$8:$BN$8,'Cost Planning'!$G$40:$BN$40)+LOOKUP(AY$5,'Cost Planning'!$G$8:$BN$8,'Cost Planning'!$G$41:$BN$41)</f>
        <v>324095.05000000005</v>
      </c>
      <c r="AZ32" s="164">
        <f>AY32+LOOKUP(AZ$5,'Cost Planning'!$G$8:$BN$8,'Cost Planning'!$G$40:$BN$40)+LOOKUP(AZ$5,'Cost Planning'!$G$8:$BN$8,'Cost Planning'!$G$41:$BN$41)</f>
        <v>324095.05000000005</v>
      </c>
      <c r="BA32" s="164">
        <f>AZ32+LOOKUP(BA$5,'Cost Planning'!$G$8:$BN$8,'Cost Planning'!$G$40:$BN$40)+LOOKUP(BA$5,'Cost Planning'!$G$8:$BN$8,'Cost Planning'!$G$41:$BN$41)</f>
        <v>324095.05000000005</v>
      </c>
      <c r="BB32" s="164">
        <f>BA32+LOOKUP(BB$5,'Cost Planning'!$G$8:$BN$8,'Cost Planning'!$G$40:$BN$40)+LOOKUP(BB$5,'Cost Planning'!$G$8:$BN$8,'Cost Planning'!$G$41:$BN$41)</f>
        <v>324095.05000000005</v>
      </c>
      <c r="BC32" s="164">
        <f>BB32+LOOKUP(BC$5,'Cost Planning'!$G$8:$BN$8,'Cost Planning'!$G$40:$BN$40)+LOOKUP(BC$5,'Cost Planning'!$G$8:$BN$8,'Cost Planning'!$G$41:$BN$41)</f>
        <v>324095.05000000005</v>
      </c>
      <c r="BD32" s="164">
        <f>BC32+LOOKUP(BD$5,'Cost Planning'!$G$8:$BN$8,'Cost Planning'!$G$40:$BN$40)+LOOKUP(BD$5,'Cost Planning'!$G$8:$BN$8,'Cost Planning'!$G$41:$BN$41)</f>
        <v>324095.05000000005</v>
      </c>
      <c r="BE32" s="164">
        <f>BD32+LOOKUP(BE$5,'Cost Planning'!$G$8:$BN$8,'Cost Planning'!$G$40:$BN$40)+LOOKUP(BE$5,'Cost Planning'!$G$8:$BN$8,'Cost Planning'!$G$41:$BN$41)</f>
        <v>324095.05000000005</v>
      </c>
      <c r="BF32" s="164">
        <f>BE32+LOOKUP(BF$5,'Cost Planning'!$G$8:$BN$8,'Cost Planning'!$G$40:$BN$40)+LOOKUP(BF$5,'Cost Planning'!$G$8:$BN$8,'Cost Planning'!$G$41:$BN$41)</f>
        <v>324095.05000000005</v>
      </c>
      <c r="BG32" s="164">
        <f>BF32+LOOKUP(BG$5,'Cost Planning'!$G$8:$BN$8,'Cost Planning'!$G$40:$BN$40)+LOOKUP(BG$5,'Cost Planning'!$G$8:$BN$8,'Cost Planning'!$G$41:$BN$41)</f>
        <v>324095.05000000005</v>
      </c>
      <c r="BH32" s="164">
        <f>BG32+LOOKUP(BH$5,'Cost Planning'!$G$8:$BN$8,'Cost Planning'!$G$40:$BN$40)+LOOKUP(BH$5,'Cost Planning'!$G$8:$BN$8,'Cost Planning'!$G$41:$BN$41)</f>
        <v>324095.05000000005</v>
      </c>
      <c r="BI32" s="164">
        <f>BH32+LOOKUP(BI$5,'Cost Planning'!$G$8:$BN$8,'Cost Planning'!$G$40:$BN$40)+LOOKUP(BI$5,'Cost Planning'!$G$8:$BN$8,'Cost Planning'!$G$41:$BN$41)</f>
        <v>324095.05000000005</v>
      </c>
      <c r="BJ32" s="164">
        <f>BI32+LOOKUP(BJ$5,'Cost Planning'!$G$8:$BN$8,'Cost Planning'!$G$40:$BN$40)+LOOKUP(BJ$5,'Cost Planning'!$G$8:$BN$8,'Cost Planning'!$G$41:$BN$41)</f>
        <v>324095.05000000005</v>
      </c>
      <c r="BK32" s="164">
        <f>BJ32+LOOKUP(BK$5,'Cost Planning'!$G$8:$BN$8,'Cost Planning'!$G$40:$BN$40)+LOOKUP(BK$5,'Cost Planning'!$G$8:$BN$8,'Cost Planning'!$G$41:$BN$41)</f>
        <v>324095.05000000005</v>
      </c>
      <c r="BL32" s="164">
        <f>BK32+LOOKUP(BL$5,'Cost Planning'!$G$8:$BN$8,'Cost Planning'!$G$40:$BN$40)+LOOKUP(BL$5,'Cost Planning'!$G$8:$BN$8,'Cost Planning'!$G$41:$BN$41)</f>
        <v>324095.05000000005</v>
      </c>
      <c r="BN32" s="26"/>
      <c r="BO32" s="26"/>
      <c r="BP32" s="26"/>
      <c r="BQ32" s="26"/>
      <c r="BR32" s="26"/>
      <c r="BS32" s="26"/>
      <c r="BT32" s="26"/>
      <c r="BU32" s="26"/>
      <c r="BV32" s="26"/>
      <c r="BW32" s="26"/>
      <c r="BX32" s="26"/>
      <c r="BY32" s="26"/>
    </row>
    <row r="33" spans="2:77" s="72" customFormat="1" ht="25" customHeight="1" outlineLevel="1" x14ac:dyDescent="0.3">
      <c r="B33" s="283" t="s">
        <v>160</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161</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162</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163</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37417.5</v>
      </c>
      <c r="F37" s="164">
        <f t="shared" ref="F37:AB37" si="240">SUM(F32:F36)</f>
        <v>74835</v>
      </c>
      <c r="G37" s="164">
        <f t="shared" si="240"/>
        <v>104501.005</v>
      </c>
      <c r="H37" s="164">
        <f t="shared" si="240"/>
        <v>134167.01</v>
      </c>
      <c r="I37" s="164">
        <f t="shared" si="240"/>
        <v>163833.01500000001</v>
      </c>
      <c r="J37" s="164">
        <f t="shared" si="240"/>
        <v>193499.02000000002</v>
      </c>
      <c r="K37" s="164">
        <f t="shared" si="240"/>
        <v>223165.02500000002</v>
      </c>
      <c r="L37" s="164">
        <f t="shared" si="240"/>
        <v>252831.03000000003</v>
      </c>
      <c r="M37" s="164">
        <f t="shared" si="240"/>
        <v>282497.03500000003</v>
      </c>
      <c r="N37" s="164">
        <f t="shared" si="240"/>
        <v>312163.04000000004</v>
      </c>
      <c r="O37" s="164">
        <f t="shared" si="240"/>
        <v>341829.04500000004</v>
      </c>
      <c r="P37" s="164">
        <f t="shared" si="240"/>
        <v>389870.81000000006</v>
      </c>
      <c r="Q37" s="164">
        <f t="shared" si="240"/>
        <v>389870.81000000006</v>
      </c>
      <c r="R37" s="164">
        <f t="shared" si="240"/>
        <v>389870.81000000006</v>
      </c>
      <c r="S37" s="164">
        <f t="shared" si="240"/>
        <v>389870.81000000006</v>
      </c>
      <c r="T37" s="164">
        <f t="shared" si="240"/>
        <v>389870.81000000006</v>
      </c>
      <c r="U37" s="164">
        <f t="shared" si="240"/>
        <v>389870.81000000006</v>
      </c>
      <c r="V37" s="164">
        <f t="shared" si="240"/>
        <v>389870.81000000006</v>
      </c>
      <c r="W37" s="164">
        <f t="shared" si="240"/>
        <v>389870.81000000006</v>
      </c>
      <c r="X37" s="164">
        <f t="shared" si="240"/>
        <v>389870.81000000006</v>
      </c>
      <c r="Y37" s="164">
        <f t="shared" si="240"/>
        <v>389870.81000000006</v>
      </c>
      <c r="Z37" s="164">
        <f t="shared" si="240"/>
        <v>389870.81000000006</v>
      </c>
      <c r="AA37" s="164">
        <f t="shared" si="240"/>
        <v>389870.81000000006</v>
      </c>
      <c r="AB37" s="164">
        <f t="shared" si="240"/>
        <v>389870.81000000006</v>
      </c>
      <c r="AC37" s="164">
        <f t="shared" ref="AC37:BL37" si="241">SUM(AC32:AC36)</f>
        <v>389870.81000000006</v>
      </c>
      <c r="AD37" s="164">
        <f t="shared" si="241"/>
        <v>389870.81000000006</v>
      </c>
      <c r="AE37" s="164">
        <f t="shared" si="241"/>
        <v>389870.81000000006</v>
      </c>
      <c r="AF37" s="164">
        <f t="shared" si="241"/>
        <v>389870.81000000006</v>
      </c>
      <c r="AG37" s="164">
        <f t="shared" si="241"/>
        <v>389870.81000000006</v>
      </c>
      <c r="AH37" s="164">
        <f t="shared" si="241"/>
        <v>389870.81000000006</v>
      </c>
      <c r="AI37" s="164">
        <f t="shared" si="241"/>
        <v>389870.81000000006</v>
      </c>
      <c r="AJ37" s="164">
        <f t="shared" si="241"/>
        <v>389870.81000000006</v>
      </c>
      <c r="AK37" s="164">
        <f t="shared" si="241"/>
        <v>389870.81000000006</v>
      </c>
      <c r="AL37" s="164">
        <f t="shared" si="241"/>
        <v>389870.81000000006</v>
      </c>
      <c r="AM37" s="164">
        <f t="shared" si="241"/>
        <v>389870.81000000006</v>
      </c>
      <c r="AN37" s="164">
        <f t="shared" si="241"/>
        <v>389870.81000000006</v>
      </c>
      <c r="AO37" s="164">
        <f t="shared" si="241"/>
        <v>389870.81000000006</v>
      </c>
      <c r="AP37" s="164">
        <f t="shared" si="241"/>
        <v>389870.81000000006</v>
      </c>
      <c r="AQ37" s="164">
        <f t="shared" si="241"/>
        <v>389870.81000000006</v>
      </c>
      <c r="AR37" s="164">
        <f t="shared" si="241"/>
        <v>389870.81000000006</v>
      </c>
      <c r="AS37" s="164">
        <f t="shared" si="241"/>
        <v>389870.81000000006</v>
      </c>
      <c r="AT37" s="164">
        <f t="shared" si="241"/>
        <v>389870.81000000006</v>
      </c>
      <c r="AU37" s="164">
        <f t="shared" si="241"/>
        <v>389870.81000000006</v>
      </c>
      <c r="AV37" s="164">
        <f t="shared" si="241"/>
        <v>389870.81000000006</v>
      </c>
      <c r="AW37" s="164">
        <f t="shared" si="241"/>
        <v>389870.81000000006</v>
      </c>
      <c r="AX37" s="164">
        <f t="shared" si="241"/>
        <v>389870.81000000006</v>
      </c>
      <c r="AY37" s="164">
        <f t="shared" si="241"/>
        <v>389870.81000000006</v>
      </c>
      <c r="AZ37" s="164">
        <f t="shared" si="241"/>
        <v>389870.81000000006</v>
      </c>
      <c r="BA37" s="164">
        <f t="shared" si="241"/>
        <v>389870.81000000006</v>
      </c>
      <c r="BB37" s="164">
        <f t="shared" si="241"/>
        <v>389870.81000000006</v>
      </c>
      <c r="BC37" s="164">
        <f t="shared" si="241"/>
        <v>389870.81000000006</v>
      </c>
      <c r="BD37" s="164">
        <f t="shared" si="241"/>
        <v>389870.81000000006</v>
      </c>
      <c r="BE37" s="164">
        <f t="shared" si="241"/>
        <v>389870.81000000006</v>
      </c>
      <c r="BF37" s="164">
        <f t="shared" si="241"/>
        <v>389870.81000000006</v>
      </c>
      <c r="BG37" s="164">
        <f t="shared" si="241"/>
        <v>389870.81000000006</v>
      </c>
      <c r="BH37" s="164">
        <f t="shared" si="241"/>
        <v>389870.81000000006</v>
      </c>
      <c r="BI37" s="164">
        <f t="shared" si="241"/>
        <v>389870.81000000006</v>
      </c>
      <c r="BJ37" s="164">
        <f t="shared" si="241"/>
        <v>389870.81000000006</v>
      </c>
      <c r="BK37" s="164">
        <f t="shared" si="241"/>
        <v>389870.81000000006</v>
      </c>
      <c r="BL37" s="164">
        <f t="shared" si="241"/>
        <v>389870.81000000006</v>
      </c>
    </row>
    <row r="38" spans="2:77" s="72" customFormat="1" ht="25" customHeight="1" x14ac:dyDescent="0.3">
      <c r="B38" s="284" t="s">
        <v>172</v>
      </c>
      <c r="C38" s="284"/>
      <c r="D38" s="165">
        <f>D30-D32-D33-D34-D35-D36</f>
        <v>0</v>
      </c>
      <c r="E38" s="165">
        <f ca="1">E30-E32-E33-E34-E35-E36</f>
        <v>13005.781817423354</v>
      </c>
      <c r="F38" s="165">
        <f t="shared" ref="F38:Z38" ca="1" si="242">F30-F32-F33-F34-F35-F36</f>
        <v>26011.563634846709</v>
      </c>
      <c r="G38" s="165">
        <f t="shared" ca="1" si="242"/>
        <v>36323.03790289216</v>
      </c>
      <c r="H38" s="165">
        <f t="shared" ca="1" si="242"/>
        <v>46634.512170937611</v>
      </c>
      <c r="I38" s="165">
        <f t="shared" ca="1" si="242"/>
        <v>56945.986438983033</v>
      </c>
      <c r="J38" s="165">
        <f t="shared" ca="1" si="242"/>
        <v>67257.460707028484</v>
      </c>
      <c r="K38" s="165">
        <f t="shared" ca="1" si="242"/>
        <v>77568.934975073906</v>
      </c>
      <c r="L38" s="165">
        <f t="shared" ca="1" si="242"/>
        <v>87880.409243119357</v>
      </c>
      <c r="M38" s="165">
        <f t="shared" ca="1" si="242"/>
        <v>98191.883511164808</v>
      </c>
      <c r="N38" s="165">
        <f t="shared" ca="1" si="242"/>
        <v>108503.35777921026</v>
      </c>
      <c r="O38" s="165">
        <f t="shared" ca="1" si="242"/>
        <v>118814.83204725571</v>
      </c>
      <c r="P38" s="165">
        <f t="shared" ca="1" si="242"/>
        <v>194025.74</v>
      </c>
      <c r="Q38" s="165">
        <f t="shared" ca="1" si="242"/>
        <v>194025.74</v>
      </c>
      <c r="R38" s="165">
        <f t="shared" ca="1" si="242"/>
        <v>194025.74</v>
      </c>
      <c r="S38" s="165">
        <f t="shared" ca="1" si="242"/>
        <v>194025.74</v>
      </c>
      <c r="T38" s="165">
        <f t="shared" ca="1" si="242"/>
        <v>194025.74</v>
      </c>
      <c r="U38" s="165">
        <f t="shared" ca="1" si="242"/>
        <v>194025.74</v>
      </c>
      <c r="V38" s="165">
        <f t="shared" ca="1" si="242"/>
        <v>194025.74</v>
      </c>
      <c r="W38" s="165">
        <f t="shared" ca="1" si="242"/>
        <v>194025.74</v>
      </c>
      <c r="X38" s="165">
        <f t="shared" ca="1" si="242"/>
        <v>194025.74</v>
      </c>
      <c r="Y38" s="165">
        <f t="shared" ca="1" si="242"/>
        <v>194025.74</v>
      </c>
      <c r="Z38" s="165">
        <f t="shared" ca="1" si="242"/>
        <v>194025.74</v>
      </c>
      <c r="AA38" s="165">
        <f ca="1">AA30-AA32-AA33-AA34-AA35-AA36</f>
        <v>194025.74</v>
      </c>
      <c r="AB38" s="165">
        <f ca="1">AB30-AB32-AB33-AB34-AB35-AB36</f>
        <v>194025.74</v>
      </c>
      <c r="AC38" s="165">
        <f t="shared" ref="AC38:BL38" ca="1" si="243">AC30-AC32-AC33-AC34-AC35-AC36</f>
        <v>194025.74</v>
      </c>
      <c r="AD38" s="165">
        <f t="shared" ca="1" si="243"/>
        <v>194025.74</v>
      </c>
      <c r="AE38" s="165">
        <f t="shared" ca="1" si="243"/>
        <v>194025.74</v>
      </c>
      <c r="AF38" s="165">
        <f t="shared" ca="1" si="243"/>
        <v>194025.74</v>
      </c>
      <c r="AG38" s="165">
        <f t="shared" ca="1" si="243"/>
        <v>194025.74</v>
      </c>
      <c r="AH38" s="165">
        <f t="shared" ca="1" si="243"/>
        <v>194025.74</v>
      </c>
      <c r="AI38" s="165">
        <f t="shared" ca="1" si="243"/>
        <v>194025.74</v>
      </c>
      <c r="AJ38" s="165">
        <f t="shared" ca="1" si="243"/>
        <v>194025.74</v>
      </c>
      <c r="AK38" s="165">
        <f t="shared" ca="1" si="243"/>
        <v>194025.74</v>
      </c>
      <c r="AL38" s="165">
        <f t="shared" ca="1" si="243"/>
        <v>194025.74</v>
      </c>
      <c r="AM38" s="165">
        <f t="shared" ca="1" si="243"/>
        <v>194025.74</v>
      </c>
      <c r="AN38" s="165">
        <f t="shared" ca="1" si="243"/>
        <v>194025.74</v>
      </c>
      <c r="AO38" s="165">
        <f t="shared" ca="1" si="243"/>
        <v>194025.74</v>
      </c>
      <c r="AP38" s="165">
        <f t="shared" ca="1" si="243"/>
        <v>194025.74</v>
      </c>
      <c r="AQ38" s="165">
        <f t="shared" ca="1" si="243"/>
        <v>194025.74</v>
      </c>
      <c r="AR38" s="165">
        <f t="shared" ca="1" si="243"/>
        <v>194025.74</v>
      </c>
      <c r="AS38" s="165">
        <f t="shared" ca="1" si="243"/>
        <v>194025.74</v>
      </c>
      <c r="AT38" s="165">
        <f t="shared" ca="1" si="243"/>
        <v>194025.74</v>
      </c>
      <c r="AU38" s="165">
        <f t="shared" ca="1" si="243"/>
        <v>194025.74</v>
      </c>
      <c r="AV38" s="165">
        <f t="shared" ca="1" si="243"/>
        <v>194025.74</v>
      </c>
      <c r="AW38" s="165">
        <f t="shared" ca="1" si="243"/>
        <v>194025.74</v>
      </c>
      <c r="AX38" s="165">
        <f t="shared" ca="1" si="243"/>
        <v>194025.74</v>
      </c>
      <c r="AY38" s="165">
        <f t="shared" ca="1" si="243"/>
        <v>194025.74</v>
      </c>
      <c r="AZ38" s="165">
        <f t="shared" ca="1" si="243"/>
        <v>194025.74</v>
      </c>
      <c r="BA38" s="165">
        <f t="shared" ca="1" si="243"/>
        <v>194025.74</v>
      </c>
      <c r="BB38" s="165">
        <f t="shared" ca="1" si="243"/>
        <v>194025.74</v>
      </c>
      <c r="BC38" s="165">
        <f t="shared" ca="1" si="243"/>
        <v>194025.74</v>
      </c>
      <c r="BD38" s="165">
        <f t="shared" ca="1" si="243"/>
        <v>194025.74</v>
      </c>
      <c r="BE38" s="165">
        <f t="shared" ca="1" si="243"/>
        <v>194025.74</v>
      </c>
      <c r="BF38" s="165">
        <f t="shared" ca="1" si="243"/>
        <v>194025.74</v>
      </c>
      <c r="BG38" s="165">
        <f t="shared" ca="1" si="243"/>
        <v>194025.74</v>
      </c>
      <c r="BH38" s="165">
        <f t="shared" ca="1" si="243"/>
        <v>194025.74</v>
      </c>
      <c r="BI38" s="165">
        <f t="shared" ca="1" si="243"/>
        <v>194025.74</v>
      </c>
      <c r="BJ38" s="165">
        <f t="shared" ca="1" si="243"/>
        <v>194025.74</v>
      </c>
      <c r="BK38" s="165">
        <f t="shared" ca="1" si="243"/>
        <v>194025.74</v>
      </c>
      <c r="BL38" s="165">
        <f t="shared" ca="1" si="243"/>
        <v>135513.45471616532</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173</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174</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175</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176</v>
      </c>
      <c r="C44" s="285"/>
      <c r="D44" s="166"/>
      <c r="E44" s="166">
        <f t="shared" ref="E44:Z44" ca="1" si="284">E43-E30</f>
        <v>-50423.281817423354</v>
      </c>
      <c r="F44" s="166">
        <f t="shared" ca="1" si="284"/>
        <v>-100846.56363484671</v>
      </c>
      <c r="G44" s="166">
        <f t="shared" ca="1" si="284"/>
        <v>-140824.04290289216</v>
      </c>
      <c r="H44" s="166">
        <f t="shared" ca="1" si="284"/>
        <v>-180801.52217093762</v>
      </c>
      <c r="I44" s="166">
        <f t="shared" ca="1" si="284"/>
        <v>-220779.00143898305</v>
      </c>
      <c r="J44" s="166">
        <f t="shared" ca="1" si="284"/>
        <v>-260756.4807070285</v>
      </c>
      <c r="K44" s="166">
        <f t="shared" ca="1" si="284"/>
        <v>-300733.95997507393</v>
      </c>
      <c r="L44" s="166">
        <f t="shared" ca="1" si="284"/>
        <v>-340711.43924311938</v>
      </c>
      <c r="M44" s="166">
        <f t="shared" ca="1" si="284"/>
        <v>-380688.91851116484</v>
      </c>
      <c r="N44" s="166">
        <f t="shared" ca="1" si="284"/>
        <v>-420666.3977792103</v>
      </c>
      <c r="O44" s="166">
        <f t="shared" ca="1" si="284"/>
        <v>-460643.87704725575</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-525384.26471616537</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177</v>
      </c>
      <c r="M5" s="214" t="s">
        <v>178</v>
      </c>
      <c r="N5" s="214" t="s">
        <v>67</v>
      </c>
      <c r="O5" s="93"/>
      <c r="P5" s="93"/>
    </row>
    <row r="6" spans="2:16" s="94" customFormat="1" ht="36.75" customHeight="1" x14ac:dyDescent="0.3">
      <c r="B6" s="291" t="s">
        <v>179</v>
      </c>
      <c r="C6" s="292"/>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293" t="s">
        <v>180</v>
      </c>
      <c r="C7" s="293"/>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293" t="s">
        <v>181</v>
      </c>
      <c r="C8" s="293"/>
      <c r="D8" s="215">
        <f>D7</f>
        <v>583896.55000000005</v>
      </c>
      <c r="E8" s="215">
        <f>SUM('Cost Planning'!F40:BN41)</f>
        <v>324095.04999999993</v>
      </c>
      <c r="F8" s="215">
        <f>SUM('Cost Planning'!F9:BN9)</f>
        <v>11850</v>
      </c>
      <c r="G8" s="215">
        <f>SUM('Cost Planning'!G47:BN47)</f>
        <v>18375.759999999998</v>
      </c>
      <c r="H8" s="215">
        <f>SUM('Cost Planning'!G48:BN48)</f>
        <v>0</v>
      </c>
      <c r="I8" s="215">
        <f>SUM('Cost Planning'!F59:BN59)</f>
        <v>7400</v>
      </c>
      <c r="J8" s="215">
        <f>SUM('Cost Planning'!F74:BN74)</f>
        <v>40000</v>
      </c>
      <c r="K8" s="215">
        <f>SUM(E8,G8,H8,I8,J8)</f>
        <v>389870.80999999994</v>
      </c>
      <c r="L8" s="215">
        <f>D8-K8</f>
        <v>194025.74000000011</v>
      </c>
      <c r="M8" s="216">
        <f>IF(D8=0,0,(D8-E8-H8-I8-G8-J8)/D8)</f>
        <v>0.33229471898746465</v>
      </c>
      <c r="N8" s="216">
        <f>IF(D8=0,0,(D8-E8/UTILIZACION-G8/UTILIZACION-H8/UTILIZACION-I8-J8)/D8)</f>
        <v>0.28814756176295481</v>
      </c>
      <c r="O8" s="29"/>
      <c r="P8" s="27"/>
    </row>
    <row r="9" spans="2:16" ht="20.149999999999999" customHeight="1" x14ac:dyDescent="0.3">
      <c r="B9" s="294" t="s">
        <v>182</v>
      </c>
      <c r="C9" s="294"/>
      <c r="D9" s="217">
        <f>IF(AND(D8=0,D7=0),0,IF(D8=0,1,(D8-D7)/D8))</f>
        <v>0</v>
      </c>
      <c r="E9" s="217">
        <f>IF(AND(E8=0,E7=0),0,IF(E8=0,1,(E8-E7)/E8))</f>
        <v>-0.13397332048113691</v>
      </c>
      <c r="F9" s="217">
        <f>IF(AND(F8=0,F7=0),0,IF(F8=0,1,(F8-F7)/F8))</f>
        <v>-0.1451476793248945</v>
      </c>
      <c r="G9" s="217">
        <f>IF(AND(G8=0,G7=0),0,IF(G8=0,1,(G8-G7)/G8))</f>
        <v>0</v>
      </c>
      <c r="H9" s="217">
        <f>IF(AND(H8=0,H7=0),0,IF(H8=0,1,(H8-H7)/H8))</f>
        <v>0</v>
      </c>
      <c r="I9" s="217">
        <f>IF(AND(I8=0,I7=0),0,IF(I8=0,1,(I8-I7)/I8))</f>
        <v>0</v>
      </c>
      <c r="J9" s="217">
        <f>IF(AND(J8=0,J7=0),0,IF(J8=0,1,(J8-J7)/J8))</f>
        <v>0</v>
      </c>
      <c r="K9" s="217">
        <f>IF(AND(K8=0,K7=0),0,IF(K8=0,1,(K8-K7)/K8))</f>
        <v>-0.11137045628012031</v>
      </c>
      <c r="L9" s="217">
        <f>IF(AND(L8=0,L7=0),0,IF(L8=0,1,(L8-L7)/L8))</f>
        <v>0.22378520499393564</v>
      </c>
      <c r="M9" s="218">
        <f>M8-M7</f>
        <v>7.436264180701202E-2</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292" t="s">
        <v>183</v>
      </c>
      <c r="C11" s="292"/>
      <c r="D11" s="208">
        <f>SUMIF('Monthly View'!$E$4:$BL$4,"Real",'Monthly View'!$E$18:$BL$18)+'Project Infor'!C45</f>
        <v>0</v>
      </c>
      <c r="E11" s="208">
        <f>SUMIF('Monthly View'!$E$4:$BL$4,"Real",'Monthly View'!$E$20:$BL$20)+'Project Infor'!C47</f>
        <v>0</v>
      </c>
      <c r="F11" s="208">
        <f>SUMIF('Monthly View'!$E$4:$BL$4,"Real",'Monthly View'!$E$19:$BL$19)+'Project Infor'!C46</f>
        <v>0</v>
      </c>
      <c r="G11" s="208">
        <f>SUMIF('Monthly View'!$E$4:$BL$4,"Real",'Monthly View'!$E$21:$BL$21)</f>
        <v>0</v>
      </c>
      <c r="H11" s="208">
        <f>SUMIF('Monthly View'!$E$4:$BL$4,"Real",'Monthly View'!$E$22:$BL$22)</f>
        <v>0</v>
      </c>
      <c r="I11" s="208">
        <f>SUMIF('Monthly View'!$E$4:$BL$4,"Real",'Monthly View'!$E$23:$BL$23)+'Project Infor'!C48</f>
        <v>0</v>
      </c>
      <c r="J11" s="208">
        <f>SUMIF('Monthly View'!$E$4:$BL$4,"Real",'Monthly View'!$E$24:$BL$24)+'Project Infor'!C49</f>
        <v>0</v>
      </c>
      <c r="K11" s="208">
        <f>SUM(E11,G11,H11,I11,J11)</f>
        <v>0</v>
      </c>
      <c r="L11" s="208">
        <f>D11-K11</f>
        <v>0</v>
      </c>
      <c r="M11" s="209">
        <f>IF(D11=0,0,(D11-E11-H11-I11-G11-J11)/D11)</f>
        <v>0</v>
      </c>
      <c r="N11" s="207">
        <f>IF(D11=0,0,(D11-E11/UTILIZACION-G11/UTILIZACION-H11/UTILIZACION-I11-J11)/D11)</f>
        <v>0</v>
      </c>
      <c r="O11" s="29"/>
      <c r="P11" s="27"/>
    </row>
    <row r="12" spans="2:16" ht="20.149999999999999" customHeight="1" x14ac:dyDescent="0.3">
      <c r="B12" s="290" t="s">
        <v>184</v>
      </c>
      <c r="C12" s="290"/>
      <c r="D12" s="171">
        <f>IF(D8=0,0,D11/D8)</f>
        <v>0</v>
      </c>
      <c r="E12" s="171">
        <f>IF(E8=0,0,E11/E8)</f>
        <v>0</v>
      </c>
      <c r="F12" s="171">
        <f>IF(F8=0,0,F11/F8)</f>
        <v>0</v>
      </c>
      <c r="G12" s="171"/>
      <c r="H12" s="171"/>
      <c r="I12" s="171"/>
      <c r="J12" s="171"/>
      <c r="K12" s="171"/>
      <c r="L12" s="171"/>
      <c r="M12" s="172"/>
      <c r="N12" s="173"/>
      <c r="O12" s="29"/>
      <c r="P12" s="29"/>
    </row>
    <row r="17" spans="2:16" ht="20.149999999999999" customHeight="1" x14ac:dyDescent="0.3">
      <c r="B17" s="70" t="s">
        <v>185</v>
      </c>
      <c r="C17" s="70"/>
      <c r="D17" s="70"/>
      <c r="E17" s="29"/>
      <c r="F17" s="29"/>
      <c r="G17" s="29"/>
      <c r="H17" s="29"/>
      <c r="I17" s="29"/>
      <c r="J17" s="29"/>
      <c r="K17" s="29"/>
      <c r="L17" s="29"/>
      <c r="M17" s="29"/>
      <c r="N17" s="29"/>
      <c r="O17" s="29"/>
      <c r="P17" s="29"/>
    </row>
    <row r="18" spans="2:16" ht="285.75" customHeight="1" x14ac:dyDescent="0.3">
      <c r="B18" s="287" t="s">
        <v>305</v>
      </c>
      <c r="C18" s="288"/>
      <c r="D18" s="288"/>
      <c r="E18" s="288"/>
      <c r="F18" s="288"/>
      <c r="G18" s="288"/>
      <c r="H18" s="288"/>
      <c r="I18" s="288"/>
      <c r="J18" s="289"/>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8" t="s">
        <v>186</v>
      </c>
      <c r="C2" s="308"/>
      <c r="D2" s="308"/>
    </row>
    <row r="3" spans="2:4" ht="19.5" customHeight="1" x14ac:dyDescent="0.25"/>
    <row r="4" spans="2:4" ht="24" customHeight="1" x14ac:dyDescent="0.25">
      <c r="B4" s="180" t="s">
        <v>187</v>
      </c>
    </row>
    <row r="5" spans="2:4" ht="24" customHeight="1" x14ac:dyDescent="0.25">
      <c r="B5" s="181" t="s">
        <v>188</v>
      </c>
    </row>
    <row r="6" spans="2:4" ht="24" customHeight="1" x14ac:dyDescent="0.25">
      <c r="B6" s="181" t="s">
        <v>189</v>
      </c>
    </row>
    <row r="7" spans="2:4" ht="45" customHeight="1" x14ac:dyDescent="0.25">
      <c r="B7" s="181" t="s">
        <v>190</v>
      </c>
    </row>
    <row r="8" spans="2:4" ht="30" customHeight="1" x14ac:dyDescent="0.25">
      <c r="B8" s="181" t="s">
        <v>191</v>
      </c>
    </row>
    <row r="9" spans="2:4" ht="25" customHeight="1" x14ac:dyDescent="0.25">
      <c r="B9" s="181" t="s">
        <v>192</v>
      </c>
    </row>
    <row r="10" spans="2:4" ht="24" customHeight="1" x14ac:dyDescent="0.25">
      <c r="B10" s="182"/>
    </row>
    <row r="11" spans="2:4" ht="24" customHeight="1" x14ac:dyDescent="0.25">
      <c r="B11" s="180" t="s">
        <v>193</v>
      </c>
    </row>
    <row r="12" spans="2:4" ht="24" customHeight="1" x14ac:dyDescent="0.25">
      <c r="B12" s="181" t="s">
        <v>194</v>
      </c>
    </row>
    <row r="13" spans="2:4" ht="24" customHeight="1" x14ac:dyDescent="0.25">
      <c r="B13" s="181" t="s">
        <v>195</v>
      </c>
    </row>
    <row r="14" spans="2:4" ht="54" customHeight="1" x14ac:dyDescent="0.25">
      <c r="B14" s="181" t="s">
        <v>196</v>
      </c>
    </row>
    <row r="15" spans="2:4" ht="54" customHeight="1" x14ac:dyDescent="0.25">
      <c r="B15" s="181" t="s">
        <v>197</v>
      </c>
    </row>
    <row r="16" spans="2:4" ht="34.5" customHeight="1" x14ac:dyDescent="0.25">
      <c r="B16" s="181" t="s">
        <v>198</v>
      </c>
    </row>
    <row r="17" spans="2:2" ht="54.75" customHeight="1" x14ac:dyDescent="0.25">
      <c r="B17" s="181" t="s">
        <v>199</v>
      </c>
    </row>
    <row r="18" spans="2:2" ht="51.75" customHeight="1" x14ac:dyDescent="0.25">
      <c r="B18" s="181" t="s">
        <v>200</v>
      </c>
    </row>
    <row r="19" spans="2:2" ht="24" customHeight="1" x14ac:dyDescent="0.25"/>
    <row r="20" spans="2:2" ht="24" customHeight="1" x14ac:dyDescent="0.25">
      <c r="B20" s="180" t="s">
        <v>201</v>
      </c>
    </row>
    <row r="21" spans="2:2" ht="24" customHeight="1" x14ac:dyDescent="0.25">
      <c r="B21" s="181" t="s">
        <v>202</v>
      </c>
    </row>
    <row r="22" spans="2:2" ht="24" customHeight="1" x14ac:dyDescent="0.25">
      <c r="B22" s="181" t="s">
        <v>203</v>
      </c>
    </row>
    <row r="23" spans="2:2" ht="36" customHeight="1" x14ac:dyDescent="0.25">
      <c r="B23" s="181" t="s">
        <v>204</v>
      </c>
    </row>
    <row r="24" spans="2:2" ht="125.25" customHeight="1" x14ac:dyDescent="0.25">
      <c r="B24" s="181" t="s">
        <v>205</v>
      </c>
    </row>
    <row r="25" spans="2:2" ht="42.75" customHeight="1" x14ac:dyDescent="0.25">
      <c r="B25" s="181"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207</v>
      </c>
      <c r="C5" s="262"/>
      <c r="D5" s="262"/>
      <c r="E5" s="263">
        <f>'Cost Overview'!F8</f>
        <v>583896.55000000005</v>
      </c>
      <c r="F5" s="310" t="s">
        <v>208</v>
      </c>
      <c r="G5" s="310"/>
      <c r="H5" s="310"/>
      <c r="I5" s="310"/>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209</v>
      </c>
      <c r="C7" s="250" t="s">
        <v>210</v>
      </c>
      <c r="D7" s="250" t="s">
        <v>211</v>
      </c>
      <c r="E7" s="250" t="s">
        <v>212</v>
      </c>
      <c r="F7" s="251" t="s">
        <v>213</v>
      </c>
      <c r="G7" s="251" t="s">
        <v>214</v>
      </c>
      <c r="H7" s="250" t="s">
        <v>215</v>
      </c>
      <c r="I7" s="250" t="s">
        <v>216</v>
      </c>
      <c r="J7" s="250" t="s">
        <v>217</v>
      </c>
      <c r="K7" s="250" t="s">
        <v>218</v>
      </c>
      <c r="L7" s="250" t="s">
        <v>219</v>
      </c>
      <c r="M7" s="251" t="s">
        <v>220</v>
      </c>
      <c r="N7" s="251" t="s">
        <v>221</v>
      </c>
      <c r="O7" s="251" t="s">
        <v>222</v>
      </c>
      <c r="P7" s="251" t="s">
        <v>223</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09" t="s">
        <v>224</v>
      </c>
      <c r="C41" s="309"/>
      <c r="D41" s="309"/>
      <c r="E41" s="309"/>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225</v>
      </c>
      <c r="C50" s="17"/>
      <c r="D50" s="17"/>
      <c r="E50" s="261"/>
      <c r="F50" s="261"/>
      <c r="G50" s="261"/>
      <c r="H50" s="261"/>
      <c r="I50" s="261"/>
      <c r="J50" s="261"/>
      <c r="K50" s="261"/>
      <c r="L50" s="17"/>
      <c r="M50" s="261"/>
      <c r="N50" s="261"/>
      <c r="O50" s="261"/>
      <c r="P50" s="261"/>
      <c r="Q50" s="261"/>
      <c r="R50" s="261"/>
      <c r="S50" s="261"/>
    </row>
    <row r="51" spans="2:19" ht="285.75" customHeight="1" x14ac:dyDescent="0.3">
      <c r="B51" s="287" t="s">
        <v>87</v>
      </c>
      <c r="C51" s="288"/>
      <c r="D51" s="288"/>
      <c r="E51" s="288"/>
      <c r="F51" s="288"/>
      <c r="G51" s="288"/>
      <c r="H51" s="288"/>
      <c r="I51" s="288"/>
      <c r="J51" s="289"/>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226</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227</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87" t="s">
        <v>87</v>
      </c>
      <c r="C20" s="288"/>
      <c r="D20" s="288"/>
      <c r="E20" s="288"/>
      <c r="F20" s="288"/>
      <c r="G20" s="288"/>
      <c r="H20" s="288"/>
      <c r="I20" s="288"/>
      <c r="J20" s="289"/>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218</v>
      </c>
      <c r="C4" s="299" t="s">
        <v>228</v>
      </c>
      <c r="D4" s="299"/>
      <c r="E4" s="27"/>
      <c r="F4" s="316" t="s">
        <v>229</v>
      </c>
      <c r="G4" s="317"/>
      <c r="H4" s="242" t="s">
        <v>230</v>
      </c>
      <c r="I4" s="242" t="s">
        <v>231</v>
      </c>
      <c r="J4" s="242" t="s">
        <v>232</v>
      </c>
      <c r="K4" s="316" t="s">
        <v>233</v>
      </c>
      <c r="L4" s="316"/>
      <c r="M4" s="316"/>
      <c r="N4" s="316"/>
    </row>
    <row r="5" spans="2:23" ht="18" customHeight="1" x14ac:dyDescent="0.3">
      <c r="B5" s="82" t="s">
        <v>234</v>
      </c>
      <c r="C5" s="314" t="s">
        <v>235</v>
      </c>
      <c r="D5" s="314"/>
      <c r="E5" s="27"/>
      <c r="F5" s="314" t="s">
        <v>236</v>
      </c>
      <c r="G5" s="314"/>
      <c r="H5" s="244">
        <v>0.5</v>
      </c>
      <c r="I5" s="245">
        <v>5000</v>
      </c>
      <c r="J5" s="234" t="s">
        <v>235</v>
      </c>
      <c r="K5" s="314"/>
      <c r="L5" s="314"/>
      <c r="M5" s="314"/>
      <c r="N5" s="314"/>
    </row>
    <row r="6" spans="2:23" ht="18" customHeight="1" x14ac:dyDescent="0.3">
      <c r="B6" s="82" t="s">
        <v>237</v>
      </c>
      <c r="C6" s="314" t="s">
        <v>238</v>
      </c>
      <c r="D6" s="314"/>
      <c r="E6" s="27"/>
      <c r="F6" s="314" t="s">
        <v>239</v>
      </c>
      <c r="G6" s="314"/>
      <c r="H6" s="244">
        <v>0.1</v>
      </c>
      <c r="I6" s="245">
        <v>1000</v>
      </c>
      <c r="J6" s="234"/>
      <c r="K6" s="314"/>
      <c r="L6" s="314"/>
      <c r="M6" s="314"/>
      <c r="N6" s="314"/>
    </row>
    <row r="7" spans="2:23" ht="18" customHeight="1" x14ac:dyDescent="0.3">
      <c r="B7" s="82" t="s">
        <v>240</v>
      </c>
      <c r="C7" s="315">
        <v>10000</v>
      </c>
      <c r="D7" s="315"/>
      <c r="E7" s="243" t="s">
        <v>241</v>
      </c>
      <c r="F7" s="314" t="s">
        <v>242</v>
      </c>
      <c r="G7" s="314"/>
      <c r="H7" s="244">
        <v>0.2</v>
      </c>
      <c r="I7" s="245">
        <v>2000</v>
      </c>
      <c r="J7" s="234"/>
      <c r="K7" s="314"/>
      <c r="L7" s="314"/>
      <c r="M7" s="314"/>
      <c r="N7" s="314"/>
    </row>
    <row r="8" spans="2:23" ht="18" customHeight="1" x14ac:dyDescent="0.3">
      <c r="D8" s="27"/>
      <c r="E8" s="27"/>
      <c r="F8" s="314" t="s">
        <v>243</v>
      </c>
      <c r="G8" s="314"/>
      <c r="H8" s="244">
        <v>0.1</v>
      </c>
      <c r="I8" s="245">
        <v>1000</v>
      </c>
      <c r="J8" s="234"/>
      <c r="K8" s="314"/>
      <c r="L8" s="314"/>
      <c r="M8" s="314"/>
      <c r="N8" s="314"/>
    </row>
    <row r="9" spans="2:23" ht="18" customHeight="1" x14ac:dyDescent="0.3">
      <c r="D9" s="27"/>
      <c r="E9" s="61"/>
      <c r="F9" s="314" t="s">
        <v>244</v>
      </c>
      <c r="G9" s="314"/>
      <c r="H9" s="244">
        <v>0.1</v>
      </c>
      <c r="I9" s="245">
        <v>1000</v>
      </c>
      <c r="J9" s="234"/>
      <c r="K9" s="314"/>
      <c r="L9" s="314"/>
      <c r="M9" s="314"/>
      <c r="N9" s="314"/>
      <c r="O9" s="29"/>
      <c r="P9" s="29"/>
    </row>
    <row r="10" spans="2:23" ht="23.25" customHeight="1" x14ac:dyDescent="0.3">
      <c r="C10" s="318" t="s">
        <v>208</v>
      </c>
      <c r="D10" s="318"/>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209</v>
      </c>
      <c r="C12" s="47" t="s">
        <v>210</v>
      </c>
      <c r="D12" s="47" t="s">
        <v>245</v>
      </c>
      <c r="E12" s="47" t="s">
        <v>212</v>
      </c>
      <c r="F12" s="48" t="s">
        <v>213</v>
      </c>
      <c r="G12" s="48" t="s">
        <v>214</v>
      </c>
      <c r="H12" s="47" t="s">
        <v>215</v>
      </c>
      <c r="I12" s="47" t="s">
        <v>216</v>
      </c>
      <c r="J12" s="47" t="s">
        <v>218</v>
      </c>
      <c r="K12" s="47" t="s">
        <v>246</v>
      </c>
      <c r="L12" s="48" t="s">
        <v>220</v>
      </c>
      <c r="M12" s="48" t="s">
        <v>221</v>
      </c>
      <c r="N12" s="48" t="s">
        <v>222</v>
      </c>
      <c r="O12" s="48" t="s">
        <v>223</v>
      </c>
      <c r="P12" s="29"/>
      <c r="Q12" s="26"/>
      <c r="R12" s="26"/>
      <c r="S12" s="26"/>
      <c r="T12" s="26"/>
      <c r="U12" s="26"/>
      <c r="V12" s="26"/>
      <c r="W12" s="26"/>
    </row>
    <row r="13" spans="2:23" s="72" customFormat="1" ht="20.149999999999999" customHeight="1" x14ac:dyDescent="0.3">
      <c r="B13" s="205" t="s">
        <v>247</v>
      </c>
      <c r="C13" s="232">
        <v>44286</v>
      </c>
      <c r="D13" s="4" t="s">
        <v>236</v>
      </c>
      <c r="E13" s="4" t="s">
        <v>248</v>
      </c>
      <c r="F13" s="5">
        <v>3000</v>
      </c>
      <c r="G13" s="5" t="s">
        <v>249</v>
      </c>
      <c r="H13" s="13">
        <v>0.21</v>
      </c>
      <c r="I13" s="5">
        <f>IF(F13=0," ",F13+F13*H13)</f>
        <v>3630</v>
      </c>
      <c r="J13" s="14" t="s">
        <v>250</v>
      </c>
      <c r="K13" s="5"/>
      <c r="L13" s="60"/>
      <c r="M13" s="5" t="s">
        <v>251</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1" t="s">
        <v>224</v>
      </c>
      <c r="C46" s="311"/>
      <c r="D46" s="311"/>
      <c r="E46" s="311"/>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252</v>
      </c>
      <c r="C55" s="70"/>
      <c r="D55" s="70"/>
      <c r="E55" s="29"/>
      <c r="F55" s="29"/>
      <c r="G55" s="29"/>
      <c r="H55" s="29"/>
      <c r="I55" s="29"/>
      <c r="J55" s="29"/>
      <c r="K55" s="70"/>
      <c r="L55" s="29"/>
      <c r="M55" s="29"/>
      <c r="N55" s="29"/>
      <c r="O55" s="29"/>
      <c r="P55" s="29"/>
      <c r="Q55" s="29"/>
      <c r="R55" s="29"/>
    </row>
    <row r="56" spans="2:22" ht="285.75" customHeight="1" x14ac:dyDescent="0.3">
      <c r="B56" s="312" t="s">
        <v>87</v>
      </c>
      <c r="C56" s="313"/>
      <c r="D56" s="313"/>
      <c r="E56" s="313"/>
      <c r="F56" s="313"/>
      <c r="G56" s="313"/>
      <c r="H56" s="313"/>
      <c r="I56" s="313"/>
      <c r="J56" s="179"/>
      <c r="K56" s="179"/>
      <c r="L56" s="179"/>
      <c r="M56" s="29"/>
      <c r="N56" s="29"/>
      <c r="O56" s="29"/>
      <c r="P56" s="29"/>
      <c r="Q56" s="29"/>
      <c r="R56" s="29"/>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19" t="s">
        <v>253</v>
      </c>
      <c r="C5" s="319"/>
      <c r="D5" s="320" t="s">
        <v>263</v>
      </c>
      <c r="E5" s="320"/>
      <c r="F5" s="320"/>
      <c r="G5" s="320"/>
      <c r="H5" s="104"/>
      <c r="I5" s="104"/>
      <c r="J5" s="104"/>
      <c r="K5" s="104"/>
      <c r="L5" s="104"/>
      <c r="M5" s="104"/>
      <c r="N5" s="104"/>
      <c r="O5" s="104"/>
      <c r="P5" s="104"/>
      <c r="Q5" s="104"/>
      <c r="R5" s="104"/>
    </row>
    <row r="6" spans="1:41" s="108" customFormat="1" ht="35.15" customHeight="1" x14ac:dyDescent="0.25">
      <c r="B6" s="237" t="s">
        <v>255</v>
      </c>
      <c r="C6" s="237" t="s">
        <v>256</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257</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19" t="s">
        <v>258</v>
      </c>
      <c r="C15" s="319"/>
      <c r="D15" s="320" t="s">
        <v>254</v>
      </c>
      <c r="E15" s="320"/>
      <c r="F15" s="320"/>
      <c r="G15" s="320"/>
      <c r="H15" s="104"/>
      <c r="I15" s="104"/>
      <c r="J15" s="104"/>
      <c r="K15" s="104"/>
      <c r="L15" s="104"/>
      <c r="M15" s="104"/>
      <c r="N15" s="104"/>
      <c r="O15" s="104"/>
      <c r="P15" s="104"/>
      <c r="Q15" s="104"/>
      <c r="R15" s="104"/>
    </row>
    <row r="16" spans="1:41" s="108" customFormat="1" ht="35.15" customHeight="1" x14ac:dyDescent="0.25">
      <c r="B16" s="237" t="s">
        <v>255</v>
      </c>
      <c r="C16" s="237" t="s">
        <v>256</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257</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19" t="s">
        <v>259</v>
      </c>
      <c r="C25" s="319"/>
      <c r="D25" s="320" t="s">
        <v>254</v>
      </c>
      <c r="E25" s="320"/>
      <c r="F25" s="320"/>
      <c r="G25" s="320"/>
      <c r="H25" s="104"/>
      <c r="I25" s="104"/>
      <c r="J25" s="104"/>
      <c r="K25" s="104"/>
      <c r="L25" s="104"/>
      <c r="M25" s="104"/>
      <c r="N25" s="104"/>
      <c r="O25" s="104"/>
      <c r="P25" s="104"/>
      <c r="Q25" s="104"/>
      <c r="R25" s="104"/>
    </row>
    <row r="26" spans="1:41" s="108" customFormat="1" ht="35.15" customHeight="1" x14ac:dyDescent="0.25">
      <c r="B26" s="237" t="s">
        <v>255</v>
      </c>
      <c r="C26" s="237" t="s">
        <v>256</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257</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19" t="s">
        <v>260</v>
      </c>
      <c r="C35" s="319"/>
      <c r="D35" s="320" t="s">
        <v>254</v>
      </c>
      <c r="E35" s="320"/>
      <c r="F35" s="320"/>
      <c r="G35" s="320"/>
      <c r="H35" s="104"/>
      <c r="I35" s="104"/>
      <c r="J35" s="104"/>
      <c r="K35" s="104"/>
      <c r="L35" s="104"/>
      <c r="M35" s="104"/>
      <c r="N35" s="104"/>
      <c r="O35" s="104"/>
      <c r="P35" s="104"/>
      <c r="Q35" s="104"/>
      <c r="R35" s="104"/>
    </row>
    <row r="36" spans="1:41" s="108" customFormat="1" ht="35.15" customHeight="1" x14ac:dyDescent="0.25">
      <c r="B36" s="237" t="s">
        <v>255</v>
      </c>
      <c r="C36" s="237" t="s">
        <v>256</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257</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19" t="s">
        <v>261</v>
      </c>
      <c r="C45" s="319"/>
      <c r="D45" s="320" t="s">
        <v>254</v>
      </c>
      <c r="E45" s="320"/>
      <c r="F45" s="320"/>
      <c r="G45" s="320"/>
      <c r="H45" s="104"/>
      <c r="I45" s="104"/>
      <c r="J45" s="104"/>
      <c r="K45" s="104"/>
      <c r="L45" s="104"/>
      <c r="M45" s="104"/>
      <c r="N45" s="104"/>
      <c r="O45" s="104"/>
      <c r="P45" s="104"/>
      <c r="Q45" s="104"/>
      <c r="R45" s="104"/>
    </row>
    <row r="46" spans="1:41" s="108" customFormat="1" ht="35.15" customHeight="1" x14ac:dyDescent="0.25">
      <c r="B46" s="237" t="s">
        <v>255</v>
      </c>
      <c r="C46" s="237" t="s">
        <v>256</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257</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19" t="s">
        <v>262</v>
      </c>
      <c r="C55" s="319"/>
      <c r="D55" s="320" t="s">
        <v>254</v>
      </c>
      <c r="E55" s="320"/>
      <c r="F55" s="320"/>
      <c r="G55" s="320"/>
      <c r="H55" s="104"/>
      <c r="I55" s="104"/>
      <c r="J55" s="104"/>
      <c r="K55" s="104"/>
      <c r="L55" s="104"/>
      <c r="M55" s="104"/>
      <c r="N55" s="104"/>
      <c r="O55" s="104"/>
      <c r="P55" s="104"/>
      <c r="Q55" s="104"/>
      <c r="R55" s="104"/>
    </row>
    <row r="56" spans="1:41" s="108" customFormat="1" ht="35.15" customHeight="1" x14ac:dyDescent="0.25">
      <c r="B56" s="237" t="s">
        <v>255</v>
      </c>
      <c r="C56" s="237" t="s">
        <v>256</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257</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2.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2026-05-11T22:22:20Z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